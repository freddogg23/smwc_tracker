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e269e920f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5fc6cd1f73334dd1"/>
    <x:sheet xmlns:r="http://schemas.openxmlformats.org/officeDocument/2006/relationships" name="Hack Finder" sheetId="2" r:id="R92116551dfb146f0"/>
    <x:sheet xmlns:r="http://schemas.openxmlformats.org/officeDocument/2006/relationships" name="Hack Database" sheetId="3" r:id="R868188536ee94165"/>
    <x:sheet xmlns:r="http://schemas.openxmlformats.org/officeDocument/2006/relationships" name="Dashboard" sheetId="4" r:id="Rb813f6260ec6409a"/>
    <x:sheet xmlns:r="http://schemas.openxmlformats.org/officeDocument/2006/relationships" name="Lists" sheetId="5" r:id="R547cbc61ed784ffa"/>
    <x:sheet xmlns:r="http://schemas.openxmlformats.org/officeDocument/2006/relationships" name="Read Me" sheetId="6" r:id="Re6c88e10bac54b51"/>
    <x:sheet xmlns:r="http://schemas.openxmlformats.org/officeDocument/2006/relationships" name="Online Database" sheetId="7" r:id="R7ce2afb08f174bf0"/>
    <x:sheet xmlns:r="http://schemas.openxmlformats.org/officeDocument/2006/relationships" name="Manual Database" sheetId="8" r:id="Raf678bbe72394f1d"/>
  </x:sheets>
  <x:definedNames>
    <x:definedName name="HackList">'Hack Database'!$A$2:INDEX('Hack Database'!$A:$A,COUNTA('Hack Database'!$A:$A))</x:definedName>
  </x:definedNames>
</x:workbook>
</file>

<file path=xl/sharedStrings.xml><?xml version="1.0" encoding="utf-8"?>
<x:sst xmlns:x="http://schemas.openxmlformats.org/spreadsheetml/2006/main">
  <x:si>
    <x:t xml:space="preserve">Hack #</x:t>
  </x:si>
  <x:si>
    <x:t xml:space="preserve">Select ROM Hack</x:t>
  </x:si>
  <x:si>
    <x:t xml:space="preserve">ROM Hack Title</x:t>
  </x:si>
  <x:si>
    <x:t xml:space="preserve">Created By</x:t>
  </x:si>
  <x:si>
    <x:t xml:space="preserve">Exits</x:t>
  </x:si>
  <x:si>
    <x:t xml:space="preserve">Difficulty</x:t>
  </x:si>
  <x:si>
    <x:t xml:space="preserve">Type</x:t>
  </x:si>
  <x:si>
    <x:t xml:space="preserve">Date Started</x:t>
  </x:si>
  <x:si>
    <x:t xml:space="preserve">Date Completed</x:t>
  </x:si>
  <x:si>
    <x:t xml:space="preserve">100% Completed?</x:t>
  </x:si>
  <x:si>
    <x:t xml:space="preserve">Status</x:t>
  </x:si>
  <x:si>
    <x:t xml:space="preserve">Rating (1–10)</x:t>
  </x:si>
  <x:si>
    <x:t xml:space="preserve">Playtime</x:t>
  </x:si>
  <x:si>
    <x:t xml:space="preserve">SMWCentral Page</x:t>
  </x:si>
  <x:si>
    <x:t xml:space="preserve">Download Patch</x:t>
  </x:si>
  <x:si>
    <x:t xml:space="preserve">Notes</x:t>
  </x:si>
  <x:si>
    <x:t xml:space="preserve">Learn 2 Kaizo</x:t>
  </x:si>
  <x:si>
    <x:t xml:space="preserve">Yes</x:t>
  </x:si>
  <x:si>
    <x:t xml:space="preserve">1 Hour 14 Minutes 30 Seconds</x:t>
  </x:si>
  <x:si>
    <x:t xml:space="preserve">Love Yourself</x:t>
  </x:si>
  <x:si>
    <x:t xml:space="preserve">1 Hour 15 Minutes 5 Seconds</x:t>
  </x:si>
  <x:si>
    <x:t xml:space="preserve">Orcus</x:t>
  </x:si>
  <x:si>
    <x:t xml:space="preserve">2 Hours 14 Minutes 3 Seconds</x:t>
  </x:si>
  <x:si>
    <x:t xml:space="preserve">Akogare Mario World</x:t>
  </x:si>
  <x:si>
    <x:t xml:space="preserve">10 Hours 16 Minutes 57 Seconds</x:t>
  </x:si>
  <x:si>
    <x:t xml:space="preserve">Invictus</x:t>
  </x:si>
  <x:si>
    <x:t xml:space="preserve">45 Hours 18 Minutes 17 Seconds</x:t>
  </x:si>
  <x:si>
    <x:t xml:space="preserve">Kamek: 4 Hours 7 Minutes 25 Seconds</x:t>
  </x:si>
  <x:si>
    <x:t xml:space="preserve">Gambol 2</x:t>
  </x:si>
  <x:si>
    <x:t xml:space="preserve">10 Hours 39 Minutes 47 Seconds</x:t>
  </x:si>
  <x:si>
    <x:t xml:space="preserve">Super Hark Bros</x:t>
  </x:si>
  <x:si>
    <x:t xml:space="preserve">6 Hours 0 Minutes 35 Seconds</x:t>
  </x:si>
  <x:si>
    <x:t xml:space="preserve">Super Hark Bros 2</x:t>
  </x:si>
  <x:si>
    <x:t xml:space="preserve">10 Hours 40 Minutes 21 Seconds</x:t>
  </x:si>
  <x:si>
    <x:t xml:space="preserve">Quickie World</x:t>
  </x:si>
  <x:si>
    <x:t xml:space="preserve">1 Hour 1 Minute 12 Seconds</x:t>
  </x:si>
  <x:si>
    <x:t xml:space="preserve">Quickie World 2</x:t>
  </x:si>
  <x:si>
    <x:t xml:space="preserve">1 Hour 39 Minutes 30 Seconds</x:t>
  </x:si>
  <x:si>
    <x:t xml:space="preserve">Chicanery</x:t>
  </x:si>
  <x:si>
    <x:t xml:space="preserve">17 Hours 52 Minutes 06 Seconds</x:t>
  </x:si>
  <x:si>
    <x:t xml:space="preserve">Intershellar</x:t>
  </x:si>
  <x:si>
    <x:t xml:space="preserve">6 Hours 08 Minutes 57 Seconds</x:t>
  </x:si>
  <x:si>
    <x:t xml:space="preserve">Lord Pickle World</x:t>
  </x:si>
  <x:si>
    <x:t xml:space="preserve">12 Hours 27 Minutes 48 Seconds</x:t>
  </x:si>
  <x:si>
    <x:t xml:space="preserve">Grand Poo World 2</x:t>
  </x:si>
  <x:si>
    <x:t xml:space="preserve">69 Hours 10 Minutes 52 Seconds</x:t>
  </x:si>
  <x:si>
    <x:t xml:space="preserve">Bowser: 7 Hours 24 Minutes 56 Seconds</x:t>
  </x:si>
  <x:si>
    <x:t xml:space="preserve">Super Nothing World</x:t>
  </x:si>
  <x:si>
    <x:t xml:space="preserve">3 Hours 42 Minutes 09 Seconds</x:t>
  </x:si>
  <x:si>
    <x:t xml:space="preserve">Simpatico</x:t>
  </x:si>
  <x:si>
    <x:t xml:space="preserve">36 Hours 19 Minutes 25 Seconds</x:t>
  </x:si>
  <x:si>
    <x:t xml:space="preserve">Waluigi: 1 Hour 44 Minutes 33 Seconds</x:t>
  </x:si>
  <x:si>
    <x:t xml:space="preserve">Sauna Mario World</x:t>
  </x:si>
  <x:si>
    <x:t xml:space="preserve">3 Hours 43 Minutes 33 Seconds</x:t>
  </x:si>
  <x:si>
    <x:t xml:space="preserve">Sauna Mario World 2</x:t>
  </x:si>
  <x:si>
    <x:t xml:space="preserve">6 Hours 46 Minutes 01 Second</x:t>
  </x:si>
  <x:si>
    <x:t xml:space="preserve">Epiphany</x:t>
  </x:si>
  <x:si>
    <x:t xml:space="preserve">11 Hours 17 Minutes 32 Seconds</x:t>
  </x:si>
  <x:si>
    <x:t xml:space="preserve">Super Joe Bros.</x:t>
  </x:si>
  <x:si>
    <x:t xml:space="preserve">46 Minutes 54 Seconds</x:t>
  </x:si>
  <x:si>
    <x:t xml:space="preserve">Super Joe Bros. 2</x:t>
  </x:si>
  <x:si>
    <x:t xml:space="preserve">1 Hour 42 Minutes 01 Second</x:t>
  </x:si>
  <x:si>
    <x:t xml:space="preserve">Super Joe Bros 3</x:t>
  </x:si>
  <x:si>
    <x:t xml:space="preserve">6 Hours 11 Minutes 12 Seconds</x:t>
  </x:si>
  <x:si>
    <x:t xml:space="preserve">Newbie Kaizo World</x:t>
  </x:si>
  <x:si>
    <x:t xml:space="preserve">39 Minutes 59 Seconds</x:t>
  </x:si>
  <x:si>
    <x:t xml:space="preserve">Grand Poo World 3</x:t>
  </x:si>
  <x:si>
    <x:t xml:space="preserve">80 Hours 32 Minutes 59 Seconds</x:t>
  </x:si>
  <x:si>
    <x:t xml:space="preserve">GPW2 Bowser: 17 Hours 14 Minutes 52 Seconds
GPW3 Bowser: 4 Hours 51 Minutes 07 Seconds</x:t>
  </x:si>
  <x:si>
    <x:t xml:space="preserve">Grand Poo World</x:t>
  </x:si>
  <x:si>
    <x:t xml:space="preserve">39 Hours 37 Minutes 14 Seconds</x:t>
  </x:si>
  <x:si>
    <x:t xml:space="preserve">Bowser: 7 Hours 32 Minutes 15 Seconds</x:t>
  </x:si>
  <x:si>
    <x:t xml:space="preserve">Obstinate</x:t>
  </x:si>
  <x:si>
    <x:t xml:space="preserve">5 Hours 57 Minutes 0 Seconds</x:t>
  </x:si>
  <x:si>
    <x:t xml:space="preserve">Luminescent</x:t>
  </x:si>
  <x:si>
    <x:t xml:space="preserve">12 Hours 29 Minutes 16 Seconds</x:t>
  </x:si>
  <x:si>
    <x:t xml:space="preserve">Staycation</x:t>
  </x:si>
  <x:si>
    <x:t xml:space="preserve">6 Hours 28 Minutes 58 Seconds</x:t>
  </x:si>
  <x:si>
    <x:t xml:space="preserve">SMWCentral ROM Hack Finder</x:t>
  </x:si>
  <x:si>
    <x:t xml:space="preserve">Browse the full database without adding a row to your tracker</x:t>
  </x:si>
  <x:si>
    <x:t xml:space="preserve">Select a ROM Hack</x:t>
  </x:si>
  <x:si>
    <x:t xml:space="preserve">Added Date</x:t>
  </x:si>
  <x:si>
    <x:t xml:space="preserve">SMWC ID</x:t>
  </x:si>
  <x:si>
    <x:t xml:space="preserve">Direct Download</x:t>
  </x:si>
  <x:si>
    <x:t xml:space="preserve">Dropdown Selection</x:t>
  </x:si>
  <x:si>
    <x:t xml:space="preserve">SMWCentral Page URL</x:t>
  </x:si>
  <x:si>
    <x:t xml:space="preserve">Direct Download URL</x:t>
  </x:si>
  <x:si>
    <x:t xml:space="preserve">!uppipe</x:t>
  </x:si>
  <x:si>
    <x:t xml:space="preserve">Dan2point5</x:t>
  </x:si>
  <x:si>
    <x:t xml:space="preserve">Advanced</x:t>
  </x:si>
  <x:si>
    <x:t xml:space="preserve">Kaizo</x:t>
  </x:si>
  <x:si>
    <x:t xml:space="preserve">40226</x:t>
  </x:si>
  <x:si>
    <x:t xml:space="preserve">https://www.smwcentral.net/?a=details&amp;id=40226&amp;p=section</x:t>
  </x:si>
  <x:si>
    <x:t xml:space="preserve">https://dl.smwcentral.net/40226/%21uppipe.zip</x:t>
  </x:si>
  <x:si>
    <x:t xml:space="preserve">#0 IGGY'S CASTLE</x:t>
  </x:si>
  <x:si>
    <x:t xml:space="preserve">Wakana</x:t>
  </x:si>
  <x:si>
    <x:t xml:space="preserve">Intermediate</x:t>
  </x:si>
  <x:si>
    <x:t xml:space="preserve">Standard</x:t>
  </x:si>
  <x:si>
    <x:t xml:space="preserve">41349</x:t>
  </x:si>
  <x:si>
    <x:t xml:space="preserve">https://www.smwcentral.net/?a=details&amp;id=41349&amp;p=section</x:t>
  </x:si>
  <x:si>
    <x:t xml:space="preserve">https://dl.smwcentral.net/41349/%230%20IGGY%27S%20CASTLE%20v3.0.0.zip</x:t>
  </x:si>
  <x:si>
    <x:t xml:space="preserve">#thathack</x:t>
  </x:si>
  <x:si>
    <x:t xml:space="preserve">levelengine</x:t>
  </x:si>
  <x:si>
    <x:t xml:space="preserve">Casual</x:t>
  </x:si>
  <x:si>
    <x:t xml:space="preserve">6027</x:t>
  </x:si>
  <x:si>
    <x:t xml:space="preserve">https://www.smwcentral.net/?a=details&amp;id=6027&amp;p=section</x:t>
  </x:si>
  <x:si>
    <x:t xml:space="preserve">https://dl.smwcentral.net/6027/%23thathack.zip</x:t>
  </x:si>
  <x:si>
    <x:t xml:space="preserve">'the</x:t>
  </x:si>
  <x:si>
    <x:t xml:space="preserve">Torchkas, underway</x:t>
  </x:si>
  <x:si>
    <x:t xml:space="preserve">41112</x:t>
  </x:si>
  <x:si>
    <x:t xml:space="preserve">https://www.smwcentral.net/?a=details&amp;id=41112&amp;p=section</x:t>
  </x:si>
  <x:si>
    <x:t xml:space="preserve">https://dl.smwcentral.net/41112/%27the.zip</x:t>
  </x:si>
  <x:si>
    <x:t xml:space="preserve">*SUPERSTAR* - an EP by margot</x:t>
  </x:si>
  <x:si>
    <x:t xml:space="preserve">margot</x:t>
  </x:si>
  <x:si>
    <x:t xml:space="preserve">Master</x:t>
  </x:si>
  <x:si>
    <x:t xml:space="preserve">32479</x:t>
  </x:si>
  <x:si>
    <x:t xml:space="preserve">https://www.smwcentral.net/?a=details&amp;id=32479&amp;p=section</x:t>
  </x:si>
  <x:si>
    <x:t xml:space="preserve">https://dl.smwcentral.net/32479/SUPERSTAR.zip</x:t>
  </x:si>
  <x:si>
    <x:t xml:space="preserve">1 Island Of Vanilla Feeling</x:t>
  </x:si>
  <x:si>
    <x:t xml:space="preserve">neidoodle</x:t>
  </x:si>
  <x:si>
    <x:t xml:space="preserve">5988</x:t>
  </x:si>
  <x:si>
    <x:t xml:space="preserve">https://www.smwcentral.net/?a=details&amp;id=5988&amp;p=section</x:t>
  </x:si>
  <x:si>
    <x:t xml:space="preserve">https://dl.smwcentral.net/5988/1island1.2.zip</x:t>
  </x:si>
  <x:si>
    <x:t xml:space="preserve">1 Square Puzzle</x:t>
  </x:si>
  <x:si>
    <x:t xml:space="preserve">HoorayForJay</x:t>
  </x:si>
  <x:si>
    <x:t xml:space="preserve">Grandmaster</x:t>
  </x:si>
  <x:si>
    <x:t xml:space="preserve">Tool-Assisted, Pit</x:t>
  </x:si>
  <x:si>
    <x:t xml:space="preserve">15342</x:t>
  </x:si>
  <x:si>
    <x:t xml:space="preserve">https://www.smwcentral.net/?a=details&amp;id=15342&amp;p=section</x:t>
  </x:si>
  <x:si>
    <x:t xml:space="preserve">https://dl.smwcentral.net/15342/1SquarePuzzle.zip</x:t>
  </x:si>
  <x:si>
    <x:t xml:space="preserve">100 Rooms of Enemies: 10th Anniversary Edition</x:t>
  </x:si>
  <x:si>
    <x:t xml:space="preserve">Daizo Dee Von, Mellonpizza</x:t>
  </x:si>
  <x:si>
    <x:t xml:space="preserve">38104</x:t>
  </x:si>
  <x:si>
    <x:t xml:space="preserve">https://www.smwcentral.net/?a=details&amp;id=38104&amp;p=section</x:t>
  </x:si>
  <x:si>
    <x:t xml:space="preserve">https://dl.smwcentral.net/38104/100%20Rooms%20of%20Enemies%20-%2010th%20Anniversary%20Edition.zip</x:t>
  </x:si>
  <x:si>
    <x:t xml:space="preserve">100 Rooms Of Torment</x:t>
  </x:si>
  <x:si>
    <x:t xml:space="preserve">Gasterus155</x:t>
  </x:si>
  <x:si>
    <x:t xml:space="preserve">42400</x:t>
  </x:si>
  <x:si>
    <x:t xml:space="preserve">https://www.smwcentral.net/?a=details&amp;id=42400&amp;p=section</x:t>
  </x:si>
  <x:si>
    <x:t xml:space="preserve">https://dl.smwcentral.net/42400/100%20Torment%20of%20Rooms.zip</x:t>
  </x:si>
  <x:si>
    <x:t xml:space="preserve">100th Birthday Cake</x:t>
  </x:si>
  <x:si>
    <x:t xml:space="preserve">Hwailaluta</x:t>
  </x:si>
  <x:si>
    <x:t xml:space="preserve">35444</x:t>
  </x:si>
  <x:si>
    <x:t xml:space="preserve">https://www.smwcentral.net/?a=details&amp;id=35444&amp;p=section</x:t>
  </x:si>
  <x:si>
    <x:t xml:space="preserve">https://dl.smwcentral.net/35444/100th%20Birthday%20Cake.zip</x:t>
  </x:si>
  <x:si>
    <x:t xml:space="preserve">10yumps</x:t>
  </x:si>
  <x:si>
    <x:t xml:space="preserve">Fyre150</x:t>
  </x:si>
  <x:si>
    <x:t xml:space="preserve">41558</x:t>
  </x:si>
  <x:si>
    <x:t xml:space="preserve">https://www.smwcentral.net/?a=details&amp;id=41558&amp;p=section</x:t>
  </x:si>
  <x:si>
    <x:t xml:space="preserve">https://dl.smwcentral.net/41558/10yumps%28real%29.zip</x:t>
  </x:si>
  <x:si>
    <x:t xml:space="preserve">12 DAY: An SMW Mixtape</x:t>
  </x:si>
  <x:si>
    <x:t xml:space="preserve">Squirrelyman157</x:t>
  </x:si>
  <x:si>
    <x:t xml:space="preserve">Standard, Kaizo</x:t>
  </x:si>
  <x:si>
    <x:t xml:space="preserve">25843</x:t>
  </x:si>
  <x:si>
    <x:t xml:space="preserve">https://www.smwcentral.net/?a=details&amp;id=25843&amp;p=section</x:t>
  </x:si>
  <x:si>
    <x:t xml:space="preserve">https://dl.smwcentral.net/25843/12DAY.zip</x:t>
  </x:si>
  <x:si>
    <x:t xml:space="preserve">1st Kochobo Dourado Collab</x:t>
  </x:si>
  <x:si>
    <x:t xml:space="preserve">Mario Hacks Group, TheMorganah</x:t>
  </x:si>
  <x:si>
    <x:t xml:space="preserve">34370</x:t>
  </x:si>
  <x:si>
    <x:t xml:space="preserve">https://www.smwcentral.net/?a=details&amp;id=34370&amp;p=section</x:t>
  </x:si>
  <x:si>
    <x:t xml:space="preserve">https://dl.smwcentral.net/34370/%5B2020%5D%201st%20Kochobo%20Dourado%20Collab%20V3.0%20%28U%29%20%5BPT-BR%5D.zip</x:t>
  </x:si>
  <x:si>
    <x:t xml:space="preserve">2 Hour Hack</x:t>
  </x:si>
  <x:si>
    <x:t xml:space="preserve">Magmatic</x:t>
  </x:si>
  <x:si>
    <x:t xml:space="preserve">40799</x:t>
  </x:si>
  <x:si>
    <x:t xml:space="preserve">https://www.smwcentral.net/?a=details&amp;id=40799&amp;p=section</x:t>
  </x:si>
  <x:si>
    <x:t xml:space="preserve">https://dl.smwcentral.net/40799/2hourhack.zip</x:t>
  </x:si>
  <x:si>
    <x:t xml:space="preserve">2 Player Co-op Quest 2</x:t>
  </x:si>
  <x:si>
    <x:t xml:space="preserve">cyphermur9t</x:t>
  </x:si>
  <x:si>
    <x:t xml:space="preserve">6593</x:t>
  </x:si>
  <x:si>
    <x:t xml:space="preserve">https://www.smwcentral.net/?a=details&amp;id=6593&amp;p=section</x:t>
  </x:si>
  <x:si>
    <x:t xml:space="preserve">https://dl.smwcentral.net/6593/2%20Player%20Co-op%20Quest%202.zip</x:t>
  </x:si>
  <x:si>
    <x:t xml:space="preserve">2 Player Co-op Quest!</x:t>
  </x:si>
  <x:si>
    <x:t xml:space="preserve">5559</x:t>
  </x:si>
  <x:si>
    <x:t xml:space="preserve">https://www.smwcentral.net/?a=details&amp;id=5559&amp;p=section</x:t>
  </x:si>
  <x:si>
    <x:t xml:space="preserve">https://dl.smwcentral.net/5559/2%20Player%20Co-op%20Quest.zip</x:t>
  </x:si>
  <x:si>
    <x:t xml:space="preserve">20 Challenges: Episode 1 - A feard enemy</x:t>
  </x:si>
  <x:si>
    <x:t xml:space="preserve">Drakel</x:t>
  </x:si>
  <x:si>
    <x:t xml:space="preserve">38065</x:t>
  </x:si>
  <x:si>
    <x:t xml:space="preserve">https://www.smwcentral.net/?a=details&amp;id=38065&amp;p=section</x:t>
  </x:si>
  <x:si>
    <x:t xml:space="preserve">https://dl.smwcentral.net/38065/20ChallengesE1.zip</x:t>
  </x:si>
  <x:si>
    <x:t xml:space="preserve">20 Challenges: Episode 2 - Witchcraft</x:t>
  </x:si>
  <x:si>
    <x:t xml:space="preserve">38585</x:t>
  </x:si>
  <x:si>
    <x:t xml:space="preserve">https://www.smwcentral.net/?a=details&amp;id=38585&amp;p=section</x:t>
  </x:si>
  <x:si>
    <x:t xml:space="preserve">https://dl.smwcentral.net/38585/20ChallengesE2.zip</x:t>
  </x:si>
  <x:si>
    <x:t xml:space="preserve">20 Challenges: Episode 3 - The tale from a bone</x:t>
  </x:si>
  <x:si>
    <x:t xml:space="preserve">39007</x:t>
  </x:si>
  <x:si>
    <x:t xml:space="preserve">https://www.smwcentral.net/?a=details&amp;id=39007&amp;p=section</x:t>
  </x:si>
  <x:si>
    <x:t xml:space="preserve">https://dl.smwcentral.net/39007/20ChallengesE3.zip</x:t>
  </x:si>
  <x:si>
    <x:t xml:space="preserve">20 Challenges: Episode 4 - Temple of the elements</x:t>
  </x:si>
  <x:si>
    <x:t xml:space="preserve">39850</x:t>
  </x:si>
  <x:si>
    <x:t xml:space="preserve">https://www.smwcentral.net/?a=details&amp;id=39850&amp;p=section</x:t>
  </x:si>
  <x:si>
    <x:t xml:space="preserve">https://dl.smwcentral.net/39850/20ChallengesE4.zip</x:t>
  </x:si>
  <x:si>
    <x:t xml:space="preserve">20 Challenges: Episode 5 - Community Vibe</x:t>
  </x:si>
  <x:si>
    <x:t xml:space="preserve">41543</x:t>
  </x:si>
  <x:si>
    <x:t xml:space="preserve">https://www.smwcentral.net/?a=details&amp;id=41543&amp;p=section</x:t>
  </x:si>
  <x:si>
    <x:t xml:space="preserve">https://dl.smwcentral.net/41543/20ChallengesE5.zip</x:t>
  </x:si>
  <x:si>
    <x:t xml:space="preserve">2019 Blind Kaizo Relay Level Collaboration</x:t>
  </x:si>
  <x:si>
    <x:t xml:space="preserve">ChrisG___, Freakin_HA, IcyFruit, MarkAlarm, NeXuS15, Romhack Races Team, Valdio, dtothefourth</x:t>
  </x:si>
  <x:si>
    <x:t xml:space="preserve">Expert</x:t>
  </x:si>
  <x:si>
    <x:t xml:space="preserve">20319</x:t>
  </x:si>
  <x:si>
    <x:t xml:space="preserve">https://www.smwcentral.net/?a=details&amp;id=20319&amp;p=section</x:t>
  </x:si>
  <x:si>
    <x:t xml:space="preserve">https://dl.smwcentral.net/20319/2019%20Blind%20Kaizo%20Relay%20Level%20Collaboration.zip</x:t>
  </x:si>
  <x:si>
    <x:t xml:space="preserve">22H</x:t>
  </x:si>
  <x:si>
    <x:t xml:space="preserve">random_box</x:t>
  </x:si>
  <x:si>
    <x:t xml:space="preserve">38406</x:t>
  </x:si>
  <x:si>
    <x:t xml:space="preserve">https://www.smwcentral.net/?a=details&amp;id=38406&amp;p=section</x:t>
  </x:si>
  <x:si>
    <x:t xml:space="preserve">https://dl.smwcentral.net/38406/22H%20v1.1.zip</x:t>
  </x:si>
  <x:si>
    <x:t xml:space="preserve">2K Shells</x:t>
  </x:si>
  <x:si>
    <x:t xml:space="preserve">Rapha2k, arantes</x:t>
  </x:si>
  <x:si>
    <x:t xml:space="preserve">37821</x:t>
  </x:si>
  <x:si>
    <x:t xml:space="preserve">https://www.smwcentral.net/?a=details&amp;id=37821&amp;p=section</x:t>
  </x:si>
  <x:si>
    <x:t xml:space="preserve">https://dl.smwcentral.net/37821/2k%20Shells%20v1.1.zip</x:t>
  </x:si>
  <x:si>
    <x:t xml:space="preserve">2Kaizo2Learn</x:t>
  </x:si>
  <x:si>
    <x:t xml:space="preserve">blueribbonhighlife</x:t>
  </x:si>
  <x:si>
    <x:t xml:space="preserve">32593</x:t>
  </x:si>
  <x:si>
    <x:t xml:space="preserve">https://www.smwcentral.net/?a=details&amp;id=32593&amp;p=section</x:t>
  </x:si>
  <x:si>
    <x:t xml:space="preserve">https://dl.smwcentral.net/32593/2Kaizo2Learn_1.0.zip</x:t>
  </x:si>
  <x:si>
    <x:t xml:space="preserve">3 Islands of Shells</x:t>
  </x:si>
  <x:si>
    <x:t xml:space="preserve">Gulaschko</x:t>
  </x:si>
  <x:si>
    <x:t xml:space="preserve">30435</x:t>
  </x:si>
  <x:si>
    <x:t xml:space="preserve">https://www.smwcentral.net/?a=details&amp;id=30435&amp;p=section</x:t>
  </x:si>
  <x:si>
    <x:t xml:space="preserve">https://dl.smwcentral.net/30435/3%20Islands%20of%20Shells%20V.2.0.zip</x:t>
  </x:si>
  <x:si>
    <x:t xml:space="preserve">3 Trials</x:t>
  </x:si>
  <x:si>
    <x:t xml:space="preserve">I8Strudel</x:t>
  </x:si>
  <x:si>
    <x:t xml:space="preserve">9893</x:t>
  </x:si>
  <x:si>
    <x:t xml:space="preserve">https://www.smwcentral.net/?a=details&amp;id=9893&amp;p=section</x:t>
  </x:si>
  <x:si>
    <x:t xml:space="preserve">https://dl.smwcentral.net/9893/3_Trials_I8Strudel_V_1.zip</x:t>
  </x:si>
  <x:si>
    <x:t xml:space="preserve">35 Questions Deluxe</x:t>
  </x:si>
  <x:si>
    <x:t xml:space="preserve">25310</x:t>
  </x:si>
  <x:si>
    <x:t xml:space="preserve">https://www.smwcentral.net/?a=details&amp;id=25310&amp;p=section</x:t>
  </x:si>
  <x:si>
    <x:t xml:space="preserve">https://dl.smwcentral.net/25310/35QuestionsDeluxe.zip</x:t>
  </x:si>
  <x:si>
    <x:t xml:space="preserve">35 Rooms of Nonsense</x:t>
  </x:si>
  <x:si>
    <x:t xml:space="preserve">spratt</x:t>
  </x:si>
  <x:si>
    <x:t xml:space="preserve">34013</x:t>
  </x:si>
  <x:si>
    <x:t xml:space="preserve">https://www.smwcentral.net/?a=details&amp;id=34013&amp;p=section</x:t>
  </x:si>
  <x:si>
    <x:t xml:space="preserve">https://dl.smwcentral.net/34013/nonsense.zip</x:t>
  </x:si>
  <x:si>
    <x:t xml:space="preserve">4 YUMPs For Yoshi</x:t>
  </x:si>
  <x:si>
    <x:t xml:space="preserve">AmazingChest</x:t>
  </x:si>
  <x:si>
    <x:t xml:space="preserve">26253</x:t>
  </x:si>
  <x:si>
    <x:t xml:space="preserve">https://www.smwcentral.net/?a=details&amp;id=26253&amp;p=section</x:t>
  </x:si>
  <x:si>
    <x:t xml:space="preserve">https://dl.smwcentral.net/26253/4-yumps-for-yoshi-v12.zip</x:t>
  </x:si>
  <x:si>
    <x:t xml:space="preserve">45 Rooms of Balderdash</x:t>
  </x:si>
  <x:si>
    <x:t xml:space="preserve">39505</x:t>
  </x:si>
  <x:si>
    <x:t xml:space="preserve">https://www.smwcentral.net/?a=details&amp;id=39505&amp;p=section</x:t>
  </x:si>
  <x:si>
    <x:t xml:space="preserve">https://dl.smwcentral.net/39505/balderdash.zip</x:t>
  </x:si>
  <x:si>
    <x:t xml:space="preserve">4th Chamber</x:t>
  </x:si>
  <x:si>
    <x:t xml:space="preserve">Abstract</x:t>
  </x:si>
  <x:si>
    <x:t xml:space="preserve">32431</x:t>
  </x:si>
  <x:si>
    <x:t xml:space="preserve">https://www.smwcentral.net/?a=details&amp;id=32431&amp;p=section</x:t>
  </x:si>
  <x:si>
    <x:t xml:space="preserve">https://dl.smwcentral.net/32431/4th%20Chamber.zip</x:t>
  </x:si>
  <x:si>
    <x:t xml:space="preserve">5 Level Hack</x:t>
  </x:si>
  <x:si>
    <x:t xml:space="preserve">grishnax</x:t>
  </x:si>
  <x:si>
    <x:t xml:space="preserve">9639</x:t>
  </x:si>
  <x:si>
    <x:t xml:space="preserve">https://www.smwcentral.net/?a=details&amp;id=9639&amp;p=section</x:t>
  </x:si>
  <x:si>
    <x:t xml:space="preserve">https://dl.smwcentral.net/9639/5LevelHack.zip</x:t>
  </x:si>
  <x:si>
    <x:t xml:space="preserve">5 Orbs</x:t>
  </x:si>
  <x:si>
    <x:t xml:space="preserve">Shy-Hi</x:t>
  </x:si>
  <x:si>
    <x:t xml:space="preserve">Newcomer</x:t>
  </x:si>
  <x:si>
    <x:t xml:space="preserve">5257</x:t>
  </x:si>
  <x:si>
    <x:t xml:space="preserve">https://www.smwcentral.net/?a=details&amp;id=5257&amp;p=section</x:t>
  </x:si>
  <x:si>
    <x:t xml:space="preserve">https://dl.smwcentral.net/5257/5%20Orbs%20Demo%201.zip</x:t>
  </x:si>
  <x:si>
    <x:t xml:space="preserve">5.3.20 Magnolia</x:t>
  </x:si>
  <x:si>
    <x:t xml:space="preserve">Robju</x:t>
  </x:si>
  <x:si>
    <x:t xml:space="preserve">22945</x:t>
  </x:si>
  <x:si>
    <x:t xml:space="preserve">https://www.smwcentral.net/?a=details&amp;id=22945&amp;p=section</x:t>
  </x:si>
  <x:si>
    <x:t xml:space="preserve">https://dl.smwcentral.net/22945/5.3.20%20Magnolia.zip</x:t>
  </x:si>
  <x:si>
    <x:t xml:space="preserve">6 HOURS</x:t>
  </x:si>
  <x:si>
    <x:t xml:space="preserve">aur</x:t>
  </x:si>
  <x:si>
    <x:t xml:space="preserve">40952</x:t>
  </x:si>
  <x:si>
    <x:t xml:space="preserve">https://www.smwcentral.net/?a=details&amp;id=40952&amp;p=section</x:t>
  </x:si>
  <x:si>
    <x:t xml:space="preserve">https://dl.smwcentral.net/40952/6HOURS.zip</x:t>
  </x:si>
  <x:si>
    <x:t xml:space="preserve">8 SCREENS</x:t>
  </x:si>
  <x:si>
    <x:t xml:space="preserve">Nitrogen</x:t>
  </x:si>
  <x:si>
    <x:t xml:space="preserve">40929</x:t>
  </x:si>
  <x:si>
    <x:t xml:space="preserve">https://www.smwcentral.net/?a=details&amp;id=40929&amp;p=section</x:t>
  </x:si>
  <x:si>
    <x:t xml:space="preserve">https://dl.smwcentral.net/40929/8%20SCREENS.zip</x:t>
  </x:si>
  <x:si>
    <x:t xml:space="preserve">8 Trials Await</x:t>
  </x:si>
  <x:si>
    <x:t xml:space="preserve">GearboxGoober</x:t>
  </x:si>
  <x:si>
    <x:t xml:space="preserve">20899</x:t>
  </x:si>
  <x:si>
    <x:t xml:space="preserve">https://www.smwcentral.net/?a=details&amp;id=20899&amp;p=section</x:t>
  </x:si>
  <x:si>
    <x:t xml:space="preserve">https://dl.smwcentral.net/20899/8%20Trials%20Await.zip</x:t>
  </x:si>
  <x:si>
    <x:t xml:space="preserve">8-bit Mario World - Desert Mario</x:t>
  </x:si>
  <x:si>
    <x:t xml:space="preserve">Green Jerry</x:t>
  </x:si>
  <x:si>
    <x:t xml:space="preserve">14593</x:t>
  </x:si>
  <x:si>
    <x:t xml:space="preserve">https://www.smwcentral.net/?a=details&amp;id=14593&amp;p=section</x:t>
  </x:si>
  <x:si>
    <x:t xml:space="preserve">https://dl.smwcentral.net/14593/8-bit%20Mario%20World%20-%20Desert%20Mario%20ver.%201.3.zip</x:t>
  </x:si>
  <x:si>
    <x:t xml:space="preserve">8:40</x:t>
  </x:si>
  <x:si>
    <x:t xml:space="preserve">Irondill</x:t>
  </x:si>
  <x:si>
    <x:t xml:space="preserve">27975</x:t>
  </x:si>
  <x:si>
    <x:t xml:space="preserve">https://www.smwcentral.net/?a=details&amp;id=27975&amp;p=section</x:t>
  </x:si>
  <x:si>
    <x:t xml:space="preserve">https://dl.smwcentral.net/27975/8%3B40.zip</x:t>
  </x:si>
  <x:si>
    <x:t xml:space="preserve">9 Dreams</x:t>
  </x:si>
  <x:si>
    <x:t xml:space="preserve">VLSkoot</x:t>
  </x:si>
  <x:si>
    <x:t xml:space="preserve">38806</x:t>
  </x:si>
  <x:si>
    <x:t xml:space="preserve">https://www.smwcentral.net/?a=details&amp;id=38806&amp;p=section</x:t>
  </x:si>
  <x:si>
    <x:t xml:space="preserve">https://dl.smwcentral.net/38806/9%20Dreams.zip</x:t>
  </x:si>
  <x:si>
    <x:t xml:space="preserve">9 LONG ADVENTURES</x:t>
  </x:si>
  <x:si>
    <x:t xml:space="preserve">Jonathan82GR</x:t>
  </x:si>
  <x:si>
    <x:t xml:space="preserve">21890</x:t>
  </x:si>
  <x:si>
    <x:t xml:space="preserve">https://www.smwcentral.net/?a=details&amp;id=21890&amp;p=section</x:t>
  </x:si>
  <x:si>
    <x:t xml:space="preserve">https://dl.smwcentral.net/21890/9LA.zip</x:t>
  </x:si>
  <x:si>
    <x:t xml:space="preserve">[Demo] Mario Adventure Land</x:t>
  </x:si>
  <x:si>
    <x:t xml:space="preserve">Ennui Goldfeld</x:t>
  </x:si>
  <x:si>
    <x:t xml:space="preserve">37997</x:t>
  </x:si>
  <x:si>
    <x:t xml:space="preserve">https://www.smwcentral.net/?a=details&amp;id=37997&amp;p=section</x:t>
  </x:si>
  <x:si>
    <x:t xml:space="preserve">https://dl.smwcentral.net/37997/Mario%20Adventure%20Land.zip</x:t>
  </x:si>
  <x:si>
    <x:t xml:space="preserve">A Baby Yoshi Quest</x:t>
  </x:si>
  <x:si>
    <x:t xml:space="preserve">that1bigbossyouhate</x:t>
  </x:si>
  <x:si>
    <x:t xml:space="preserve">23415</x:t>
  </x:si>
  <x:si>
    <x:t xml:space="preserve">https://www.smwcentral.net/?a=details&amp;id=23415&amp;p=section</x:t>
  </x:si>
  <x:si>
    <x:t xml:space="preserve">https://dl.smwcentral.net/23415/A%20BABY%20YOSHI%20QUEST%201.5%20%28DEMO%29.zip</x:t>
  </x:si>
  <x:si>
    <x:t xml:space="preserve">A Chance for Glory</x:t>
  </x:si>
  <x:si>
    <x:t xml:space="preserve">Nciktendo</x:t>
  </x:si>
  <x:si>
    <x:t xml:space="preserve">32181</x:t>
  </x:si>
  <x:si>
    <x:t xml:space="preserve">https://www.smwcentral.net/?a=details&amp;id=32181&amp;p=section</x:t>
  </x:si>
  <x:si>
    <x:t xml:space="preserve">https://dl.smwcentral.net/32181/A_Chance_for_Glory.zip</x:t>
  </x:si>
  <x:si>
    <x:t xml:space="preserve">A Christmas Gift</x:t>
  </x:si>
  <x:si>
    <x:t xml:space="preserve">The_Uber_Camper</x:t>
  </x:si>
  <x:si>
    <x:t xml:space="preserve">28957</x:t>
  </x:si>
  <x:si>
    <x:t xml:space="preserve">https://www.smwcentral.net/?a=details&amp;id=28957&amp;p=section</x:t>
  </x:si>
  <x:si>
    <x:t xml:space="preserve">https://dl.smwcentral.net/28957/AChristmasGift.zip</x:t>
  </x:si>
  <x:si>
    <x:t xml:space="preserve">A Christmas Gift: Timmy's Final Gift</x:t>
  </x:si>
  <x:si>
    <x:t xml:space="preserve">35663</x:t>
  </x:si>
  <x:si>
    <x:t xml:space="preserve">https://www.smwcentral.net/?a=details&amp;id=35663&amp;p=section</x:t>
  </x:si>
  <x:si>
    <x:t xml:space="preserve">https://dl.smwcentral.net/35663/A%20Christmas%20Gift%20-%20Timmy%27s%20Final%20Gift.zip</x:t>
  </x:si>
  <x:si>
    <x:t xml:space="preserve">A Christmas Walk</x:t>
  </x:si>
  <x:si>
    <x:t xml:space="preserve">MATTAN</x:t>
  </x:si>
  <x:si>
    <x:t xml:space="preserve">21704</x:t>
  </x:si>
  <x:si>
    <x:t xml:space="preserve">https://www.smwcentral.net/?a=details&amp;id=21704&amp;p=section</x:t>
  </x:si>
  <x:si>
    <x:t xml:space="preserve">https://dl.smwcentral.net/21704/A%20christmas%20walk%20%28Music%20Fixed%29.zip</x:t>
  </x:si>
  <x:si>
    <x:t xml:space="preserve">A Cold Day In Shell</x:t>
  </x:si>
  <x:si>
    <x:t xml:space="preserve">Ryuoxel</x:t>
  </x:si>
  <x:si>
    <x:t xml:space="preserve">38259</x:t>
  </x:si>
  <x:si>
    <x:t xml:space="preserve">https://www.smwcentral.net/?a=details&amp;id=38259&amp;p=section</x:t>
  </x:si>
  <x:si>
    <x:t xml:space="preserve">https://dl.smwcentral.net/38259/A%20Cold%20Day%20In%20Shell.zip</x:t>
  </x:si>
  <x:si>
    <x:t xml:space="preserve">A Difficult Journey</x:t>
  </x:si>
  <x:si>
    <x:t xml:space="preserve">Cal-of-Gearva</x:t>
  </x:si>
  <x:si>
    <x:t xml:space="preserve">22376</x:t>
  </x:si>
  <x:si>
    <x:t xml:space="preserve">https://www.smwcentral.net/?a=details&amp;id=22376&amp;p=section</x:t>
  </x:si>
  <x:si>
    <x:t xml:space="preserve">https://dl.smwcentral.net/22376/A%20Difficult%20Journey.zip</x:t>
  </x:si>
  <x:si>
    <x:t xml:space="preserve">A FIP</x:t>
  </x:si>
  <x:si>
    <x:t xml:space="preserve">NikSik1</x:t>
  </x:si>
  <x:si>
    <x:t xml:space="preserve">31904</x:t>
  </x:si>
  <x:si>
    <x:t xml:space="preserve">https://www.smwcentral.net/?a=details&amp;id=31904&amp;p=section</x:t>
  </x:si>
  <x:si>
    <x:t xml:space="preserve">https://dl.smwcentral.net/31904/A%20FIP.zip</x:t>
  </x:si>
  <x:si>
    <x:t xml:space="preserve">A Frivolous Journey</x:t>
  </x:si>
  <x:si>
    <x:t xml:space="preserve">Chromite</x:t>
  </x:si>
  <x:si>
    <x:t xml:space="preserve">14688</x:t>
  </x:si>
  <x:si>
    <x:t xml:space="preserve">https://www.smwcentral.net/?a=details&amp;id=14688&amp;p=section</x:t>
  </x:si>
  <x:si>
    <x:t xml:space="preserve">https://dl.smwcentral.net/14688/frivolous.zip</x:t>
  </x:si>
  <x:si>
    <x:t xml:space="preserve">A Goblin's Quest to Leave Her House and Get a Gyro For Lunch Because She Was Hungry</x:t>
  </x:si>
  <x:si>
    <x:t xml:space="preserve">Lizstar</x:t>
  </x:si>
  <x:si>
    <x:t xml:space="preserve">26928</x:t>
  </x:si>
  <x:si>
    <x:t xml:space="preserve">https://www.smwcentral.net/?a=details&amp;id=26928&amp;p=section</x:t>
  </x:si>
  <x:si>
    <x:t xml:space="preserve">https://dl.smwcentral.net/26928/A%20Goblin%27s%20Quest.zip</x:t>
  </x:si>
  <x:si>
    <x:t xml:space="preserve">A Goomba's Walk</x:t>
  </x:si>
  <x:si>
    <x:t xml:space="preserve">Luks</x:t>
  </x:si>
  <x:si>
    <x:t xml:space="preserve">10456</x:t>
  </x:si>
  <x:si>
    <x:t xml:space="preserve">https://www.smwcentral.net/?a=details&amp;id=10456&amp;p=section</x:t>
  </x:si>
  <x:si>
    <x:t xml:space="preserve">https://dl.smwcentral.net/10456/GW.zip</x:t>
  </x:si>
  <x:si>
    <x:t xml:space="preserve">A Hack Thing</x:t>
  </x:si>
  <x:si>
    <x:t xml:space="preserve">MercuryPenny</x:t>
  </x:si>
  <x:si>
    <x:t xml:space="preserve">10416</x:t>
  </x:si>
  <x:si>
    <x:t xml:space="preserve">https://www.smwcentral.net/?a=details&amp;id=10416&amp;p=section</x:t>
  </x:si>
  <x:si>
    <x:t xml:space="preserve">https://dl.smwcentral.net/10416/A%20Hack%20Thing%20v1.3.zip</x:t>
  </x:si>
  <x:si>
    <x:t xml:space="preserve">A Hack Thing 2</x:t>
  </x:si>
  <x:si>
    <x:t xml:space="preserve">10928</x:t>
  </x:si>
  <x:si>
    <x:t xml:space="preserve">https://www.smwcentral.net/?a=details&amp;id=10928&amp;p=section</x:t>
  </x:si>
  <x:si>
    <x:t xml:space="preserve">https://dl.smwcentral.net/10928/a%20hack%20thing%202.zip</x:t>
  </x:si>
  <x:si>
    <x:t xml:space="preserve">A Halloween Walk</x:t>
  </x:si>
  <x:si>
    <x:t xml:space="preserve">21887</x:t>
  </x:si>
  <x:si>
    <x:t xml:space="preserve">https://www.smwcentral.net/?a=details&amp;id=21887&amp;p=section</x:t>
  </x:si>
  <x:si>
    <x:t xml:space="preserve">https://dl.smwcentral.net/21887/A%20halloween%20walk%20%28Music%20Fixed%29.zip</x:t>
  </x:si>
  <x:si>
    <x:t xml:space="preserve">A Haunted Christmas</x:t>
  </x:si>
  <x:si>
    <x:t xml:space="preserve">Team Haunted</x:t>
  </x:si>
  <x:si>
    <x:t xml:space="preserve">26660</x:t>
  </x:si>
  <x:si>
    <x:t xml:space="preserve">https://www.smwcentral.net/?a=details&amp;id=26660&amp;p=section</x:t>
  </x:si>
  <x:si>
    <x:t xml:space="preserve">https://dl.smwcentral.net/26660/A%20Haunted%20Christmas.zip</x:t>
  </x:si>
  <x:si>
    <x:t xml:space="preserve">A Haunting at Chateau Cousseaux</x:t>
  </x:si>
  <x:si>
    <x:t xml:space="preserve">NixKillsMyths</x:t>
  </x:si>
  <x:si>
    <x:t xml:space="preserve">38820</x:t>
  </x:si>
  <x:si>
    <x:t xml:space="preserve">https://www.smwcentral.net/?a=details&amp;id=38820&amp;p=section</x:t>
  </x:si>
  <x:si>
    <x:t xml:space="preserve">https://dl.smwcentral.net/38820/A%20Haunting%20at%20Chateau%20Cousseaux%20%281.3%29.zip</x:t>
  </x:si>
  <x:si>
    <x:t xml:space="preserve">A Helping Hand</x:t>
  </x:si>
  <x:si>
    <x:t xml:space="preserve">NewPointless, schema_tuna</x:t>
  </x:si>
  <x:si>
    <x:t xml:space="preserve">37605</x:t>
  </x:si>
  <x:si>
    <x:t xml:space="preserve">https://www.smwcentral.net/?a=details&amp;id=37605&amp;p=section</x:t>
  </x:si>
  <x:si>
    <x:t xml:space="preserve">https://dl.smwcentral.net/37605/AHelpingHand1_2.zip</x:t>
  </x:si>
  <x:si>
    <x:t xml:space="preserve">A Journey To Save The Yoshis</x:t>
  </x:si>
  <x:si>
    <x:t xml:space="preserve">Yoshivert99</x:t>
  </x:si>
  <x:si>
    <x:t xml:space="preserve">21194</x:t>
  </x:si>
  <x:si>
    <x:t xml:space="preserve">https://www.smwcentral.net/?a=details&amp;id=21194&amp;p=section</x:t>
  </x:si>
  <x:si>
    <x:t xml:space="preserve">https://dl.smwcentral.net/21194/A%20Journey%20to%20Save%20the%20Yoshis%20%281.7.1%29.zip</x:t>
  </x:si>
  <x:si>
    <x:t xml:space="preserve">A Kaizo Adventure</x:t>
  </x:si>
  <x:si>
    <x:t xml:space="preserve">GbreezeSunset</x:t>
  </x:si>
  <x:si>
    <x:t xml:space="preserve">11306</x:t>
  </x:si>
  <x:si>
    <x:t xml:space="preserve">https://www.smwcentral.net/?a=details&amp;id=11306&amp;p=section</x:t>
  </x:si>
  <x:si>
    <x:t xml:space="preserve">https://dl.smwcentral.net/11306/A%20Kaizo%20Adventure.zip</x:t>
  </x:si>
  <x:si>
    <x:t xml:space="preserve">A Kekcroc Christmas</x:t>
  </x:si>
  <x:si>
    <x:t xml:space="preserve">Knucklesfan</x:t>
  </x:si>
  <x:si>
    <x:t xml:space="preserve">18734</x:t>
  </x:si>
  <x:si>
    <x:t xml:space="preserve">https://www.smwcentral.net/?a=details&amp;id=18734&amp;p=section</x:t>
  </x:si>
  <x:si>
    <x:t xml:space="preserve">https://dl.smwcentral.net/18734/A%20Kekcroc%20Christmas.zip</x:t>
  </x:si>
  <x:si>
    <x:t xml:space="preserve">A Land That is Super</x:t>
  </x:si>
  <x:si>
    <x:t xml:space="preserve">NAM</x:t>
  </x:si>
  <x:si>
    <x:t xml:space="preserve">10147</x:t>
  </x:si>
  <x:si>
    <x:t xml:space="preserve">https://www.smwcentral.net/?a=details&amp;id=10147&amp;p=section</x:t>
  </x:si>
  <x:si>
    <x:t xml:space="preserve">https://dl.smwcentral.net/10147/ALTiS_C3X.zip</x:t>
  </x:si>
  <x:si>
    <x:t xml:space="preserve">A Lenda do Herói (Songs for a Hero)</x:t>
  </x:si>
  <x:si>
    <x:t xml:space="preserve">TheMURAmatsu</x:t>
  </x:si>
  <x:si>
    <x:t xml:space="preserve">23107</x:t>
  </x:si>
  <x:si>
    <x:t xml:space="preserve">https://www.smwcentral.net/?a=details&amp;id=23107&amp;p=section</x:t>
  </x:si>
  <x:si>
    <x:t xml:space="preserve">https://dl.smwcentral.net/23107/V2-2020-A-Lenda-do-Heroi-Songs_for-a-Hero.zip</x:t>
  </x:si>
  <x:si>
    <x:t xml:space="preserve">A Mario Place</x:t>
  </x:si>
  <x:si>
    <x:t xml:space="preserve">salem</x:t>
  </x:si>
  <x:si>
    <x:t xml:space="preserve">10014</x:t>
  </x:si>
  <x:si>
    <x:t xml:space="preserve">https://www.smwcentral.net/?a=details&amp;id=10014&amp;p=section</x:t>
  </x:si>
  <x:si>
    <x:t xml:space="preserve">https://dl.smwcentral.net/10014/AMPD.zip</x:t>
  </x:si>
  <x:si>
    <x:t xml:space="preserve">A Maxi Mini Hack</x:t>
  </x:si>
  <x:si>
    <x:t xml:space="preserve">noon</x:t>
  </x:si>
  <x:si>
    <x:t xml:space="preserve">5480</x:t>
  </x:si>
  <x:si>
    <x:t xml:space="preserve">https://www.smwcentral.net/?a=details&amp;id=5480&amp;p=section</x:t>
  </x:si>
  <x:si>
    <x:t xml:space="preserve">https://dl.smwcentral.net/5480/A%20Maxi%20Mini%20Hack.zip</x:t>
  </x:si>
  <x:si>
    <x:t xml:space="preserve">A Maxi Mini Hack B-Sides</x:t>
  </x:si>
  <x:si>
    <x:t xml:space="preserve">9973</x:t>
  </x:si>
  <x:si>
    <x:t xml:space="preserve">https://www.smwcentral.net/?a=details&amp;id=9973&amp;p=section</x:t>
  </x:si>
  <x:si>
    <x:t xml:space="preserve">https://dl.smwcentral.net/9973/A%20Maxi%20Mini%20Hack%20B-Sides.zip</x:t>
  </x:si>
  <x:si>
    <x:t xml:space="preserve">A Metal Hack</x:t>
  </x:si>
  <x:si>
    <x:t xml:space="preserve">Eric Maia</x:t>
  </x:si>
  <x:si>
    <x:t xml:space="preserve">10266</x:t>
  </x:si>
  <x:si>
    <x:t xml:space="preserve">https://www.smwcentral.net/?a=details&amp;id=10266&amp;p=section</x:t>
  </x:si>
  <x:si>
    <x:t xml:space="preserve">https://dl.smwcentral.net/10266/A%20Metal%20Hack%20Demo.zip</x:t>
  </x:si>
  <x:si>
    <x:t xml:space="preserve">A Mole in Space</x:t>
  </x:si>
  <x:si>
    <x:t xml:space="preserve">Anorakun, Dark Prince, Donut, NopeContest, Segment1Zone2</x:t>
  </x:si>
  <x:si>
    <x:t xml:space="preserve">29849</x:t>
  </x:si>
  <x:si>
    <x:t xml:space="preserve">https://www.smwcentral.net/?a=details&amp;id=29849&amp;p=section</x:t>
  </x:si>
  <x:si>
    <x:t xml:space="preserve">https://dl.smwcentral.net/29849/A%20Mole%20in%20Space%20Ver.%202.3.zip</x:t>
  </x:si>
  <x:si>
    <x:t xml:space="preserve">A New Journey</x:t>
  </x:si>
  <x:si>
    <x:t xml:space="preserve">GvS</x:t>
  </x:si>
  <x:si>
    <x:t xml:space="preserve">10051</x:t>
  </x:si>
  <x:si>
    <x:t xml:space="preserve">https://www.smwcentral.net/?a=details&amp;id=10051&amp;p=section</x:t>
  </x:si>
  <x:si>
    <x:t xml:space="preserve">https://dl.smwcentral.net/10051/A%20New%20Journey.zip</x:t>
  </x:si>
  <x:si>
    <x:t xml:space="preserve">A New Year Walk</x:t>
  </x:si>
  <x:si>
    <x:t xml:space="preserve">22382</x:t>
  </x:si>
  <x:si>
    <x:t xml:space="preserve">https://www.smwcentral.net/?a=details&amp;id=22382&amp;p=section</x:t>
  </x:si>
  <x:si>
    <x:t xml:space="preserve">https://dl.smwcentral.net/22382/A%20new%20year%20walk%20%28Music%20Fixed%29.zip</x:t>
  </x:si>
  <x:si>
    <x:t xml:space="preserve">A Plumber For All Seasons</x:t>
  </x:si>
  <x:si>
    <x:t xml:space="preserve">wye</x:t>
  </x:si>
  <x:si>
    <x:t xml:space="preserve">28856</x:t>
  </x:si>
  <x:si>
    <x:t xml:space="preserve">https://www.smwcentral.net/?a=details&amp;id=28856&amp;p=section</x:t>
  </x:si>
  <x:si>
    <x:t xml:space="preserve">https://dl.smwcentral.net/28856/A_Plumber_For_All_Seasons_2021-11-22.zip</x:t>
  </x:si>
  <x:si>
    <x:t xml:space="preserve">a pretty view</x:t>
  </x:si>
  <x:si>
    <x:t xml:space="preserve">Dixy</x:t>
  </x:si>
  <x:si>
    <x:t xml:space="preserve">42626</x:t>
  </x:si>
  <x:si>
    <x:t xml:space="preserve">https://www.smwcentral.net/?a=details&amp;id=42626&amp;p=section</x:t>
  </x:si>
  <x:si>
    <x:t xml:space="preserve">https://dl.smwcentral.net/42626/a%20pretty%20view.zip</x:t>
  </x:si>
  <x:si>
    <x:t xml:space="preserve">A Pure Vanilla Hack</x:t>
  </x:si>
  <x:si>
    <x:t xml:space="preserve">5056</x:t>
  </x:si>
  <x:si>
    <x:t xml:space="preserve">https://www.smwcentral.net/?a=details&amp;id=5056&amp;p=section</x:t>
  </x:si>
  <x:si>
    <x:t xml:space="preserve">https://dl.smwcentral.net/5056/PureVanillaHack.zip</x:t>
  </x:si>
  <x:si>
    <x:t xml:space="preserve">A Random Pit</x:t>
  </x:si>
  <x:si>
    <x:t xml:space="preserve">A Random Taser</x:t>
  </x:si>
  <x:si>
    <x:t xml:space="preserve">21253</x:t>
  </x:si>
  <x:si>
    <x:t xml:space="preserve">https://www.smwcentral.net/?a=details&amp;id=21253&amp;p=section</x:t>
  </x:si>
  <x:si>
    <x:t xml:space="preserve">https://dl.smwcentral.net/21253/A_Random_Pit.zip</x:t>
  </x:si>
  <x:si>
    <x:t xml:space="preserve">A Rose for Emily</x:t>
  </x:si>
  <x:si>
    <x:t xml:space="preserve">shovda</x:t>
  </x:si>
  <x:si>
    <x:t xml:space="preserve">37976</x:t>
  </x:si>
  <x:si>
    <x:t xml:space="preserve">https://www.smwcentral.net/?a=details&amp;id=37976&amp;p=section</x:t>
  </x:si>
  <x:si>
    <x:t xml:space="preserve">https://dl.smwcentral.net/37976/Rose.zip</x:t>
  </x:si>
  <x:si>
    <x:t xml:space="preserve">A Rushed Project</x:t>
  </x:si>
  <x:si>
    <x:t xml:space="preserve">Galactic Spear</x:t>
  </x:si>
  <x:si>
    <x:t xml:space="preserve">23961</x:t>
  </x:si>
  <x:si>
    <x:t xml:space="preserve">https://www.smwcentral.net/?a=details&amp;id=23961&amp;p=section</x:t>
  </x:si>
  <x:si>
    <x:t xml:space="preserve">https://dl.smwcentral.net/23961/A%20Rushed%20Project.zip</x:t>
  </x:si>
  <x:si>
    <x:t xml:space="preserve">A Second X Thing: Gaiden: Gaiden</x:t>
  </x:si>
  <x:si>
    <x:t xml:space="preserve">Heraga, talkhaus</x:t>
  </x:si>
  <x:si>
    <x:t xml:space="preserve">41328</x:t>
  </x:si>
  <x:si>
    <x:t xml:space="preserve">https://www.smwcentral.net/?a=details&amp;id=41328&amp;p=section</x:t>
  </x:si>
  <x:si>
    <x:t xml:space="preserve">https://dl.smwcentral.net/41328/a2xtgaidengaiden.zip</x:t>
  </x:si>
  <x:si>
    <x:t xml:space="preserve">A Semi-Normal Castle</x:t>
  </x:si>
  <x:si>
    <x:t xml:space="preserve">Heitor Porfirio</x:t>
  </x:si>
  <x:si>
    <x:t xml:space="preserve">38269</x:t>
  </x:si>
  <x:si>
    <x:t xml:space="preserve">https://www.smwcentral.net/?a=details&amp;id=38269&amp;p=section</x:t>
  </x:si>
  <x:si>
    <x:t xml:space="preserve">https://dl.smwcentral.net/38269/A%20Semi-Normal%20Castle%20v1.2.1.zip</x:t>
  </x:si>
  <x:si>
    <x:t xml:space="preserve">A short Journey</x:t>
  </x:si>
  <x:si>
    <x:t xml:space="preserve">H3nt4ik4m3n</x:t>
  </x:si>
  <x:si>
    <x:t xml:space="preserve">32575</x:t>
  </x:si>
  <x:si>
    <x:t xml:space="preserve">https://www.smwcentral.net/?a=details&amp;id=32575&amp;p=section</x:t>
  </x:si>
  <x:si>
    <x:t xml:space="preserve">https://dl.smwcentral.net/32575/A%20short%20Journey.zip</x:t>
  </x:si>
  <x:si>
    <x:t xml:space="preserve">A short kaizo</x:t>
  </x:si>
  <x:si>
    <x:t xml:space="preserve">Lush_50</x:t>
  </x:si>
  <x:si>
    <x:t xml:space="preserve">32874</x:t>
  </x:si>
  <x:si>
    <x:t xml:space="preserve">https://www.smwcentral.net/?a=details&amp;id=32874&amp;p=section</x:t>
  </x:si>
  <x:si>
    <x:t xml:space="preserve">https://dl.smwcentral.net/32874/A_short_kaizo_v1.1.zip</x:t>
  </x:si>
  <x:si>
    <x:t xml:space="preserve">A short kaizo 2</x:t>
  </x:si>
  <x:si>
    <x:t xml:space="preserve">38177</x:t>
  </x:si>
  <x:si>
    <x:t xml:space="preserve">https://www.smwcentral.net/?a=details&amp;id=38177&amp;p=section</x:t>
  </x:si>
  <x:si>
    <x:t xml:space="preserve">https://dl.smwcentral.net/38177/A%20Short%20kaizo%202%20by%20Lush_50%20%282022-24%29.zip</x:t>
  </x:si>
  <x:si>
    <x:t xml:space="preserve">A Simple Story</x:t>
  </x:si>
  <x:si>
    <x:t xml:space="preserve">Thehoundsquad</x:t>
  </x:si>
  <x:si>
    <x:t xml:space="preserve">10189</x:t>
  </x:si>
  <x:si>
    <x:t xml:space="preserve">https://www.smwcentral.net/?a=details&amp;id=10189&amp;p=section</x:t>
  </x:si>
  <x:si>
    <x:t xml:space="preserve">https://dl.smwcentral.net/10189/A%20Simple%20Story.zip</x:t>
  </x:si>
  <x:si>
    <x:t xml:space="preserve">A SMW Hack</x:t>
  </x:si>
  <x:si>
    <x:t xml:space="preserve">MetalLuigi</x:t>
  </x:si>
  <x:si>
    <x:t xml:space="preserve">10089</x:t>
  </x:si>
  <x:si>
    <x:t xml:space="preserve">https://www.smwcentral.net/?a=details&amp;id=10089&amp;p=section</x:t>
  </x:si>
  <x:si>
    <x:t xml:space="preserve">https://dl.smwcentral.net/10089/A%20SMW%20HACK%20DEMO%20V1.2.zip</x:t>
  </x:si>
  <x:si>
    <x:t xml:space="preserve">A Special Birthday</x:t>
  </x:si>
  <x:si>
    <x:t xml:space="preserve">Andyana Jonseph</x:t>
  </x:si>
  <x:si>
    <x:t xml:space="preserve">15923</x:t>
  </x:si>
  <x:si>
    <x:t xml:space="preserve">https://www.smwcentral.net/?a=details&amp;id=15923&amp;p=section</x:t>
  </x:si>
  <x:si>
    <x:t xml:space="preserve">https://dl.smwcentral.net/15923/A%20Special%20Birthday.zip</x:t>
  </x:si>
  <x:si>
    <x:t xml:space="preserve">A Special Christmas</x:t>
  </x:si>
  <x:si>
    <x:t xml:space="preserve">14841</x:t>
  </x:si>
  <x:si>
    <x:t xml:space="preserve">https://www.smwcentral.net/?a=details&amp;id=14841&amp;p=section</x:t>
  </x:si>
  <x:si>
    <x:t xml:space="preserve">https://dl.smwcentral.net/14841/A%20Special%20Christmas.zip</x:t>
  </x:si>
  <x:si>
    <x:t xml:space="preserve">A Sticky Situation</x:t>
  </x:si>
  <x:si>
    <x:t xml:space="preserve">Firstnamebutt, dotCoockie</x:t>
  </x:si>
  <x:si>
    <x:t xml:space="preserve">34830</x:t>
  </x:si>
  <x:si>
    <x:t xml:space="preserve">https://www.smwcentral.net/?a=details&amp;id=34830&amp;p=section</x:t>
  </x:si>
  <x:si>
    <x:t xml:space="preserve">https://dl.smwcentral.net/34830/AStickySituation.zip</x:t>
  </x:si>
  <x:si>
    <x:t xml:space="preserve">A story about an island</x:t>
  </x:si>
  <x:si>
    <x:t xml:space="preserve">dotCoockie</x:t>
  </x:si>
  <x:si>
    <x:t xml:space="preserve">28197</x:t>
  </x:si>
  <x:si>
    <x:t xml:space="preserve">https://www.smwcentral.net/?a=details&amp;id=28197&amp;p=section</x:t>
  </x:si>
  <x:si>
    <x:t xml:space="preserve">https://dl.smwcentral.net/28197/Release.zip</x:t>
  </x:si>
  <x:si>
    <x:t xml:space="preserve">A Strange Mission</x:t>
  </x:si>
  <x:si>
    <x:t xml:space="preserve">5031</x:t>
  </x:si>
  <x:si>
    <x:t xml:space="preserve">https://www.smwcentral.net/?a=details&amp;id=5031&amp;p=section</x:t>
  </x:si>
  <x:si>
    <x:t xml:space="preserve">https://dl.smwcentral.net/5031/AStrangeMission.zip</x:t>
  </x:si>
  <x:si>
    <x:t xml:space="preserve">A Strongly-Worded Letter to the Iceberg</x:t>
  </x:si>
  <x:si>
    <x:t xml:space="preserve">MarsAmPear</x:t>
  </x:si>
  <x:si>
    <x:t xml:space="preserve">41930</x:t>
  </x:si>
  <x:si>
    <x:t xml:space="preserve">https://www.smwcentral.net/?a=details&amp;id=41930&amp;p=section</x:t>
  </x:si>
  <x:si>
    <x:t xml:space="preserve">https://dl.smwcentral.net/41930/A%20Strongly-Worded%20Letter%20to%20the%20Iceberg%201.01.zip</x:t>
  </x:si>
  <x:si>
    <x:t xml:space="preserve">A Summer Level</x:t>
  </x:si>
  <x:si>
    <x:t xml:space="preserve">DukeEnemy</x:t>
  </x:si>
  <x:si>
    <x:t xml:space="preserve">5052</x:t>
  </x:si>
  <x:si>
    <x:t xml:space="preserve">https://www.smwcentral.net/?a=details&amp;id=5052&amp;p=section</x:t>
  </x:si>
  <x:si>
    <x:t xml:space="preserve">https://dl.smwcentral.net/5052/A%20Summer%20Level.zip</x:t>
  </x:si>
  <x:si>
    <x:t xml:space="preserve">A Super Mario Adventure</x:t>
  </x:si>
  <x:si>
    <x:t xml:space="preserve">Gamma V</x:t>
  </x:si>
  <x:si>
    <x:t xml:space="preserve">41554</x:t>
  </x:si>
  <x:si>
    <x:t xml:space="preserve">https://www.smwcentral.net/?a=details&amp;id=41554&amp;p=section</x:t>
  </x:si>
  <x:si>
    <x:t xml:space="preserve">https://dl.smwcentral.net/41554/ASMA%20NewIntro.zip</x:t>
  </x:si>
  <x:si>
    <x:t xml:space="preserve">A Super Mario Thing</x:t>
  </x:si>
  <x:si>
    <x:t xml:space="preserve">Talkhaus</x:t>
  </x:si>
  <x:si>
    <x:t xml:space="preserve">17125</x:t>
  </x:si>
  <x:si>
    <x:t xml:space="preserve">https://www.smwcentral.net/?a=details&amp;id=17125&amp;p=section</x:t>
  </x:si>
  <x:si>
    <x:t xml:space="preserve">https://dl.smwcentral.net/17125/A%20Super%20Mario%20Thing.zip</x:t>
  </x:si>
  <x:si>
    <x:t xml:space="preserve">A Super Mario World Rom Hack</x:t>
  </x:si>
  <x:si>
    <x:t xml:space="preserve">Ralshi02</x:t>
  </x:si>
  <x:si>
    <x:t xml:space="preserve">20604</x:t>
  </x:si>
  <x:si>
    <x:t xml:space="preserve">https://www.smwcentral.net/?a=details&amp;id=20604&amp;p=section</x:t>
  </x:si>
  <x:si>
    <x:t xml:space="preserve">https://dl.smwcentral.net/20604/Hack%202.zip</x:t>
  </x:si>
  <x:si>
    <x:t xml:space="preserve">A Supposedly Fun Thing I'll Never Do Again</x:t>
  </x:si>
  <x:si>
    <x:t xml:space="preserve">39767</x:t>
  </x:si>
  <x:si>
    <x:t xml:space="preserve">https://www.smwcentral.net/?a=details&amp;id=39767&amp;p=section</x:t>
  </x:si>
  <x:si>
    <x:t xml:space="preserve">https://dl.smwcentral.net/39767/A%20Supposedly%20Fun%20Thing.zip</x:t>
  </x:si>
  <x:si>
    <x:t xml:space="preserve">A Teakettle of Wet Bees</x:t>
  </x:si>
  <x:si>
    <x:t xml:space="preserve">bucketofwetsocks</x:t>
  </x:si>
  <x:si>
    <x:t xml:space="preserve">32994</x:t>
  </x:si>
  <x:si>
    <x:t xml:space="preserve">https://www.smwcentral.net/?a=details&amp;id=32994&amp;p=section</x:t>
  </x:si>
  <x:si>
    <x:t xml:space="preserve">https://dl.smwcentral.net/32994/ATeaKettleOfWetBees.zip</x:t>
  </x:si>
  <x:si>
    <x:t xml:space="preserve">A Thing w/ Peiton</x:t>
  </x:si>
  <x:si>
    <x:t xml:space="preserve">Peyton</x:t>
  </x:si>
  <x:si>
    <x:t xml:space="preserve">39597</x:t>
  </x:si>
  <x:si>
    <x:t xml:space="preserve">https://www.smwcentral.net/?a=details&amp;id=39597&amp;p=section</x:t>
  </x:si>
  <x:si>
    <x:t xml:space="preserve">https://dl.smwcentral.net/39597/A%20Thing%20With%20Peiton%20v.1.1.zip</x:t>
  </x:si>
  <x:si>
    <x:t xml:space="preserve">A Vanilla Level</x:t>
  </x:si>
  <x:si>
    <x:t xml:space="preserve">yoshiguy978</x:t>
  </x:si>
  <x:si>
    <x:t xml:space="preserve">10546</x:t>
  </x:si>
  <x:si>
    <x:t xml:space="preserve">https://www.smwcentral.net/?a=details&amp;id=10546&amp;p=section</x:t>
  </x:si>
  <x:si>
    <x:t xml:space="preserve">https://dl.smwcentral.net/10546/A%20Vanilla%20Level%20v1.4.zip</x:t>
  </x:si>
  <x:si>
    <x:t xml:space="preserve">A Very Super Mario World</x:t>
  </x:si>
  <x:si>
    <x:t xml:space="preserve">SchwerMuta</x:t>
  </x:si>
  <x:si>
    <x:t xml:space="preserve">15587</x:t>
  </x:si>
  <x:si>
    <x:t xml:space="preserve">https://www.smwcentral.net/?a=details&amp;id=15587&amp;p=section</x:t>
  </x:si>
  <x:si>
    <x:t xml:space="preserve">https://dl.smwcentral.net/15587/avsmw.zip</x:t>
  </x:si>
  <x:si>
    <x:t xml:space="preserve">A WIP</x:t>
  </x:si>
  <x:si>
    <x:t xml:space="preserve">29748</x:t>
  </x:si>
  <x:si>
    <x:t xml:space="preserve">https://www.smwcentral.net/?a=details&amp;id=29748&amp;p=section</x:t>
  </x:si>
  <x:si>
    <x:t xml:space="preserve">https://dl.smwcentral.net/29748/A%20WIP.zip</x:t>
  </x:si>
  <x:si>
    <x:t xml:space="preserve">A work project thing...</x:t>
  </x:si>
  <x:si>
    <x:t xml:space="preserve">Stivi</x:t>
  </x:si>
  <x:si>
    <x:t xml:space="preserve">17750</x:t>
  </x:si>
  <x:si>
    <x:t xml:space="preserve">https://www.smwcentral.net/?a=details&amp;id=17750&amp;p=section</x:t>
  </x:si>
  <x:si>
    <x:t xml:space="preserve">https://dl.smwcentral.net/17750/A%20work%20project%20thing....bps.zip</x:t>
  </x:si>
  <x:si>
    <x:t xml:space="preserve">A Yoshi's Story</x:t>
  </x:si>
  <x:si>
    <x:t xml:space="preserve">CaptainDazz</x:t>
  </x:si>
  <x:si>
    <x:t xml:space="preserve">39452</x:t>
  </x:si>
  <x:si>
    <x:t xml:space="preserve">https://www.smwcentral.net/?a=details&amp;id=39452&amp;p=section</x:t>
  </x:si>
  <x:si>
    <x:t xml:space="preserve">https://dl.smwcentral.net/39452/AYoshi%27sStoryFixed.zip</x:t>
  </x:si>
  <x:si>
    <x:t xml:space="preserve">A Yoshi's Story 2</x:t>
  </x:si>
  <x:si>
    <x:t xml:space="preserve">10209</x:t>
  </x:si>
  <x:si>
    <x:t xml:space="preserve">https://www.smwcentral.net/?a=details&amp;id=10209&amp;p=section</x:t>
  </x:si>
  <x:si>
    <x:t xml:space="preserve">https://dl.smwcentral.net/10209/A%20Yoshi%27s%20Story%202.zip</x:t>
  </x:si>
  <x:si>
    <x:t xml:space="preserve">A1 Mario World</x:t>
  </x:si>
  <x:si>
    <x:t xml:space="preserve">qbear</x:t>
  </x:si>
  <x:si>
    <x:t xml:space="preserve">32964</x:t>
  </x:si>
  <x:si>
    <x:t xml:space="preserve">https://www.smwcentral.net/?a=details&amp;id=32964&amp;p=section</x:t>
  </x:si>
  <x:si>
    <x:t xml:space="preserve">https://dl.smwcentral.net/32964/A1%20Mario%20World%20vA.01.zip</x:t>
  </x:si>
  <x:si>
    <x:t xml:space="preserve">Absolute Authenticity</x:t>
  </x:si>
  <x:si>
    <x:t xml:space="preserve">41559</x:t>
  </x:si>
  <x:si>
    <x:t xml:space="preserve">https://www.smwcentral.net/?a=details&amp;id=41559&amp;p=section</x:t>
  </x:si>
  <x:si>
    <x:t xml:space="preserve">https://dl.smwcentral.net/41559/Absolute%20Authenticity.zip</x:t>
  </x:si>
  <x:si>
    <x:t xml:space="preserve">Abuse and Die 3</x:t>
  </x:si>
  <x:si>
    <x:t xml:space="preserve">AFH</x:t>
  </x:si>
  <x:si>
    <x:t xml:space="preserve">Kaizo, Tool-Assisted</x:t>
  </x:si>
  <x:si>
    <x:t xml:space="preserve">18626</x:t>
  </x:si>
  <x:si>
    <x:t xml:space="preserve">https://www.smwcentral.net/?a=details&amp;id=18626&amp;p=section</x:t>
  </x:si>
  <x:si>
    <x:t xml:space="preserve">https://dl.smwcentral.net/18626/Abuse%20and%20Die%203%20demo.zip</x:t>
  </x:si>
  <x:si>
    <x:t xml:space="preserve">Acid Tapes Vol. 1</x:t>
  </x:si>
  <x:si>
    <x:t xml:space="preserve">twicepipes</x:t>
  </x:si>
  <x:si>
    <x:t xml:space="preserve">32375</x:t>
  </x:si>
  <x:si>
    <x:t xml:space="preserve">https://www.smwcentral.net/?a=details&amp;id=32375&amp;p=section</x:t>
  </x:si>
  <x:si>
    <x:t xml:space="preserve">https://dl.smwcentral.net/32375/AcidTapesVol1.zip</x:t>
  </x:si>
  <x:si>
    <x:t xml:space="preserve">Acid Tapes Vol. 2</x:t>
  </x:si>
  <x:si>
    <x:t xml:space="preserve">41504</x:t>
  </x:si>
  <x:si>
    <x:t xml:space="preserve">https://www.smwcentral.net/?a=details&amp;id=41504&amp;p=section</x:t>
  </x:si>
  <x:si>
    <x:t xml:space="preserve">https://dl.smwcentral.net/41504/AcidTapesVol2%201.1.zip</x:t>
  </x:si>
  <x:si>
    <x:t xml:space="preserve">Action42</x:t>
  </x:si>
  <x:si>
    <x:t xml:space="preserve">Nicoke42</x:t>
  </x:si>
  <x:si>
    <x:t xml:space="preserve">31179</x:t>
  </x:si>
  <x:si>
    <x:t xml:space="preserve">https://www.smwcentral.net/?a=details&amp;id=31179&amp;p=section</x:t>
  </x:si>
  <x:si>
    <x:t xml:space="preserve">https://dl.smwcentral.net/31179/Action42.zip</x:t>
  </x:si>
  <x:si>
    <x:t xml:space="preserve">Advanced Shells</x:t>
  </x:si>
  <x:si>
    <x:t xml:space="preserve">RicardoDeMelo</x:t>
  </x:si>
  <x:si>
    <x:t xml:space="preserve">32218</x:t>
  </x:si>
  <x:si>
    <x:t xml:space="preserve">https://www.smwcentral.net/?a=details&amp;id=32218&amp;p=section</x:t>
  </x:si>
  <x:si>
    <x:t xml:space="preserve">https://dl.smwcentral.net/32218/Advanced%20Shells.zip</x:t>
  </x:si>
  <x:si>
    <x:t xml:space="preserve">Advanced Shells II</x:t>
  </x:si>
  <x:si>
    <x:t xml:space="preserve">29945</x:t>
  </x:si>
  <x:si>
    <x:t xml:space="preserve">https://www.smwcentral.net/?a=details&amp;id=29945&amp;p=section</x:t>
  </x:si>
  <x:si>
    <x:t xml:space="preserve">https://dl.smwcentral.net/29945/Advanced%20Shells%202.zip</x:t>
  </x:si>
  <x:si>
    <x:t xml:space="preserve">Advanced Shells III</x:t>
  </x:si>
  <x:si>
    <x:t xml:space="preserve">33319</x:t>
  </x:si>
  <x:si>
    <x:t xml:space="preserve">https://www.smwcentral.net/?a=details&amp;id=33319&amp;p=section</x:t>
  </x:si>
  <x:si>
    <x:t xml:space="preserve">https://dl.smwcentral.net/33319/Advanced%20Shells%203.zip</x:t>
  </x:si>
  <x:si>
    <x:t xml:space="preserve">Adventure in Gemstone Islands</x:t>
  </x:si>
  <x:si>
    <x:t xml:space="preserve">Burst Man</x:t>
  </x:si>
  <x:si>
    <x:t xml:space="preserve">41808</x:t>
  </x:si>
  <x:si>
    <x:t xml:space="preserve">https://www.smwcentral.net/?a=details&amp;id=41808&amp;p=section</x:t>
  </x:si>
  <x:si>
    <x:t xml:space="preserve">https://dl.smwcentral.net/41808/Adventure%20in%20Gemstone%20Islands%20v2.03.zip</x:t>
  </x:si>
  <x:si>
    <x:t xml:space="preserve">Adventure Islands</x:t>
  </x:si>
  <x:si>
    <x:t xml:space="preserve">Shadow9999</x:t>
  </x:si>
  <x:si>
    <x:t xml:space="preserve">21316</x:t>
  </x:si>
  <x:si>
    <x:t xml:space="preserve">https://www.smwcentral.net/?a=details&amp;id=21316&amp;p=section</x:t>
  </x:si>
  <x:si>
    <x:t xml:space="preserve">https://dl.smwcentral.net/21316/Adventure%20Islands.zip</x:t>
  </x:si>
  <x:si>
    <x:t xml:space="preserve">Adventure Land: Darkness Rising</x:t>
  </x:si>
  <x:si>
    <x:t xml:space="preserve">flareblade26</x:t>
  </x:si>
  <x:si>
    <x:t xml:space="preserve">6777</x:t>
  </x:si>
  <x:si>
    <x:t xml:space="preserve">https://www.smwcentral.net/?a=details&amp;id=6777&amp;p=section</x:t>
  </x:si>
  <x:si>
    <x:t xml:space="preserve">https://dl.smwcentral.net/6777/Adventure%20Land%20-%20Darkness%20Rising.zip</x:t>
  </x:si>
  <x:si>
    <x:t xml:space="preserve">Adventure Land: Legend of the Stars</x:t>
  </x:si>
  <x:si>
    <x:t xml:space="preserve">5368</x:t>
  </x:si>
  <x:si>
    <x:t xml:space="preserve">https://www.smwcentral.net/?a=details&amp;id=5368&amp;p=section</x:t>
  </x:si>
  <x:si>
    <x:t xml:space="preserve">https://dl.smwcentral.net/5368/Adventure%20Land%20Demo%201.zip</x:t>
  </x:si>
  <x:si>
    <x:t xml:space="preserve">Adventure Of The Red Plumber</x:t>
  </x:si>
  <x:si>
    <x:t xml:space="preserve">guitar god527</x:t>
  </x:si>
  <x:si>
    <x:t xml:space="preserve">9742</x:t>
  </x:si>
  <x:si>
    <x:t xml:space="preserve">https://www.smwcentral.net/?a=details&amp;id=9742&amp;p=section</x:t>
  </x:si>
  <x:si>
    <x:t xml:space="preserve">https://dl.smwcentral.net/9742/Adventure%20of%20the%20red%20plumber.zip</x:t>
  </x:si>
  <x:si>
    <x:t xml:space="preserve">Aeron Returns</x:t>
  </x:si>
  <x:si>
    <x:t xml:space="preserve">Anorakun</x:t>
  </x:si>
  <x:si>
    <x:t xml:space="preserve">31365</x:t>
  </x:si>
  <x:si>
    <x:t xml:space="preserve">https://www.smwcentral.net/?a=details&amp;id=31365&amp;p=section</x:t>
  </x:si>
  <x:si>
    <x:t xml:space="preserve">https://dl.smwcentral.net/31365/Aeron_Returns_ver._1.8.zip</x:t>
  </x:si>
  <x:si>
    <x:t xml:space="preserve">Aeron's Golden Cookie Quest ~ Special Edition</x:t>
  </x:si>
  <x:si>
    <x:t xml:space="preserve">42362</x:t>
  </x:si>
  <x:si>
    <x:t xml:space="preserve">https://www.smwcentral.net/?a=details&amp;id=42362&amp;p=section</x:t>
  </x:si>
  <x:si>
    <x:t xml:space="preserve">https://dl.smwcentral.net/42362/Aeron%27s%20Golden%20Cookie%20Quest%20-%20Special%20Edition%20%28ver.5.0.1%29.zip</x:t>
  </x:si>
  <x:si>
    <x:t xml:space="preserve">Aether: The Paramount Omnibus</x:t>
  </x:si>
  <x:si>
    <x:t xml:space="preserve">Dappertron</x:t>
  </x:si>
  <x:si>
    <x:t xml:space="preserve">5471</x:t>
  </x:si>
  <x:si>
    <x:t xml:space="preserve">https://www.smwcentral.net/?a=details&amp;id=5471&amp;p=section</x:t>
  </x:si>
  <x:si>
    <x:t xml:space="preserve">https://dl.smwcentral.net/5471/Aether%20TPO.zip</x:t>
  </x:si>
  <x:si>
    <x:t xml:space="preserve">ageVerrly's Challenge</x:t>
  </x:si>
  <x:si>
    <x:t xml:space="preserve">ageVerrly</x:t>
  </x:si>
  <x:si>
    <x:t xml:space="preserve">32364</x:t>
  </x:si>
  <x:si>
    <x:t xml:space="preserve">https://www.smwcentral.net/?a=details&amp;id=32364&amp;p=section</x:t>
  </x:si>
  <x:si>
    <x:t xml:space="preserve">https://dl.smwcentral.net/32364/ac.zip</x:t>
  </x:si>
  <x:si>
    <x:t xml:space="preserve">Agnosthesia</x:t>
  </x:si>
  <x:si>
    <x:t xml:space="preserve">LightAligns, Saela</x:t>
  </x:si>
  <x:si>
    <x:t xml:space="preserve">34827</x:t>
  </x:si>
  <x:si>
    <x:t xml:space="preserve">https://www.smwcentral.net/?a=details&amp;id=34827&amp;p=section</x:t>
  </x:si>
  <x:si>
    <x:t xml:space="preserve">https://dl.smwcentral.net/34827/Agnosthesia.zip</x:t>
  </x:si>
  <x:si>
    <x:t xml:space="preserve">Aionios Dynami</x:t>
  </x:si>
  <x:si>
    <x:t xml:space="preserve">Atma, Buster Beetle</x:t>
  </x:si>
  <x:si>
    <x:t xml:space="preserve">9993</x:t>
  </x:si>
  <x:si>
    <x:t xml:space="preserve">https://www.smwcentral.net/?a=details&amp;id=9993&amp;p=section</x:t>
  </x:si>
  <x:si>
    <x:t xml:space="preserve">https://dl.smwcentral.net/9993/Aionios%20Dynami.zip</x:t>
  </x:si>
  <x:si>
    <x:t xml:space="preserve">Akogare 2</x:t>
  </x:si>
  <x:si>
    <x:t xml:space="preserve">Mega</x:t>
  </x:si>
  <x:si>
    <x:t xml:space="preserve">27094</x:t>
  </x:si>
  <x:si>
    <x:t xml:space="preserve">https://www.smwcentral.net/?a=details&amp;id=27094&amp;p=section</x:t>
  </x:si>
  <x:si>
    <x:t xml:space="preserve">https://dl.smwcentral.net/27094/Akogare2.zip</x:t>
  </x:si>
  <x:si>
    <x:t xml:space="preserve">18612</x:t>
  </x:si>
  <x:si>
    <x:t xml:space="preserve">https://www.smwcentral.net/?a=details&amp;id=18612&amp;p=section</x:t>
  </x:si>
  <x:si>
    <x:t xml:space="preserve">https://dl.smwcentral.net/18612/Akogare%20v1.2.zip</x:t>
  </x:si>
  <x:si>
    <x:t xml:space="preserve">Alabaras Shells</x:t>
  </x:si>
  <x:si>
    <x:t xml:space="preserve">arantes</x:t>
  </x:si>
  <x:si>
    <x:t xml:space="preserve">33026</x:t>
  </x:si>
  <x:si>
    <x:t xml:space="preserve">https://www.smwcentral.net/?a=details&amp;id=33026&amp;p=section</x:t>
  </x:si>
  <x:si>
    <x:t xml:space="preserve">https://dl.smwcentral.net/33026/Alabaras%20Shells%201.2.zip</x:t>
  </x:si>
  <x:si>
    <x:t xml:space="preserve">Albatros</x:t>
  </x:si>
  <x:si>
    <x:t xml:space="preserve">kurtistrydiz</x:t>
  </x:si>
  <x:si>
    <x:t xml:space="preserve">38912</x:t>
  </x:si>
  <x:si>
    <x:t xml:space="preserve">https://www.smwcentral.net/?a=details&amp;id=38912&amp;p=section</x:t>
  </x:si>
  <x:si>
    <x:t xml:space="preserve">https://dl.smwcentral.net/38912/Albatros%201.102.zip</x:t>
  </x:si>
  <x:si>
    <x:t xml:space="preserve">Alex Kidd in Mario World</x:t>
  </x:si>
  <x:si>
    <x:t xml:space="preserve">Bioma</x:t>
  </x:si>
  <x:si>
    <x:t xml:space="preserve">13589</x:t>
  </x:si>
  <x:si>
    <x:t xml:space="preserve">https://www.smwcentral.net/?a=details&amp;id=13589&amp;p=section</x:t>
  </x:si>
  <x:si>
    <x:t xml:space="preserve">https://dl.smwcentral.net/13589/AKMW.zip</x:t>
  </x:si>
  <x:si>
    <x:t xml:space="preserve">Alex Kidd In Pancake World</x:t>
  </x:si>
  <x:si>
    <x:t xml:space="preserve">Lunartoad</x:t>
  </x:si>
  <x:si>
    <x:t xml:space="preserve">9721</x:t>
  </x:si>
  <x:si>
    <x:t xml:space="preserve">https://www.smwcentral.net/?a=details&amp;id=9721&amp;p=section</x:t>
  </x:si>
  <x:si>
    <x:t xml:space="preserve">https://dl.smwcentral.net/9721/Alex_Kidd_Demo1_%28IPS%2C_for_clean_ROM%29.zip</x:t>
  </x:si>
  <x:si>
    <x:t xml:space="preserve">All in a Day's World</x:t>
  </x:si>
  <x:si>
    <x:t xml:space="preserve">E-man38</x:t>
  </x:si>
  <x:si>
    <x:t xml:space="preserve">39362</x:t>
  </x:si>
  <x:si>
    <x:t xml:space="preserve">https://www.smwcentral.net/?a=details&amp;id=39362&amp;p=section</x:t>
  </x:si>
  <x:si>
    <x:t xml:space="preserve">https://dl.smwcentral.net/39362/All%20in%20a%20Day%27s%20World.zip</x:t>
  </x:si>
  <x:si>
    <x:t xml:space="preserve">Allstar's dream</x:t>
  </x:si>
  <x:si>
    <x:t xml:space="preserve">28535</x:t>
  </x:si>
  <x:si>
    <x:t xml:space="preserve">https://www.smwcentral.net/?a=details&amp;id=28535&amp;p=section</x:t>
  </x:si>
  <x:si>
    <x:t xml:space="preserve">https://dl.smwcentral.net/28535/Allstar%27s%20dream%20v1.0.zip</x:t>
  </x:si>
  <x:si>
    <x:t xml:space="preserve">Allycia Legends - The Blood Moon</x:t>
  </x:si>
  <x:si>
    <x:t xml:space="preserve">Guilherme F Santos</x:t>
  </x:si>
  <x:si>
    <x:t xml:space="preserve">14727</x:t>
  </x:si>
  <x:si>
    <x:t xml:space="preserve">https://www.smwcentral.net/?a=details&amp;id=14727&amp;p=section</x:t>
  </x:si>
  <x:si>
    <x:t xml:space="preserve">https://dl.smwcentral.net/14727/Allycia%20Legends.zip</x:t>
  </x:si>
  <x:si>
    <x:t xml:space="preserve">Alpha Shelltauri</x:t>
  </x:si>
  <x:si>
    <x:t xml:space="preserve">pibolarGaming</x:t>
  </x:si>
  <x:si>
    <x:t xml:space="preserve">34112</x:t>
  </x:si>
  <x:si>
    <x:t xml:space="preserve">https://www.smwcentral.net/?a=details&amp;id=34112&amp;p=section</x:t>
  </x:si>
  <x:si>
    <x:t xml:space="preserve">https://dl.smwcentral.net/34112/Alpha%20Shelltauri.zip</x:t>
  </x:si>
  <x:si>
    <x:t xml:space="preserve">ALPHA SPHERE Zero: Rotten Brains</x:t>
  </x:si>
  <x:si>
    <x:t xml:space="preserve">Daizo Dee Von</x:t>
  </x:si>
  <x:si>
    <x:t xml:space="preserve">32393</x:t>
  </x:si>
  <x:si>
    <x:t xml:space="preserve">https://www.smwcentral.net/?a=details&amp;id=32393&amp;p=section</x:t>
  </x:si>
  <x:si>
    <x:t xml:space="preserve">https://dl.smwcentral.net/32393/%5BHack%5D%20ALPHA%20SPHERE%20Zero%20-%20Rotten%20Brains.zip</x:t>
  </x:si>
  <x:si>
    <x:t xml:space="preserve">ALPHA SPHERE: Director's Cut</x:t>
  </x:si>
  <x:si>
    <x:t xml:space="preserve">27795</x:t>
  </x:si>
  <x:si>
    <x:t xml:space="preserve">https://www.smwcentral.net/?a=details&amp;id=27795&amp;p=section</x:t>
  </x:si>
  <x:si>
    <x:t xml:space="preserve">https://dl.smwcentral.net/27795/ALPHA%20SPHERE%20Director%27s%20Cut%20v1.0.2.zip</x:t>
  </x:si>
  <x:si>
    <x:t xml:space="preserve">Also Sprach Mario</x:t>
  </x:si>
  <x:si>
    <x:t xml:space="preserve">MrBread</x:t>
  </x:si>
  <x:si>
    <x:t xml:space="preserve">22417</x:t>
  </x:si>
  <x:si>
    <x:t xml:space="preserve">https://www.smwcentral.net/?a=details&amp;id=22417&amp;p=section</x:t>
  </x:si>
  <x:si>
    <x:t xml:space="preserve">https://dl.smwcentral.net/22417/AlsoSprachMario.zip</x:t>
  </x:si>
  <x:si>
    <x:t xml:space="preserve">Amazing</x:t>
  </x:si>
  <x:si>
    <x:t xml:space="preserve">Sweetdude</x:t>
  </x:si>
  <x:si>
    <x:t xml:space="preserve">38889</x:t>
  </x:si>
  <x:si>
    <x:t xml:space="preserve">https://www.smwcentral.net/?a=details&amp;id=38889&amp;p=section</x:t>
  </x:si>
  <x:si>
    <x:t xml:space="preserve">https://dl.smwcentral.net/38889/Amazeballs.zip</x:t>
  </x:si>
  <x:si>
    <x:t xml:space="preserve">Ambivalence</x:t>
  </x:si>
  <x:si>
    <x:t xml:space="preserve">drkrdnk</x:t>
  </x:si>
  <x:si>
    <x:t xml:space="preserve">31224</x:t>
  </x:si>
  <x:si>
    <x:t xml:space="preserve">https://www.smwcentral.net/?a=details&amp;id=31224&amp;p=section</x:t>
  </x:si>
  <x:si>
    <x:t xml:space="preserve">https://dl.smwcentral.net/31224/ambivalence%20v101.zip</x:t>
  </x:si>
  <x:si>
    <x:t xml:space="preserve">Amulet Of Corruption DEMO</x:t>
  </x:si>
  <x:si>
    <x:t xml:space="preserve">Superwan</x:t>
  </x:si>
  <x:si>
    <x:t xml:space="preserve">26347</x:t>
  </x:si>
  <x:si>
    <x:t xml:space="preserve">https://www.smwcentral.net/?a=details&amp;id=26347&amp;p=section</x:t>
  </x:si>
  <x:si>
    <x:t xml:space="preserve">https://dl.smwcentral.net/26347/AmuletOfCorruption.zip</x:t>
  </x:si>
  <x:si>
    <x:t xml:space="preserve">An SMW Central Production</x:t>
  </x:si>
  <x:si>
    <x:t xml:space="preserve">SMW Central</x:t>
  </x:si>
  <x:si>
    <x:t xml:space="preserve">5420</x:t>
  </x:si>
  <x:si>
    <x:t xml:space="preserve">https://www.smwcentral.net/?a=details&amp;id=5420&amp;p=section</x:t>
  </x:si>
  <x:si>
    <x:t xml:space="preserve">https://dl.smwcentral.net/5420/SMWCP.zip</x:t>
  </x:si>
  <x:si>
    <x:t xml:space="preserve">An Untitled Quest!</x:t>
  </x:si>
  <x:si>
    <x:t xml:space="preserve">LHB</x:t>
  </x:si>
  <x:si>
    <x:t xml:space="preserve">10216</x:t>
  </x:si>
  <x:si>
    <x:t xml:space="preserve">https://www.smwcentral.net/?a=details&amp;id=10216&amp;p=section</x:t>
  </x:si>
  <x:si>
    <x:t xml:space="preserve">https://dl.smwcentral.net/10216/An%20Untitled%20Quest%21.zip</x:t>
  </x:si>
  <x:si>
    <x:t xml:space="preserve">Anita Kaizo Land</x:t>
  </x:si>
  <x:si>
    <x:t xml:space="preserve">Azula16</x:t>
  </x:si>
  <x:si>
    <x:t xml:space="preserve">27829</x:t>
  </x:si>
  <x:si>
    <x:t xml:space="preserve">https://www.smwcentral.net/?a=details&amp;id=27829&amp;p=section</x:t>
  </x:si>
  <x:si>
    <x:t xml:space="preserve">https://dl.smwcentral.net/27829/Anita%20Kaizo%20Land%20V1.1.zip</x:t>
  </x:si>
  <x:si>
    <x:t xml:space="preserve">Another adventure of Mario</x:t>
  </x:si>
  <x:si>
    <x:t xml:space="preserve">Suhru</x:t>
  </x:si>
  <x:si>
    <x:t xml:space="preserve">10106</x:t>
  </x:si>
  <x:si>
    <x:t xml:space="preserve">https://www.smwcentral.net/?a=details&amp;id=10106&amp;p=section</x:t>
  </x:si>
  <x:si>
    <x:t xml:space="preserve">https://dl.smwcentral.net/10106/Another%20adventure%20of%20Mario.zip</x:t>
  </x:si>
  <x:si>
    <x:t xml:space="preserve">Another Challenge With Mario</x:t>
  </x:si>
  <x:si>
    <x:t xml:space="preserve">ChaoticX</x:t>
  </x:si>
  <x:si>
    <x:t xml:space="preserve">9677</x:t>
  </x:si>
  <x:si>
    <x:t xml:space="preserve">https://www.smwcentral.net/?a=details&amp;id=9677&amp;p=section</x:t>
  </x:si>
  <x:si>
    <x:t xml:space="preserve">https://dl.smwcentral.net/9677/AnotherChallengeWithMario%20DEMO%201.0.zip</x:t>
  </x:si>
  <x:si>
    <x:t xml:space="preserve">Another Christmas Gift - Christmas in March</x:t>
  </x:si>
  <x:si>
    <x:t xml:space="preserve">33435</x:t>
  </x:si>
  <x:si>
    <x:t xml:space="preserve">https://www.smwcentral.net/?a=details&amp;id=33435&amp;p=section</x:t>
  </x:si>
  <x:si>
    <x:t xml:space="preserve">https://dl.smwcentral.net/33435/Another%20Christmas%20Gift%20-%20Christmas%20in%20March.zip</x:t>
  </x:si>
  <x:si>
    <x:t xml:space="preserve">Another Generic SMW Hack</x:t>
  </x:si>
  <x:si>
    <x:t xml:space="preserve">MarioFan22</x:t>
  </x:si>
  <x:si>
    <x:t xml:space="preserve">10059</x:t>
  </x:si>
  <x:si>
    <x:t xml:space="preserve">https://www.smwcentral.net/?a=details&amp;id=10059&amp;p=section</x:t>
  </x:si>
  <x:si>
    <x:t xml:space="preserve">https://dl.smwcentral.net/10059/GenSMWHackUnfinished.zip</x:t>
  </x:si>
  <x:si>
    <x:t xml:space="preserve">Another Mario Adventure</x:t>
  </x:si>
  <x:si>
    <x:t xml:space="preserve">NismoZ</x:t>
  </x:si>
  <x:si>
    <x:t xml:space="preserve">10160</x:t>
  </x:si>
  <x:si>
    <x:t xml:space="preserve">https://www.smwcentral.net/?a=details&amp;id=10160&amp;p=section</x:t>
  </x:si>
  <x:si>
    <x:t xml:space="preserve">https://dl.smwcentral.net/10160/marventurev131.zip</x:t>
  </x:si>
  <x:si>
    <x:t xml:space="preserve">Another Mario Hack</x:t>
  </x:si>
  <x:si>
    <x:t xml:space="preserve">Carsr4carpeople1</x:t>
  </x:si>
  <x:si>
    <x:t xml:space="preserve">9671</x:t>
  </x:si>
  <x:si>
    <x:t xml:space="preserve">https://www.smwcentral.net/?a=details&amp;id=9671&amp;p=section</x:t>
  </x:si>
  <x:si>
    <x:t xml:space="preserve">https://dl.smwcentral.net/9671/Another%20Mario%20Hack.zip</x:t>
  </x:si>
  <x:si>
    <x:t xml:space="preserve">Another Mario Remastered</x:t>
  </x:si>
  <x:si>
    <x:t xml:space="preserve">DAA234</x:t>
  </x:si>
  <x:si>
    <x:t xml:space="preserve">15640</x:t>
  </x:si>
  <x:si>
    <x:t xml:space="preserve">https://www.smwcentral.net/?a=details&amp;id=15640&amp;p=section</x:t>
  </x:si>
  <x:si>
    <x:t xml:space="preserve">https://dl.smwcentral.net/15640/Another%20Mario%20Remastered.zip</x:t>
  </x:si>
  <x:si>
    <x:t xml:space="preserve">Another Mario Remastered 2 - HF Crismon</x:t>
  </x:si>
  <x:si>
    <x:t xml:space="preserve">16145</x:t>
  </x:si>
  <x:si>
    <x:t xml:space="preserve">https://www.smwcentral.net/?a=details&amp;id=16145&amp;p=section</x:t>
  </x:si>
  <x:si>
    <x:t xml:space="preserve">https://dl.smwcentral.net/16145/Another%20Mario%20Remastered%202%20Demo%202.zip</x:t>
  </x:si>
  <x:si>
    <x:t xml:space="preserve">Another Mario World</x:t>
  </x:si>
  <x:si>
    <x:t xml:space="preserve">15076</x:t>
  </x:si>
  <x:si>
    <x:t xml:space="preserve">https://www.smwcentral.net/?a=details&amp;id=15076&amp;p=section</x:t>
  </x:si>
  <x:si>
    <x:t xml:space="preserve">https://dl.smwcentral.net/15076/Another%20Mario%20World.zip</x:t>
  </x:si>
  <x:si>
    <x:t xml:space="preserve">Another Mario World 2: Luigi's Mission</x:t>
  </x:si>
  <x:si>
    <x:t xml:space="preserve">15710</x:t>
  </x:si>
  <x:si>
    <x:t xml:space="preserve">https://www.smwcentral.net/?a=details&amp;id=15710&amp;p=section</x:t>
  </x:si>
  <x:si>
    <x:t xml:space="preserve">https://dl.smwcentral.net/15710/Another%20Mario%20World%202%20-%20Luigi%27s%20Mission.zip</x:t>
  </x:si>
  <x:si>
    <x:t xml:space="preserve">Another Rom Hack Featuring Mario</x:t>
  </x:si>
  <x:si>
    <x:t xml:space="preserve">rumpg46691</x:t>
  </x:si>
  <x:si>
    <x:t xml:space="preserve">11837</x:t>
  </x:si>
  <x:si>
    <x:t xml:space="preserve">https://www.smwcentral.net/?a=details&amp;id=11837&amp;p=section</x:t>
  </x:si>
  <x:si>
    <x:t xml:space="preserve">https://dl.smwcentral.net/11837/Another%20Rom%20Hack%20Featuring%20Mario.zip</x:t>
  </x:si>
  <x:si>
    <x:t xml:space="preserve">Another Special World</x:t>
  </x:si>
  <x:si>
    <x:t xml:space="preserve">lolyoshi, rextep</x:t>
  </x:si>
  <x:si>
    <x:t xml:space="preserve">14122</x:t>
  </x:si>
  <x:si>
    <x:t xml:space="preserve">https://www.smwcentral.net/?a=details&amp;id=14122&amp;p=section</x:t>
  </x:si>
  <x:si>
    <x:t xml:space="preserve">https://dl.smwcentral.net/14122/newASW.zip</x:t>
  </x:si>
  <x:si>
    <x:t xml:space="preserve">Another Special World 2</x:t>
  </x:si>
  <x:si>
    <x:t xml:space="preserve">27588</x:t>
  </x:si>
  <x:si>
    <x:t xml:space="preserve">https://www.smwcentral.net/?a=details&amp;id=27588&amp;p=section</x:t>
  </x:si>
  <x:si>
    <x:t xml:space="preserve">https://dl.smwcentral.net/27588/asw2.zip</x:t>
  </x:si>
  <x:si>
    <x:t xml:space="preserve">Another Super Mario Adventure</x:t>
  </x:si>
  <x:si>
    <x:t xml:space="preserve">42255</x:t>
  </x:si>
  <x:si>
    <x:t xml:space="preserve">https://www.smwcentral.net/?a=details&amp;id=42255&amp;p=section</x:t>
  </x:si>
  <x:si>
    <x:t xml:space="preserve">https://dl.smwcentral.net/42255/ASMA2%20Demo.zip</x:t>
  </x:si>
  <x:si>
    <x:t xml:space="preserve">Aperitif</x:t>
  </x:si>
  <x:si>
    <x:t xml:space="preserve">bald_ridge</x:t>
  </x:si>
  <x:si>
    <x:t xml:space="preserve">42560</x:t>
  </x:si>
  <x:si>
    <x:t xml:space="preserve">https://www.smwcentral.net/?a=details&amp;id=42560&amp;p=section</x:t>
  </x:si>
  <x:si>
    <x:t xml:space="preserve">https://dl.smwcentral.net/42560/Aperitif1.1.zip</x:t>
  </x:si>
  <x:si>
    <x:t xml:space="preserve">App Strike</x:t>
  </x:si>
  <x:si>
    <x:t xml:space="preserve">Metalstriker</x:t>
  </x:si>
  <x:si>
    <x:t xml:space="preserve">10048</x:t>
  </x:si>
  <x:si>
    <x:t xml:space="preserve">https://www.smwcentral.net/?a=details&amp;id=10048&amp;p=section</x:t>
  </x:si>
  <x:si>
    <x:t xml:space="preserve">https://dl.smwcentral.net/10048/App%20Strike%28v2%29.zip</x:t>
  </x:si>
  <x:si>
    <x:t xml:space="preserve">Apple Boy 2: Homebound Hero</x:t>
  </x:si>
  <x:si>
    <x:t xml:space="preserve">Apple Boy, KaidenThelens</x:t>
  </x:si>
  <x:si>
    <x:t xml:space="preserve">35726</x:t>
  </x:si>
  <x:si>
    <x:t xml:space="preserve">https://www.smwcentral.net/?a=details&amp;id=35726&amp;p=section</x:t>
  </x:si>
  <x:si>
    <x:t xml:space="preserve">https://dl.smwcentral.net/35726/Apple%20Boy%20Hack%202.zip</x:t>
  </x:si>
  <x:si>
    <x:t xml:space="preserve">Apple Boy: Attack of Ice Cream Man</x:t>
  </x:si>
  <x:si>
    <x:t xml:space="preserve">Apple Boy</x:t>
  </x:si>
  <x:si>
    <x:t xml:space="preserve">32317</x:t>
  </x:si>
  <x:si>
    <x:t xml:space="preserve">https://www.smwcentral.net/?a=details&amp;id=32317&amp;p=section</x:t>
  </x:si>
  <x:si>
    <x:t xml:space="preserve">https://dl.smwcentral.net/32317/Apple%20Boy%20Attack%20of%20Ice%20Cream%20Man.zip</x:t>
  </x:si>
  <x:si>
    <x:t xml:space="preserve">Apple Guardian</x:t>
  </x:si>
  <x:si>
    <x:t xml:space="preserve">Kerfuffle</x:t>
  </x:si>
  <x:si>
    <x:t xml:space="preserve">32781</x:t>
  </x:si>
  <x:si>
    <x:t xml:space="preserve">https://www.smwcentral.net/?a=details&amp;id=32781&amp;p=section</x:t>
  </x:si>
  <x:si>
    <x:t xml:space="preserve">https://dl.smwcentral.net/32781/Apple%20Guardian%201.1.zip</x:t>
  </x:si>
  <x:si>
    <x:t xml:space="preserve">Arantes Shells</x:t>
  </x:si>
  <x:si>
    <x:t xml:space="preserve">RenanSV, arantes</x:t>
  </x:si>
  <x:si>
    <x:t xml:space="preserve">34662</x:t>
  </x:si>
  <x:si>
    <x:t xml:space="preserve">https://www.smwcentral.net/?a=details&amp;id=34662&amp;p=section</x:t>
  </x:si>
  <x:si>
    <x:t xml:space="preserve">https://dl.smwcentral.net/34662/Arantes%20Shells%201.2.zip</x:t>
  </x:si>
  <x:si>
    <x:t xml:space="preserve">Arcadia</x:t>
  </x:si>
  <x:si>
    <x:t xml:space="preserve">D_O_M</x:t>
  </x:si>
  <x:si>
    <x:t xml:space="preserve">41875</x:t>
  </x:si>
  <x:si>
    <x:t xml:space="preserve">https://www.smwcentral.net/?a=details&amp;id=41875&amp;p=section</x:t>
  </x:si>
  <x:si>
    <x:t xml:space="preserve">https://dl.smwcentral.net/41875/Arcadia.zip</x:t>
  </x:si>
  <x:si>
    <x:t xml:space="preserve">Arcane Mario World</x:t>
  </x:si>
  <x:si>
    <x:t xml:space="preserve">Mithrillionaire</x:t>
  </x:si>
  <x:si>
    <x:t xml:space="preserve">27227</x:t>
  </x:si>
  <x:si>
    <x:t xml:space="preserve">https://www.smwcentral.net/?a=details&amp;id=27227&amp;p=section</x:t>
  </x:si>
  <x:si>
    <x:t xml:space="preserve">https://dl.smwcentral.net/27227/Arcane%20Mario%20World.zip</x:t>
  </x:si>
  <x:si>
    <x:t xml:space="preserve">Archipelago of Truth Collection</x:t>
  </x:si>
  <x:si>
    <x:t xml:space="preserve">Onyx</x:t>
  </x:si>
  <x:si>
    <x:t xml:space="preserve">9926</x:t>
  </x:si>
  <x:si>
    <x:t xml:space="preserve">https://www.smwcentral.net/?a=details&amp;id=9926&amp;p=section</x:t>
  </x:si>
  <x:si>
    <x:t xml:space="preserve">https://dl.smwcentral.net/9926/Archipelago%20of%20Truth%20Collection.zip</x:t>
  </x:si>
  <x:si>
    <x:t xml:space="preserve">Arcyria</x:t>
  </x:si>
  <x:si>
    <x:t xml:space="preserve">42100</x:t>
  </x:si>
  <x:si>
    <x:t xml:space="preserve">https://www.smwcentral.net/?a=details&amp;id=42100&amp;p=section</x:t>
  </x:si>
  <x:si>
    <x:t xml:space="preserve">https://dl.smwcentral.net/42100/Arcyria%201.1.zip</x:t>
  </x:si>
  <x:si>
    <x:t xml:space="preserve">Are The Enemies Smarter Than A Caveman?</x:t>
  </x:si>
  <x:si>
    <x:t xml:space="preserve">37655</x:t>
  </x:si>
  <x:si>
    <x:t xml:space="preserve">https://www.smwcentral.net/?a=details&amp;id=37655&amp;p=section</x:t>
  </x:si>
  <x:si>
    <x:t xml:space="preserve">https://dl.smwcentral.net/37655/Are%20The%20Enemies%20Smarter%20Than%20A%20Caveman%20%28v1.01%29.zip</x:t>
  </x:si>
  <x:si>
    <x:t xml:space="preserve">Arkin</x:t>
  </x:si>
  <x:si>
    <x:t xml:space="preserve">TheTrueCommonSense</x:t>
  </x:si>
  <x:si>
    <x:t xml:space="preserve">39637</x:t>
  </x:si>
  <x:si>
    <x:t xml:space="preserve">https://www.smwcentral.net/?a=details&amp;id=39637&amp;p=section</x:t>
  </x:si>
  <x:si>
    <x:t xml:space="preserve">https://dl.smwcentral.net/39637/Arkin.zip</x:t>
  </x:si>
  <x:si>
    <x:t xml:space="preserve">ARMAGEDDON</x:t>
  </x:si>
  <x:si>
    <x:t xml:space="preserve">dacin</x:t>
  </x:si>
  <x:si>
    <x:t xml:space="preserve">27209</x:t>
  </x:si>
  <x:si>
    <x:t xml:space="preserve">https://www.smwcentral.net/?a=details&amp;id=27209&amp;p=section</x:t>
  </x:si>
  <x:si>
    <x:t xml:space="preserve">https://dl.smwcentral.net/27209/ARMAGEDDON_1.1.zip</x:t>
  </x:si>
  <x:si>
    <x:t xml:space="preserve">Armaidia</x:t>
  </x:si>
  <x:si>
    <x:t xml:space="preserve">34088, SMW Physicist, levelengine</x:t>
  </x:si>
  <x:si>
    <x:t xml:space="preserve">20671</x:t>
  </x:si>
  <x:si>
    <x:t xml:space="preserve">https://www.smwcentral.net/?a=details&amp;id=20671&amp;p=section</x:t>
  </x:si>
  <x:si>
    <x:t xml:space="preserve">https://dl.smwcentral.net/20671/Armaidia.zip</x:t>
  </x:si>
  <x:si>
    <x:t xml:space="preserve">Assortment Of Wyverns</x:t>
  </x:si>
  <x:si>
    <x:t xml:space="preserve">SolveForX</x:t>
  </x:si>
  <x:si>
    <x:t xml:space="preserve">41455</x:t>
  </x:si>
  <x:si>
    <x:t xml:space="preserve">https://www.smwcentral.net/?a=details&amp;id=41455&amp;p=section</x:t>
  </x:si>
  <x:si>
    <x:t xml:space="preserve">https://dl.smwcentral.net/41455/AssortmentOfWyverns.zip</x:t>
  </x:si>
  <x:si>
    <x:t xml:space="preserve">At Least The Music's Good</x:t>
  </x:si>
  <x:si>
    <x:t xml:space="preserve">Worl</x:t>
  </x:si>
  <x:si>
    <x:t xml:space="preserve">28839</x:t>
  </x:si>
  <x:si>
    <x:t xml:space="preserve">https://www.smwcentral.net/?a=details&amp;id=28839&amp;p=section</x:t>
  </x:si>
  <x:si>
    <x:t xml:space="preserve">https://dl.smwcentral.net/28839/At%20Least%20The%20Music%27s%20Good%20v1.1.zip</x:t>
  </x:si>
  <x:si>
    <x:t xml:space="preserve">Athletic Plumber Twins</x:t>
  </x:si>
  <x:si>
    <x:t xml:space="preserve">Shuffles</x:t>
  </x:si>
  <x:si>
    <x:t xml:space="preserve">9857</x:t>
  </x:si>
  <x:si>
    <x:t xml:space="preserve">https://www.smwcentral.net/?a=details&amp;id=9857&amp;p=section</x:t>
  </x:si>
  <x:si>
    <x:t xml:space="preserve">https://dl.smwcentral.net/9857/Athletic%20Plumber%20Twins.zip</x:t>
  </x:si>
  <x:si>
    <x:t xml:space="preserve">Attempt at a Normal Hack</x:t>
  </x:si>
  <x:si>
    <x:t xml:space="preserve">ft029</x:t>
  </x:si>
  <x:si>
    <x:t xml:space="preserve">37783</x:t>
  </x:si>
  <x:si>
    <x:t xml:space="preserve">https://www.smwcentral.net/?a=details&amp;id=37783&amp;p=section</x:t>
  </x:si>
  <x:si>
    <x:t xml:space="preserve">https://dl.smwcentral.net/37783/Attempt%20at%20a%20normal%20hack%20v1.11.zip</x:t>
  </x:si>
  <x:si>
    <x:t xml:space="preserve">Autumn</x:t>
  </x:si>
  <x:si>
    <x:t xml:space="preserve">Morph Moth</x:t>
  </x:si>
  <x:si>
    <x:t xml:space="preserve">29994</x:t>
  </x:si>
  <x:si>
    <x:t xml:space="preserve">https://www.smwcentral.net/?a=details&amp;id=29994&amp;p=section</x:t>
  </x:si>
  <x:si>
    <x:t xml:space="preserve">https://dl.smwcentral.net/29994/Autumn%201.1.zip</x:t>
  </x:si>
  <x:si>
    <x:t xml:space="preserve">Autumn Hike (Demo)</x:t>
  </x:si>
  <x:si>
    <x:t xml:space="preserve">its_heeho</x:t>
  </x:si>
  <x:si>
    <x:t xml:space="preserve">38595</x:t>
  </x:si>
  <x:si>
    <x:t xml:space="preserve">https://www.smwcentral.net/?a=details&amp;id=38595&amp;p=section</x:t>
  </x:si>
  <x:si>
    <x:t xml:space="preserve">https://dl.smwcentral.net/38595/AutumnHike%28Demo%29.zip</x:t>
  </x:si>
  <x:si>
    <x:t xml:space="preserve">Awesome Mario World</x:t>
  </x:si>
  <x:si>
    <x:t xml:space="preserve">NGB</x:t>
  </x:si>
  <x:si>
    <x:t xml:space="preserve">10346</x:t>
  </x:si>
  <x:si>
    <x:t xml:space="preserve">https://www.smwcentral.net/?a=details&amp;id=10346&amp;p=section</x:t>
  </x:si>
  <x:si>
    <x:t xml:space="preserve">https://dl.smwcentral.net/10346/Awesome_Mario_World%20Ver.%201.0.zip</x:t>
  </x:si>
  <x:si>
    <x:t xml:space="preserve">Awful Mario World</x:t>
  </x:si>
  <x:si>
    <x:t xml:space="preserve">KoJi</x:t>
  </x:si>
  <x:si>
    <x:t xml:space="preserve">38239</x:t>
  </x:si>
  <x:si>
    <x:t xml:space="preserve">https://www.smwcentral.net/?a=details&amp;id=38239&amp;p=section</x:t>
  </x:si>
  <x:si>
    <x:t xml:space="preserve">https://dl.smwcentral.net/38239/awfulmarioworld.zip</x:t>
  </x:si>
  <x:si>
    <x:t xml:space="preserve">Ayashi Mario</x:t>
  </x:si>
  <x:si>
    <x:t xml:space="preserve">edidari</x:t>
  </x:si>
  <x:si>
    <x:t xml:space="preserve">21408</x:t>
  </x:si>
  <x:si>
    <x:t xml:space="preserve">https://www.smwcentral.net/?a=details&amp;id=21408&amp;p=section</x:t>
  </x:si>
  <x:si>
    <x:t xml:space="preserve">https://dl.smwcentral.net/21408/Ayashi%20Mario.zip</x:t>
  </x:si>
  <x:si>
    <x:t xml:space="preserve">Babby Builds Wevels</x:t>
  </x:si>
  <x:si>
    <x:t xml:space="preserve">liz_bean</x:t>
  </x:si>
  <x:si>
    <x:t xml:space="preserve">40535</x:t>
  </x:si>
  <x:si>
    <x:t xml:space="preserve">https://www.smwcentral.net/?a=details&amp;id=40535&amp;p=section</x:t>
  </x:si>
  <x:si>
    <x:t xml:space="preserve">https://dl.smwcentral.net/40535/Babby%20Builds%20Wevels%20-%20V1.0.zip</x:t>
  </x:si>
  <x:si>
    <x:t xml:space="preserve">Baby Kaizo World</x:t>
  </x:si>
  <x:si>
    <x:t xml:space="preserve">Nowieso</x:t>
  </x:si>
  <x:si>
    <x:t xml:space="preserve">19145</x:t>
  </x:si>
  <x:si>
    <x:t xml:space="preserve">https://www.smwcentral.net/?a=details&amp;id=19145&amp;p=section</x:t>
  </x:si>
  <x:si>
    <x:t xml:space="preserve">https://dl.smwcentral.net/19145/BabyKaizoWorld.zip</x:t>
  </x:si>
  <x:si>
    <x:t xml:space="preserve">Baby Kaizo World 2</x:t>
  </x:si>
  <x:si>
    <x:t xml:space="preserve">Phyll</x:t>
  </x:si>
  <x:si>
    <x:t xml:space="preserve">31182</x:t>
  </x:si>
  <x:si>
    <x:t xml:space="preserve">https://www.smwcentral.net/?a=details&amp;id=31182&amp;p=section</x:t>
  </x:si>
  <x:si>
    <x:t xml:space="preserve">https://dl.smwcentral.net/31182/BKW2V1.1NeW.zip</x:t>
  </x:si>
  <x:si>
    <x:t xml:space="preserve">Back to the Classics</x:t>
  </x:si>
  <x:si>
    <x:t xml:space="preserve">Spud Alpha</x:t>
  </x:si>
  <x:si>
    <x:t xml:space="preserve">5277</x:t>
  </x:si>
  <x:si>
    <x:t xml:space="preserve">https://www.smwcentral.net/?a=details&amp;id=5277&amp;p=section</x:t>
  </x:si>
  <x:si>
    <x:t xml:space="preserve">https://dl.smwcentral.net/5277/Back%20to%20the%20Classics.zip</x:t>
  </x:si>
  <x:si>
    <x:t xml:space="preserve">Back to the Green Hill</x:t>
  </x:si>
  <x:si>
    <x:t xml:space="preserve">sholmes</x:t>
  </x:si>
  <x:si>
    <x:t xml:space="preserve">41863</x:t>
  </x:si>
  <x:si>
    <x:t xml:space="preserve">https://www.smwcentral.net/?a=details&amp;id=41863&amp;p=section</x:t>
  </x:si>
  <x:si>
    <x:t xml:space="preserve">https://dl.smwcentral.net/41863/Back%20to%20the%20Green%20Hill%20Updated.zip</x:t>
  </x:si>
  <x:si>
    <x:t xml:space="preserve">Backwards Mario World</x:t>
  </x:si>
  <x:si>
    <x:t xml:space="preserve">westslasher2</x:t>
  </x:si>
  <x:si>
    <x:t xml:space="preserve">18071</x:t>
  </x:si>
  <x:si>
    <x:t xml:space="preserve">https://www.smwcentral.net/?a=details&amp;id=18071&amp;p=section</x:t>
  </x:si>
  <x:si>
    <x:t xml:space="preserve">https://dl.smwcentral.net/18071/BackwardsMarioWorld1.11.zip</x:t>
  </x:si>
  <x:si>
    <x:t xml:space="preserve">Backyard Kaizo</x:t>
  </x:si>
  <x:si>
    <x:t xml:space="preserve">zynnoir</x:t>
  </x:si>
  <x:si>
    <x:t xml:space="preserve">30968</x:t>
  </x:si>
  <x:si>
    <x:t xml:space="preserve">https://www.smwcentral.net/?a=details&amp;id=30968&amp;p=section</x:t>
  </x:si>
  <x:si>
    <x:t xml:space="preserve">https://dl.smwcentral.net/30968/Backyard.zip</x:t>
  </x:si>
  <x:si>
    <x:t xml:space="preserve">Baker's Dozen</x:t>
  </x:si>
  <x:si>
    <x:t xml:space="preserve">HaddonFeels</x:t>
  </x:si>
  <x:si>
    <x:t xml:space="preserve">38701</x:t>
  </x:si>
  <x:si>
    <x:t xml:space="preserve">https://www.smwcentral.net/?a=details&amp;id=38701&amp;p=section</x:t>
  </x:si>
  <x:si>
    <x:t xml:space="preserve">https://dl.smwcentral.net/38701/bakers1.1.zip</x:t>
  </x:si>
  <x:si>
    <x:t xml:space="preserve">BALL BUSTER</x:t>
  </x:si>
  <x:si>
    <x:t xml:space="preserve">NerDose</x:t>
  </x:si>
  <x:si>
    <x:t xml:space="preserve">41843</x:t>
  </x:si>
  <x:si>
    <x:t xml:space="preserve">https://www.smwcentral.net/?a=details&amp;id=41843&amp;p=section</x:t>
  </x:si>
  <x:si>
    <x:t xml:space="preserve">https://dl.smwcentral.net/41843/BallBusterV1.4.zip</x:t>
  </x:si>
  <x:si>
    <x:t xml:space="preserve">Ball of Revenge</x:t>
  </x:si>
  <x:si>
    <x:t xml:space="preserve">Darky</x:t>
  </x:si>
  <x:si>
    <x:t xml:space="preserve">9944</x:t>
  </x:si>
  <x:si>
    <x:t xml:space="preserve">https://www.smwcentral.net/?a=details&amp;id=9944&amp;p=section</x:t>
  </x:si>
  <x:si>
    <x:t xml:space="preserve">https://dl.smwcentral.net/9944/BoR.zip</x:t>
  </x:si>
  <x:si>
    <x:t xml:space="preserve">Banana Is Missing!</x:t>
  </x:si>
  <x:si>
    <x:t xml:space="preserve">BDgames2023</x:t>
  </x:si>
  <x:si>
    <x:t xml:space="preserve">40622</x:t>
  </x:si>
  <x:si>
    <x:t xml:space="preserve">https://www.smwcentral.net/?a=details&amp;id=40622&amp;p=section</x:t>
  </x:si>
  <x:si>
    <x:t xml:space="preserve">https://dl.smwcentral.net/40622/BIM%21.zip</x:t>
  </x:si>
  <x:si>
    <x:t xml:space="preserve">Banana's Quest</x:t>
  </x:si>
  <x:si>
    <x:t xml:space="preserve">38857</x:t>
  </x:si>
  <x:si>
    <x:t xml:space="preserve">https://www.smwcentral.net/?a=details&amp;id=38857&amp;p=section</x:t>
  </x:si>
  <x:si>
    <x:t xml:space="preserve">https://dl.smwcentral.net/38857/B%27SQ.zip</x:t>
  </x:si>
  <x:si>
    <x:t xml:space="preserve">BanShell</x:t>
  </x:si>
  <x:si>
    <x:t xml:space="preserve">kLk</x:t>
  </x:si>
  <x:si>
    <x:t xml:space="preserve">32912</x:t>
  </x:si>
  <x:si>
    <x:t xml:space="preserve">https://www.smwcentral.net/?a=details&amp;id=32912&amp;p=section</x:t>
  </x:si>
  <x:si>
    <x:t xml:space="preserve">https://dl.smwcentral.net/32912/BanShell.zip</x:t>
  </x:si>
  <x:si>
    <x:t xml:space="preserve">Banzai Mario World</x:t>
  </x:si>
  <x:si>
    <x:t xml:space="preserve">11477</x:t>
  </x:si>
  <x:si>
    <x:t xml:space="preserve">https://www.smwcentral.net/?a=details&amp;id=11477&amp;p=section</x:t>
  </x:si>
  <x:si>
    <x:t xml:space="preserve">https://dl.smwcentral.net/11477/Banzai%20Mario%20World.zip</x:t>
  </x:si>
  <x:si>
    <x:t xml:space="preserve">Banzai's Level Sampler</x:t>
  </x:si>
  <x:si>
    <x:t xml:space="preserve">TheNewerGuy</x:t>
  </x:si>
  <x:si>
    <x:t xml:space="preserve">9652</x:t>
  </x:si>
  <x:si>
    <x:t xml:space="preserve">https://www.smwcentral.net/?a=details&amp;id=9652&amp;p=section</x:t>
  </x:si>
  <x:si>
    <x:t xml:space="preserve">https://dl.smwcentral.net/9652/banzai%27s%20Level%20Sampler.zip</x:t>
  </x:si>
  <x:si>
    <x:t xml:space="preserve">Baron of Shell</x:t>
  </x:si>
  <x:si>
    <x:t xml:space="preserve">shaoshao</x:t>
  </x:si>
  <x:si>
    <x:t xml:space="preserve">34021</x:t>
  </x:si>
  <x:si>
    <x:t xml:space="preserve">https://www.smwcentral.net/?a=details&amp;id=34021&amp;p=section</x:t>
  </x:si>
  <x:si>
    <x:t xml:space="preserve">https://dl.smwcentral.net/34021/baron.zip</x:t>
  </x:si>
  <x:si>
    <x:t xml:space="preserve">Basic Mario Hack</x:t>
  </x:si>
  <x:si>
    <x:t xml:space="preserve">GMCHacker91</x:t>
  </x:si>
  <x:si>
    <x:t xml:space="preserve">22210</x:t>
  </x:si>
  <x:si>
    <x:t xml:space="preserve">https://www.smwcentral.net/?a=details&amp;id=22210&amp;p=section</x:t>
  </x:si>
  <x:si>
    <x:t xml:space="preserve">https://dl.smwcentral.net/22210/2020%20Basic%20Mario%20UPDATE.zip</x:t>
  </x:si>
  <x:si>
    <x:t xml:space="preserve">Basic Mario Hack 2 BETA</x:t>
  </x:si>
  <x:si>
    <x:t xml:space="preserve">28720</x:t>
  </x:si>
  <x:si>
    <x:t xml:space="preserve">https://www.smwcentral.net/?a=details&amp;id=28720&amp;p=section</x:t>
  </x:si>
  <x:si>
    <x:t xml:space="preserve">https://dl.smwcentral.net/28720/Basic%20Mario%202%20BETA.zip</x:t>
  </x:si>
  <x:si>
    <x:t xml:space="preserve">Bavario Bros.</x:t>
  </x:si>
  <x:si>
    <x:t xml:space="preserve">Ahrion, DoktorGroove, Edphonse15, Gulaschko, H3nt4ik4m3n, KoS, Maw, Nowieso, Rudi_Schrausch, Schlafkopf, Spedinja, neidoodle, xamexer</x:t>
  </x:si>
  <x:si>
    <x:t xml:space="preserve">37056</x:t>
  </x:si>
  <x:si>
    <x:t xml:space="preserve">https://www.smwcentral.net/?a=details&amp;id=37056&amp;p=section</x:t>
  </x:si>
  <x:si>
    <x:t xml:space="preserve">https://dl.smwcentral.net/37056/Bavario%20Bros.%20v1.1.zip</x:t>
  </x:si>
  <x:si>
    <x:t xml:space="preserve">Beach Park At Isla Blanca</x:t>
  </x:si>
  <x:si>
    <x:t xml:space="preserve">El Cuh Fermin</x:t>
  </x:si>
  <x:si>
    <x:t xml:space="preserve">30707</x:t>
  </x:si>
  <x:si>
    <x:t xml:space="preserve">https://www.smwcentral.net/?a=details&amp;id=30707&amp;p=section</x:t>
  </x:si>
  <x:si>
    <x:t xml:space="preserve">https://dl.smwcentral.net/30707/Beach%20Park%20At%20Isla%20Blanca%20Hack.zip</x:t>
  </x:si>
  <x:si>
    <x:t xml:space="preserve">Beachside Blitz</x:t>
  </x:si>
  <x:si>
    <x:t xml:space="preserve">TheRealCatsup</x:t>
  </x:si>
  <x:si>
    <x:t xml:space="preserve">29528</x:t>
  </x:si>
  <x:si>
    <x:t xml:space="preserve">https://www.smwcentral.net/?a=details&amp;id=29528&amp;p=section</x:t>
  </x:si>
  <x:si>
    <x:t xml:space="preserve">https://dl.smwcentral.net/29528/BeachsideBlitz.zip</x:t>
  </x:si>
  <x:si>
    <x:t xml:space="preserve">Bearded Comedy World</x:t>
  </x:si>
  <x:si>
    <x:t xml:space="preserve">28731</x:t>
  </x:si>
  <x:si>
    <x:t xml:space="preserve">https://www.smwcentral.net/?a=details&amp;id=28731&amp;p=section</x:t>
  </x:si>
  <x:si>
    <x:t xml:space="preserve">https://dl.smwcentral.net/28731/BCW_1.2.zip</x:t>
  </x:si>
  <x:si>
    <x:t xml:space="preserve">Bearded Comedy World 2 Demo</x:t>
  </x:si>
  <x:si>
    <x:t xml:space="preserve">41268</x:t>
  </x:si>
  <x:si>
    <x:t xml:space="preserve">https://www.smwcentral.net/?a=details&amp;id=41268&amp;p=section</x:t>
  </x:si>
  <x:si>
    <x:t xml:space="preserve">https://dl.smwcentral.net/41268/BCW2-demo.zip</x:t>
  </x:si>
  <x:si>
    <x:t xml:space="preserve">Beautiful (Not So) Dangerous</x:t>
  </x:si>
  <x:si>
    <x:t xml:space="preserve">iamtheratio</x:t>
  </x:si>
  <x:si>
    <x:t xml:space="preserve">40437</x:t>
  </x:si>
  <x:si>
    <x:t xml:space="preserve">https://www.smwcentral.net/?a=details&amp;id=40437&amp;p=section</x:t>
  </x:si>
  <x:si>
    <x:t xml:space="preserve">https://dl.smwcentral.net/40437/BeautifulNotSoDangerous_v1.0%20.zip</x:t>
  </x:si>
  <x:si>
    <x:t xml:space="preserve">Beautiful Dangerous</x:t>
  </x:si>
  <x:si>
    <x:t xml:space="preserve">37555</x:t>
  </x:si>
  <x:si>
    <x:t xml:space="preserve">https://www.smwcentral.net/?a=details&amp;id=37555&amp;p=section</x:t>
  </x:si>
  <x:si>
    <x:t xml:space="preserve">https://dl.smwcentral.net/37555/Beautiful%20Dangerous%20v1.1.zip</x:t>
  </x:si>
  <x:si>
    <x:t xml:space="preserve">BEES in Space!</x:t>
  </x:si>
  <x:si>
    <x:t xml:space="preserve">BEESphilly</x:t>
  </x:si>
  <x:si>
    <x:t xml:space="preserve">31047</x:t>
  </x:si>
  <x:si>
    <x:t xml:space="preserve">https://www.smwcentral.net/?a=details&amp;id=31047&amp;p=section</x:t>
  </x:si>
  <x:si>
    <x:t xml:space="preserve">https://dl.smwcentral.net/31047/BEES%20in%20Space.zip</x:t>
  </x:si>
  <x:si>
    <x:t xml:space="preserve">Before The Shrooms Kick In</x:t>
  </x:si>
  <x:si>
    <x:t xml:space="preserve">JudithPrietht</x:t>
  </x:si>
  <x:si>
    <x:t xml:space="preserve">38171</x:t>
  </x:si>
  <x:si>
    <x:t xml:space="preserve">https://www.smwcentral.net/?a=details&amp;id=38171&amp;p=section</x:t>
  </x:si>
  <x:si>
    <x:t xml:space="preserve">https://dl.smwcentral.net/38171/Shroomskickin.zip</x:t>
  </x:si>
  <x:si>
    <x:t xml:space="preserve">Beginning of the End</x:t>
  </x:si>
  <x:si>
    <x:t xml:space="preserve">ShadowBoxer_Sandshrew</x:t>
  </x:si>
  <x:si>
    <x:t xml:space="preserve">34163</x:t>
  </x:si>
  <x:si>
    <x:t xml:space="preserve">https://www.smwcentral.net/?a=details&amp;id=34163&amp;p=section</x:t>
  </x:si>
  <x:si>
    <x:t xml:space="preserve">https://dl.smwcentral.net/34163/BeginningoftheEnd.zip</x:t>
  </x:si>
  <x:si>
    <x:t xml:space="preserve">BeginningBrew - Super "Real" World</x:t>
  </x:si>
  <x:si>
    <x:t xml:space="preserve">Hanzo</x:t>
  </x:si>
  <x:si>
    <x:t xml:space="preserve">31618</x:t>
  </x:si>
  <x:si>
    <x:t xml:space="preserve">https://www.smwcentral.net/?a=details&amp;id=31618&amp;p=section</x:t>
  </x:si>
  <x:si>
    <x:t xml:space="preserve">https://dl.smwcentral.net/31618/BeginningBrew%20-%20Super%20Real%20World.zip</x:t>
  </x:si>
  <x:si>
    <x:t xml:space="preserve">Beneath the Bottom of the Screen</x:t>
  </x:si>
  <x:si>
    <x:t xml:space="preserve">xLyfu</x:t>
  </x:si>
  <x:si>
    <x:t xml:space="preserve">40744</x:t>
  </x:si>
  <x:si>
    <x:t xml:space="preserve">https://www.smwcentral.net/?a=details&amp;id=40744&amp;p=section</x:t>
  </x:si>
  <x:si>
    <x:t xml:space="preserve">https://dl.smwcentral.net/40744/Beneath%20the%20Bottom%20of%20the%20Screen.zip</x:t>
  </x:si>
  <x:si>
    <x:t xml:space="preserve">BETO UNIVERSE</x:t>
  </x:si>
  <x:si>
    <x:t xml:space="preserve">alvinluis</x:t>
  </x:si>
  <x:si>
    <x:t xml:space="preserve">31781</x:t>
  </x:si>
  <x:si>
    <x:t xml:space="preserve">https://www.smwcentral.net/?a=details&amp;id=31781&amp;p=section</x:t>
  </x:si>
  <x:si>
    <x:t xml:space="preserve">https://dl.smwcentral.net/31781/beto%20universe.zip</x:t>
  </x:si>
  <x:si>
    <x:t xml:space="preserve">Beyond Beco World</x:t>
  </x:si>
  <x:si>
    <x:t xml:space="preserve">Azula16, SKAW Adri</x:t>
  </x:si>
  <x:si>
    <x:t xml:space="preserve">33461</x:t>
  </x:si>
  <x:si>
    <x:t xml:space="preserve">https://www.smwcentral.net/?a=details&amp;id=33461&amp;p=section</x:t>
  </x:si>
  <x:si>
    <x:t xml:space="preserve">https://dl.smwcentral.net/33461/Beyond%20Beco%20World.zip</x:t>
  </x:si>
  <x:si>
    <x:t xml:space="preserve">Big Boo Gang</x:t>
  </x:si>
  <x:si>
    <x:t xml:space="preserve">5055</x:t>
  </x:si>
  <x:si>
    <x:t xml:space="preserve">https://www.smwcentral.net/?a=details&amp;id=5055&amp;p=section</x:t>
  </x:si>
  <x:si>
    <x:t xml:space="preserve">https://dl.smwcentral.net/5055/BBG.zip</x:t>
  </x:si>
  <x:si>
    <x:t xml:space="preserve">Big Boo's Revenge</x:t>
  </x:si>
  <x:si>
    <x:t xml:space="preserve">Tobias94</x:t>
  </x:si>
  <x:si>
    <x:t xml:space="preserve">29604</x:t>
  </x:si>
  <x:si>
    <x:t xml:space="preserve">https://www.smwcentral.net/?a=details&amp;id=29604&amp;p=section</x:t>
  </x:si>
  <x:si>
    <x:t xml:space="preserve">https://dl.smwcentral.net/29604/Big%20Boo%27s%20Revenge%20-%20Fixed.zip</x:t>
  </x:si>
  <x:si>
    <x:t xml:space="preserve">Binary Perdition</x:t>
  </x:si>
  <x:si>
    <x:t xml:space="preserve">35070</x:t>
  </x:si>
  <x:si>
    <x:t xml:space="preserve">https://www.smwcentral.net/?a=details&amp;id=35070&amp;p=section</x:t>
  </x:si>
  <x:si>
    <x:t xml:space="preserve">https://dl.smwcentral.net/35070/Binary.zip</x:t>
  </x:si>
  <x:si>
    <x:t xml:space="preserve">Binary World</x:t>
  </x:si>
  <x:si>
    <x:t xml:space="preserve">Celestin_Goulvet, RussianMan, TheXander</x:t>
  </x:si>
  <x:si>
    <x:t xml:space="preserve">39116</x:t>
  </x:si>
  <x:si>
    <x:t xml:space="preserve">https://www.smwcentral.net/?a=details&amp;id=39116&amp;p=section</x:t>
  </x:si>
  <x:si>
    <x:t xml:space="preserve">https://dl.smwcentral.net/39116/Binary%20World%20Submission%201.0.11.zip</x:t>
  </x:si>
  <x:si>
    <x:t xml:space="preserve">Biob's Challenge</x:t>
  </x:si>
  <x:si>
    <x:t xml:space="preserve">TheBiob</x:t>
  </x:si>
  <x:si>
    <x:t xml:space="preserve">14999</x:t>
  </x:si>
  <x:si>
    <x:t xml:space="preserve">https://www.smwcentral.net/?a=details&amp;id=14999&amp;p=section</x:t>
  </x:si>
  <x:si>
    <x:t xml:space="preserve">https://dl.smwcentral.net/14999/BiobsChallenge.zip</x:t>
  </x:si>
  <x:si>
    <x:t xml:space="preserve">Birola World</x:t>
  </x:si>
  <x:si>
    <x:t xml:space="preserve">25068</x:t>
  </x:si>
  <x:si>
    <x:t xml:space="preserve">https://www.smwcentral.net/?a=details&amp;id=25068&amp;p=section</x:t>
  </x:si>
  <x:si>
    <x:t xml:space="preserve">https://dl.smwcentral.net/25068/Birola_World_V2.zip</x:t>
  </x:si>
  <x:si>
    <x:t xml:space="preserve">Bits and Pieces</x:t>
  </x:si>
  <x:si>
    <x:t xml:space="preserve">18119</x:t>
  </x:si>
  <x:si>
    <x:t xml:space="preserve">https://www.smwcentral.net/?a=details&amp;id=18119&amp;p=section</x:t>
  </x:si>
  <x:si>
    <x:t xml:space="preserve">https://dl.smwcentral.net/18119/Bits_and_Pieces_3rd_Edition.zip</x:t>
  </x:si>
  <x:si>
    <x:t xml:space="preserve">Blackout Shells</x:t>
  </x:si>
  <x:si>
    <x:t xml:space="preserve">Breno Henrique, Daniel Pedroza, flavioinsanity</x:t>
  </x:si>
  <x:si>
    <x:t xml:space="preserve">42683</x:t>
  </x:si>
  <x:si>
    <x:t xml:space="preserve">https://www.smwcentral.net/?a=details&amp;id=42683&amp;p=section</x:t>
  </x:si>
  <x:si>
    <x:t xml:space="preserve">https://dl.smwcentral.net/42683/Blackout%20shells.zip</x:t>
  </x:si>
  <x:si>
    <x:t xml:space="preserve">BLACKOUT.exe</x:t>
  </x:si>
  <x:si>
    <x:t xml:space="preserve">38957</x:t>
  </x:si>
  <x:si>
    <x:t xml:space="preserve">https://www.smwcentral.net/?a=details&amp;id=38957&amp;p=section</x:t>
  </x:si>
  <x:si>
    <x:t xml:space="preserve">https://dl.smwcentral.net/38957/BlackOut.zip</x:t>
  </x:si>
  <x:si>
    <x:t xml:space="preserve">Blind Devil's Trip Back in Time</x:t>
  </x:si>
  <x:si>
    <x:t xml:space="preserve">Blind Devil</x:t>
  </x:si>
  <x:si>
    <x:t xml:space="preserve">5527</x:t>
  </x:si>
  <x:si>
    <x:t xml:space="preserve">https://www.smwcentral.net/?a=details&amp;id=5527&amp;p=section</x:t>
  </x:si>
  <x:si>
    <x:t xml:space="preserve">https://dl.smwcentral.net/5527/BlindTripBackFixed.zip</x:t>
  </x:si>
  <x:si>
    <x:t xml:space="preserve">Blind Race: Lucky Pick</x:t>
  </x:si>
  <x:si>
    <x:t xml:space="preserve">Firstnamebutt, Justepic</x:t>
  </x:si>
  <x:si>
    <x:t xml:space="preserve">35280</x:t>
  </x:si>
  <x:si>
    <x:t xml:space="preserve">https://www.smwcentral.net/?a=details&amp;id=35280&amp;p=section</x:t>
  </x:si>
  <x:si>
    <x:t xml:space="preserve">https://dl.smwcentral.net/35280/Blind%20Race%20Lucky%20Pick.zip</x:t>
  </x:si>
  <x:si>
    <x:t xml:space="preserve">Blockreator Hack</x:t>
  </x:si>
  <x:si>
    <x:t xml:space="preserve">Golden Yoshi</x:t>
  </x:si>
  <x:si>
    <x:t xml:space="preserve">41314</x:t>
  </x:si>
  <x:si>
    <x:t xml:space="preserve">https://www.smwcentral.net/?a=details&amp;id=41314&amp;p=section</x:t>
  </x:si>
  <x:si>
    <x:t xml:space="preserve">https://dl.smwcentral.net/41314/Blockreator%20Hack.zip</x:t>
  </x:si>
  <x:si>
    <x:t xml:space="preserve">Blocks and Hammers and Coins and Spikes</x:t>
  </x:si>
  <x:si>
    <x:t xml:space="preserve">30171</x:t>
  </x:si>
  <x:si>
    <x:t xml:space="preserve">https://www.smwcentral.net/?a=details&amp;id=30171&amp;p=section</x:t>
  </x:si>
  <x:si>
    <x:t xml:space="preserve">https://dl.smwcentral.net/30171/blocks.zip</x:t>
  </x:si>
  <x:si>
    <x:t xml:space="preserve">Blooper Stole My Cake</x:t>
  </x:si>
  <x:si>
    <x:t xml:space="preserve">31843</x:t>
  </x:si>
  <x:si>
    <x:t xml:space="preserve">https://www.smwcentral.net/?a=details&amp;id=31843&amp;p=section</x:t>
  </x:si>
  <x:si>
    <x:t xml:space="preserve">https://dl.smwcentral.net/31843/Blooper%20Stole%20My%20Cake%20%28Version%201.1%29.zip</x:t>
  </x:si>
  <x:si>
    <x:t xml:space="preserve">Blue World</x:t>
  </x:si>
  <x:si>
    <x:t xml:space="preserve">johhankyuzu</x:t>
  </x:si>
  <x:si>
    <x:t xml:space="preserve">32646</x:t>
  </x:si>
  <x:si>
    <x:t xml:space="preserve">https://www.smwcentral.net/?a=details&amp;id=32646&amp;p=section</x:t>
  </x:si>
  <x:si>
    <x:t xml:space="preserve">https://dl.smwcentral.net/32646/Blue%20World.zip</x:t>
  </x:si>
  <x:si>
    <x:t xml:space="preserve">Blue's Revenge</x:t>
  </x:si>
  <x:si>
    <x:t xml:space="preserve">27212</x:t>
  </x:si>
  <x:si>
    <x:t xml:space="preserve">https://www.smwcentral.net/?a=details&amp;id=27212&amp;p=section</x:t>
  </x:si>
  <x:si>
    <x:t xml:space="preserve">https://dl.smwcentral.net/27212/Blue%27sRevengeV1.1.zip</x:t>
  </x:si>
  <x:si>
    <x:t xml:space="preserve">Bluerio's Adventure</x:t>
  </x:si>
  <x:si>
    <x:t xml:space="preserve">Inflagrandy</x:t>
  </x:si>
  <x:si>
    <x:t xml:space="preserve">39591</x:t>
  </x:si>
  <x:si>
    <x:t xml:space="preserve">https://www.smwcentral.net/?a=details&amp;id=39591&amp;p=section</x:t>
  </x:si>
  <x:si>
    <x:t xml:space="preserve">https://dl.smwcentral.net/39591/Bluerio%27s%20Adventure.zip</x:t>
  </x:si>
  <x:si>
    <x:t xml:space="preserve">Bluewater Kingdom</x:t>
  </x:si>
  <x:si>
    <x:t xml:space="preserve">Nic Nac</x:t>
  </x:si>
  <x:si>
    <x:t xml:space="preserve">11347</x:t>
  </x:si>
  <x:si>
    <x:t xml:space="preserve">https://www.smwcentral.net/?a=details&amp;id=11347&amp;p=section</x:t>
  </x:si>
  <x:si>
    <x:t xml:space="preserve">https://dl.smwcentral.net/11347/Bluewater%20Kingdom.zip</x:t>
  </x:si>
  <x:si>
    <x:t xml:space="preserve">Bob's Adventure</x:t>
  </x:si>
  <x:si>
    <x:t xml:space="preserve">thekenbaum</x:t>
  </x:si>
  <x:si>
    <x:t xml:space="preserve">10194</x:t>
  </x:si>
  <x:si>
    <x:t xml:space="preserve">https://www.smwcentral.net/?a=details&amp;id=10194&amp;p=section</x:t>
  </x:si>
  <x:si>
    <x:t xml:space="preserve">https://dl.smwcentral.net/10194/Bob%27s%20adventure%20patch.zip</x:t>
  </x:si>
  <x:si>
    <x:t xml:space="preserve">BokoBoko 2  - no yaba (smw remaster)</x:t>
  </x:si>
  <x:si>
    <x:t xml:space="preserve">AnaRosaHD01</x:t>
  </x:si>
  <x:si>
    <x:t xml:space="preserve">32466</x:t>
  </x:si>
  <x:si>
    <x:t xml:space="preserve">https://www.smwcentral.net/?a=details&amp;id=32466&amp;p=section</x:t>
  </x:si>
  <x:si>
    <x:t xml:space="preserve">https://dl.smwcentral.net/32466/BokoBoko2%20smw%20remaster.zip</x:t>
  </x:si>
  <x:si>
    <x:t xml:space="preserve">BoliKa</x:t>
  </x:si>
  <x:si>
    <x:t xml:space="preserve">Kazefbr</x:t>
  </x:si>
  <x:si>
    <x:t xml:space="preserve">27797</x:t>
  </x:si>
  <x:si>
    <x:t xml:space="preserve">https://www.smwcentral.net/?a=details&amp;id=27797&amp;p=section</x:t>
  </x:si>
  <x:si>
    <x:t xml:space="preserve">https://dl.smwcentral.net/27797/BoliKa%20V1.1.zip</x:t>
  </x:si>
  <x:si>
    <x:t xml:space="preserve">Bomberman X</x:t>
  </x:si>
  <x:si>
    <x:t xml:space="preserve">karen13505</x:t>
  </x:si>
  <x:si>
    <x:t xml:space="preserve">14376</x:t>
  </x:si>
  <x:si>
    <x:t xml:space="preserve">https://www.smwcentral.net/?a=details&amp;id=14376&amp;p=section</x:t>
  </x:si>
  <x:si>
    <x:t xml:space="preserve">https://dl.smwcentral.net/14376/Bomberman_X%20final%20patch.zip</x:t>
  </x:si>
  <x:si>
    <x:t xml:space="preserve">Bonni's Quest</x:t>
  </x:si>
  <x:si>
    <x:t xml:space="preserve">Ladida</x:t>
  </x:si>
  <x:si>
    <x:t xml:space="preserve">5346</x:t>
  </x:si>
  <x:si>
    <x:t xml:space="preserve">https://www.smwcentral.net/?a=details&amp;id=5346&amp;p=section</x:t>
  </x:si>
  <x:si>
    <x:t xml:space="preserve">https://dl.smwcentral.net/5346/Bonni%27s%20Quest%20-%20Demo%202%20%5BFixed%5D.zip</x:t>
  </x:si>
  <x:si>
    <x:t xml:space="preserve">Boogie Wonderland</x:t>
  </x:si>
  <x:si>
    <x:t xml:space="preserve">BabaYegha</x:t>
  </x:si>
  <x:si>
    <x:t xml:space="preserve">28495</x:t>
  </x:si>
  <x:si>
    <x:t xml:space="preserve">https://www.smwcentral.net/?a=details&amp;id=28495&amp;p=section</x:t>
  </x:si>
  <x:si>
    <x:t xml:space="preserve">https://dl.smwcentral.net/28495/BoogieWonderLand_v2.0.zip</x:t>
  </x:si>
  <x:si>
    <x:t xml:space="preserve">Boon's Adventure</x:t>
  </x:si>
  <x:si>
    <x:t xml:space="preserve">32564</x:t>
  </x:si>
  <x:si>
    <x:t xml:space="preserve">https://www.smwcentral.net/?a=details&amp;id=32564&amp;p=section</x:t>
  </x:si>
  <x:si>
    <x:t xml:space="preserve">https://dl.smwcentral.net/32564/Boon%27s%20Adventure%20Demo.zip</x:t>
  </x:si>
  <x:si>
    <x:t xml:space="preserve">BooSide</x:t>
  </x:si>
  <x:si>
    <x:t xml:space="preserve">CousinCatnip</x:t>
  </x:si>
  <x:si>
    <x:t xml:space="preserve">27043</x:t>
  </x:si>
  <x:si>
    <x:t xml:space="preserve">https://www.smwcentral.net/?a=details&amp;id=27043&amp;p=section</x:t>
  </x:si>
  <x:si>
    <x:t xml:space="preserve">https://dl.smwcentral.net/27043/BooSide%201.0.zip</x:t>
  </x:si>
  <x:si>
    <x:t xml:space="preserve">BOOT IT UP</x:t>
  </x:si>
  <x:si>
    <x:t xml:space="preserve">Goon Nation, deported</x:t>
  </x:si>
  <x:si>
    <x:t xml:space="preserve">39679</x:t>
  </x:si>
  <x:si>
    <x:t xml:space="preserve">https://www.smwcentral.net/?a=details&amp;id=39679&amp;p=section</x:t>
  </x:si>
  <x:si>
    <x:t xml:space="preserve">https://dl.smwcentral.net/39679/boot.zip</x:t>
  </x:si>
  <x:si>
    <x:t xml:space="preserve">Borealis Sh'El</x:t>
  </x:si>
  <x:si>
    <x:t xml:space="preserve">elsaiz117</x:t>
  </x:si>
  <x:si>
    <x:t xml:space="preserve">40521</x:t>
  </x:si>
  <x:si>
    <x:t xml:space="preserve">https://www.smwcentral.net/?a=details&amp;id=40521&amp;p=section</x:t>
  </x:si>
  <x:si>
    <x:t xml:space="preserve">https://dl.smwcentral.net/40521/Borealis%20Sh%27El.zip</x:t>
  </x:si>
  <x:si>
    <x:t xml:space="preserve">Boris</x:t>
  </x:si>
  <x:si>
    <x:t xml:space="preserve">Sockbat Replica</x:t>
  </x:si>
  <x:si>
    <x:t xml:space="preserve">17843</x:t>
  </x:si>
  <x:si>
    <x:t xml:space="preserve">https://www.smwcentral.net/?a=details&amp;id=17843&amp;p=section</x:t>
  </x:si>
  <x:si>
    <x:t xml:space="preserve">https://dl.smwcentral.net/17843/Boris%20V2.zip</x:t>
  </x:si>
  <x:si>
    <x:t xml:space="preserve">Bounceland: The Quest for The Holy Springboard</x:t>
  </x:si>
  <x:si>
    <x:t xml:space="preserve">Segment1Zone2</x:t>
  </x:si>
  <x:si>
    <x:t xml:space="preserve">39209</x:t>
  </x:si>
  <x:si>
    <x:t xml:space="preserve">https://www.smwcentral.net/?a=details&amp;id=39209&amp;p=section</x:t>
  </x:si>
  <x:si>
    <x:t xml:space="preserve">https://dl.smwcentral.net/39209/Bounceland%20v1.02.zip</x:t>
  </x:si>
  <x:si>
    <x:t xml:space="preserve">Bowser Forest</x:t>
  </x:si>
  <x:si>
    <x:t xml:space="preserve">Dylan Yoshi</x:t>
  </x:si>
  <x:si>
    <x:t xml:space="preserve">9752</x:t>
  </x:si>
  <x:si>
    <x:t xml:space="preserve">https://www.smwcentral.net/?a=details&amp;id=9752&amp;p=section</x:t>
  </x:si>
  <x:si>
    <x:t xml:space="preserve">https://dl.smwcentral.net/9752/Bowser%20Forest.zip</x:t>
  </x:si>
  <x:si>
    <x:t xml:space="preserve">Bowser Jr's Adventure</x:t>
  </x:si>
  <x:si>
    <x:t xml:space="preserve">BBkaizo</x:t>
  </x:si>
  <x:si>
    <x:t xml:space="preserve">10199</x:t>
  </x:si>
  <x:si>
    <x:t xml:space="preserve">https://www.smwcentral.net/?a=details&amp;id=10199&amp;p=section</x:t>
  </x:si>
  <x:si>
    <x:t xml:space="preserve">https://dl.smwcentral.net/10199/Bowser%20jr.zip</x:t>
  </x:si>
  <x:si>
    <x:t xml:space="preserve">Bowser Jr.'s Pirate Ship</x:t>
  </x:si>
  <x:si>
    <x:t xml:space="preserve">Shizufuzu</x:t>
  </x:si>
  <x:si>
    <x:t xml:space="preserve">11682</x:t>
  </x:si>
  <x:si>
    <x:t xml:space="preserve">https://www.smwcentral.net/?a=details&amp;id=11682&amp;p=section</x:t>
  </x:si>
  <x:si>
    <x:t xml:space="preserve">https://dl.smwcentral.net/11682/Bowser%20JR.s%20pirate%20ship.zip</x:t>
  </x:si>
  <x:si>
    <x:t xml:space="preserve">Bowser Rampages Again</x:t>
  </x:si>
  <x:si>
    <x:t xml:space="preserve">ZMann</x:t>
  </x:si>
  <x:si>
    <x:t xml:space="preserve">5241</x:t>
  </x:si>
  <x:si>
    <x:t xml:space="preserve">https://www.smwcentral.net/?a=details&amp;id=5241&amp;p=section</x:t>
  </x:si>
  <x:si>
    <x:t xml:space="preserve">https://dl.smwcentral.net/5241/Bowser%20Rampages%20Again.zip</x:t>
  </x:si>
  <x:si>
    <x:t xml:space="preserve">Bowser Rampages Again 2 - Peach Rampages Back!</x:t>
  </x:si>
  <x:si>
    <x:t xml:space="preserve">10488</x:t>
  </x:si>
  <x:si>
    <x:t xml:space="preserve">https://www.smwcentral.net/?a=details&amp;id=10488&amp;p=section</x:t>
  </x:si>
  <x:si>
    <x:t xml:space="preserve">https://dl.smwcentral.net/10488/RAMPAGEII-REALDEMOI%20%282%29.zip</x:t>
  </x:si>
  <x:si>
    <x:t xml:space="preserve">Bowser Runis Marios Vaction</x:t>
  </x:si>
  <x:si>
    <x:t xml:space="preserve">Enan63</x:t>
  </x:si>
  <x:si>
    <x:t xml:space="preserve">18822</x:t>
  </x:si>
  <x:si>
    <x:t xml:space="preserve">https://www.smwcentral.net/?a=details&amp;id=18822&amp;p=section</x:t>
  </x:si>
  <x:si>
    <x:t xml:space="preserve">https://dl.smwcentral.net/18822/Bowser%20Runis%20Marios%20Vaction.zip</x:t>
  </x:si>
  <x:si>
    <x:t xml:space="preserve">Bowser Stadium</x:t>
  </x:si>
  <x:si>
    <x:t xml:space="preserve">5582</x:t>
  </x:si>
  <x:si>
    <x:t xml:space="preserve">https://www.smwcentral.net/?a=details&amp;id=5582&amp;p=section</x:t>
  </x:si>
  <x:si>
    <x:t xml:space="preserve">https://dl.smwcentral.net/5582/Bowser%20Stadium%20Gamma.zip</x:t>
  </x:si>
  <x:si>
    <x:t xml:space="preserve">Bowser Strikes Back</x:t>
  </x:si>
  <x:si>
    <x:t xml:space="preserve">Jimmy</x:t>
  </x:si>
  <x:si>
    <x:t xml:space="preserve">9774</x:t>
  </x:si>
  <x:si>
    <x:t xml:space="preserve">https://www.smwcentral.net/?a=details&amp;id=9774&amp;p=section</x:t>
  </x:si>
  <x:si>
    <x:t xml:space="preserve">https://dl.smwcentral.net/9774/BSB-Demo1v1.1.zip</x:t>
  </x:si>
  <x:si>
    <x:t xml:space="preserve">Bowser's Armada</x:t>
  </x:si>
  <x:si>
    <x:t xml:space="preserve">Choco</x:t>
  </x:si>
  <x:si>
    <x:t xml:space="preserve">9877</x:t>
  </x:si>
  <x:si>
    <x:t xml:space="preserve">https://www.smwcentral.net/?a=details&amp;id=9877&amp;p=section</x:t>
  </x:si>
  <x:si>
    <x:t xml:space="preserve">https://dl.smwcentral.net/9877/Kopia%20%284%29%20av%20Super%20Mario%20World%20%28U%29%20%5B%21%5D.zip</x:t>
  </x:si>
  <x:si>
    <x:t xml:space="preserve">Bowser's Casino</x:t>
  </x:si>
  <x:si>
    <x:t xml:space="preserve">FreeKill2111</x:t>
  </x:si>
  <x:si>
    <x:t xml:space="preserve">40169</x:t>
  </x:si>
  <x:si>
    <x:t xml:space="preserve">https://www.smwcentral.net/?a=details&amp;id=40169&amp;p=section</x:t>
  </x:si>
  <x:si>
    <x:t xml:space="preserve">https://dl.smwcentral.net/40169/BowsersCasino.zip</x:t>
  </x:si>
  <x:si>
    <x:t xml:space="preserve">Bowser's Castle</x:t>
  </x:si>
  <x:si>
    <x:t xml:space="preserve">PMH</x:t>
  </x:si>
  <x:si>
    <x:t xml:space="preserve">13982</x:t>
  </x:si>
  <x:si>
    <x:t xml:space="preserve">https://www.smwcentral.net/?a=details&amp;id=13982&amp;p=section</x:t>
  </x:si>
  <x:si>
    <x:t xml:space="preserve">https://dl.smwcentral.net/13982/Bowser%27s%20Castle.zip</x:t>
  </x:si>
  <x:si>
    <x:t xml:space="preserve">Bowser's Castle 2</x:t>
  </x:si>
  <x:si>
    <x:t xml:space="preserve">22233</x:t>
  </x:si>
  <x:si>
    <x:t xml:space="preserve">https://www.smwcentral.net/?a=details&amp;id=22233&amp;p=section</x:t>
  </x:si>
  <x:si>
    <x:t xml:space="preserve">https://dl.smwcentral.net/22233/Bowser%27s%20Castle%202.zip</x:t>
  </x:si>
  <x:si>
    <x:t xml:space="preserve">Bowser's Dangerous Castle 2</x:t>
  </x:si>
  <x:si>
    <x:t xml:space="preserve">Vampire Killer</x:t>
  </x:si>
  <x:si>
    <x:t xml:space="preserve">9707</x:t>
  </x:si>
  <x:si>
    <x:t xml:space="preserve">https://www.smwcentral.net/?a=details&amp;id=9707&amp;p=section</x:t>
  </x:si>
  <x:si>
    <x:t xml:space="preserve">https://dl.smwcentral.net/9707/BDC2.zip</x:t>
  </x:si>
  <x:si>
    <x:t xml:space="preserve">Bowser's Hideout</x:t>
  </x:si>
  <x:si>
    <x:t xml:space="preserve">Core</x:t>
  </x:si>
  <x:si>
    <x:t xml:space="preserve">32728</x:t>
  </x:si>
  <x:si>
    <x:t xml:space="preserve">https://www.smwcentral.net/?a=details&amp;id=32728&amp;p=section</x:t>
  </x:si>
  <x:si>
    <x:t xml:space="preserve">https://dl.smwcentral.net/32728/BH1Fix.zip</x:t>
  </x:si>
  <x:si>
    <x:t xml:space="preserve">Bowser's Hideout 2</x:t>
  </x:si>
  <x:si>
    <x:t xml:space="preserve">28708</x:t>
  </x:si>
  <x:si>
    <x:t xml:space="preserve">https://www.smwcentral.net/?a=details&amp;id=28708&amp;p=section</x:t>
  </x:si>
  <x:si>
    <x:t xml:space="preserve">https://dl.smwcentral.net/28708/Bowser%27s%20Hideout%202_fix.zip</x:t>
  </x:si>
  <x:si>
    <x:t xml:space="preserve">Bowser's Hideout Deluxe</x:t>
  </x:si>
  <x:si>
    <x:t xml:space="preserve">Core, Mr. MS</x:t>
  </x:si>
  <x:si>
    <x:t xml:space="preserve">33106</x:t>
  </x:si>
  <x:si>
    <x:t xml:space="preserve">https://www.smwcentral.net/?a=details&amp;id=33106&amp;p=section</x:t>
  </x:si>
  <x:si>
    <x:t xml:space="preserve">https://dl.smwcentral.net/33106/BH1R.zip</x:t>
  </x:si>
  <x:si>
    <x:t xml:space="preserve">Bowser's Kingdom</x:t>
  </x:si>
  <x:si>
    <x:t xml:space="preserve">mario and luigi</x:t>
  </x:si>
  <x:si>
    <x:t xml:space="preserve">6874</x:t>
  </x:si>
  <x:si>
    <x:t xml:space="preserve">https://www.smwcentral.net/?a=details&amp;id=6874&amp;p=section</x:t>
  </x:si>
  <x:si>
    <x:t xml:space="preserve">https://dl.smwcentral.net/6874/bowser%27s%20kingdom%20hack.zip</x:t>
  </x:si>
  <x:si>
    <x:t xml:space="preserve">Bowser's Plan Part One: Alternate World</x:t>
  </x:si>
  <x:si>
    <x:t xml:space="preserve">ShyGuyGuyShy</x:t>
  </x:si>
  <x:si>
    <x:t xml:space="preserve">10046</x:t>
  </x:si>
  <x:si>
    <x:t xml:space="preserve">https://www.smwcentral.net/?a=details&amp;id=10046&amp;p=section</x:t>
  </x:si>
  <x:si>
    <x:t xml:space="preserve">https://dl.smwcentral.net/10046/SMB%20BP%20DEMO.zip</x:t>
  </x:si>
  <x:si>
    <x:t xml:space="preserve">Bowser's Revenge</x:t>
  </x:si>
  <x:si>
    <x:t xml:space="preserve">Easy Difficulty</x:t>
  </x:si>
  <x:si>
    <x:t xml:space="preserve">35118</x:t>
  </x:si>
  <x:si>
    <x:t xml:space="preserve">https://www.smwcentral.net/?a=details&amp;id=35118&amp;p=section</x:t>
  </x:si>
  <x:si>
    <x:t xml:space="preserve">https://dl.smwcentral.net/35118/Bowser%27s%20Revenge%20v1.1.zip</x:t>
  </x:si>
  <x:si>
    <x:t xml:space="preserve">Bowser's Revenge 2</x:t>
  </x:si>
  <x:si>
    <x:t xml:space="preserve">37751</x:t>
  </x:si>
  <x:si>
    <x:t xml:space="preserve">https://www.smwcentral.net/?a=details&amp;id=37751&amp;p=section</x:t>
  </x:si>
  <x:si>
    <x:t xml:space="preserve">https://dl.smwcentral.net/37751/Bowser%27s%20Revenge%202%20v1.1.zip</x:t>
  </x:si>
  <x:si>
    <x:t xml:space="preserve">Bowser's Revenge 3</x:t>
  </x:si>
  <x:si>
    <x:t xml:space="preserve">35354</x:t>
  </x:si>
  <x:si>
    <x:t xml:space="preserve">https://www.smwcentral.net/?a=details&amp;id=35354&amp;p=section</x:t>
  </x:si>
  <x:si>
    <x:t xml:space="preserve">https://dl.smwcentral.net/35354/Bowser%27s%20Revenge%203.zip</x:t>
  </x:si>
  <x:si>
    <x:t xml:space="preserve">Bowser's Revenge 4</x:t>
  </x:si>
  <x:si>
    <x:t xml:space="preserve">36606</x:t>
  </x:si>
  <x:si>
    <x:t xml:space="preserve">https://www.smwcentral.net/?a=details&amp;id=36606&amp;p=section</x:t>
  </x:si>
  <x:si>
    <x:t xml:space="preserve">https://dl.smwcentral.net/36606/Bowser%27s%20Revenge%204.zip</x:t>
  </x:si>
  <x:si>
    <x:t xml:space="preserve">Bowser's Time Machine</x:t>
  </x:si>
  <x:si>
    <x:t xml:space="preserve">DarkBones</x:t>
  </x:si>
  <x:si>
    <x:t xml:space="preserve">10178</x:t>
  </x:si>
  <x:si>
    <x:t xml:space="preserve">https://www.smwcentral.net/?a=details&amp;id=10178&amp;p=section</x:t>
  </x:si>
  <x:si>
    <x:t xml:space="preserve">https://dl.smwcentral.net/10178/Bowser%27s%20Time%20Machine.zip</x:t>
  </x:si>
  <x:si>
    <x:t xml:space="preserve">Box of Shadows</x:t>
  </x:si>
  <x:si>
    <x:t xml:space="preserve">28763</x:t>
  </x:si>
  <x:si>
    <x:t xml:space="preserve">https://www.smwcentral.net/?a=details&amp;id=28763&amp;p=section</x:t>
  </x:si>
  <x:si>
    <x:t xml:space="preserve">https://dl.smwcentral.net/28763/Box_of_Shadows.zip</x:t>
  </x:si>
  <x:si>
    <x:t xml:space="preserve">Brave New World</x:t>
  </x:si>
  <x:si>
    <x:t xml:space="preserve">derv82</x:t>
  </x:si>
  <x:si>
    <x:t xml:space="preserve">30248</x:t>
  </x:si>
  <x:si>
    <x:t xml:space="preserve">https://www.smwcentral.net/?a=details&amp;id=30248&amp;p=section</x:t>
  </x:si>
  <x:si>
    <x:t xml:space="preserve">https://dl.smwcentral.net/30248/Brave%20New%20World%201.1.zip</x:t>
  </x:si>
  <x:si>
    <x:t xml:space="preserve">Brave New World 2</x:t>
  </x:si>
  <x:si>
    <x:t xml:space="preserve">35504</x:t>
  </x:si>
  <x:si>
    <x:t xml:space="preserve">https://www.smwcentral.net/?a=details&amp;id=35504&amp;p=section</x:t>
  </x:si>
  <x:si>
    <x:t xml:space="preserve">https://dl.smwcentral.net/35504/BraveNewWorld2.zip</x:t>
  </x:si>
  <x:si>
    <x:t xml:space="preserve">Bread World</x:t>
  </x:si>
  <x:si>
    <x:t xml:space="preserve">22536</x:t>
  </x:si>
  <x:si>
    <x:t xml:space="preserve">https://www.smwcentral.net/?a=details&amp;id=22536&amp;p=section</x:t>
  </x:si>
  <x:si>
    <x:t xml:space="preserve">https://dl.smwcentral.net/22536/BreadWorld.zip</x:t>
  </x:si>
  <x:si>
    <x:t xml:space="preserve">Breakfast Kaizo 2: Elevensies</x:t>
  </x:si>
  <x:si>
    <x:t xml:space="preserve">GlitchCat7</x:t>
  </x:si>
  <x:si>
    <x:t xml:space="preserve">21147</x:t>
  </x:si>
  <x:si>
    <x:t xml:space="preserve">https://www.smwcentral.net/?a=details&amp;id=21147&amp;p=section</x:t>
  </x:si>
  <x:si>
    <x:t xml:space="preserve">https://dl.smwcentral.net/21147/BKW2_1.1.zip</x:t>
  </x:si>
  <x:si>
    <x:t xml:space="preserve">Breaking SMW</x:t>
  </x:si>
  <x:si>
    <x:t xml:space="preserve">Devazure, Magikey, dacin, xHF01x</x:t>
  </x:si>
  <x:si>
    <x:t xml:space="preserve">30536</x:t>
  </x:si>
  <x:si>
    <x:t xml:space="preserve">https://www.smwcentral.net/?a=details&amp;id=30536&amp;p=section</x:t>
  </x:si>
  <x:si>
    <x:t xml:space="preserve">https://dl.smwcentral.net/30536/BreakingSMW.zip</x:t>
  </x:si>
  <x:si>
    <x:t xml:space="preserve">Briefly12 World</x:t>
  </x:si>
  <x:si>
    <x:t xml:space="preserve">Lee12UK</x:t>
  </x:si>
  <x:si>
    <x:t xml:space="preserve">28764</x:t>
  </x:si>
  <x:si>
    <x:t xml:space="preserve">https://www.smwcentral.net/?a=details&amp;id=28764&amp;p=section</x:t>
  </x:si>
  <x:si>
    <x:t xml:space="preserve">https://dl.smwcentral.net/28764/Briefly12v1.1.zip</x:t>
  </x:si>
  <x:si>
    <x:t xml:space="preserve">BRMVR</x:t>
  </x:si>
  <x:si>
    <x:t xml:space="preserve">20443</x:t>
  </x:si>
  <x:si>
    <x:t xml:space="preserve">https://www.smwcentral.net/?a=details&amp;id=20443&amp;p=section</x:t>
  </x:si>
  <x:si>
    <x:t xml:space="preserve">https://dl.smwcentral.net/20443/BRMVR%20Demo%202%20C3%20July%202019.zip</x:t>
  </x:si>
  <x:si>
    <x:t xml:space="preserve">Bro's Adventure</x:t>
  </x:si>
  <x:si>
    <x:t xml:space="preserve">Gringo Loco Jr.</x:t>
  </x:si>
  <x:si>
    <x:t xml:space="preserve">33806</x:t>
  </x:si>
  <x:si>
    <x:t xml:space="preserve">https://www.smwcentral.net/?a=details&amp;id=33806&amp;p=section</x:t>
  </x:si>
  <x:si>
    <x:t xml:space="preserve">https://dl.smwcentral.net/33806/Bro%27s%20Adventure%20%28Demo%29.zip</x:t>
  </x:si>
  <x:si>
    <x:t xml:space="preserve">Broken Shell</x:t>
  </x:si>
  <x:si>
    <x:t xml:space="preserve">Pottsie</x:t>
  </x:si>
  <x:si>
    <x:t xml:space="preserve">40848</x:t>
  </x:si>
  <x:si>
    <x:t xml:space="preserve">https://www.smwcentral.net/?a=details&amp;id=40848&amp;p=section</x:t>
  </x:si>
  <x:si>
    <x:t xml:space="preserve">https://dl.smwcentral.net/40848/Broken%20Shell.zip</x:t>
  </x:si>
  <x:si>
    <x:t xml:space="preserve">Brothermen</x:t>
  </x:si>
  <x:si>
    <x:t xml:space="preserve">JezJitzu, MorrieTheMagpie, pnaha</x:t>
  </x:si>
  <x:si>
    <x:t xml:space="preserve">42661</x:t>
  </x:si>
  <x:si>
    <x:t xml:space="preserve">https://www.smwcentral.net/?a=details&amp;id=42661&amp;p=section</x:t>
  </x:si>
  <x:si>
    <x:t xml:space="preserve">https://dl.smwcentral.net/42661/Brothermen.zip</x:t>
  </x:si>
  <x:si>
    <x:t xml:space="preserve">Brutal Bunny</x:t>
  </x:si>
  <x:si>
    <x:t xml:space="preserve">fanfan21</x:t>
  </x:si>
  <x:si>
    <x:t xml:space="preserve">39595</x:t>
  </x:si>
  <x:si>
    <x:t xml:space="preserve">https://www.smwcentral.net/?a=details&amp;id=39595&amp;p=section</x:t>
  </x:si>
  <x:si>
    <x:t xml:space="preserve">https://dl.smwcentral.net/39595/Brutal%20Bunny%20%28SMW%29.zip</x:t>
  </x:si>
  <x:si>
    <x:t xml:space="preserve">Brutal Mario</x:t>
  </x:si>
  <x:si>
    <x:t xml:space="preserve">carol</x:t>
  </x:si>
  <x:si>
    <x:t xml:space="preserve">6099</x:t>
  </x:si>
  <x:si>
    <x:t xml:space="preserve">https://www.smwcentral.net/?a=details&amp;id=6099&amp;p=section</x:t>
  </x:si>
  <x:si>
    <x:t xml:space="preserve">https://dl.smwcentral.net/6099/Brutal%20Mario%20Demo%207.zip</x:t>
  </x:si>
  <x:si>
    <x:t xml:space="preserve">Buddy Shell</x:t>
  </x:si>
  <x:si>
    <x:t xml:space="preserve">Firstnamebutt</x:t>
  </x:si>
  <x:si>
    <x:t xml:space="preserve">33690</x:t>
  </x:si>
  <x:si>
    <x:t xml:space="preserve">https://www.smwcentral.net/?a=details&amp;id=33690&amp;p=section</x:t>
  </x:si>
  <x:si>
    <x:t xml:space="preserve">https://dl.smwcentral.net/33690/BUDDY%20SHELL%20v1.zip</x:t>
  </x:si>
  <x:si>
    <x:t xml:space="preserve">Buddy Shell 2</x:t>
  </x:si>
  <x:si>
    <x:t xml:space="preserve">36816</x:t>
  </x:si>
  <x:si>
    <x:t xml:space="preserve">https://www.smwcentral.net/?a=details&amp;id=36816&amp;p=section</x:t>
  </x:si>
  <x:si>
    <x:t xml:space="preserve">https://dl.smwcentral.net/36816/Buddy_Shell2.zip</x:t>
  </x:si>
  <x:si>
    <x:t xml:space="preserve">Buddy Shell 2 REDUX</x:t>
  </x:si>
  <x:si>
    <x:t xml:space="preserve">37743</x:t>
  </x:si>
  <x:si>
    <x:t xml:space="preserve">https://www.smwcentral.net/?a=details&amp;id=37743&amp;p=section</x:t>
  </x:si>
  <x:si>
    <x:t xml:space="preserve">https://dl.smwcentral.net/37743/BuddyShell2REDUX.zip</x:t>
  </x:si>
  <x:si>
    <x:t xml:space="preserve">Bullymario's New Super Mario World</x:t>
  </x:si>
  <x:si>
    <x:t xml:space="preserve">Bullymario</x:t>
  </x:si>
  <x:si>
    <x:t xml:space="preserve">31895</x:t>
  </x:si>
  <x:si>
    <x:t xml:space="preserve">https://www.smwcentral.net/?a=details&amp;id=31895&amp;p=section</x:t>
  </x:si>
  <x:si>
    <x:t xml:space="preserve">https://dl.smwcentral.net/31895/NSMW1%20%28Fixed%29.zip</x:t>
  </x:si>
  <x:si>
    <x:t xml:space="preserve">Bunbun 3</x:t>
  </x:si>
  <x:si>
    <x:t xml:space="preserve">sio-kedelic</x:t>
  </x:si>
  <x:si>
    <x:t xml:space="preserve">34494</x:t>
  </x:si>
  <x:si>
    <x:t xml:space="preserve">https://www.smwcentral.net/?a=details&amp;id=34494&amp;p=section</x:t>
  </x:si>
  <x:si>
    <x:t xml:space="preserve">https://dl.smwcentral.net/34494/bunbun3v1.01.zip</x:t>
  </x:si>
  <x:si>
    <x:t xml:space="preserve">Bunbun World</x:t>
  </x:si>
  <x:si>
    <x:t xml:space="preserve">20177</x:t>
  </x:si>
  <x:si>
    <x:t xml:space="preserve">https://www.smwcentral.net/?a=details&amp;id=20177&amp;p=section</x:t>
  </x:si>
  <x:si>
    <x:t xml:space="preserve">https://dl.smwcentral.net/20177/BunbunWorld_1.0.zip</x:t>
  </x:si>
  <x:si>
    <x:t xml:space="preserve">Bunbun World 2</x:t>
  </x:si>
  <x:si>
    <x:t xml:space="preserve">24356</x:t>
  </x:si>
  <x:si>
    <x:t xml:space="preserve">https://www.smwcentral.net/?a=details&amp;id=24356&amp;p=section</x:t>
  </x:si>
  <x:si>
    <x:t xml:space="preserve">https://dl.smwcentral.net/24356/BunbunWorld2_1.1.zip</x:t>
  </x:si>
  <x:si>
    <x:t xml:space="preserve">Burning Star</x:t>
  </x:si>
  <x:si>
    <x:t xml:space="preserve">PixlBitNick</x:t>
  </x:si>
  <x:si>
    <x:t xml:space="preserve">33860</x:t>
  </x:si>
  <x:si>
    <x:t xml:space="preserve">https://www.smwcentral.net/?a=details&amp;id=33860&amp;p=section</x:t>
  </x:si>
  <x:si>
    <x:t xml:space="preserve">https://dl.smwcentral.net/33860/burningstar1.3.zip</x:t>
  </x:si>
  <x:si>
    <x:t xml:space="preserve">Burning Star 2 Deluxe</x:t>
  </x:si>
  <x:si>
    <x:t xml:space="preserve">38340</x:t>
  </x:si>
  <x:si>
    <x:t xml:space="preserve">https://www.smwcentral.net/?a=details&amp;id=38340&amp;p=section</x:t>
  </x:si>
  <x:si>
    <x:t xml:space="preserve">https://dl.smwcentral.net/38340/BurningStar2Deluxe.zip</x:t>
  </x:si>
  <x:si>
    <x:t xml:space="preserve">Burrito Rings</x:t>
  </x:si>
  <x:si>
    <x:t xml:space="preserve">Sammmoo</x:t>
  </x:si>
  <x:si>
    <x:t xml:space="preserve">25065</x:t>
  </x:si>
  <x:si>
    <x:t xml:space="preserve">https://www.smwcentral.net/?a=details&amp;id=25065&amp;p=section</x:t>
  </x:si>
  <x:si>
    <x:t xml:space="preserve">https://dl.smwcentral.net/25065/Burrito%20Rings.zip</x:t>
  </x:si>
  <x:si>
    <x:t xml:space="preserve">BUTT GRAVY</x:t>
  </x:si>
  <x:si>
    <x:t xml:space="preserve">xMANGRAVYx</x:t>
  </x:si>
  <x:si>
    <x:t xml:space="preserve">39760</x:t>
  </x:si>
  <x:si>
    <x:t xml:space="preserve">https://www.smwcentral.net/?a=details&amp;id=39760&amp;p=section</x:t>
  </x:si>
  <x:si>
    <x:t xml:space="preserve">https://dl.smwcentral.net/39760/BUTT%20GRAVY.zip</x:t>
  </x:si>
  <x:si>
    <x:t xml:space="preserve">Buzzed</x:t>
  </x:si>
  <x:si>
    <x:t xml:space="preserve">40001</x:t>
  </x:si>
  <x:si>
    <x:t xml:space="preserve">https://www.smwcentral.net/?a=details&amp;id=40001&amp;p=section</x:t>
  </x:si>
  <x:si>
    <x:t xml:space="preserve">https://dl.smwcentral.net/40001/BUZZED.zip</x:t>
  </x:si>
  <x:si>
    <x:t xml:space="preserve">Buzzy's World Tour</x:t>
  </x:si>
  <x:si>
    <x:t xml:space="preserve">20379</x:t>
  </x:si>
  <x:si>
    <x:t xml:space="preserve">https://www.smwcentral.net/?a=details&amp;id=20379&amp;p=section</x:t>
  </x:si>
  <x:si>
    <x:t xml:space="preserve">https://dl.smwcentral.net/20379/Buzzy%27s%20World%20Tour%20%28DISCONTINUED%29.zip</x:t>
  </x:si>
  <x:si>
    <x:t xml:space="preserve">By The Harvest Moon</x:t>
  </x:si>
  <x:si>
    <x:t xml:space="preserve">9267</x:t>
  </x:si>
  <x:si>
    <x:t xml:space="preserve">https://www.smwcentral.net/?a=details&amp;id=9267&amp;p=section</x:t>
  </x:si>
  <x:si>
    <x:t xml:space="preserve">https://dl.smwcentral.net/9267/By%20The%20Harvest%20Moon%202nd%20Edition.zip</x:t>
  </x:si>
  <x:si>
    <x:t xml:space="preserve">Cacaphonic Chrysalis</x:t>
  </x:si>
  <x:si>
    <x:t xml:space="preserve">31877</x:t>
  </x:si>
  <x:si>
    <x:t xml:space="preserve">https://www.smwcentral.net/?a=details&amp;id=31877&amp;p=section</x:t>
  </x:si>
  <x:si>
    <x:t xml:space="preserve">https://dl.smwcentral.net/31877/CacaphonicChrysalis.zip</x:t>
  </x:si>
  <x:si>
    <x:t xml:space="preserve">Cadaverous Chains</x:t>
  </x:si>
  <x:si>
    <x:t xml:space="preserve">14605</x:t>
  </x:si>
  <x:si>
    <x:t xml:space="preserve">https://www.smwcentral.net/?a=details&amp;id=14605&amp;p=section</x:t>
  </x:si>
  <x:si>
    <x:t xml:space="preserve">https://dl.smwcentral.net/14605/Cadaverous%20Chains.zip</x:t>
  </x:si>
  <x:si>
    <x:t xml:space="preserve">Can't Stop Won't Stop</x:t>
  </x:si>
  <x:si>
    <x:t xml:space="preserve">brown_tower</x:t>
  </x:si>
  <x:si>
    <x:t xml:space="preserve">41726</x:t>
  </x:si>
  <x:si>
    <x:t xml:space="preserve">https://www.smwcentral.net/?a=details&amp;id=41726&amp;p=section</x:t>
  </x:si>
  <x:si>
    <x:t xml:space="preserve">https://dl.smwcentral.net/41726/CantStopWontStop_v1.1.zip</x:t>
  </x:si>
  <x:si>
    <x:t xml:space="preserve">Candy Shop</x:t>
  </x:si>
  <x:si>
    <x:t xml:space="preserve">Saphros</x:t>
  </x:si>
  <x:si>
    <x:t xml:space="preserve">38387</x:t>
  </x:si>
  <x:si>
    <x:t xml:space="preserve">https://www.smwcentral.net/?a=details&amp;id=38387&amp;p=section</x:t>
  </x:si>
  <x:si>
    <x:t xml:space="preserve">https://dl.smwcentral.net/38387/Candy_Shop.zip</x:t>
  </x:si>
  <x:si>
    <x:t xml:space="preserve">Candy Shop - Light Edition</x:t>
  </x:si>
  <x:si>
    <x:t xml:space="preserve">39487</x:t>
  </x:si>
  <x:si>
    <x:t xml:space="preserve">https://www.smwcentral.net/?a=details&amp;id=39487&amp;p=section</x:t>
  </x:si>
  <x:si>
    <x:t xml:space="preserve">https://dl.smwcentral.net/39487/Candyshop%20-%20Light%20Edition%201.1.zip</x:t>
  </x:si>
  <x:si>
    <x:t xml:space="preserve">Cangrejo Kaizo Land</x:t>
  </x:si>
  <x:si>
    <x:t xml:space="preserve">Hiroki</x:t>
  </x:si>
  <x:si>
    <x:t xml:space="preserve">26500</x:t>
  </x:si>
  <x:si>
    <x:t xml:space="preserve">https://www.smwcentral.net/?a=details&amp;id=26500&amp;p=section</x:t>
  </x:si>
  <x:si>
    <x:t xml:space="preserve">https://dl.smwcentral.net/26500/Cangrejo%20Kaizo%20Land%20v1.1.zip</x:t>
  </x:si>
  <x:si>
    <x:t xml:space="preserve">Cape is Good</x:t>
  </x:si>
  <x:si>
    <x:t xml:space="preserve">Insanit</x:t>
  </x:si>
  <x:si>
    <x:t xml:space="preserve">39796</x:t>
  </x:si>
  <x:si>
    <x:t xml:space="preserve">https://www.smwcentral.net/?a=details&amp;id=39796&amp;p=section</x:t>
  </x:si>
  <x:si>
    <x:t xml:space="preserve">https://dl.smwcentral.net/39796/Cape%20is%20Good%201.3.zip</x:t>
  </x:si>
  <x:si>
    <x:t xml:space="preserve">Capirotada Land</x:t>
  </x:si>
  <x:si>
    <x:t xml:space="preserve">Mane Bros.</x:t>
  </x:si>
  <x:si>
    <x:t xml:space="preserve">32084</x:t>
  </x:si>
  <x:si>
    <x:t xml:space="preserve">https://www.smwcentral.net/?a=details&amp;id=32084&amp;p=section</x:t>
  </x:si>
  <x:si>
    <x:t xml:space="preserve">https://dl.smwcentral.net/32084/Capirotada%20Land%202.1.zip</x:t>
  </x:si>
  <x:si>
    <x:t xml:space="preserve">Capirotada Land 2: Meta Knight's Intervention</x:t>
  </x:si>
  <x:si>
    <x:t xml:space="preserve">33805</x:t>
  </x:si>
  <x:si>
    <x:t xml:space="preserve">https://www.smwcentral.net/?a=details&amp;id=33805&amp;p=section</x:t>
  </x:si>
  <x:si>
    <x:t xml:space="preserve">https://dl.smwcentral.net/33805/Capirotada%20Land%202.zip</x:t>
  </x:si>
  <x:si>
    <x:t xml:space="preserve">Captain Barry's Treasure</x:t>
  </x:si>
  <x:si>
    <x:t xml:space="preserve">MORC</x:t>
  </x:si>
  <x:si>
    <x:t xml:space="preserve">21010</x:t>
  </x:si>
  <x:si>
    <x:t xml:space="preserve">https://www.smwcentral.net/?a=details&amp;id=21010&amp;p=section</x:t>
  </x:si>
  <x:si>
    <x:t xml:space="preserve">https://dl.smwcentral.net/21010/Captain%20Barry%27s%20Treasure%20V1.2.zip</x:t>
  </x:si>
  <x:si>
    <x:t xml:space="preserve">Captain Toad treasure tracker for snes</x:t>
  </x:si>
  <x:si>
    <x:t xml:space="preserve">zacmario</x:t>
  </x:si>
  <x:si>
    <x:t xml:space="preserve">14736</x:t>
  </x:si>
  <x:si>
    <x:t xml:space="preserve">https://www.smwcentral.net/?a=details&amp;id=14736&amp;p=section</x:t>
  </x:si>
  <x:si>
    <x:t xml:space="preserve">https://dl.smwcentral.net/14736/Capttoad1.1.zip</x:t>
  </x:si>
  <x:si>
    <x:t xml:space="preserve">Captain Toad Treasure Tracker for SNES II</x:t>
  </x:si>
  <x:si>
    <x:t xml:space="preserve">17594</x:t>
  </x:si>
  <x:si>
    <x:t xml:space="preserve">https://www.smwcentral.net/?a=details&amp;id=17594&amp;p=section</x:t>
  </x:si>
  <x:si>
    <x:t xml:space="preserve">https://dl.smwcentral.net/17594/Captain%20Toad%20IIv1.2.zip</x:t>
  </x:si>
  <x:si>
    <x:t xml:space="preserve">Capture That Cake!</x:t>
  </x:si>
  <x:si>
    <x:t xml:space="preserve">Zildjian</x:t>
  </x:si>
  <x:si>
    <x:t xml:space="preserve">6264</x:t>
  </x:si>
  <x:si>
    <x:t xml:space="preserve">https://www.smwcentral.net/?a=details&amp;id=6264&amp;p=section</x:t>
  </x:si>
  <x:si>
    <x:t xml:space="preserve">https://dl.smwcentral.net/6264/ctc%21.zip</x:t>
  </x:si>
  <x:si>
    <x:t xml:space="preserve">Carl vs Juz: Carl's Toilet</x:t>
  </x:si>
  <x:si>
    <x:t xml:space="preserve">juzcook</x:t>
  </x:si>
  <x:si>
    <x:t xml:space="preserve">22475</x:t>
  </x:si>
  <x:si>
    <x:t xml:space="preserve">https://www.smwcentral.net/?a=details&amp;id=22475&amp;p=section</x:t>
  </x:si>
  <x:si>
    <x:t xml:space="preserve">https://dl.smwcentral.net/22475/Carls_Toilet.zip</x:t>
  </x:si>
  <x:si>
    <x:t xml:space="preserve">Carl vs Juz: Juzt Desserts</x:t>
  </x:si>
  <x:si>
    <x:t xml:space="preserve">22856</x:t>
  </x:si>
  <x:si>
    <x:t xml:space="preserve">https://www.smwcentral.net/?a=details&amp;id=22856&amp;p=section</x:t>
  </x:si>
  <x:si>
    <x:t xml:space="preserve">https://dl.smwcentral.net/22856/JuztDesserts.zip</x:t>
  </x:si>
  <x:si>
    <x:t xml:space="preserve">Cartuchito World</x:t>
  </x:si>
  <x:si>
    <x:t xml:space="preserve">MaxwelHacks</x:t>
  </x:si>
  <x:si>
    <x:t xml:space="preserve">14348</x:t>
  </x:si>
  <x:si>
    <x:t xml:space="preserve">https://www.smwcentral.net/?a=details&amp;id=14348&amp;p=section</x:t>
  </x:si>
  <x:si>
    <x:t xml:space="preserve">https://dl.smwcentral.net/14348/Cartuchito%20World.zip</x:t>
  </x:si>
  <x:si>
    <x:t xml:space="preserve">Casio Mario World</x:t>
  </x:si>
  <x:si>
    <x:t xml:space="preserve">Wyatt</x:t>
  </x:si>
  <x:si>
    <x:t xml:space="preserve">24990</x:t>
  </x:si>
  <x:si>
    <x:t xml:space="preserve">https://www.smwcentral.net/?a=details&amp;id=24990&amp;p=section</x:t>
  </x:si>
  <x:si>
    <x:t xml:space="preserve">https://dl.smwcentral.net/24990/Casio%20Mario%20World.zip</x:t>
  </x:si>
  <x:si>
    <x:t xml:space="preserve">Castle of Terror 3</x:t>
  </x:si>
  <x:si>
    <x:t xml:space="preserve">IgorS777</x:t>
  </x:si>
  <x:si>
    <x:t xml:space="preserve">15634</x:t>
  </x:si>
  <x:si>
    <x:t xml:space="preserve">https://www.smwcentral.net/?a=details&amp;id=15634&amp;p=section</x:t>
  </x:si>
  <x:si>
    <x:t xml:space="preserve">https://dl.smwcentral.net/15634/CastleOfTerror3.zip</x:t>
  </x:si>
  <x:si>
    <x:t xml:space="preserve">Castle of Time</x:t>
  </x:si>
  <x:si>
    <x:t xml:space="preserve">Yoshiro</x:t>
  </x:si>
  <x:si>
    <x:t xml:space="preserve">10063</x:t>
  </x:si>
  <x:si>
    <x:t xml:space="preserve">https://www.smwcentral.net/?a=details&amp;id=10063&amp;p=section</x:t>
  </x:si>
  <x:si>
    <x:t xml:space="preserve">https://dl.smwcentral.net/10063/Cot.zip</x:t>
  </x:si>
  <x:si>
    <x:t xml:space="preserve">Castlemania</x:t>
  </x:si>
  <x:si>
    <x:t xml:space="preserve">42285</x:t>
  </x:si>
  <x:si>
    <x:t xml:space="preserve">https://www.smwcentral.net/?a=details&amp;id=42285&amp;p=section</x:t>
  </x:si>
  <x:si>
    <x:t xml:space="preserve">https://dl.smwcentral.net/42285/Castlemania%20v1.1.zip</x:t>
  </x:si>
  <x:si>
    <x:t xml:space="preserve">Castlemania - REVAMPED</x:t>
  </x:si>
  <x:si>
    <x:t xml:space="preserve">42459</x:t>
  </x:si>
  <x:si>
    <x:t xml:space="preserve">https://www.smwcentral.net/?a=details&amp;id=42459&amp;p=section</x:t>
  </x:si>
  <x:si>
    <x:t xml:space="preserve">https://dl.smwcentral.net/42459/Castlemania%20-%20REVAMPED.zip</x:t>
  </x:si>
  <x:si>
    <x:t xml:space="preserve">Castlemania II</x:t>
  </x:si>
  <x:si>
    <x:t xml:space="preserve">42393</x:t>
  </x:si>
  <x:si>
    <x:t xml:space="preserve">https://www.smwcentral.net/?a=details&amp;id=42393&amp;p=section</x:t>
  </x:si>
  <x:si>
    <x:t xml:space="preserve">https://dl.smwcentral.net/42393/Castlemania%20II%20v1.1.zip</x:t>
  </x:si>
  <x:si>
    <x:t xml:space="preserve">Castlemania II - REVAMPED</x:t>
  </x:si>
  <x:si>
    <x:t xml:space="preserve">42602</x:t>
  </x:si>
  <x:si>
    <x:t xml:space="preserve">https://www.smwcentral.net/?a=details&amp;id=42602&amp;p=section</x:t>
  </x:si>
  <x:si>
    <x:t xml:space="preserve">https://dl.smwcentral.net/42602/Castlemania%20II%20-%20REVAMPED.zip</x:t>
  </x:si>
  <x:si>
    <x:t xml:space="preserve">CATACLYSM</x:t>
  </x:si>
  <x:si>
    <x:t xml:space="preserve">xHF01x</x:t>
  </x:si>
  <x:si>
    <x:t xml:space="preserve">21933</x:t>
  </x:si>
  <x:si>
    <x:t xml:space="preserve">https://www.smwcentral.net/?a=details&amp;id=21933&amp;p=section</x:t>
  </x:si>
  <x:si>
    <x:t xml:space="preserve">https://dl.smwcentral.net/21933/CATACLYSM%20v1.2.zip</x:t>
  </x:si>
  <x:si>
    <x:t xml:space="preserve">Cave Escape</x:t>
  </x:si>
  <x:si>
    <x:t xml:space="preserve">9704</x:t>
  </x:si>
  <x:si>
    <x:t xml:space="preserve">https://www.smwcentral.net/?a=details&amp;id=9704&amp;p=section</x:t>
  </x:si>
  <x:si>
    <x:t xml:space="preserve">https://dl.smwcentral.net/9704/CaveEscape1.5.zip</x:t>
  </x:si>
  <x:si>
    <x:t xml:space="preserve">Caveat Emptor 2</x:t>
  </x:si>
  <x:si>
    <x:t xml:space="preserve">ElohssaYtrid</x:t>
  </x:si>
  <x:si>
    <x:t xml:space="preserve">25656</x:t>
  </x:si>
  <x:si>
    <x:t xml:space="preserve">https://www.smwcentral.net/?a=details&amp;id=25656&amp;p=section</x:t>
  </x:si>
  <x:si>
    <x:t xml:space="preserve">https://dl.smwcentral.net/25656/CaveatEmptor2v1.11.zip</x:t>
  </x:si>
  <x:si>
    <x:t xml:space="preserve">Cazeaje World</x:t>
  </x:si>
  <x:si>
    <x:t xml:space="preserve">Deivid Borba</x:t>
  </x:si>
  <x:si>
    <x:t xml:space="preserve">27260</x:t>
  </x:si>
  <x:si>
    <x:t xml:space="preserve">https://www.smwcentral.net/?a=details&amp;id=27260&amp;p=section</x:t>
  </x:si>
  <x:si>
    <x:t xml:space="preserve">https://dl.smwcentral.net/27260/Cazeaje%20World.zip</x:t>
  </x:si>
  <x:si>
    <x:t xml:space="preserve">Celery</x:t>
  </x:si>
  <x:si>
    <x:t xml:space="preserve">Jordan</x:t>
  </x:si>
  <x:si>
    <x:t xml:space="preserve">41254</x:t>
  </x:si>
  <x:si>
    <x:t xml:space="preserve">https://www.smwcentral.net/?a=details&amp;id=41254&amp;p=section</x:t>
  </x:si>
  <x:si>
    <x:t xml:space="preserve">https://dl.smwcentral.net/41254/Celery%201.1.zip</x:t>
  </x:si>
  <x:si>
    <x:t xml:space="preserve">Celeste.smc</x:t>
  </x:si>
  <x:si>
    <x:t xml:space="preserve">MarkAlarm</x:t>
  </x:si>
  <x:si>
    <x:t xml:space="preserve">29613</x:t>
  </x:si>
  <x:si>
    <x:t xml:space="preserve">https://www.smwcentral.net/?a=details&amp;id=29613&amp;p=section</x:t>
  </x:si>
  <x:si>
    <x:t xml:space="preserve">https://dl.smwcentral.net/29613/Celeste.zip</x:t>
  </x:si>
  <x:si>
    <x:t xml:space="preserve">Chain Reaction</x:t>
  </x:si>
  <x:si>
    <x:t xml:space="preserve">18669</x:t>
  </x:si>
  <x:si>
    <x:t xml:space="preserve">https://www.smwcentral.net/?a=details&amp;id=18669&amp;p=section</x:t>
  </x:si>
  <x:si>
    <x:t xml:space="preserve">https://dl.smwcentral.net/18669/Chain%20Reaction.zip</x:t>
  </x:si>
  <x:si>
    <x:t xml:space="preserve">Chain Reaction 2</x:t>
  </x:si>
  <x:si>
    <x:t xml:space="preserve">40504</x:t>
  </x:si>
  <x:si>
    <x:t xml:space="preserve">https://www.smwcentral.net/?a=details&amp;id=40504&amp;p=section</x:t>
  </x:si>
  <x:si>
    <x:t xml:space="preserve">https://dl.smwcentral.net/40504/CR2.zip</x:t>
  </x:si>
  <x:si>
    <x:t xml:space="preserve">Chaos Chronicles</x:t>
  </x:si>
  <x:si>
    <x:t xml:space="preserve">PhoenixTN</x:t>
  </x:si>
  <x:si>
    <x:t xml:space="preserve">9713</x:t>
  </x:si>
  <x:si>
    <x:t xml:space="preserve">https://www.smwcentral.net/?a=details&amp;id=9713&amp;p=section</x:t>
  </x:si>
  <x:si>
    <x:t xml:space="preserve">https://dl.smwcentral.net/9713/Chaos%20Chronicles%20Demo%201%20%28Fixed%29.zip</x:t>
  </x:si>
  <x:si>
    <x:t xml:space="preserve">Chaos CompleXX</x:t>
  </x:si>
  <x:si>
    <x:t xml:space="preserve">FPI</x:t>
  </x:si>
  <x:si>
    <x:t xml:space="preserve">9680</x:t>
  </x:si>
  <x:si>
    <x:t xml:space="preserve">https://www.smwcentral.net/?a=details&amp;id=9680&amp;p=section</x:t>
  </x:si>
  <x:si>
    <x:t xml:space="preserve">https://dl.smwcentral.net/9680/chaoscomplexx.zip</x:t>
  </x:si>
  <x:si>
    <x:t xml:space="preserve">Chaotic Realm</x:t>
  </x:si>
  <x:si>
    <x:t xml:space="preserve">anonimato</x:t>
  </x:si>
  <x:si>
    <x:t xml:space="preserve">35560</x:t>
  </x:si>
  <x:si>
    <x:t xml:space="preserve">https://www.smwcentral.net/?a=details&amp;id=35560&amp;p=section</x:t>
  </x:si>
  <x:si>
    <x:t xml:space="preserve">https://dl.smwcentral.net/35560/Chaotic%20Realm%20V1.22_fixed.zip</x:t>
  </x:si>
  <x:si>
    <x:t xml:space="preserve">Cheap &amp; Nasty</x:t>
  </x:si>
  <x:si>
    <x:t xml:space="preserve">DashGamer</x:t>
  </x:si>
  <x:si>
    <x:t xml:space="preserve">34198</x:t>
  </x:si>
  <x:si>
    <x:t xml:space="preserve">https://www.smwcentral.net/?a=details&amp;id=34198&amp;p=section</x:t>
  </x:si>
  <x:si>
    <x:t xml:space="preserve">https://dl.smwcentral.net/34198/CheapNasty.zip</x:t>
  </x:si>
  <x:si>
    <x:t xml:space="preserve">Cheep Cheep Challenge</x:t>
  </x:si>
  <x:si>
    <x:t xml:space="preserve">14735</x:t>
  </x:si>
  <x:si>
    <x:t xml:space="preserve">https://www.smwcentral.net/?a=details&amp;id=14735&amp;p=section</x:t>
  </x:si>
  <x:si>
    <x:t xml:space="preserve">https://dl.smwcentral.net/14735/Cheepfix.zip</x:t>
  </x:si>
  <x:si>
    <x:t xml:space="preserve">Cheese Island</x:t>
  </x:si>
  <x:si>
    <x:t xml:space="preserve">cardboardknoxmonkey</x:t>
  </x:si>
  <x:si>
    <x:t xml:space="preserve">29819</x:t>
  </x:si>
  <x:si>
    <x:t xml:space="preserve">https://www.smwcentral.net/?a=details&amp;id=29819&amp;p=section</x:t>
  </x:si>
  <x:si>
    <x:t xml:space="preserve">https://dl.smwcentral.net/29819/Cheese%20Island.zip</x:t>
  </x:si>
  <x:si>
    <x:t xml:space="preserve">CHI</x:t>
  </x:si>
  <x:si>
    <x:t xml:space="preserve">MorrieTheMagpie</x:t>
  </x:si>
  <x:si>
    <x:t xml:space="preserve">30753</x:t>
  </x:si>
  <x:si>
    <x:t xml:space="preserve">https://www.smwcentral.net/?a=details&amp;id=30753&amp;p=section</x:t>
  </x:si>
  <x:si>
    <x:t xml:space="preserve">https://dl.smwcentral.net/30753/CHIV1.1.zip</x:t>
  </x:si>
  <x:si>
    <x:t xml:space="preserve">Buflen, Nirv</x:t>
  </x:si>
  <x:si>
    <x:t xml:space="preserve">33810</x:t>
  </x:si>
  <x:si>
    <x:t xml:space="preserve">https://www.smwcentral.net/?a=details&amp;id=33810&amp;p=section</x:t>
  </x:si>
  <x:si>
    <x:t xml:space="preserve">https://dl.smwcentral.net/33810/Chicanery.zip</x:t>
  </x:si>
  <x:si>
    <x:t xml:space="preserve">Chicanery Beginner Edition</x:t>
  </x:si>
  <x:si>
    <x:t xml:space="preserve">Buflen</x:t>
  </x:si>
  <x:si>
    <x:t xml:space="preserve">38058</x:t>
  </x:si>
  <x:si>
    <x:t xml:space="preserve">https://www.smwcentral.net/?a=details&amp;id=38058&amp;p=section</x:t>
  </x:si>
  <x:si>
    <x:t xml:space="preserve">https://dl.smwcentral.net/38058/Chicanery%20Beginner%20Edition%201.0.zip</x:t>
  </x:si>
  <x:si>
    <x:t xml:space="preserve">Chirality</x:t>
  </x:si>
  <x:si>
    <x:t xml:space="preserve">LightAligns</x:t>
  </x:si>
  <x:si>
    <x:t xml:space="preserve">38787</x:t>
  </x:si>
  <x:si>
    <x:t xml:space="preserve">https://www.smwcentral.net/?a=details&amp;id=38787&amp;p=section</x:t>
  </x:si>
  <x:si>
    <x:t xml:space="preserve">https://dl.smwcentral.net/38787/Chirality.zip</x:t>
  </x:si>
  <x:si>
    <x:t xml:space="preserve">Choco COLLAB - MaSeHiHa 2</x:t>
  </x:si>
  <x:si>
    <x:t xml:space="preserve">11289</x:t>
  </x:si>
  <x:si>
    <x:t xml:space="preserve">https://www.smwcentral.net/?a=details&amp;id=11289&amp;p=section</x:t>
  </x:si>
  <x:si>
    <x:t xml:space="preserve">https://dl.smwcentral.net/11289/ChocollabMase2.zip</x:t>
  </x:si>
  <x:si>
    <x:t xml:space="preserve">Chocolate Flavour!</x:t>
  </x:si>
  <x:si>
    <x:t xml:space="preserve">JDC</x:t>
  </x:si>
  <x:si>
    <x:t xml:space="preserve">10151</x:t>
  </x:si>
  <x:si>
    <x:t xml:space="preserve">https://www.smwcentral.net/?a=details&amp;id=10151&amp;p=section</x:t>
  </x:si>
  <x:si>
    <x:t xml:space="preserve">https://dl.smwcentral.net/10151/ChocolateFlavour.zip</x:t>
  </x:si>
  <x:si>
    <x:t xml:space="preserve">Chocolate Sunday</x:t>
  </x:si>
  <x:si>
    <x:t xml:space="preserve">snomangaming</x:t>
  </x:si>
  <x:si>
    <x:t xml:space="preserve">28862</x:t>
  </x:si>
  <x:si>
    <x:t xml:space="preserve">https://www.smwcentral.net/?a=details&amp;id=28862&amp;p=section</x:t>
  </x:si>
  <x:si>
    <x:t xml:space="preserve">https://dl.smwcentral.net/28862/Chocolate%20Sunday%201.2.zip</x:t>
  </x:si>
  <x:si>
    <x:t xml:space="preserve">Choconilla Kaizo Island</x:t>
  </x:si>
  <x:si>
    <x:t xml:space="preserve">31080</x:t>
  </x:si>
  <x:si>
    <x:t xml:space="preserve">https://www.smwcentral.net/?a=details&amp;id=31080&amp;p=section</x:t>
  </x:si>
  <x:si>
    <x:t xml:space="preserve">https://dl.smwcentral.net/31080/Choconilla%20Kaizo%20Island%20v1.2.zip</x:t>
  </x:si>
  <x:si>
    <x:t xml:space="preserve">Chomp's Coin Hunt</x:t>
  </x:si>
  <x:si>
    <x:t xml:space="preserve">Matt, Mr. MS</x:t>
  </x:si>
  <x:si>
    <x:t xml:space="preserve">27385</x:t>
  </x:si>
  <x:si>
    <x:t xml:space="preserve">https://www.smwcentral.net/?a=details&amp;id=27385&amp;p=section</x:t>
  </x:si>
  <x:si>
    <x:t xml:space="preserve">https://dl.smwcentral.net/27385/Chomp%27s%20Coin%20Hunt.zip</x:t>
  </x:si>
  <x:si>
    <x:t xml:space="preserve">Chopped N' Screwed</x:t>
  </x:si>
  <x:si>
    <x:t xml:space="preserve">deported</x:t>
  </x:si>
  <x:si>
    <x:t xml:space="preserve">37901</x:t>
  </x:si>
  <x:si>
    <x:t xml:space="preserve">https://www.smwcentral.net/?a=details&amp;id=37901&amp;p=section</x:t>
  </x:si>
  <x:si>
    <x:t xml:space="preserve">https://dl.smwcentral.net/37901/Chopped.zip</x:t>
  </x:si>
  <x:si>
    <x:t xml:space="preserve">Christmas Balls</x:t>
  </x:si>
  <x:si>
    <x:t xml:space="preserve">13028</x:t>
  </x:si>
  <x:si>
    <x:t xml:space="preserve">https://www.smwcentral.net/?a=details&amp;id=13028&amp;p=section</x:t>
  </x:si>
  <x:si>
    <x:t xml:space="preserve">https://dl.smwcentral.net/13028/Christmas%20Balls%20%28Hack%2016%29.zip</x:t>
  </x:si>
  <x:si>
    <x:t xml:space="preserve">Christmas Hack</x:t>
  </x:si>
  <x:si>
    <x:t xml:space="preserve">38345</x:t>
  </x:si>
  <x:si>
    <x:t xml:space="preserve">https://www.smwcentral.net/?a=details&amp;id=38345&amp;p=section</x:t>
  </x:si>
  <x:si>
    <x:t xml:space="preserve">https://dl.smwcentral.net/38345/ChristmasHack.zip</x:t>
  </x:si>
  <x:si>
    <x:t xml:space="preserve">Christmas Island</x:t>
  </x:si>
  <x:si>
    <x:t xml:space="preserve">38847</x:t>
  </x:si>
  <x:si>
    <x:t xml:space="preserve">https://www.smwcentral.net/?a=details&amp;id=38847&amp;p=section</x:t>
  </x:si>
  <x:si>
    <x:t xml:space="preserve">https://dl.smwcentral.net/38847/Christmas%20Island%20v2.zip</x:t>
  </x:si>
  <x:si>
    <x:t xml:space="preserve">Christmas Island 2</x:t>
  </x:si>
  <x:si>
    <x:t xml:space="preserve">38522</x:t>
  </x:si>
  <x:si>
    <x:t xml:space="preserve">https://www.smwcentral.net/?a=details&amp;id=38522&amp;p=section</x:t>
  </x:si>
  <x:si>
    <x:t xml:space="preserve">https://dl.smwcentral.net/38522/Christmas%20Island%202%20v1.1.zip</x:t>
  </x:si>
  <x:si>
    <x:t xml:space="preserve">Christmas Puzzle</x:t>
  </x:si>
  <x:si>
    <x:t xml:space="preserve">TheOrangeToad</x:t>
  </x:si>
  <x:si>
    <x:t xml:space="preserve">14831</x:t>
  </x:si>
  <x:si>
    <x:t xml:space="preserve">https://www.smwcentral.net/?a=details&amp;id=14831&amp;p=section</x:t>
  </x:si>
  <x:si>
    <x:t xml:space="preserve">https://dl.smwcentral.net/14831/CP.zip</x:t>
  </x:si>
  <x:si>
    <x:t xml:space="preserve">Chronoclasm</x:t>
  </x:si>
  <x:si>
    <x:t xml:space="preserve">39652</x:t>
  </x:si>
  <x:si>
    <x:t xml:space="preserve">https://www.smwcentral.net/?a=details&amp;id=39652&amp;p=section</x:t>
  </x:si>
  <x:si>
    <x:t xml:space="preserve">https://dl.smwcentral.net/39652/Chronoclasm.zip</x:t>
  </x:si>
  <x:si>
    <x:t xml:space="preserve">Chrysalis</x:t>
  </x:si>
  <x:si>
    <x:t xml:space="preserve">39655</x:t>
  </x:si>
  <x:si>
    <x:t xml:space="preserve">https://www.smwcentral.net/?a=details&amp;id=39655&amp;p=section</x:t>
  </x:si>
  <x:si>
    <x:t xml:space="preserve">https://dl.smwcentral.net/39655/Chrysalis.zip</x:t>
  </x:si>
  <x:si>
    <x:t xml:space="preserve">Chuck Must Die</x:t>
  </x:si>
  <x:si>
    <x:t xml:space="preserve">Flavvless</x:t>
  </x:si>
  <x:si>
    <x:t xml:space="preserve">38758</x:t>
  </x:si>
  <x:si>
    <x:t xml:space="preserve">https://www.smwcentral.net/?a=details&amp;id=38758&amp;p=section</x:t>
  </x:si>
  <x:si>
    <x:t xml:space="preserve">https://dl.smwcentral.net/38758/Chuck%20Must%20Die.zip</x:t>
  </x:si>
  <x:si>
    <x:t xml:space="preserve">Cinnamon Hills</x:t>
  </x:si>
  <x:si>
    <x:t xml:space="preserve">AlanJacobs</x:t>
  </x:si>
  <x:si>
    <x:t xml:space="preserve">5546</x:t>
  </x:si>
  <x:si>
    <x:t xml:space="preserve">https://www.smwcentral.net/?a=details&amp;id=5546&amp;p=section</x:t>
  </x:si>
  <x:si>
    <x:t xml:space="preserve">https://dl.smwcentral.net/5546/Cinnamon%20Hills.zip</x:t>
  </x:si>
  <x:si>
    <x:t xml:space="preserve">Classic Mario</x:t>
  </x:si>
  <x:si>
    <x:t xml:space="preserve">Xgen_Product</x:t>
  </x:si>
  <x:si>
    <x:t xml:space="preserve">17198</x:t>
  </x:si>
  <x:si>
    <x:t xml:space="preserve">https://www.smwcentral.net/?a=details&amp;id=17198&amp;p=section</x:t>
  </x:si>
  <x:si>
    <x:t xml:space="preserve">https://dl.smwcentral.net/17198/Classic%20Mario%20Demo%202.zip</x:t>
  </x:si>
  <x:si>
    <x:t xml:space="preserve">Classic Mario World 2: The Great Alliance</x:t>
  </x:si>
  <x:si>
    <x:t xml:space="preserve">bandicoot</x:t>
  </x:si>
  <x:si>
    <x:t xml:space="preserve">19575</x:t>
  </x:si>
  <x:si>
    <x:t xml:space="preserve">https://www.smwcentral.net/?a=details&amp;id=19575&amp;p=section</x:t>
  </x:si>
  <x:si>
    <x:t xml:space="preserve">https://dl.smwcentral.net/19575/CMW2_fixed.zip</x:t>
  </x:si>
  <x:si>
    <x:t xml:space="preserve">Classic Mario World 3: The Finale</x:t>
  </x:si>
  <x:si>
    <x:t xml:space="preserve">22988</x:t>
  </x:si>
  <x:si>
    <x:t xml:space="preserve">https://www.smwcentral.net/?a=details&amp;id=22988&amp;p=section</x:t>
  </x:si>
  <x:si>
    <x:t xml:space="preserve">https://dl.smwcentral.net/22988/CMW3_The_Finale_Update.zip</x:t>
  </x:si>
  <x:si>
    <x:t xml:space="preserve">Classic Mario World: The Magical Crystals</x:t>
  </x:si>
  <x:si>
    <x:t xml:space="preserve">19817</x:t>
  </x:si>
  <x:si>
    <x:t xml:space="preserve">https://www.smwcentral.net/?a=details&amp;id=19817&amp;p=section</x:t>
  </x:si>
  <x:si>
    <x:t xml:space="preserve">https://dl.smwcentral.net/19817/CMW1%2005-08-2019.zip</x:t>
  </x:si>
  <x:si>
    <x:t xml:space="preserve">Classic's Super Mario Brothers</x:t>
  </x:si>
  <x:si>
    <x:t xml:space="preserve">9726</x:t>
  </x:si>
  <x:si>
    <x:t xml:space="preserve">https://www.smwcentral.net/?a=details&amp;id=9726&amp;p=section</x:t>
  </x:si>
  <x:si>
    <x:t xml:space="preserve">https://dl.smwcentral.net/9726/ClassicSMB%20IPS.zip</x:t>
  </x:si>
  <x:si>
    <x:t xml:space="preserve">Claustrophobia</x:t>
  </x:si>
  <x:si>
    <x:t xml:space="preserve">NaroGugul</x:t>
  </x:si>
  <x:si>
    <x:t xml:space="preserve">17620</x:t>
  </x:si>
  <x:si>
    <x:t xml:space="preserve">https://www.smwcentral.net/?a=details&amp;id=17620&amp;p=section</x:t>
  </x:si>
  <x:si>
    <x:t xml:space="preserve">https://dl.smwcentral.net/17620/Claustrophobia%201.2.1.zip</x:t>
  </x:si>
  <x:si>
    <x:t xml:space="preserve">Climb The Tower</x:t>
  </x:si>
  <x:si>
    <x:t xml:space="preserve">19550</x:t>
  </x:si>
  <x:si>
    <x:t xml:space="preserve">https://www.smwcentral.net/?a=details&amp;id=19550&amp;p=section</x:t>
  </x:si>
  <x:si>
    <x:t xml:space="preserve">https://dl.smwcentral.net/19550/Let%27s%20Climb.zip</x:t>
  </x:si>
  <x:si>
    <x:t xml:space="preserve">Coffee &amp; TV</x:t>
  </x:si>
  <x:si>
    <x:t xml:space="preserve">GiraffeKiller</x:t>
  </x:si>
  <x:si>
    <x:t xml:space="preserve">32102</x:t>
  </x:si>
  <x:si>
    <x:t xml:space="preserve">https://www.smwcentral.net/?a=details&amp;id=32102&amp;p=section</x:t>
  </x:si>
  <x:si>
    <x:t xml:space="preserve">https://dl.smwcentral.net/32102/Coffee%20And%20TV%201.1.zip</x:t>
  </x:si>
  <x:si>
    <x:t xml:space="preserve">Coldsweat and Tears</x:t>
  </x:si>
  <x:si>
    <x:t xml:space="preserve">Blaagon</x:t>
  </x:si>
  <x:si>
    <x:t xml:space="preserve">32999</x:t>
  </x:si>
  <x:si>
    <x:t xml:space="preserve">https://www.smwcentral.net/?a=details&amp;id=32999&amp;p=section</x:t>
  </x:si>
  <x:si>
    <x:t xml:space="preserve">https://dl.smwcentral.net/32999/ColdsweatandTears.zip</x:t>
  </x:si>
  <x:si>
    <x:t xml:space="preserve">COLLAB</x:t>
  </x:si>
  <x:si>
    <x:t xml:space="preserve">Daizo Dee Von, neidoodle</x:t>
  </x:si>
  <x:si>
    <x:t xml:space="preserve">6970</x:t>
  </x:si>
  <x:si>
    <x:t xml:space="preserve">https://www.smwcentral.net/?a=details&amp;id=6970&amp;p=section</x:t>
  </x:si>
  <x:si>
    <x:t xml:space="preserve">https://dl.smwcentral.net/6970/COLLAB%20%28Update%21%29.zip</x:t>
  </x:si>
  <x:si>
    <x:t xml:space="preserve">Collection</x:t>
  </x:si>
  <x:si>
    <x:t xml:space="preserve">5963</x:t>
  </x:si>
  <x:si>
    <x:t xml:space="preserve">https://www.smwcentral.net/?a=details&amp;id=5963&amp;p=section</x:t>
  </x:si>
  <x:si>
    <x:t xml:space="preserve">https://dl.smwcentral.net/5963/Collection.zip</x:t>
  </x:si>
  <x:si>
    <x:t xml:space="preserve">ColonThree</x:t>
  </x:si>
  <x:si>
    <x:t xml:space="preserve">HoorayForJay, ShadowDragon121</x:t>
  </x:si>
  <x:si>
    <x:t xml:space="preserve">14967</x:t>
  </x:si>
  <x:si>
    <x:t xml:space="preserve">https://www.smwcentral.net/?a=details&amp;id=14967&amp;p=section</x:t>
  </x:si>
  <x:si>
    <x:t xml:space="preserve">https://dl.smwcentral.net/14967/ColonThree.zip</x:t>
  </x:si>
  <x:si>
    <x:t xml:space="preserve">COLORS [SMWC #6095]</x:t>
  </x:si>
  <x:si>
    <x:t xml:space="preserve">COLORS</x:t>
  </x:si>
  <x:si>
    <x:t xml:space="preserve">MolSno</x:t>
  </x:si>
  <x:si>
    <x:t xml:space="preserve">6095</x:t>
  </x:si>
  <x:si>
    <x:t xml:space="preserve">https://www.smwcentral.net/?a=details&amp;id=6095&amp;p=section</x:t>
  </x:si>
  <x:si>
    <x:t xml:space="preserve">https://dl.smwcentral.net/6095/COLORS.zip</x:t>
  </x:si>
  <x:si>
    <x:t xml:space="preserve">Colors [SMWC #28250]</x:t>
  </x:si>
  <x:si>
    <x:t xml:space="preserve">Colors</x:t>
  </x:si>
  <x:si>
    <x:t xml:space="preserve">simplyawful</x:t>
  </x:si>
  <x:si>
    <x:t xml:space="preserve">28250</x:t>
  </x:si>
  <x:si>
    <x:t xml:space="preserve">https://www.smwcentral.net/?a=details&amp;id=28250&amp;p=section</x:t>
  </x:si>
  <x:si>
    <x:t xml:space="preserve">https://dl.smwcentral.net/28250/Colors_1.1.zip</x:t>
  </x:si>
  <x:si>
    <x:t xml:space="preserve">COLORS 2</x:t>
  </x:si>
  <x:si>
    <x:t xml:space="preserve">12725</x:t>
  </x:si>
  <x:si>
    <x:t xml:space="preserve">https://www.smwcentral.net/?a=details&amp;id=12725&amp;p=section</x:t>
  </x:si>
  <x:si>
    <x:t xml:space="preserve">https://dl.smwcentral.net/12725/COLORS%202.zip</x:t>
  </x:si>
  <x:si>
    <x:t xml:space="preserve">Colossus</x:t>
  </x:si>
  <x:si>
    <x:t xml:space="preserve">11776</x:t>
  </x:si>
  <x:si>
    <x:t xml:space="preserve">https://www.smwcentral.net/?a=details&amp;id=11776&amp;p=section</x:t>
  </x:si>
  <x:si>
    <x:t xml:space="preserve">https://dl.smwcentral.net/11776/Colossus%20final%203.zip</x:t>
  </x:si>
  <x:si>
    <x:t xml:space="preserve">Combo Breaker</x:t>
  </x:si>
  <x:si>
    <x:t xml:space="preserve">Sokobansolver</x:t>
  </x:si>
  <x:si>
    <x:t xml:space="preserve">10248</x:t>
  </x:si>
  <x:si>
    <x:t xml:space="preserve">https://www.smwcentral.net/?a=details&amp;id=10248&amp;p=section</x:t>
  </x:si>
  <x:si>
    <x:t xml:space="preserve">https://dl.smwcentral.net/10248/Combo_Breaker_demo.zip</x:t>
  </x:si>
  <x:si>
    <x:t xml:space="preserve">Combo Killer: Ultra Alpha Turbo HD Remix, Arcade Edition</x:t>
  </x:si>
  <x:si>
    <x:t xml:space="preserve">Doownayr89</x:t>
  </x:si>
  <x:si>
    <x:t xml:space="preserve">14289</x:t>
  </x:si>
  <x:si>
    <x:t xml:space="preserve">https://www.smwcentral.net/?a=details&amp;id=14289&amp;p=section</x:t>
  </x:si>
  <x:si>
    <x:t xml:space="preserve">https://dl.smwcentral.net/14289/Combo%20Killer%20Ultra%20Alpha%20Turbo%20HD%20Remix%2C%20Arcade%20Edition.zip</x:t>
  </x:si>
  <x:si>
    <x:t xml:space="preserve">Comfort Zone</x:t>
  </x:si>
  <x:si>
    <x:t xml:space="preserve">orka-bln</x:t>
  </x:si>
  <x:si>
    <x:t xml:space="preserve">25095</x:t>
  </x:si>
  <x:si>
    <x:t xml:space="preserve">https://www.smwcentral.net/?a=details&amp;id=25095&amp;p=section</x:t>
  </x:si>
  <x:si>
    <x:t xml:space="preserve">https://dl.smwcentral.net/25095/Comfy1.2.zip</x:t>
  </x:si>
  <x:si>
    <x:t xml:space="preserve">Commuter</x:t>
  </x:si>
  <x:si>
    <x:t xml:space="preserve">megaBC333</x:t>
  </x:si>
  <x:si>
    <x:t xml:space="preserve">35616</x:t>
  </x:si>
  <x:si>
    <x:t xml:space="preserve">https://www.smwcentral.net/?a=details&amp;id=35616&amp;p=section</x:t>
  </x:si>
  <x:si>
    <x:t xml:space="preserve">https://dl.smwcentral.net/35616/Commuter_V1.zip</x:t>
  </x:si>
  <x:si>
    <x:t xml:space="preserve">Contest Maniac</x:t>
  </x:si>
  <x:si>
    <x:t xml:space="preserve">RussianMan</x:t>
  </x:si>
  <x:si>
    <x:t xml:space="preserve">16466</x:t>
  </x:si>
  <x:si>
    <x:t xml:space="preserve">https://www.smwcentral.net/?a=details&amp;id=16466&amp;p=section</x:t>
  </x:si>
  <x:si>
    <x:t xml:space="preserve">https://dl.smwcentral.net/16466/Contest%20Maniac.zip</x:t>
  </x:si>
  <x:si>
    <x:t xml:space="preserve">Cool (Speedrun!)</x:t>
  </x:si>
  <x:si>
    <x:t xml:space="preserve">Koll5</x:t>
  </x:si>
  <x:si>
    <x:t xml:space="preserve">31137</x:t>
  </x:si>
  <x:si>
    <x:t xml:space="preserve">https://www.smwcentral.net/?a=details&amp;id=31137&amp;p=section</x:t>
  </x:si>
  <x:si>
    <x:t xml:space="preserve">https://dl.smwcentral.net/31137/Cool.zip</x:t>
  </x:si>
  <x:si>
    <x:t xml:space="preserve">Cool or Cruel Stage 12 - Tubular</x:t>
  </x:si>
  <x:si>
    <x:t xml:space="preserve">worldpeace</x:t>
  </x:si>
  <x:si>
    <x:t xml:space="preserve">6085</x:t>
  </x:si>
  <x:si>
    <x:t xml:space="preserve">https://www.smwcentral.net/?a=details&amp;id=6085&amp;p=section</x:t>
  </x:si>
  <x:si>
    <x:t xml:space="preserve">https://dl.smwcentral.net/6085/tubular.zip</x:t>
  </x:si>
  <x:si>
    <x:t xml:space="preserve">Cool Zone</x:t>
  </x:si>
  <x:si>
    <x:t xml:space="preserve">FridayFables</x:t>
  </x:si>
  <x:si>
    <x:t xml:space="preserve">18476</x:t>
  </x:si>
  <x:si>
    <x:t xml:space="preserve">https://www.smwcentral.net/?a=details&amp;id=18476&amp;p=section</x:t>
  </x:si>
  <x:si>
    <x:t xml:space="preserve">https://dl.smwcentral.net/18476/CoolZone.zip</x:t>
  </x:si>
  <x:si>
    <x:t xml:space="preserve">Copy and Paste</x:t>
  </x:si>
  <x:si>
    <x:t xml:space="preserve">NewPointless</x:t>
  </x:si>
  <x:si>
    <x:t xml:space="preserve">35348</x:t>
  </x:si>
  <x:si>
    <x:t xml:space="preserve">https://www.smwcentral.net/?a=details&amp;id=35348&amp;p=section</x:t>
  </x:si>
  <x:si>
    <x:t xml:space="preserve">https://dl.smwcentral.net/35348/CopyAndPaste1_1.zip</x:t>
  </x:si>
  <x:si>
    <x:t xml:space="preserve">Coriolis</x:t>
  </x:si>
  <x:si>
    <x:t xml:space="preserve">42700</x:t>
  </x:si>
  <x:si>
    <x:t xml:space="preserve">https://www.smwcentral.net/?a=details&amp;id=42700&amp;p=section</x:t>
  </x:si>
  <x:si>
    <x:t xml:space="preserve">https://dl.smwcentral.net/42700/Coriolis.zip</x:t>
  </x:si>
  <x:si>
    <x:t xml:space="preserve">Cornucopia of Kaizo</x:t>
  </x:si>
  <x:si>
    <x:t xml:space="preserve">CoozieShawn</x:t>
  </x:si>
  <x:si>
    <x:t xml:space="preserve">27923</x:t>
  </x:si>
  <x:si>
    <x:t xml:space="preserve">https://www.smwcentral.net/?a=details&amp;id=27923&amp;p=section</x:t>
  </x:si>
  <x:si>
    <x:t xml:space="preserve">https://dl.smwcentral.net/27923/Cornucopia_of_Kaizo.zip</x:t>
  </x:si>
  <x:si>
    <x:t xml:space="preserve">Cosmic Expedition</x:t>
  </x:si>
  <x:si>
    <x:t xml:space="preserve">GrenudoGames</x:t>
  </x:si>
  <x:si>
    <x:t xml:space="preserve">39939</x:t>
  </x:si>
  <x:si>
    <x:t xml:space="preserve">https://www.smwcentral.net/?a=details&amp;id=39939&amp;p=section</x:t>
  </x:si>
  <x:si>
    <x:t xml:space="preserve">https://dl.smwcentral.net/39939/Cosmic%20Expedition%201.2.zip</x:t>
  </x:si>
  <x:si>
    <x:t xml:space="preserve">CowaBunga</x:t>
  </x:si>
  <x:si>
    <x:t xml:space="preserve">Connnnair</x:t>
  </x:si>
  <x:si>
    <x:t xml:space="preserve">38046</x:t>
  </x:si>
  <x:si>
    <x:t xml:space="preserve">https://www.smwcentral.net/?a=details&amp;id=38046&amp;p=section</x:t>
  </x:si>
  <x:si>
    <x:t xml:space="preserve">https://dl.smwcentral.net/38046/CowaBunga1.1.zip</x:t>
  </x:si>
  <x:si>
    <x:t xml:space="preserve">Crab Shells</x:t>
  </x:si>
  <x:si>
    <x:t xml:space="preserve">Jaozin712</x:t>
  </x:si>
  <x:si>
    <x:t xml:space="preserve">38657</x:t>
  </x:si>
  <x:si>
    <x:t xml:space="preserve">https://www.smwcentral.net/?a=details&amp;id=38657&amp;p=section</x:t>
  </x:si>
  <x:si>
    <x:t xml:space="preserve">https://dl.smwcentral.net/38657/Crab_Shells.zip</x:t>
  </x:si>
  <x:si>
    <x:t xml:space="preserve">Crash Bandicoot and the Retro Dimension</x:t>
  </x:si>
  <x:si>
    <x:t xml:space="preserve">42500</x:t>
  </x:si>
  <x:si>
    <x:t xml:space="preserve">https://www.smwcentral.net/?a=details&amp;id=42500&amp;p=section</x:t>
  </x:si>
  <x:si>
    <x:t xml:space="preserve">https://dl.smwcentral.net/42500/Crash%20Bandicoot%20and%20the%20Retro%20Dimension%20Enhanced.zip</x:t>
  </x:si>
  <x:si>
    <x:t xml:space="preserve">Crash Bandicoot and the Retro Dimension 2 - The Crystal Hunt</x:t>
  </x:si>
  <x:si>
    <x:t xml:space="preserve">42541</x:t>
  </x:si>
  <x:si>
    <x:t xml:space="preserve">https://www.smwcentral.net/?a=details&amp;id=42541&amp;p=section</x:t>
  </x:si>
  <x:si>
    <x:t xml:space="preserve">https://dl.smwcentral.net/42541/Crash%20Bandicoot%20and%20The%20Retro%20Dimension%202%20-%20The%20Crystal%20Hunt.zip</x:t>
  </x:si>
  <x:si>
    <x:t xml:space="preserve">Critter Quest</x:t>
  </x:si>
  <x:si>
    <x:t xml:space="preserve">JakesBRjust</x:t>
  </x:si>
  <x:si>
    <x:t xml:space="preserve">40194</x:t>
  </x:si>
  <x:si>
    <x:t xml:space="preserve">https://www.smwcentral.net/?a=details&amp;id=40194&amp;p=section</x:t>
  </x:si>
  <x:si>
    <x:t xml:space="preserve">https://dl.smwcentral.net/40194/Critter%20Quest%20v1.1.zip</x:t>
  </x:si>
  <x:si>
    <x:t xml:space="preserve">Critter Quest Jr</x:t>
  </x:si>
  <x:si>
    <x:t xml:space="preserve">41278</x:t>
  </x:si>
  <x:si>
    <x:t xml:space="preserve">https://www.smwcentral.net/?a=details&amp;id=41278&amp;p=section</x:t>
  </x:si>
  <x:si>
    <x:t xml:space="preserve">https://dl.smwcentral.net/41278/Critter%20Quest%20Jr.zip</x:t>
  </x:si>
  <x:si>
    <x:t xml:space="preserve">CroNos Trigger</x:t>
  </x:si>
  <x:si>
    <x:t xml:space="preserve">Justepic</x:t>
  </x:si>
  <x:si>
    <x:t xml:space="preserve">33950</x:t>
  </x:si>
  <x:si>
    <x:t xml:space="preserve">https://www.smwcentral.net/?a=details&amp;id=33950&amp;p=section</x:t>
  </x:si>
  <x:si>
    <x:t xml:space="preserve">https://dl.smwcentral.net/33950/Cronos%20Trigger%20V2.zip</x:t>
  </x:si>
  <x:si>
    <x:t xml:space="preserve">Crossfire</x:t>
  </x:si>
  <x:si>
    <x:t xml:space="preserve">NeptuneNeon</x:t>
  </x:si>
  <x:si>
    <x:t xml:space="preserve">27238</x:t>
  </x:si>
  <x:si>
    <x:t xml:space="preserve">https://www.smwcentral.net/?a=details&amp;id=27238&amp;p=section</x:t>
  </x:si>
  <x:si>
    <x:t xml:space="preserve">https://dl.smwcentral.net/27238/crossfire_v1.2.zip</x:t>
  </x:si>
  <x:si>
    <x:t xml:space="preserve">Cruisy</x:t>
  </x:si>
  <x:si>
    <x:t xml:space="preserve">32446</x:t>
  </x:si>
  <x:si>
    <x:t xml:space="preserve">https://www.smwcentral.net/?a=details&amp;id=32446&amp;p=section</x:t>
  </x:si>
  <x:si>
    <x:t xml:space="preserve">https://dl.smwcentral.net/32446/Cruisy%20v1.1.zip</x:t>
  </x:si>
  <x:si>
    <x:t xml:space="preserve">Cube´s Kaizo World</x:t>
  </x:si>
  <x:si>
    <x:t xml:space="preserve">Cube</x:t>
  </x:si>
  <x:si>
    <x:t xml:space="preserve">26998</x:t>
  </x:si>
  <x:si>
    <x:t xml:space="preserve">https://www.smwcentral.net/?a=details&amp;id=26998&amp;p=section</x:t>
  </x:si>
  <x:si>
    <x:t xml:space="preserve">https://dl.smwcentral.net/26998/Cubes%20Kaizo%20World1.1.zip</x:t>
  </x:si>
  <x:si>
    <x:t xml:space="preserve">Cube´s Kaizo World 2</x:t>
  </x:si>
  <x:si>
    <x:t xml:space="preserve">27355</x:t>
  </x:si>
  <x:si>
    <x:t xml:space="preserve">https://www.smwcentral.net/?a=details&amp;id=27355&amp;p=section</x:t>
  </x:si>
  <x:si>
    <x:t xml:space="preserve">https://dl.smwcentral.net/27355/Cubes%20Kaizo%20World%202.zip</x:t>
  </x:si>
  <x:si>
    <x:t xml:space="preserve">Cube´s Kaizo World 3</x:t>
  </x:si>
  <x:si>
    <x:t xml:space="preserve">31127</x:t>
  </x:si>
  <x:si>
    <x:t xml:space="preserve">https://www.smwcentral.net/?a=details&amp;id=31127&amp;p=section</x:t>
  </x:si>
  <x:si>
    <x:t xml:space="preserve">https://dl.smwcentral.net/31127/Cubes%20Kaizo%20World%203%20v1.2.zip</x:t>
  </x:si>
  <x:si>
    <x:t xml:space="preserve">Cube´s Kaizo World 4</x:t>
  </x:si>
  <x:si>
    <x:t xml:space="preserve">34784</x:t>
  </x:si>
  <x:si>
    <x:t xml:space="preserve">https://www.smwcentral.net/?a=details&amp;id=34784&amp;p=section</x:t>
  </x:si>
  <x:si>
    <x:t xml:space="preserve">https://dl.smwcentral.net/34784/CubesKaizoWorld4_1.1.zip</x:t>
  </x:si>
  <x:si>
    <x:t xml:space="preserve">Cube´s Kaizo World 5</x:t>
  </x:si>
  <x:si>
    <x:t xml:space="preserve">38168</x:t>
  </x:si>
  <x:si>
    <x:t xml:space="preserve">https://www.smwcentral.net/?a=details&amp;id=38168&amp;p=section</x:t>
  </x:si>
  <x:si>
    <x:t xml:space="preserve">https://dl.smwcentral.net/38168/CubesKaizoWorld5%201.1.zip</x:t>
  </x:si>
  <x:si>
    <x:t xml:space="preserve">Cute as Shell</x:t>
  </x:si>
  <x:si>
    <x:t xml:space="preserve">slopcore</x:t>
  </x:si>
  <x:si>
    <x:t xml:space="preserve">38571</x:t>
  </x:si>
  <x:si>
    <x:t xml:space="preserve">https://www.smwcentral.net/?a=details&amp;id=38571&amp;p=section</x:t>
  </x:si>
  <x:si>
    <x:t xml:space="preserve">https://dl.smwcentral.net/38571/CuteAsShell1.2.zip</x:t>
  </x:si>
  <x:si>
    <x:t xml:space="preserve">Cute Kaizo World</x:t>
  </x:si>
  <x:si>
    <x:t xml:space="preserve">26252</x:t>
  </x:si>
  <x:si>
    <x:t xml:space="preserve">https://www.smwcentral.net/?a=details&amp;id=26252&amp;p=section</x:t>
  </x:si>
  <x:si>
    <x:t xml:space="preserve">https://dl.smwcentral.net/26252/CuteKaizoWorldv1.1.zip</x:t>
  </x:si>
  <x:si>
    <x:t xml:space="preserve">Cuter Kaizo World</x:t>
  </x:si>
  <x:si>
    <x:t xml:space="preserve">30915</x:t>
  </x:si>
  <x:si>
    <x:t xml:space="preserve">https://www.smwcentral.net/?a=details&amp;id=30915&amp;p=section</x:t>
  </x:si>
  <x:si>
    <x:t xml:space="preserve">https://dl.smwcentral.net/30915/CuterKaizo.zip</x:t>
  </x:si>
  <x:si>
    <x:t xml:space="preserve">Cygnus</x:t>
  </x:si>
  <x:si>
    <x:t xml:space="preserve">oyok</x:t>
  </x:si>
  <x:si>
    <x:t xml:space="preserve">40612</x:t>
  </x:si>
  <x:si>
    <x:t xml:space="preserve">https://www.smwcentral.net/?a=details&amp;id=40612&amp;p=section</x:t>
  </x:si>
  <x:si>
    <x:t xml:space="preserve">https://dl.smwcentral.net/40612/cygnus.zip</x:t>
  </x:si>
  <x:si>
    <x:t xml:space="preserve">D.O.L.L.S.</x:t>
  </x:si>
  <x:si>
    <x:t xml:space="preserve">39486</x:t>
  </x:si>
  <x:si>
    <x:t xml:space="preserve">https://www.smwcentral.net/?a=details&amp;id=39486&amp;p=section</x:t>
  </x:si>
  <x:si>
    <x:t xml:space="preserve">https://dl.smwcentral.net/39486/DOLLS.zip</x:t>
  </x:si>
  <x:si>
    <x:t xml:space="preserve">DADDY</x:t>
  </x:si>
  <x:si>
    <x:t xml:space="preserve">Ludachrizzle</x:t>
  </x:si>
  <x:si>
    <x:t xml:space="preserve">32552</x:t>
  </x:si>
  <x:si>
    <x:t xml:space="preserve">https://www.smwcentral.net/?a=details&amp;id=32552&amp;p=section</x:t>
  </x:si>
  <x:si>
    <x:t xml:space="preserve">https://dl.smwcentral.net/32552/Daddy_v1.2.zip</x:t>
  </x:si>
  <x:si>
    <x:t xml:space="preserve">Daemon Land</x:t>
  </x:si>
  <x:si>
    <x:t xml:space="preserve">51690</x:t>
  </x:si>
  <x:si>
    <x:t xml:space="preserve">31117</x:t>
  </x:si>
  <x:si>
    <x:t xml:space="preserve">https://www.smwcentral.net/?a=details&amp;id=31117&amp;p=section</x:t>
  </x:si>
  <x:si>
    <x:t xml:space="preserve">https://dl.smwcentral.net/31117/daemon%20land%201.2.zip</x:t>
  </x:si>
  <x:si>
    <x:t xml:space="preserve">Daemon Land 2</x:t>
  </x:si>
  <x:si>
    <x:t xml:space="preserve">28678</x:t>
  </x:si>
  <x:si>
    <x:t xml:space="preserve">https://www.smwcentral.net/?a=details&amp;id=28678&amp;p=section</x:t>
  </x:si>
  <x:si>
    <x:t xml:space="preserve">https://dl.smwcentral.net/28678/daemon%20land%202.zip</x:t>
  </x:si>
  <x:si>
    <x:t xml:space="preserve">Daemon Land 3</x:t>
  </x:si>
  <x:si>
    <x:t xml:space="preserve">32105</x:t>
  </x:si>
  <x:si>
    <x:t xml:space="preserve">https://www.smwcentral.net/?a=details&amp;id=32105&amp;p=section</x:t>
  </x:si>
  <x:si>
    <x:t xml:space="preserve">https://dl.smwcentral.net/32105/daemon%20land%203.zip</x:t>
  </x:si>
  <x:si>
    <x:t xml:space="preserve">Daisy's Crazy Adventure</x:t>
  </x:si>
  <x:si>
    <x:t xml:space="preserve">BlueSheep123</x:t>
  </x:si>
  <x:si>
    <x:t xml:space="preserve">38109</x:t>
  </x:si>
  <x:si>
    <x:t xml:space="preserve">https://www.smwcentral.net/?a=details&amp;id=38109&amp;p=section</x:t>
  </x:si>
  <x:si>
    <x:t xml:space="preserve">https://dl.smwcentral.net/38109/Daisy%27s_Crazy_Adventure_1.1.0.zip</x:t>
  </x:si>
  <x:si>
    <x:t xml:space="preserve">Dancer to a Discordant System</x:t>
  </x:si>
  <x:si>
    <x:t xml:space="preserve">25165</x:t>
  </x:si>
  <x:si>
    <x:t xml:space="preserve">https://www.smwcentral.net/?a=details&amp;id=25165&amp;p=section</x:t>
  </x:si>
  <x:si>
    <x:t xml:space="preserve">https://dl.smwcentral.net/25165/Dancer.zip</x:t>
  </x:si>
  <x:si>
    <x:t xml:space="preserve">Danmaku Mario World</x:t>
  </x:si>
  <x:si>
    <x:t xml:space="preserve">29831</x:t>
  </x:si>
  <x:si>
    <x:t xml:space="preserve">https://www.smwcentral.net/?a=details&amp;id=29831&amp;p=section</x:t>
  </x:si>
  <x:si>
    <x:t xml:space="preserve">https://dl.smwcentral.net/29831/Danmaku%20Mario%20World.zip</x:t>
  </x:si>
  <x:si>
    <x:t xml:space="preserve">Dark Shelly World</x:t>
  </x:si>
  <x:si>
    <x:t xml:space="preserve">redkiller</x:t>
  </x:si>
  <x:si>
    <x:t xml:space="preserve">28537</x:t>
  </x:si>
  <x:si>
    <x:t xml:space="preserve">https://www.smwcentral.net/?a=details&amp;id=28537&amp;p=section</x:t>
  </x:si>
  <x:si>
    <x:t xml:space="preserve">https://dl.smwcentral.net/28537/Dark%20Shelly%20World.zip</x:t>
  </x:si>
  <x:si>
    <x:t xml:space="preserve">Darkside 2</x:t>
  </x:si>
  <x:si>
    <x:t xml:space="preserve">39786</x:t>
  </x:si>
  <x:si>
    <x:t xml:space="preserve">https://www.smwcentral.net/?a=details&amp;id=39786&amp;p=section</x:t>
  </x:si>
  <x:si>
    <x:t xml:space="preserve">https://dl.smwcentral.net/39786/Darkside%202.41.zip</x:t>
  </x:si>
  <x:si>
    <x:t xml:space="preserve">Darkstar</x:t>
  </x:si>
  <x:si>
    <x:t xml:space="preserve">MDBattleFrog</x:t>
  </x:si>
  <x:si>
    <x:t xml:space="preserve">21730</x:t>
  </x:si>
  <x:si>
    <x:t xml:space="preserve">https://www.smwcentral.net/?a=details&amp;id=21730&amp;p=section</x:t>
  </x:si>
  <x:si>
    <x:t xml:space="preserve">https://dl.smwcentral.net/21730/DarkstarV1.11.zip</x:t>
  </x:si>
  <x:si>
    <x:t xml:space="preserve">Day at the races</x:t>
  </x:si>
  <x:si>
    <x:t xml:space="preserve">32591</x:t>
  </x:si>
  <x:si>
    <x:t xml:space="preserve">https://www.smwcentral.net/?a=details&amp;id=32591&amp;p=section</x:t>
  </x:si>
  <x:si>
    <x:t xml:space="preserve">https://dl.smwcentral.net/32591/Day%20at%20the%20races%20v1.zip</x:t>
  </x:si>
  <x:si>
    <x:t xml:space="preserve">Day At The Turkey Races</x:t>
  </x:si>
  <x:si>
    <x:t xml:space="preserve">Fryinb</x:t>
  </x:si>
  <x:si>
    <x:t xml:space="preserve">33684</x:t>
  </x:si>
  <x:si>
    <x:t xml:space="preserve">https://www.smwcentral.net/?a=details&amp;id=33684&amp;p=section</x:t>
  </x:si>
  <x:si>
    <x:t xml:space="preserve">https://dl.smwcentral.net/33684/Turkey.zip</x:t>
  </x:si>
  <x:si>
    <x:t xml:space="preserve">Day In The Life</x:t>
  </x:si>
  <x:si>
    <x:t xml:space="preserve">Darkanine</x:t>
  </x:si>
  <x:si>
    <x:t xml:space="preserve">29121</x:t>
  </x:si>
  <x:si>
    <x:t xml:space="preserve">https://www.smwcentral.net/?a=details&amp;id=29121&amp;p=section</x:t>
  </x:si>
  <x:si>
    <x:t xml:space="preserve">https://dl.smwcentral.net/29121/DayInTheLife.zip</x:t>
  </x:si>
  <x:si>
    <x:t xml:space="preserve">Day of the Muncher</x:t>
  </x:si>
  <x:si>
    <x:t xml:space="preserve">Dark Prince, Knucklesfan</x:t>
  </x:si>
  <x:si>
    <x:t xml:space="preserve">23431</x:t>
  </x:si>
  <x:si>
    <x:t xml:space="preserve">https://www.smwcentral.net/?a=details&amp;id=23431&amp;p=section</x:t>
  </x:si>
  <x:si>
    <x:t xml:space="preserve">https://dl.smwcentral.net/23431/DayOfTheMuncher.zip</x:t>
  </x:si>
  <x:si>
    <x:t xml:space="preserve">Daymaker: Release From Doomsday</x:t>
  </x:si>
  <x:si>
    <x:t xml:space="preserve">Plasma303</x:t>
  </x:si>
  <x:si>
    <x:t xml:space="preserve">38884</x:t>
  </x:si>
  <x:si>
    <x:t xml:space="preserve">https://www.smwcentral.net/?a=details&amp;id=38884&amp;p=section</x:t>
  </x:si>
  <x:si>
    <x:t xml:space="preserve">https://dl.smwcentral.net/38884/drfdv1-4-1u.zip</x:t>
  </x:si>
  <x:si>
    <x:t xml:space="preserve">Dead Man's Quest - Vagabond to Phantlore Island</x:t>
  </x:si>
  <x:si>
    <x:t xml:space="preserve">Vamperumbra</x:t>
  </x:si>
  <x:si>
    <x:t xml:space="preserve">14329</x:t>
  </x:si>
  <x:si>
    <x:t xml:space="preserve">https://www.smwcentral.net/?a=details&amp;id=14329&amp;p=section</x:t>
  </x:si>
  <x:si>
    <x:t xml:space="preserve">https://dl.smwcentral.net/14329/DMQ.zip</x:t>
  </x:si>
  <x:si>
    <x:t xml:space="preserve">Dead-Man Mario World</x:t>
  </x:si>
  <x:si>
    <x:t xml:space="preserve">Uncle Dumbass, gamed9x</x:t>
  </x:si>
  <x:si>
    <x:t xml:space="preserve">11304</x:t>
  </x:si>
  <x:si>
    <x:t xml:space="preserve">https://www.smwcentral.net/?a=details&amp;id=11304&amp;p=section</x:t>
  </x:si>
  <x:si>
    <x:t xml:space="preserve">https://dl.smwcentral.net/11304/deadman_mario.zip</x:t>
  </x:si>
  <x:si>
    <x:t xml:space="preserve">Dearly Detested</x:t>
  </x:si>
  <x:si>
    <x:t xml:space="preserve">Lazy</x:t>
  </x:si>
  <x:si>
    <x:t xml:space="preserve">41540</x:t>
  </x:si>
  <x:si>
    <x:t xml:space="preserve">https://www.smwcentral.net/?a=details&amp;id=41540&amp;p=section</x:t>
  </x:si>
  <x:si>
    <x:t xml:space="preserve">https://dl.smwcentral.net/41540/Dearly%20Detested.zip</x:t>
  </x:si>
  <x:si>
    <x:t xml:space="preserve">Death of a Plumber</x:t>
  </x:si>
  <x:si>
    <x:t xml:space="preserve">cur</x:t>
  </x:si>
  <x:si>
    <x:t xml:space="preserve">27165</x:t>
  </x:si>
  <x:si>
    <x:t xml:space="preserve">https://www.smwcentral.net/?a=details&amp;id=27165&amp;p=section</x:t>
  </x:si>
  <x:si>
    <x:t xml:space="preserve">https://dl.smwcentral.net/27165/Death%20of%20a%20Plumber%201.2.zip</x:t>
  </x:si>
  <x:si>
    <x:t xml:space="preserve">Death Zone</x:t>
  </x:si>
  <x:si>
    <x:t xml:space="preserve">turbofa</x:t>
  </x:si>
  <x:si>
    <x:t xml:space="preserve">15505</x:t>
  </x:si>
  <x:si>
    <x:t xml:space="preserve">https://www.smwcentral.net/?a=details&amp;id=15505&amp;p=section</x:t>
  </x:si>
  <x:si>
    <x:t xml:space="preserve">https://dl.smwcentral.net/15505/DeathZone.zip</x:t>
  </x:si>
  <x:si>
    <x:t xml:space="preserve">Deathshredder</x:t>
  </x:si>
  <x:si>
    <x:t xml:space="preserve">Reese</x:t>
  </x:si>
  <x:si>
    <x:t xml:space="preserve">38714</x:t>
  </x:si>
  <x:si>
    <x:t xml:space="preserve">https://www.smwcentral.net/?a=details&amp;id=38714&amp;p=section</x:t>
  </x:si>
  <x:si>
    <x:t xml:space="preserve">https://dl.smwcentral.net/38714/Deathshredder.zip</x:t>
  </x:si>
  <x:si>
    <x:t xml:space="preserve">DeClock Mario World Remastered</x:t>
  </x:si>
  <x:si>
    <x:t xml:space="preserve">23833</x:t>
  </x:si>
  <x:si>
    <x:t xml:space="preserve">https://www.smwcentral.net/?a=details&amp;id=23833&amp;p=section</x:t>
  </x:si>
  <x:si>
    <x:t xml:space="preserve">https://dl.smwcentral.net/23833/DeClock%20Mario%20World%20Remastered%201.1.zip</x:t>
  </x:si>
  <x:si>
    <x:t xml:space="preserve">Deep In The Island</x:t>
  </x:si>
  <x:si>
    <x:t xml:space="preserve">dashlet</x:t>
  </x:si>
  <x:si>
    <x:t xml:space="preserve">31559</x:t>
  </x:si>
  <x:si>
    <x:t xml:space="preserve">https://www.smwcentral.net/?a=details&amp;id=31559&amp;p=section</x:t>
  </x:si>
  <x:si>
    <x:t xml:space="preserve">https://dl.smwcentral.net/31559/Deep%20In%20The%20Island%20%28Ver%201.1%29.zip</x:t>
  </x:si>
  <x:si>
    <x:t xml:space="preserve">DeepDreamWorld</x:t>
  </x:si>
  <x:si>
    <x:t xml:space="preserve">Dobosco</x:t>
  </x:si>
  <x:si>
    <x:t xml:space="preserve">22110</x:t>
  </x:si>
  <x:si>
    <x:t xml:space="preserve">https://www.smwcentral.net/?a=details&amp;id=22110&amp;p=section</x:t>
  </x:si>
  <x:si>
    <x:t xml:space="preserve">https://dl.smwcentral.net/22110/DeepDreamWorld.zip</x:t>
  </x:si>
  <x:si>
    <x:t xml:space="preserve">DEEZ shells</x:t>
  </x:si>
  <x:si>
    <x:t xml:space="preserve">34025</x:t>
  </x:si>
  <x:si>
    <x:t xml:space="preserve">https://www.smwcentral.net/?a=details&amp;id=34025&amp;p=section</x:t>
  </x:si>
  <x:si>
    <x:t xml:space="preserve">https://dl.smwcentral.net/34025/DEEZ%20shells.zip</x:t>
  </x:si>
  <x:si>
    <x:t xml:space="preserve">Deja Vu</x:t>
  </x:si>
  <x:si>
    <x:t xml:space="preserve">Razberry</x:t>
  </x:si>
  <x:si>
    <x:t xml:space="preserve">32023</x:t>
  </x:si>
  <x:si>
    <x:t xml:space="preserve">https://www.smwcentral.net/?a=details&amp;id=32023&amp;p=section</x:t>
  </x:si>
  <x:si>
    <x:t xml:space="preserve">https://dl.smwcentral.net/32023/Deja%20Vu%201.3.zip</x:t>
  </x:si>
  <x:si>
    <x:t xml:space="preserve">Delirious Mario</x:t>
  </x:si>
  <x:si>
    <x:t xml:space="preserve">26493</x:t>
  </x:si>
  <x:si>
    <x:t xml:space="preserve">https://www.smwcentral.net/?a=details&amp;id=26493&amp;p=section</x:t>
  </x:si>
  <x:si>
    <x:t xml:space="preserve">https://dl.smwcentral.net/26493/delirious.zip</x:t>
  </x:si>
  <x:si>
    <x:t xml:space="preserve">Delirium</x:t>
  </x:si>
  <x:si>
    <x:t xml:space="preserve">41773</x:t>
  </x:si>
  <x:si>
    <x:t xml:space="preserve">https://www.smwcentral.net/?a=details&amp;id=41773&amp;p=section</x:t>
  </x:si>
  <x:si>
    <x:t xml:space="preserve">https://dl.smwcentral.net/41773/Delirium.zip</x:t>
  </x:si>
  <x:si>
    <x:t xml:space="preserve">Demonsul's Fortress</x:t>
  </x:si>
  <x:si>
    <x:t xml:space="preserve">Demonsul</x:t>
  </x:si>
  <x:si>
    <x:t xml:space="preserve">9950</x:t>
  </x:si>
  <x:si>
    <x:t xml:space="preserve">https://www.smwcentral.net/?a=details&amp;id=9950&amp;p=section</x:t>
  </x:si>
  <x:si>
    <x:t xml:space="preserve">https://dl.smwcentral.net/9950/DemonsulsFortressDemo2W.zip</x:t>
  </x:si>
  <x:si>
    <x:t xml:space="preserve">Denali's Tail</x:t>
  </x:si>
  <x:si>
    <x:t xml:space="preserve">Atomic-Citrus</x:t>
  </x:si>
  <x:si>
    <x:t xml:space="preserve">21639</x:t>
  </x:si>
  <x:si>
    <x:t xml:space="preserve">https://www.smwcentral.net/?a=details&amp;id=21639&amp;p=section</x:t>
  </x:si>
  <x:si>
    <x:t xml:space="preserve">https://dl.smwcentral.net/21639/Denali%27s%20Tail.zip</x:t>
  </x:si>
  <x:si>
    <x:t xml:space="preserve">Desert Traveling</x:t>
  </x:si>
  <x:si>
    <x:t xml:space="preserve">2362</x:t>
  </x:si>
  <x:si>
    <x:t xml:space="preserve">10541</x:t>
  </x:si>
  <x:si>
    <x:t xml:space="preserve">https://www.smwcentral.net/?a=details&amp;id=10541&amp;p=section</x:t>
  </x:si>
  <x:si>
    <x:t xml:space="preserve">https://dl.smwcentral.net/10541/DesertTraveling.zip</x:t>
  </x:si>
  <x:si>
    <x:t xml:space="preserve">Devil's Asylum</x:t>
  </x:si>
  <x:si>
    <x:t xml:space="preserve">TheMorganah</x:t>
  </x:si>
  <x:si>
    <x:t xml:space="preserve">40873</x:t>
  </x:si>
  <x:si>
    <x:t xml:space="preserve">https://www.smwcentral.net/?a=details&amp;id=40873&amp;p=section</x:t>
  </x:si>
  <x:si>
    <x:t xml:space="preserve">https://dl.smwcentral.net/40873/%5B2021%5D%20Devil%27s%20Asylum%20DEMO.zip</x:t>
  </x:si>
  <x:si>
    <x:t xml:space="preserve">Diffidence</x:t>
  </x:si>
  <x:si>
    <x:t xml:space="preserve">37981</x:t>
  </x:si>
  <x:si>
    <x:t xml:space="preserve">https://www.smwcentral.net/?a=details&amp;id=37981&amp;p=section</x:t>
  </x:si>
  <x:si>
    <x:t xml:space="preserve">https://dl.smwcentral.net/37981/Diffidence.zip</x:t>
  </x:si>
  <x:si>
    <x:t xml:space="preserve">Digital Rage World</x:t>
  </x:si>
  <x:si>
    <x:t xml:space="preserve">MarioFan1337</x:t>
  </x:si>
  <x:si>
    <x:t xml:space="preserve">38888</x:t>
  </x:si>
  <x:si>
    <x:t xml:space="preserve">https://www.smwcentral.net/?a=details&amp;id=38888&amp;p=section</x:t>
  </x:si>
  <x:si>
    <x:t xml:space="preserve">https://dl.smwcentral.net/38888/Digital_Rage_World.zip</x:t>
  </x:si>
  <x:si>
    <x:t xml:space="preserve">Dim Spirits: In-Blood - Complete Edition</x:t>
  </x:si>
  <x:si>
    <x:t xml:space="preserve">blackhart</x:t>
  </x:si>
  <x:si>
    <x:t xml:space="preserve">28925</x:t>
  </x:si>
  <x:si>
    <x:t xml:space="preserve">https://www.smwcentral.net/?a=details&amp;id=28925&amp;p=section</x:t>
  </x:si>
  <x:si>
    <x:t xml:space="preserve">https://dl.smwcentral.net/28925/Dim%20Spirits.zip</x:t>
  </x:si>
  <x:si>
    <x:t xml:space="preserve">DINGS</x:t>
  </x:si>
  <x:si>
    <x:t xml:space="preserve">12147</x:t>
  </x:si>
  <x:si>
    <x:t xml:space="preserve">https://www.smwcentral.net/?a=details&amp;id=12147&amp;p=section</x:t>
  </x:si>
  <x:si>
    <x:t xml:space="preserve">https://dl.smwcentral.net/12147/DINGS.zip</x:t>
  </x:si>
  <x:si>
    <x:t xml:space="preserve">Dininho World</x:t>
  </x:si>
  <x:si>
    <x:t xml:space="preserve">MIRANHA</x:t>
  </x:si>
  <x:si>
    <x:t xml:space="preserve">22036</x:t>
  </x:si>
  <x:si>
    <x:t xml:space="preserve">https://www.smwcentral.net/?a=details&amp;id=22036&amp;p=section</x:t>
  </x:si>
  <x:si>
    <x:t xml:space="preserve">https://dl.smwcentral.net/22036/dininhoworld.zip</x:t>
  </x:si>
  <x:si>
    <x:t xml:space="preserve">Dinomar: Adventure of a SMWCentral User</x:t>
  </x:si>
  <x:si>
    <x:t xml:space="preserve">Saturn the Donkey</x:t>
  </x:si>
  <x:si>
    <x:t xml:space="preserve">10087</x:t>
  </x:si>
  <x:si>
    <x:t xml:space="preserve">https://www.smwcentral.net/?a=details&amp;id=10087&amp;p=section</x:t>
  </x:si>
  <x:si>
    <x:t xml:space="preserve">https://dl.smwcentral.net/10087/Dinomar.zip</x:t>
  </x:si>
  <x:si>
    <x:t xml:space="preserve">Disk Defrag</x:t>
  </x:si>
  <x:si>
    <x:t xml:space="preserve">25772</x:t>
  </x:si>
  <x:si>
    <x:t xml:space="preserve">https://www.smwcentral.net/?a=details&amp;id=25772&amp;p=section</x:t>
  </x:si>
  <x:si>
    <x:t xml:space="preserve">https://dl.smwcentral.net/25772/DiskDefrag.zip</x:t>
  </x:si>
  <x:si>
    <x:t xml:space="preserve">Do The Mario</x:t>
  </x:si>
  <x:si>
    <x:t xml:space="preserve">Tob</x:t>
  </x:si>
  <x:si>
    <x:t xml:space="preserve">14675</x:t>
  </x:si>
  <x:si>
    <x:t xml:space="preserve">https://www.smwcentral.net/?a=details&amp;id=14675&amp;p=section</x:t>
  </x:si>
  <x:si>
    <x:t xml:space="preserve">https://dl.smwcentral.net/14675/Do%20The%20Mario%20Demo%201.2.2.1.zip</x:t>
  </x:si>
  <x:si>
    <x:t xml:space="preserve">domenyX Christmas</x:t>
  </x:si>
  <x:si>
    <x:t xml:space="preserve">LucasMegaStriker, domenyX</x:t>
  </x:si>
  <x:si>
    <x:t xml:space="preserve">21689</x:t>
  </x:si>
  <x:si>
    <x:t xml:space="preserve">https://www.smwcentral.net/?a=details&amp;id=21689&amp;p=section</x:t>
  </x:si>
  <x:si>
    <x:t xml:space="preserve">https://dl.smwcentral.net/21689/domenyXChristmas.zip</x:t>
  </x:si>
  <x:si>
    <x:t xml:space="preserve">domenyX Generations</x:t>
  </x:si>
  <x:si>
    <x:t xml:space="preserve">LucasMegaStriker</x:t>
  </x:si>
  <x:si>
    <x:t xml:space="preserve">29956</x:t>
  </x:si>
  <x:si>
    <x:t xml:space="preserve">https://www.smwcentral.net/?a=details&amp;id=29956&amp;p=section</x:t>
  </x:si>
  <x:si>
    <x:t xml:space="preserve">https://dl.smwcentral.net/29956/domenyXGenerations.zip</x:t>
  </x:si>
  <x:si>
    <x:t xml:space="preserve">domenyX vs Coronavirus</x:t>
  </x:si>
  <x:si>
    <x:t xml:space="preserve">22814</x:t>
  </x:si>
  <x:si>
    <x:t xml:space="preserve">https://www.smwcentral.net/?a=details&amp;id=22814&amp;p=section</x:t>
  </x:si>
  <x:si>
    <x:t xml:space="preserve">https://dl.smwcentral.net/22814/domenyXvsCorona.zip</x:t>
  </x:si>
  <x:si>
    <x:t xml:space="preserve">domenyX: Trouble in Paradise</x:t>
  </x:si>
  <x:si>
    <x:t xml:space="preserve">LucasMegaStriker, Mpereira</x:t>
  </x:si>
  <x:si>
    <x:t xml:space="preserve">27847</x:t>
  </x:si>
  <x:si>
    <x:t xml:space="preserve">https://www.smwcentral.net/?a=details&amp;id=27847&amp;p=section</x:t>
  </x:si>
  <x:si>
    <x:t xml:space="preserve">https://dl.smwcentral.net/27847/domenyX_Paradise.zip</x:t>
  </x:si>
  <x:si>
    <x:t xml:space="preserve">Don't Dig Down</x:t>
  </x:si>
  <x:si>
    <x:t xml:space="preserve">TheGremlin</x:t>
  </x:si>
  <x:si>
    <x:t xml:space="preserve">34952</x:t>
  </x:si>
  <x:si>
    <x:t xml:space="preserve">https://www.smwcentral.net/?a=details&amp;id=34952&amp;p=section</x:t>
  </x:si>
  <x:si>
    <x:t xml:space="preserve">https://dl.smwcentral.net/34952/DontDigDown%20v7.zip</x:t>
  </x:si>
  <x:si>
    <x:t xml:space="preserve">Don't Panic</x:t>
  </x:si>
  <x:si>
    <x:t xml:space="preserve">26179</x:t>
  </x:si>
  <x:si>
    <x:t xml:space="preserve">https://www.smwcentral.net/?a=details&amp;id=26179&amp;p=section</x:t>
  </x:si>
  <x:si>
    <x:t xml:space="preserve">https://dl.smwcentral.net/26179/DontPanic.zip</x:t>
  </x:si>
  <x:si>
    <x:t xml:space="preserve">Don't Spare the Horses</x:t>
  </x:si>
  <x:si>
    <x:t xml:space="preserve">Morsel</x:t>
  </x:si>
  <x:si>
    <x:t xml:space="preserve">27833</x:t>
  </x:si>
  <x:si>
    <x:t xml:space="preserve">https://www.smwcentral.net/?a=details&amp;id=27833&amp;p=section</x:t>
  </x:si>
  <x:si>
    <x:t xml:space="preserve">https://dl.smwcentral.net/27833/horses1.2.zip</x:t>
  </x:si>
  <x:si>
    <x:t xml:space="preserve">Dongs! The Hack</x:t>
  </x:si>
  <x:si>
    <x:t xml:space="preserve">The Kins</x:t>
  </x:si>
  <x:si>
    <x:t xml:space="preserve">5224</x:t>
  </x:si>
  <x:si>
    <x:t xml:space="preserve">https://www.smwcentral.net/?a=details&amp;id=5224&amp;p=section</x:t>
  </x:si>
  <x:si>
    <x:t xml:space="preserve">https://dl.smwcentral.net/5224/dongs.zip</x:t>
  </x:si>
  <x:si>
    <x:t xml:space="preserve">Donkey Kong 2: The Rise of Jumpman!</x:t>
  </x:si>
  <x:si>
    <x:t xml:space="preserve">Big Brawler</x:t>
  </x:si>
  <x:si>
    <x:t xml:space="preserve">15853</x:t>
  </x:si>
  <x:si>
    <x:t xml:space="preserve">https://www.smwcentral.net/?a=details&amp;id=15853&amp;p=section</x:t>
  </x:si>
  <x:si>
    <x:t xml:space="preserve">https://dl.smwcentral.net/15853/DK2%20-%20The%20Rise%20of%20Jumpman.zip</x:t>
  </x:si>
  <x:si>
    <x:t xml:space="preserve">Donkey Kong 3: Another Rise!</x:t>
  </x:si>
  <x:si>
    <x:t xml:space="preserve">17934</x:t>
  </x:si>
  <x:si>
    <x:t xml:space="preserve">https://www.smwcentral.net/?a=details&amp;id=17934&amp;p=section</x:t>
  </x:si>
  <x:si>
    <x:t xml:space="preserve">https://dl.smwcentral.net/17934/Donkey%20Kong%203%20Another%20Rise%21%20Ver1.3.zip</x:t>
  </x:si>
  <x:si>
    <x:t xml:space="preserve">Donkey Kong 4: Rise and Repeat</x:t>
  </x:si>
  <x:si>
    <x:t xml:space="preserve">39212</x:t>
  </x:si>
  <x:si>
    <x:t xml:space="preserve">https://www.smwcentral.net/?a=details&amp;id=39212&amp;p=section</x:t>
  </x:si>
  <x:si>
    <x:t xml:space="preserve">https://dl.smwcentral.net/39212/DK4%20Rise%20and%20Repeat.zip</x:t>
  </x:si>
  <x:si>
    <x:t xml:space="preserve">Doodlebob's Revenge</x:t>
  </x:si>
  <x:si>
    <x:t xml:space="preserve">Boosius</x:t>
  </x:si>
  <x:si>
    <x:t xml:space="preserve">27143</x:t>
  </x:si>
  <x:si>
    <x:t xml:space="preserve">https://www.smwcentral.net/?a=details&amp;id=27143&amp;p=section</x:t>
  </x:si>
  <x:si>
    <x:t xml:space="preserve">https://dl.smwcentral.net/27143/doodlebob%27s%20revenge.zip</x:t>
  </x:si>
  <x:si>
    <x:t xml:space="preserve">Doomscroll</x:t>
  </x:si>
  <x:si>
    <x:t xml:space="preserve">41481</x:t>
  </x:si>
  <x:si>
    <x:t xml:space="preserve">https://www.smwcentral.net/?a=details&amp;id=41481&amp;p=section</x:t>
  </x:si>
  <x:si>
    <x:t xml:space="preserve">https://dl.smwcentral.net/41481/Doomscroll.zip</x:t>
  </x:si>
  <x:si>
    <x:t xml:space="preserve">Dooooors</x:t>
  </x:si>
  <x:si>
    <x:t xml:space="preserve">Stairkase</x:t>
  </x:si>
  <x:si>
    <x:t xml:space="preserve">20577</x:t>
  </x:si>
  <x:si>
    <x:t xml:space="preserve">https://www.smwcentral.net/?a=details&amp;id=20577&amp;p=section</x:t>
  </x:si>
  <x:si>
    <x:t xml:space="preserve">https://dl.smwcentral.net/20577/Dooooors.zip</x:t>
  </x:si>
  <x:si>
    <x:t xml:space="preserve">Doopliss Revenge</x:t>
  </x:si>
  <x:si>
    <x:t xml:space="preserve">kirbydavy</x:t>
  </x:si>
  <x:si>
    <x:t xml:space="preserve">9655</x:t>
  </x:si>
  <x:si>
    <x:t xml:space="preserve">https://www.smwcentral.net/?a=details&amp;id=9655&amp;p=section</x:t>
  </x:si>
  <x:si>
    <x:t xml:space="preserve">https://dl.smwcentral.net/9655/Doopliss%20Revenge.zip</x:t>
  </x:si>
  <x:si>
    <x:t xml:space="preserve">Doro Chill</x:t>
  </x:si>
  <x:si>
    <x:t xml:space="preserve">37065</x:t>
  </x:si>
  <x:si>
    <x:t xml:space="preserve">https://www.smwcentral.net/?a=details&amp;id=37065&amp;p=section</x:t>
  </x:si>
  <x:si>
    <x:t xml:space="preserve">https://dl.smwcentral.net/37065/Doro%20Chill.zip</x:t>
  </x:si>
  <x:si>
    <x:t xml:space="preserve">Doro Kaizo</x:t>
  </x:si>
  <x:si>
    <x:t xml:space="preserve">Lyfah</x:t>
  </x:si>
  <x:si>
    <x:t xml:space="preserve">32883</x:t>
  </x:si>
  <x:si>
    <x:t xml:space="preserve">https://www.smwcentral.net/?a=details&amp;id=32883&amp;p=section</x:t>
  </x:si>
  <x:si>
    <x:t xml:space="preserve">https://dl.smwcentral.net/32883/Doro%20Kaizo.zip</x:t>
  </x:si>
  <x:si>
    <x:t xml:space="preserve">Double Jump Man</x:t>
  </x:si>
  <x:si>
    <x:t xml:space="preserve">26004</x:t>
  </x:si>
  <x:si>
    <x:t xml:space="preserve">https://www.smwcentral.net/?a=details&amp;id=26004&amp;p=section</x:t>
  </x:si>
  <x:si>
    <x:t xml:space="preserve">https://dl.smwcentral.net/26004/double.zip</x:t>
  </x:si>
  <x:si>
    <x:t xml:space="preserve">Dr. Mario World Redrawn</x:t>
  </x:si>
  <x:si>
    <x:t xml:space="preserve">B.B.Link</x:t>
  </x:si>
  <x:si>
    <x:t xml:space="preserve">6255</x:t>
  </x:si>
  <x:si>
    <x:t xml:space="preserve">https://www.smwcentral.net/?a=details&amp;id=6255&amp;p=section</x:t>
  </x:si>
  <x:si>
    <x:t xml:space="preserve">https://dl.smwcentral.net/6255/Dr.%20Mario%20World%20Redrawn%20SMWC.zip</x:t>
  </x:si>
  <x:si>
    <x:t xml:space="preserve">Dreadshredder</x:t>
  </x:si>
  <x:si>
    <x:t xml:space="preserve">38795</x:t>
  </x:si>
  <x:si>
    <x:t xml:space="preserve">https://www.smwcentral.net/?a=details&amp;id=38795&amp;p=section</x:t>
  </x:si>
  <x:si>
    <x:t xml:space="preserve">https://dl.smwcentral.net/38795/Dreadshredder%20v1.01.zip</x:t>
  </x:si>
  <x:si>
    <x:t xml:space="preserve">Dream Collider</x:t>
  </x:si>
  <x:si>
    <x:t xml:space="preserve">33031</x:t>
  </x:si>
  <x:si>
    <x:t xml:space="preserve">https://www.smwcentral.net/?a=details&amp;id=33031&amp;p=section</x:t>
  </x:si>
  <x:si>
    <x:t xml:space="preserve">https://dl.smwcentral.net/33031/Dream%20Collider.zip</x:t>
  </x:si>
  <x:si>
    <x:t xml:space="preserve">Dream Eater</x:t>
  </x:si>
  <x:si>
    <x:t xml:space="preserve">Sleppy</x:t>
  </x:si>
  <x:si>
    <x:t xml:space="preserve">42023</x:t>
  </x:si>
  <x:si>
    <x:t xml:space="preserve">https://www.smwcentral.net/?a=details&amp;id=42023&amp;p=section</x:t>
  </x:si>
  <x:si>
    <x:t xml:space="preserve">https://dl.smwcentral.net/42023/Dream%20Eater.zip</x:t>
  </x:si>
  <x:si>
    <x:t xml:space="preserve">Dreams</x:t>
  </x:si>
  <x:si>
    <x:t xml:space="preserve">Panicdream1</x:t>
  </x:si>
  <x:si>
    <x:t xml:space="preserve">28857</x:t>
  </x:si>
  <x:si>
    <x:t xml:space="preserve">https://www.smwcentral.net/?a=details&amp;id=28857&amp;p=section</x:t>
  </x:si>
  <x:si>
    <x:t xml:space="preserve">https://dl.smwcentral.net/28857/Dreams.zip</x:t>
  </x:si>
  <x:si>
    <x:t xml:space="preserve">Dreza Demo 1st Public Release</x:t>
  </x:si>
  <x:si>
    <x:t xml:space="preserve">ADAMEI5TER</x:t>
  </x:si>
  <x:si>
    <x:t xml:space="preserve">40261</x:t>
  </x:si>
  <x:si>
    <x:t xml:space="preserve">https://www.smwcentral.net/?a=details&amp;id=40261&amp;p=section</x:t>
  </x:si>
  <x:si>
    <x:t xml:space="preserve">https://dl.smwcentral.net/40261/drezademo.zip</x:t>
  </x:si>
  <x:si>
    <x:t xml:space="preserve">Drive the Desert Bus</x:t>
  </x:si>
  <x:si>
    <x:t xml:space="preserve">HuFlungDu</x:t>
  </x:si>
  <x:si>
    <x:t xml:space="preserve">9978</x:t>
  </x:si>
  <x:si>
    <x:t xml:space="preserve">https://www.smwcentral.net/?a=details&amp;id=9978&amp;p=section</x:t>
  </x:si>
  <x:si>
    <x:t xml:space="preserve">https://dl.smwcentral.net/9978/DriveTheDesertBus.zip</x:t>
  </x:si>
  <x:si>
    <x:t xml:space="preserve">Drkrdnk World</x:t>
  </x:si>
  <x:si>
    <x:t xml:space="preserve">Desert</x:t>
  </x:si>
  <x:si>
    <x:t xml:space="preserve">27931</x:t>
  </x:si>
  <x:si>
    <x:t xml:space="preserve">https://www.smwcentral.net/?a=details&amp;id=27931&amp;p=section</x:t>
  </x:si>
  <x:si>
    <x:t xml:space="preserve">https://dl.smwcentral.net/27931/Drkrdnk%20World.zip</x:t>
  </x:si>
  <x:si>
    <x:t xml:space="preserve">Duck Island</x:t>
  </x:si>
  <x:si>
    <x:t xml:space="preserve">decentduck</x:t>
  </x:si>
  <x:si>
    <x:t xml:space="preserve">19263</x:t>
  </x:si>
  <x:si>
    <x:t xml:space="preserve">https://www.smwcentral.net/?a=details&amp;id=19263&amp;p=section</x:t>
  </x:si>
  <x:si>
    <x:t xml:space="preserve">https://dl.smwcentral.net/19263/Duck%20Island.zip</x:t>
  </x:si>
  <x:si>
    <x:t xml:space="preserve">Duck Season</x:t>
  </x:si>
  <x:si>
    <x:t xml:space="preserve">2dareduck</x:t>
  </x:si>
  <x:si>
    <x:t xml:space="preserve">10895</x:t>
  </x:si>
  <x:si>
    <x:t xml:space="preserve">https://www.smwcentral.net/?a=details&amp;id=10895&amp;p=section</x:t>
  </x:si>
  <x:si>
    <x:t xml:space="preserve">https://dl.smwcentral.net/10895/Duck%20Season.zip</x:t>
  </x:si>
  <x:si>
    <x:t xml:space="preserve">dumb</x:t>
  </x:si>
  <x:si>
    <x:t xml:space="preserve">OEO6</x:t>
  </x:si>
  <x:si>
    <x:t xml:space="preserve">22132</x:t>
  </x:si>
  <x:si>
    <x:t xml:space="preserve">https://www.smwcentral.net/?a=details&amp;id=22132&amp;p=section</x:t>
  </x:si>
  <x:si>
    <x:t xml:space="preserve">https://dl.smwcentral.net/22132/dumb.zip</x:t>
  </x:si>
  <x:si>
    <x:t xml:space="preserve">Dusty Shells</x:t>
  </x:si>
  <x:si>
    <x:t xml:space="preserve">BielDusty</x:t>
  </x:si>
  <x:si>
    <x:t xml:space="preserve">40965</x:t>
  </x:si>
  <x:si>
    <x:t xml:space="preserve">https://www.smwcentral.net/?a=details&amp;id=40965&amp;p=section</x:t>
  </x:si>
  <x:si>
    <x:t xml:space="preserve">https://dl.smwcentral.net/40965/Dusty%20Shells.zip</x:t>
  </x:si>
  <x:si>
    <x:t xml:space="preserve">Dynamic Mario</x:t>
  </x:si>
  <x:si>
    <x:t xml:space="preserve">Maw</x:t>
  </x:si>
  <x:si>
    <x:t xml:space="preserve">30589</x:t>
  </x:si>
  <x:si>
    <x:t xml:space="preserve">https://www.smwcentral.net/?a=details&amp;id=30589&amp;p=section</x:t>
  </x:si>
  <x:si>
    <x:t xml:space="preserve">https://dl.smwcentral.net/30589/Dynamic%20Mario1.1.zip</x:t>
  </x:si>
  <x:si>
    <x:t xml:space="preserve">Dynasty's Choconilla Seasons Hack</x:t>
  </x:si>
  <x:si>
    <x:t xml:space="preserve">DynastyLobster</x:t>
  </x:si>
  <x:si>
    <x:t xml:space="preserve">28586</x:t>
  </x:si>
  <x:si>
    <x:t xml:space="preserve">https://www.smwcentral.net/?a=details&amp;id=28586&amp;p=section</x:t>
  </x:si>
  <x:si>
    <x:t xml:space="preserve">https://dl.smwcentral.net/28586/dynasty_vanilla_hack_1.zip</x:t>
  </x:si>
  <x:si>
    <x:t xml:space="preserve">Dysphoria</x:t>
  </x:si>
  <x:si>
    <x:t xml:space="preserve">34492</x:t>
  </x:si>
  <x:si>
    <x:t xml:space="preserve">https://www.smwcentral.net/?a=details&amp;id=34492&amp;p=section</x:t>
  </x:si>
  <x:si>
    <x:t xml:space="preserve">https://dl.smwcentral.net/34492/Dysphoria.zip</x:t>
  </x:si>
  <x:si>
    <x:t xml:space="preserve">Easy One Screen Puzzle</x:t>
  </x:si>
  <x:si>
    <x:t xml:space="preserve">Magikey</x:t>
  </x:si>
  <x:si>
    <x:t xml:space="preserve">24535</x:t>
  </x:si>
  <x:si>
    <x:t xml:space="preserve">https://www.smwcentral.net/?a=details&amp;id=24535&amp;p=section</x:t>
  </x:si>
  <x:si>
    <x:t xml:space="preserve">https://dl.smwcentral.net/24535/EasyOneScreenPuzzle.zip</x:t>
  </x:si>
  <x:si>
    <x:t xml:space="preserve">Easy Two Screen Puzzle</x:t>
  </x:si>
  <x:si>
    <x:t xml:space="preserve">39699</x:t>
  </x:si>
  <x:si>
    <x:t xml:space="preserve">https://www.smwcentral.net/?a=details&amp;id=39699&amp;p=section</x:t>
  </x:si>
  <x:si>
    <x:t xml:space="preserve">https://dl.smwcentral.net/39699/EasyTwoScreenPuzzle.zip</x:t>
  </x:si>
  <x:si>
    <x:t xml:space="preserve">Easyland</x:t>
  </x:si>
  <x:si>
    <x:t xml:space="preserve">37583</x:t>
  </x:si>
  <x:si>
    <x:t xml:space="preserve">https://www.smwcentral.net/?a=details&amp;id=37583&amp;p=section</x:t>
  </x:si>
  <x:si>
    <x:t xml:space="preserve">https://dl.smwcentral.net/37583/Easyland.zip</x:t>
  </x:si>
  <x:si>
    <x:t xml:space="preserve">Easyland 2</x:t>
  </x:si>
  <x:si>
    <x:t xml:space="preserve">38528</x:t>
  </x:si>
  <x:si>
    <x:t xml:space="preserve">https://www.smwcentral.net/?a=details&amp;id=38528&amp;p=section</x:t>
  </x:si>
  <x:si>
    <x:t xml:space="preserve">https://dl.smwcentral.net/38528/Easyland%202.zip</x:t>
  </x:si>
  <x:si>
    <x:t xml:space="preserve">Easyland 3</x:t>
  </x:si>
  <x:si>
    <x:t xml:space="preserve">41159</x:t>
  </x:si>
  <x:si>
    <x:t xml:space="preserve">https://www.smwcentral.net/?a=details&amp;id=41159&amp;p=section</x:t>
  </x:si>
  <x:si>
    <x:t xml:space="preserve">https://dl.smwcentral.net/41159/Easyland%203.zip</x:t>
  </x:si>
  <x:si>
    <x:t xml:space="preserve">echoestopia</x:t>
  </x:si>
  <x:si>
    <x:t xml:space="preserve">elwawa</x:t>
  </x:si>
  <x:si>
    <x:t xml:space="preserve">41895</x:t>
  </x:si>
  <x:si>
    <x:t xml:space="preserve">https://www.smwcentral.net/?a=details&amp;id=41895&amp;p=section</x:t>
  </x:si>
  <x:si>
    <x:t xml:space="preserve">https://dl.smwcentral.net/41895/echoesto%20topia.zip</x:t>
  </x:si>
  <x:si>
    <x:t xml:space="preserve">Eclectic Shell</x:t>
  </x:si>
  <x:si>
    <x:t xml:space="preserve">37611</x:t>
  </x:si>
  <x:si>
    <x:t xml:space="preserve">https://www.smwcentral.net/?a=details&amp;id=37611&amp;p=section</x:t>
  </x:si>
  <x:si>
    <x:t xml:space="preserve">https://dl.smwcentral.net/37611/EclecticShellv2.zip</x:t>
  </x:si>
  <x:si>
    <x:t xml:space="preserve">EF Land</x:t>
  </x:si>
  <x:si>
    <x:t xml:space="preserve">Electrofire</x:t>
  </x:si>
  <x:si>
    <x:t xml:space="preserve">9784</x:t>
  </x:si>
  <x:si>
    <x:t xml:space="preserve">https://www.smwcentral.net/?a=details&amp;id=9784&amp;p=section</x:t>
  </x:si>
  <x:si>
    <x:t xml:space="preserve">https://dl.smwcentral.net/9784/EF_Land.zip</x:t>
  </x:si>
  <x:si>
    <x:t xml:space="preserve">Effortworld</x:t>
  </x:si>
  <x:si>
    <x:t xml:space="preserve">JUMP Team</x:t>
  </x:si>
  <x:si>
    <x:t xml:space="preserve">34383</x:t>
  </x:si>
  <x:si>
    <x:t xml:space="preserve">https://www.smwcentral.net/?a=details&amp;id=34383&amp;p=section</x:t>
  </x:si>
  <x:si>
    <x:t xml:space="preserve">https://dl.smwcentral.net/34383/effortworld.zip</x:t>
  </x:si>
  <x:si>
    <x:t xml:space="preserve">EGO WORLD</x:t>
  </x:si>
  <x:si>
    <x:t xml:space="preserve">mmmdoggy</x:t>
  </x:si>
  <x:si>
    <x:t xml:space="preserve">38298</x:t>
  </x:si>
  <x:si>
    <x:t xml:space="preserve">https://www.smwcentral.net/?a=details&amp;id=38298&amp;p=section</x:t>
  </x:si>
  <x:si>
    <x:t xml:space="preserve">https://dl.smwcentral.net/38298/EGO%20WORLD.zip</x:t>
  </x:si>
  <x:si>
    <x:t xml:space="preserve">Eh</x:t>
  </x:si>
  <x:si>
    <x:t xml:space="preserve">40018</x:t>
  </x:si>
  <x:si>
    <x:t xml:space="preserve">https://www.smwcentral.net/?a=details&amp;id=40018&amp;p=section</x:t>
  </x:si>
  <x:si>
    <x:t xml:space="preserve">https://dl.smwcentral.net/40018/Eh%20v1.2.zip</x:t>
  </x:si>
  <x:si>
    <x:t xml:space="preserve">Eidolon</x:t>
  </x:si>
  <x:si>
    <x:t xml:space="preserve">35343</x:t>
  </x:si>
  <x:si>
    <x:t xml:space="preserve">https://www.smwcentral.net/?a=details&amp;id=35343&amp;p=section</x:t>
  </x:si>
  <x:si>
    <x:t xml:space="preserve">https://dl.smwcentral.net/35343/hack.zip</x:t>
  </x:si>
  <x:si>
    <x:t xml:space="preserve">Eikro: The Children of Darloum</x:t>
  </x:si>
  <x:si>
    <x:t xml:space="preserve">32913</x:t>
  </x:si>
  <x:si>
    <x:t xml:space="preserve">https://www.smwcentral.net/?a=details&amp;id=32913&amp;p=section</x:t>
  </x:si>
  <x:si>
    <x:t xml:space="preserve">https://dl.smwcentral.net/32913/Eikro%20-%20The%20Children%20of%20Darloum.zip</x:t>
  </x:si>
  <x:si>
    <x:t xml:space="preserve">El Dorado</x:t>
  </x:si>
  <x:si>
    <x:t xml:space="preserve">mmBeefStew</x:t>
  </x:si>
  <x:si>
    <x:t xml:space="preserve">26644</x:t>
  </x:si>
  <x:si>
    <x:t xml:space="preserve">https://www.smwcentral.net/?a=details&amp;id=26644&amp;p=section</x:t>
  </x:si>
  <x:si>
    <x:t xml:space="preserve">https://dl.smwcentral.net/26644/El%20Dorado.zip</x:t>
  </x:si>
  <x:si>
    <x:t xml:space="preserve">Electra</x:t>
  </x:si>
  <x:si>
    <x:t xml:space="preserve">WeegeeBen</x:t>
  </x:si>
  <x:si>
    <x:t xml:space="preserve">6983</x:t>
  </x:si>
  <x:si>
    <x:t xml:space="preserve">https://www.smwcentral.net/?a=details&amp;id=6983&amp;p=section</x:t>
  </x:si>
  <x:si>
    <x:t xml:space="preserve">https://dl.smwcentral.net/6983/Electra%20Demo%20C3.zip</x:t>
  </x:si>
  <x:si>
    <x:t xml:space="preserve">Elephants and Snakes and Crocodiles</x:t>
  </x:si>
  <x:si>
    <x:t xml:space="preserve">19167</x:t>
  </x:si>
  <x:si>
    <x:t xml:space="preserve">https://www.smwcentral.net/?a=details&amp;id=19167&amp;p=section</x:t>
  </x:si>
  <x:si>
    <x:t xml:space="preserve">https://dl.smwcentral.net/19167/snakes1.05.zip</x:t>
  </x:si>
  <x:si>
    <x:t xml:space="preserve">Elysium Shells</x:t>
  </x:si>
  <x:si>
    <x:t xml:space="preserve">Eryck</x:t>
  </x:si>
  <x:si>
    <x:t xml:space="preserve">30888</x:t>
  </x:si>
  <x:si>
    <x:t xml:space="preserve">https://www.smwcentral.net/?a=details&amp;id=30888&amp;p=section</x:t>
  </x:si>
  <x:si>
    <x:t xml:space="preserve">https://dl.smwcentral.net/30888/Elysium%20Shells%20v2.0.zip</x:t>
  </x:si>
  <x:si>
    <x:t xml:space="preserve">Empyrean</x:t>
  </x:si>
  <x:si>
    <x:t xml:space="preserve">swissy</x:t>
  </x:si>
  <x:si>
    <x:t xml:space="preserve">28338</x:t>
  </x:si>
  <x:si>
    <x:t xml:space="preserve">https://www.smwcentral.net/?a=details&amp;id=28338&amp;p=section</x:t>
  </x:si>
  <x:si>
    <x:t xml:space="preserve">https://dl.smwcentral.net/28338/Empyrean_v1.0.zip</x:t>
  </x:si>
  <x:si>
    <x:t xml:space="preserve">Endeavor</x:t>
  </x:si>
  <x:si>
    <x:t xml:space="preserve">32749</x:t>
  </x:si>
  <x:si>
    <x:t xml:space="preserve">https://www.smwcentral.net/?a=details&amp;id=32749&amp;p=section</x:t>
  </x:si>
  <x:si>
    <x:t xml:space="preserve">https://dl.smwcentral.net/32749/Endeavor%20%281.0%29.zip</x:t>
  </x:si>
  <x:si>
    <x:t xml:space="preserve">Enter the Gizzverse</x:t>
  </x:si>
  <x:si>
    <x:t xml:space="preserve">kaigem</x:t>
  </x:si>
  <x:si>
    <x:t xml:space="preserve">36871</x:t>
  </x:si>
  <x:si>
    <x:t xml:space="preserve">https://www.smwcentral.net/?a=details&amp;id=36871&amp;p=section</x:t>
  </x:si>
  <x:si>
    <x:t xml:space="preserve">https://dl.smwcentral.net/36871/Enter%20the%20Gizzverse.zip</x:t>
  </x:si>
  <x:si>
    <x:t xml:space="preserve">Enter the Void</x:t>
  </x:si>
  <x:si>
    <x:t xml:space="preserve">Saela</x:t>
  </x:si>
  <x:si>
    <x:t xml:space="preserve">29699</x:t>
  </x:si>
  <x:si>
    <x:t xml:space="preserve">https://www.smwcentral.net/?a=details&amp;id=29699&amp;p=section</x:t>
  </x:si>
  <x:si>
    <x:t xml:space="preserve">https://dl.smwcentral.net/29699/Enter%20the%20Void.zip</x:t>
  </x:si>
  <x:si>
    <x:t xml:space="preserve">Entropy</x:t>
  </x:si>
  <x:si>
    <x:t xml:space="preserve">34714</x:t>
  </x:si>
  <x:si>
    <x:t xml:space="preserve">https://www.smwcentral.net/?a=details&amp;id=34714&amp;p=section</x:t>
  </x:si>
  <x:si>
    <x:t xml:space="preserve">https://dl.smwcentral.net/34714/entropy_v101.zip</x:t>
  </x:si>
  <x:si>
    <x:t xml:space="preserve">EP</x:t>
  </x:si>
  <x:si>
    <x:t xml:space="preserve">Egadd</x:t>
  </x:si>
  <x:si>
    <x:t xml:space="preserve">6208</x:t>
  </x:si>
  <x:si>
    <x:t xml:space="preserve">https://www.smwcentral.net/?a=details&amp;id=6208&amp;p=section</x:t>
  </x:si>
  <x:si>
    <x:t xml:space="preserve">https://dl.smwcentral.net/6208/EP.zip</x:t>
  </x:si>
  <x:si>
    <x:t xml:space="preserve">Epic Gamer World</x:t>
  </x:si>
  <x:si>
    <x:t xml:space="preserve">Yetibucca</x:t>
  </x:si>
  <x:si>
    <x:t xml:space="preserve">23363</x:t>
  </x:si>
  <x:si>
    <x:t xml:space="preserve">https://www.smwcentral.net/?a=details&amp;id=23363&amp;p=section</x:t>
  </x:si>
  <x:si>
    <x:t xml:space="preserve">https://dl.smwcentral.net/23363/EGW%20V1.1.zip</x:t>
  </x:si>
  <x:si>
    <x:t xml:space="preserve">38966</x:t>
  </x:si>
  <x:si>
    <x:t xml:space="preserve">https://www.smwcentral.net/?a=details&amp;id=38966&amp;p=section</x:t>
  </x:si>
  <x:si>
    <x:t xml:space="preserve">https://dl.smwcentral.net/38966/Epiphany.zip</x:t>
  </x:si>
  <x:si>
    <x:t xml:space="preserve">Eroi del passato</x:t>
  </x:si>
  <x:si>
    <x:t xml:space="preserve">bluesaint</x:t>
  </x:si>
  <x:si>
    <x:t xml:space="preserve">21512</x:t>
  </x:si>
  <x:si>
    <x:t xml:space="preserve">https://www.smwcentral.net/?a=details&amp;id=21512&amp;p=section</x:t>
  </x:si>
  <x:si>
    <x:t xml:space="preserve">https://dl.smwcentral.net/21512/eroi%20del%20passato.zip</x:t>
  </x:si>
  <x:si>
    <x:t xml:space="preserve">Escape from Kudzu Planet</x:t>
  </x:si>
  <x:si>
    <x:t xml:space="preserve">34176</x:t>
  </x:si>
  <x:si>
    <x:t xml:space="preserve">https://www.smwcentral.net/?a=details&amp;id=34176&amp;p=section</x:t>
  </x:si>
  <x:si>
    <x:t xml:space="preserve">https://dl.smwcentral.net/34176/Escape%20from%20Kudzu%20Planet%201.1.zip</x:t>
  </x:si>
  <x:si>
    <x:t xml:space="preserve">ESCAPE FROM LA PLUME</x:t>
  </x:si>
  <x:si>
    <x:t xml:space="preserve">bonjoursauce, uriel2k3</x:t>
  </x:si>
  <x:si>
    <x:t xml:space="preserve">41609</x:t>
  </x:si>
  <x:si>
    <x:t xml:space="preserve">https://www.smwcentral.net/?a=details&amp;id=41609&amp;p=section</x:t>
  </x:si>
  <x:si>
    <x:t xml:space="preserve">https://dl.smwcentral.net/41609/Escape%20from%20La%20Plume.zip</x:t>
  </x:si>
  <x:si>
    <x:t xml:space="preserve">Eternal Mario World</x:t>
  </x:si>
  <x:si>
    <x:t xml:space="preserve">Aguni_</x:t>
  </x:si>
  <x:si>
    <x:t xml:space="preserve">15985</x:t>
  </x:si>
  <x:si>
    <x:t xml:space="preserve">https://www.smwcentral.net/?a=details&amp;id=15985&amp;p=section</x:t>
  </x:si>
  <x:si>
    <x:t xml:space="preserve">https://dl.smwcentral.net/15985/Eternal%20Mario%20World.zip</x:t>
  </x:si>
  <x:si>
    <x:t xml:space="preserve">Eternal Nightfall</x:t>
  </x:si>
  <x:si>
    <x:t xml:space="preserve">superwiidude</x:t>
  </x:si>
  <x:si>
    <x:t xml:space="preserve">14533</x:t>
  </x:si>
  <x:si>
    <x:t xml:space="preserve">https://www.smwcentral.net/?a=details&amp;id=14533&amp;p=section</x:t>
  </x:si>
  <x:si>
    <x:t xml:space="preserve">https://dl.smwcentral.net/14533/eternal%20nightfall.zip</x:t>
  </x:si>
  <x:si>
    <x:t xml:space="preserve">Eudaimonia</x:t>
  </x:si>
  <x:si>
    <x:t xml:space="preserve">31318</x:t>
  </x:si>
  <x:si>
    <x:t xml:space="preserve">https://www.smwcentral.net/?a=details&amp;id=31318&amp;p=section</x:t>
  </x:si>
  <x:si>
    <x:t xml:space="preserve">https://dl.smwcentral.net/31318/Eudaimonia.zip</x:t>
  </x:si>
  <x:si>
    <x:t xml:space="preserve">Euphoria Isle</x:t>
  </x:si>
  <x:si>
    <x:t xml:space="preserve">Caracc, Crispy, NoelYoshi, Spud Alpha, SyStemkraSh, Zildjian</x:t>
  </x:si>
  <x:si>
    <x:t xml:space="preserve">5499</x:t>
  </x:si>
  <x:si>
    <x:t xml:space="preserve">https://www.smwcentral.net/?a=details&amp;id=5499&amp;p=section</x:t>
  </x:si>
  <x:si>
    <x:t xml:space="preserve">https://dl.smwcentral.net/5499/Euphoria%20Isle.zip</x:t>
  </x:si>
  <x:si>
    <x:t xml:space="preserve">EVERY LEVEL IGGY!</x:t>
  </x:si>
  <x:si>
    <x:t xml:space="preserve">Nimono</x:t>
  </x:si>
  <x:si>
    <x:t xml:space="preserve">9734</x:t>
  </x:si>
  <x:si>
    <x:t xml:space="preserve">https://www.smwcentral.net/?a=details&amp;id=9734&amp;p=section</x:t>
  </x:si>
  <x:si>
    <x:t xml:space="preserve">https://dl.smwcentral.net/9734/EVERY%20LEVEL%20IGGY%21.zip</x:t>
  </x:si>
  <x:si>
    <x:t xml:space="preserve">EVERY LEVEL LEMMY!</x:t>
  </x:si>
  <x:si>
    <x:t xml:space="preserve">9038</x:t>
  </x:si>
  <x:si>
    <x:t xml:space="preserve">https://www.smwcentral.net/?a=details&amp;id=9038&amp;p=section</x:t>
  </x:si>
  <x:si>
    <x:t xml:space="preserve">https://dl.smwcentral.net/9038/every%20level%20lemmy%20-%20version%203.zip</x:t>
  </x:si>
  <x:si>
    <x:t xml:space="preserve">EVERY LEVEL LUDWIG!</x:t>
  </x:si>
  <x:si>
    <x:t xml:space="preserve">33233</x:t>
  </x:si>
  <x:si>
    <x:t xml:space="preserve">https://www.smwcentral.net/?a=details&amp;id=33233&amp;p=section</x:t>
  </x:si>
  <x:si>
    <x:t xml:space="preserve">https://dl.smwcentral.net/33233/EVERY%20LEVEL%20LUDWIG%21%20%28V1.0.2%29.zip</x:t>
  </x:si>
  <x:si>
    <x:t xml:space="preserve">EVERY LEVEL MORTON!</x:t>
  </x:si>
  <x:si>
    <x:t xml:space="preserve">9911</x:t>
  </x:si>
  <x:si>
    <x:t xml:space="preserve">https://www.smwcentral.net/?a=details&amp;id=9911&amp;p=section</x:t>
  </x:si>
  <x:si>
    <x:t xml:space="preserve">https://dl.smwcentral.net/9911/EVERY%20LEVEL%20MORTON%21.zip</x:t>
  </x:si>
  <x:si>
    <x:t xml:space="preserve">Everyone's Gone</x:t>
  </x:si>
  <x:si>
    <x:t xml:space="preserve">GamesInTweed</x:t>
  </x:si>
  <x:si>
    <x:t xml:space="preserve">Standard, Puzzle</x:t>
  </x:si>
  <x:si>
    <x:t xml:space="preserve">40892</x:t>
  </x:si>
  <x:si>
    <x:t xml:space="preserve">https://www.smwcentral.net/?a=details&amp;id=40892&amp;p=section</x:t>
  </x:si>
  <x:si>
    <x:t xml:space="preserve">https://dl.smwcentral.net/40892/Everyone%27s%20Gone%20v1.1.zip</x:t>
  </x:si>
  <x:si>
    <x:t xml:space="preserve">Everything Is Not All Right</x:t>
  </x:si>
  <x:si>
    <x:t xml:space="preserve">31571</x:t>
  </x:si>
  <x:si>
    <x:t xml:space="preserve">https://www.smwcentral.net/?a=details&amp;id=31571&amp;p=section</x:t>
  </x:si>
  <x:si>
    <x:t xml:space="preserve">https://dl.smwcentral.net/31571/Everything%20Is%20Not%20All%20Right.zip</x:t>
  </x:si>
  <x:si>
    <x:t xml:space="preserve">Evil Conquest</x:t>
  </x:si>
  <x:si>
    <x:t xml:space="preserve">Darkdlp02, Luks</x:t>
  </x:si>
  <x:si>
    <x:t xml:space="preserve">11946</x:t>
  </x:si>
  <x:si>
    <x:t xml:space="preserve">https://www.smwcentral.net/?a=details&amp;id=11946&amp;p=section</x:t>
  </x:si>
  <x:si>
    <x:t xml:space="preserve">https://dl.smwcentral.net/11946/Evil%20Conquest%20Release%201.9.zip</x:t>
  </x:si>
  <x:si>
    <x:t xml:space="preserve">Evil Doopu World</x:t>
  </x:si>
  <x:si>
    <x:t xml:space="preserve">EvilAdmiralKivi</x:t>
  </x:si>
  <x:si>
    <x:t xml:space="preserve">32358</x:t>
  </x:si>
  <x:si>
    <x:t xml:space="preserve">https://www.smwcentral.net/?a=details&amp;id=32358&amp;p=section</x:t>
  </x:si>
  <x:si>
    <x:t xml:space="preserve">https://dl.smwcentral.net/32358/EvilDoopuWorld_v1.0.0.zip</x:t>
  </x:si>
  <x:si>
    <x:t xml:space="preserve">Evil Doopu World 2</x:t>
  </x:si>
  <x:si>
    <x:t xml:space="preserve">37571</x:t>
  </x:si>
  <x:si>
    <x:t xml:space="preserve">https://www.smwcentral.net/?a=details&amp;id=37571&amp;p=section</x:t>
  </x:si>
  <x:si>
    <x:t xml:space="preserve">https://dl.smwcentral.net/37571/evil-doopu-world-2_v1.0.6.zip</x:t>
  </x:si>
  <x:si>
    <x:t xml:space="preserve">Evolve or Die</x:t>
  </x:si>
  <x:si>
    <x:t xml:space="preserve">40635</x:t>
  </x:si>
  <x:si>
    <x:t xml:space="preserve">https://www.smwcentral.net/?a=details&amp;id=40635&amp;p=section</x:t>
  </x:si>
  <x:si>
    <x:t xml:space="preserve">https://dl.smwcentral.net/40635/Evolve%20or%20Die.zip</x:t>
  </x:si>
  <x:si>
    <x:t xml:space="preserve">EVW</x:t>
  </x:si>
  <x:si>
    <x:t xml:space="preserve">Snifit</x:t>
  </x:si>
  <x:si>
    <x:t xml:space="preserve">10001</x:t>
  </x:si>
  <x:si>
    <x:t xml:space="preserve">https://www.smwcentral.net/?a=details&amp;id=10001&amp;p=section</x:t>
  </x:si>
  <x:si>
    <x:t xml:space="preserve">https://dl.smwcentral.net/10001/EVW_Updated.zip</x:t>
  </x:si>
  <x:si>
    <x:t xml:space="preserve">Exodius</x:t>
  </x:si>
  <x:si>
    <x:t xml:space="preserve">Nint</x:t>
  </x:si>
  <x:si>
    <x:t xml:space="preserve">21563</x:t>
  </x:si>
  <x:si>
    <x:t xml:space="preserve">https://www.smwcentral.net/?a=details&amp;id=21563&amp;p=section</x:t>
  </x:si>
  <x:si>
    <x:t xml:space="preserve">https://dl.smwcentral.net/21563/Exodius%201.1.zip</x:t>
  </x:si>
  <x:si>
    <x:t xml:space="preserve">Exshellsior</x:t>
  </x:si>
  <x:si>
    <x:t xml:space="preserve">41309</x:t>
  </x:si>
  <x:si>
    <x:t xml:space="preserve">https://www.smwcentral.net/?a=details&amp;id=41309&amp;p=section</x:t>
  </x:si>
  <x:si>
    <x:t xml:space="preserve">https://dl.smwcentral.net/41309/Exshellsior.zip</x:t>
  </x:si>
  <x:si>
    <x:t xml:space="preserve">Extended Interactions</x:t>
  </x:si>
  <x:si>
    <x:t xml:space="preserve">39342</x:t>
  </x:si>
  <x:si>
    <x:t xml:space="preserve">https://www.smwcentral.net/?a=details&amp;id=39342&amp;p=section</x:t>
  </x:si>
  <x:si>
    <x:t xml:space="preserve">https://dl.smwcentral.net/39342/Extended%20Interactions%20V1.1.1.zip</x:t>
  </x:si>
  <x:si>
    <x:t xml:space="preserve">Extinction Rebellion</x:t>
  </x:si>
  <x:si>
    <x:t xml:space="preserve">xamen81x</x:t>
  </x:si>
  <x:si>
    <x:t xml:space="preserve">28119</x:t>
  </x:si>
  <x:si>
    <x:t xml:space="preserve">https://www.smwcentral.net/?a=details&amp;id=28119&amp;p=section</x:t>
  </x:si>
  <x:si>
    <x:t xml:space="preserve">https://dl.smwcentral.net/28119/WinRAR-ZIP-Archiv%20%28neu%29.zip</x:t>
  </x:si>
  <x:si>
    <x:t xml:space="preserve">Extreme One-Screen Puzzle</x:t>
  </x:si>
  <x:si>
    <x:t xml:space="preserve">7 up</x:t>
  </x:si>
  <x:si>
    <x:t xml:space="preserve">17732</x:t>
  </x:si>
  <x:si>
    <x:t xml:space="preserve">https://www.smwcentral.net/?a=details&amp;id=17732&amp;p=section</x:t>
  </x:si>
  <x:si>
    <x:t xml:space="preserve">https://dl.smwcentral.net/17732/Extreme_One_Screen_Puzzle_V1.4.zip</x:t>
  </x:si>
  <x:si>
    <x:t xml:space="preserve">EY JUICE</x:t>
  </x:si>
  <x:si>
    <x:t xml:space="preserve">goosedajuice</x:t>
  </x:si>
  <x:si>
    <x:t xml:space="preserve">23330</x:t>
  </x:si>
  <x:si>
    <x:t xml:space="preserve">https://www.smwcentral.net/?a=details&amp;id=23330&amp;p=section</x:t>
  </x:si>
  <x:si>
    <x:t xml:space="preserve">https://dl.smwcentral.net/23330/EY_JUICEv1.2.zip</x:t>
  </x:si>
  <x:si>
    <x:t xml:space="preserve">Eyeless: Director's Cut + Original</x:t>
  </x:si>
  <x:si>
    <x:t xml:space="preserve">lolyoshi</x:t>
  </x:si>
  <x:si>
    <x:t xml:space="preserve">14531</x:t>
  </x:si>
  <x:si>
    <x:t xml:space="preserve">https://www.smwcentral.net/?a=details&amp;id=14531&amp;p=section</x:t>
  </x:si>
  <x:si>
    <x:t xml:space="preserve">https://dl.smwcentral.net/14531/Eyeless.zip</x:t>
  </x:si>
  <x:si>
    <x:t xml:space="preserve">EZ Kaizo</x:t>
  </x:si>
  <x:si>
    <x:t xml:space="preserve">28771</x:t>
  </x:si>
  <x:si>
    <x:t xml:space="preserve">https://www.smwcentral.net/?a=details&amp;id=28771&amp;p=section</x:t>
  </x:si>
  <x:si>
    <x:t xml:space="preserve">https://dl.smwcentral.net/28771/EZ%20Kaizo%201.0.zip</x:t>
  </x:si>
  <x:si>
    <x:t xml:space="preserve">F-Mario: Galaxy Cup</x:t>
  </x:si>
  <x:si>
    <x:t xml:space="preserve">X-King</x:t>
  </x:si>
  <x:si>
    <x:t xml:space="preserve">9724</x:t>
  </x:si>
  <x:si>
    <x:t xml:space="preserve">https://www.smwcentral.net/?a=details&amp;id=9724&amp;p=section</x:t>
  </x:si>
  <x:si>
    <x:t xml:space="preserve">https://dl.smwcentral.net/9724/F-Mario.zip</x:t>
  </x:si>
  <x:si>
    <x:t xml:space="preserve">Facedesk!</x:t>
  </x:si>
  <x:si>
    <x:t xml:space="preserve">Katerpie</x:t>
  </x:si>
  <x:si>
    <x:t xml:space="preserve">18823</x:t>
  </x:si>
  <x:si>
    <x:t xml:space="preserve">https://www.smwcentral.net/?a=details&amp;id=18823&amp;p=section</x:t>
  </x:si>
  <x:si>
    <x:t xml:space="preserve">https://dl.smwcentral.net/18823/Facedesk.zip</x:t>
  </x:si>
  <x:si>
    <x:t xml:space="preserve">Fail World</x:t>
  </x:si>
  <x:si>
    <x:t xml:space="preserve">Fyre150, Goon Nation</x:t>
  </x:si>
  <x:si>
    <x:t xml:space="preserve">32733</x:t>
  </x:si>
  <x:si>
    <x:t xml:space="preserve">https://www.smwcentral.net/?a=details&amp;id=32733&amp;p=section</x:t>
  </x:si>
  <x:si>
    <x:t xml:space="preserve">https://dl.smwcentral.net/32733/FailWorld.zip</x:t>
  </x:si>
  <x:si>
    <x:t xml:space="preserve">Fall Guys World</x:t>
  </x:si>
  <x:si>
    <x:t xml:space="preserve">24854</x:t>
  </x:si>
  <x:si>
    <x:t xml:space="preserve">https://www.smwcentral.net/?a=details&amp;id=24854&amp;p=section</x:t>
  </x:si>
  <x:si>
    <x:t xml:space="preserve">https://dl.smwcentral.net/24854/FallGuysWorld.zip</x:t>
  </x:si>
  <x:si>
    <x:t xml:space="preserve">Fantasia</x:t>
  </x:si>
  <x:si>
    <x:t xml:space="preserve">Jukeboxi_</x:t>
  </x:si>
  <x:si>
    <x:t xml:space="preserve">37848</x:t>
  </x:si>
  <x:si>
    <x:t xml:space="preserve">https://www.smwcentral.net/?a=details&amp;id=37848&amp;p=section</x:t>
  </x:si>
  <x:si>
    <x:t xml:space="preserve">https://dl.smwcentral.net/37848/Fantasia.zip</x:t>
  </x:si>
  <x:si>
    <x:t xml:space="preserve">Far a day, near dismay</x:t>
  </x:si>
  <x:si>
    <x:t xml:space="preserve">cozyduck</x:t>
  </x:si>
  <x:si>
    <x:t xml:space="preserve">33932</x:t>
  </x:si>
  <x:si>
    <x:t xml:space="preserve">https://www.smwcentral.net/?a=details&amp;id=33932&amp;p=section</x:t>
  </x:si>
  <x:si>
    <x:t xml:space="preserve">https://dl.smwcentral.net/33932/faraday.zip</x:t>
  </x:si>
  <x:si>
    <x:t xml:space="preserve">Fast Food Kaizo</x:t>
  </x:si>
  <x:si>
    <x:t xml:space="preserve">gui</x:t>
  </x:si>
  <x:si>
    <x:t xml:space="preserve">27706</x:t>
  </x:si>
  <x:si>
    <x:t xml:space="preserve">https://www.smwcentral.net/?a=details&amp;id=27706&amp;p=section</x:t>
  </x:si>
  <x:si>
    <x:t xml:space="preserve">https://dl.smwcentral.net/27706/fastfoodkaizov1.1.zip</x:t>
  </x:si>
  <x:si>
    <x:t xml:space="preserve">Father's Gift</x:t>
  </x:si>
  <x:si>
    <x:t xml:space="preserve">38986</x:t>
  </x:si>
  <x:si>
    <x:t xml:space="preserve">https://www.smwcentral.net/?a=details&amp;id=38986&amp;p=section</x:t>
  </x:si>
  <x:si>
    <x:t xml:space="preserve">https://dl.smwcentral.net/38986/Hack%20for%20Father.zip</x:t>
  </x:si>
  <x:si>
    <x:t xml:space="preserve">Fedora</x:t>
  </x:si>
  <x:si>
    <x:t xml:space="preserve">26571</x:t>
  </x:si>
  <x:si>
    <x:t xml:space="preserve">https://www.smwcentral.net/?a=details&amp;id=26571&amp;p=section</x:t>
  </x:si>
  <x:si>
    <x:t xml:space="preserve">https://dl.smwcentral.net/26571/fedora.zip</x:t>
  </x:si>
  <x:si>
    <x:t xml:space="preserve">Feginner</x:t>
  </x:si>
  <x:si>
    <x:t xml:space="preserve">CroNo486, mikeeeeee83</x:t>
  </x:si>
  <x:si>
    <x:t xml:space="preserve">35429</x:t>
  </x:si>
  <x:si>
    <x:t xml:space="preserve">https://www.smwcentral.net/?a=details&amp;id=35429&amp;p=section</x:t>
  </x:si>
  <x:si>
    <x:t xml:space="preserve">https://dl.smwcentral.net/35429/Feginner_v1.2.zip</x:t>
  </x:si>
  <x:si>
    <x:t xml:space="preserve">Final Fantasy: Super Moogle World</x:t>
  </x:si>
  <x:si>
    <x:t xml:space="preserve">Furdabip</x:t>
  </x:si>
  <x:si>
    <x:t xml:space="preserve">9807</x:t>
  </x:si>
  <x:si>
    <x:t xml:space="preserve">https://www.smwcentral.net/?a=details&amp;id=9807&amp;p=section</x:t>
  </x:si>
  <x:si>
    <x:t xml:space="preserve">https://dl.smwcentral.net/9807/FF-SMW.zip</x:t>
  </x:si>
  <x:si>
    <x:t xml:space="preserve">Fire and Ice</x:t>
  </x:si>
  <x:si>
    <x:t xml:space="preserve">mason</x:t>
  </x:si>
  <x:si>
    <x:t xml:space="preserve">26828</x:t>
  </x:si>
  <x:si>
    <x:t xml:space="preserve">https://www.smwcentral.net/?a=details&amp;id=26828&amp;p=section</x:t>
  </x:si>
  <x:si>
    <x:t xml:space="preserve">https://dl.smwcentral.net/26828/fireandice.zip</x:t>
  </x:si>
  <x:si>
    <x:t xml:space="preserve">First Foray</x:t>
  </x:si>
  <x:si>
    <x:t xml:space="preserve">15925</x:t>
  </x:si>
  <x:si>
    <x:t xml:space="preserve">18831</x:t>
  </x:si>
  <x:si>
    <x:t xml:space="preserve">https://www.smwcentral.net/?a=details&amp;id=18831&amp;p=section</x:t>
  </x:si>
  <x:si>
    <x:t xml:space="preserve">https://dl.smwcentral.net/18831/First%20Foray%20C3%20Demo%20v1.1.zip</x:t>
  </x:si>
  <x:si>
    <x:t xml:space="preserve">First Step Forward</x:t>
  </x:si>
  <x:si>
    <x:t xml:space="preserve">38728</x:t>
  </x:si>
  <x:si>
    <x:t xml:space="preserve">https://www.smwcentral.net/?a=details&amp;id=38728&amp;p=section</x:t>
  </x:si>
  <x:si>
    <x:t xml:space="preserve">https://dl.smwcentral.net/38728/First%20Step%20Forward.zip</x:t>
  </x:si>
  <x:si>
    <x:t xml:space="preserve">Fishing Season 2</x:t>
  </x:si>
  <x:si>
    <x:t xml:space="preserve">MellyMellouange</x:t>
  </x:si>
  <x:si>
    <x:t xml:space="preserve">15713</x:t>
  </x:si>
  <x:si>
    <x:t xml:space="preserve">https://www.smwcentral.net/?a=details&amp;id=15713&amp;p=section</x:t>
  </x:si>
  <x:si>
    <x:t xml:space="preserve">https://dl.smwcentral.net/15713/Fishing_Season_2.zip</x:t>
  </x:si>
  <x:si>
    <x:t xml:space="preserve">Flip The Switch</x:t>
  </x:si>
  <x:si>
    <x:t xml:space="preserve">ThirdWall</x:t>
  </x:si>
  <x:si>
    <x:t xml:space="preserve">28341</x:t>
  </x:si>
  <x:si>
    <x:t xml:space="preserve">https://www.smwcentral.net/?a=details&amp;id=28341&amp;p=section</x:t>
  </x:si>
  <x:si>
    <x:t xml:space="preserve">https://dl.smwcentral.net/28341/Flip%20The%20Switch.bps.zip</x:t>
  </x:si>
  <x:si>
    <x:t xml:space="preserve">FLOATING MUNCHERS SERIES?</x:t>
  </x:si>
  <x:si>
    <x:t xml:space="preserve">Alcaro, Koopster</x:t>
  </x:si>
  <x:si>
    <x:t xml:space="preserve">13745</x:t>
  </x:si>
  <x:si>
    <x:t xml:space="preserve">https://www.smwcentral.net/?a=details&amp;id=13745&amp;p=section</x:t>
  </x:si>
  <x:si>
    <x:t xml:space="preserve">https://dl.smwcentral.net/13745/FLOATING%20MUNCHERS.zip</x:t>
  </x:si>
  <x:si>
    <x:t xml:space="preserve">FloMcNasty World</x:t>
  </x:si>
  <x:si>
    <x:t xml:space="preserve">AiSnake</x:t>
  </x:si>
  <x:si>
    <x:t xml:space="preserve">34838</x:t>
  </x:si>
  <x:si>
    <x:t xml:space="preserve">https://www.smwcentral.net/?a=details&amp;id=34838&amp;p=section</x:t>
  </x:si>
  <x:si>
    <x:t xml:space="preserve">https://dl.smwcentral.net/34838/FloMcNastyWorld%20v1.1.bps.zip</x:t>
  </x:si>
  <x:si>
    <x:t xml:space="preserve">Fly Me To The Stars</x:t>
  </x:si>
  <x:si>
    <x:t xml:space="preserve">CarlSagan42</x:t>
  </x:si>
  <x:si>
    <x:t xml:space="preserve">18791</x:t>
  </x:si>
  <x:si>
    <x:t xml:space="preserve">https://www.smwcentral.net/?a=details&amp;id=18791&amp;p=section</x:t>
  </x:si>
  <x:si>
    <x:t xml:space="preserve">https://dl.smwcentral.net/18791/Fly%20Me%20To%20The%20Stars.zip</x:t>
  </x:si>
  <x:si>
    <x:t xml:space="preserve">Flying With Style</x:t>
  </x:si>
  <x:si>
    <x:t xml:space="preserve">DJLocks, LouisDoucet, MassPunishment, gui, mason</x:t>
  </x:si>
  <x:si>
    <x:t xml:space="preserve">29600</x:t>
  </x:si>
  <x:si>
    <x:t xml:space="preserve">https://www.smwcentral.net/?a=details&amp;id=29600&amp;p=section</x:t>
  </x:si>
  <x:si>
    <x:t xml:space="preserve">https://dl.smwcentral.net/29600/FWS.zip</x:t>
  </x:si>
  <x:si>
    <x:t xml:space="preserve">For Dan</x:t>
  </x:si>
  <x:si>
    <x:t xml:space="preserve">GrumpyWalrus</x:t>
  </x:si>
  <x:si>
    <x:t xml:space="preserve">30756</x:t>
  </x:si>
  <x:si>
    <x:t xml:space="preserve">https://www.smwcentral.net/?a=details&amp;id=30756&amp;p=section</x:t>
  </x:si>
  <x:si>
    <x:t xml:space="preserve">https://dl.smwcentral.net/30756/For%20Dan%20v2.zip</x:t>
  </x:si>
  <x:si>
    <x:t xml:space="preserve">Forer - Barnum</x:t>
  </x:si>
  <x:si>
    <x:t xml:space="preserve">34953</x:t>
  </x:si>
  <x:si>
    <x:t xml:space="preserve">https://www.smwcentral.net/?a=details&amp;id=34953&amp;p=section</x:t>
  </x:si>
  <x:si>
    <x:t xml:space="preserve">https://dl.smwcentral.net/34953/Forer%20-%20Barnum%20v1.40.zip</x:t>
  </x:si>
  <x:si>
    <x:t xml:space="preserve">forest of illusion 4</x:t>
  </x:si>
  <x:si>
    <x:t xml:space="preserve">28842</x:t>
  </x:si>
  <x:si>
    <x:t xml:space="preserve">https://www.smwcentral.net/?a=details&amp;id=28842&amp;p=section</x:t>
  </x:si>
  <x:si>
    <x:t xml:space="preserve">https://dl.smwcentral.net/28842/foi4V1.1.zip</x:t>
  </x:si>
  <x:si>
    <x:t xml:space="preserve">Forever</x:t>
  </x:si>
  <x:si>
    <x:t xml:space="preserve">32790</x:t>
  </x:si>
  <x:si>
    <x:t xml:space="preserve">https://www.smwcentral.net/?a=details&amp;id=32790&amp;p=section</x:t>
  </x:si>
  <x:si>
    <x:t xml:space="preserve">https://dl.smwcentral.net/32790/Forever%20v1.1a.zip</x:t>
  </x:si>
  <x:si>
    <x:t xml:space="preserve">Forgotten Town</x:t>
  </x:si>
  <x:si>
    <x:t xml:space="preserve">NattCaat</x:t>
  </x:si>
  <x:si>
    <x:t xml:space="preserve">28063</x:t>
  </x:si>
  <x:si>
    <x:t xml:space="preserve">https://www.smwcentral.net/?a=details&amp;id=28063&amp;p=section</x:t>
  </x:si>
  <x:si>
    <x:t xml:space="preserve">https://dl.smwcentral.net/28063/Forgotten-Town.zip</x:t>
  </x:si>
  <x:si>
    <x:t xml:space="preserve">ForgottenWorld</x:t>
  </x:si>
  <x:si>
    <x:t xml:space="preserve">Hannes37</x:t>
  </x:si>
  <x:si>
    <x:t xml:space="preserve">22753</x:t>
  </x:si>
  <x:si>
    <x:t xml:space="preserve">https://www.smwcentral.net/?a=details&amp;id=22753&amp;p=section</x:t>
  </x:si>
  <x:si>
    <x:t xml:space="preserve">https://dl.smwcentral.net/22753/ForgottenWorld.zip</x:t>
  </x:si>
  <x:si>
    <x:t xml:space="preserve">Foxx BGG World - KSD Edition</x:t>
  </x:si>
  <x:si>
    <x:t xml:space="preserve">thefoxx87</x:t>
  </x:si>
  <x:si>
    <x:t xml:space="preserve">38315</x:t>
  </x:si>
  <x:si>
    <x:t xml:space="preserve">https://www.smwcentral.net/?a=details&amp;id=38315&amp;p=section</x:t>
  </x:si>
  <x:si>
    <x:t xml:space="preserve">https://dl.smwcentral.net/38315/Foxx%20BGG%20World%20KSD%20Edition.zip</x:t>
  </x:si>
  <x:si>
    <x:t xml:space="preserve">Foxx BGN World</x:t>
  </x:si>
  <x:si>
    <x:t xml:space="preserve">38316</x:t>
  </x:si>
  <x:si>
    <x:t xml:space="preserve">https://www.smwcentral.net/?a=details&amp;id=38316&amp;p=section</x:t>
  </x:si>
  <x:si>
    <x:t xml:space="preserve">https://dl.smwcentral.net/38316/Foxx%20BGN%20World.zip</x:t>
  </x:si>
  <x:si>
    <x:t xml:space="preserve">Fragaria 🍓</x:t>
  </x:si>
  <x:si>
    <x:t xml:space="preserve">39475</x:t>
  </x:si>
  <x:si>
    <x:t xml:space="preserve">https://www.smwcentral.net/?a=details&amp;id=39475&amp;p=section</x:t>
  </x:si>
  <x:si>
    <x:t xml:space="preserve">https://dl.smwcentral.net/39475/Fragaria%20V1.2.zip</x:t>
  </x:si>
  <x:si>
    <x:t xml:space="preserve">Freak City</x:t>
  </x:si>
  <x:si>
    <x:t xml:space="preserve">41980</x:t>
  </x:si>
  <x:si>
    <x:t xml:space="preserve">https://www.smwcentral.net/?a=details&amp;id=41980&amp;p=section</x:t>
  </x:si>
  <x:si>
    <x:t xml:space="preserve">https://dl.smwcentral.net/41980/Freak%20City.zip</x:t>
  </x:si>
  <x:si>
    <x:t xml:space="preserve">Free Luigi</x:t>
  </x:si>
  <x:si>
    <x:t xml:space="preserve">39759</x:t>
  </x:si>
  <x:si>
    <x:t xml:space="preserve">https://www.smwcentral.net/?a=details&amp;id=39759&amp;p=section</x:t>
  </x:si>
  <x:si>
    <x:t xml:space="preserve">https://dl.smwcentral.net/39759/Free%20Luigi.zip</x:t>
  </x:si>
  <x:si>
    <x:t xml:space="preserve">Free Verse For Sara</x:t>
  </x:si>
  <x:si>
    <x:t xml:space="preserve">flips_bad</x:t>
  </x:si>
  <x:si>
    <x:t xml:space="preserve">35861</x:t>
  </x:si>
  <x:si>
    <x:t xml:space="preserve">https://www.smwcentral.net/?a=details&amp;id=35861&amp;p=section</x:t>
  </x:si>
  <x:si>
    <x:t xml:space="preserve">https://dl.smwcentral.net/35861/Free%20Verse%20For%20Sara.zip</x:t>
  </x:si>
  <x:si>
    <x:t xml:space="preserve">French Fries &amp; French Toast</x:t>
  </x:si>
  <x:si>
    <x:t xml:space="preserve">31830</x:t>
  </x:si>
  <x:si>
    <x:t xml:space="preserve">https://www.smwcentral.net/?a=details&amp;id=31830&amp;p=section</x:t>
  </x:si>
  <x:si>
    <x:t xml:space="preserve">https://dl.smwcentral.net/31830/Fries%26Toast~.zip</x:t>
  </x:si>
  <x:si>
    <x:t xml:space="preserve">French SMW Hacking Contest 2008</x:t>
  </x:si>
  <x:si>
    <x:t xml:space="preserve">Lexator, Lunartoad, SLBros., Sylvain, Yocha, bulle34500, yogui</x:t>
  </x:si>
  <x:si>
    <x:t xml:space="preserve">9819</x:t>
  </x:si>
  <x:si>
    <x:t xml:space="preserve">https://www.smwcentral.net/?a=details&amp;id=9819&amp;p=section</x:t>
  </x:si>
  <x:si>
    <x:t xml:space="preserve">https://dl.smwcentral.net/9819/SMW%20concours%202008.zip</x:t>
  </x:si>
  <x:si>
    <x:t xml:space="preserve">Fresh Hops</x:t>
  </x:si>
  <x:si>
    <x:t xml:space="preserve">37897</x:t>
  </x:si>
  <x:si>
    <x:t xml:space="preserve">https://www.smwcentral.net/?a=details&amp;id=37897&amp;p=section</x:t>
  </x:si>
  <x:si>
    <x:t xml:space="preserve">https://dl.smwcentral.net/37897/Fresh%20Hops%20v1.1.zip</x:t>
  </x:si>
  <x:si>
    <x:t xml:space="preserve">Fresh Hops 2</x:t>
  </x:si>
  <x:si>
    <x:t xml:space="preserve">41460</x:t>
  </x:si>
  <x:si>
    <x:t xml:space="preserve">https://www.smwcentral.net/?a=details&amp;id=41460&amp;p=section</x:t>
  </x:si>
  <x:si>
    <x:t xml:space="preserve">https://dl.smwcentral.net/41460/Fresh%20Hops%202.zip</x:t>
  </x:si>
  <x:si>
    <x:t xml:space="preserve">Friday Mario World</x:t>
  </x:si>
  <x:si>
    <x:t xml:space="preserve">strizer86</x:t>
  </x:si>
  <x:si>
    <x:t xml:space="preserve">22299</x:t>
  </x:si>
  <x:si>
    <x:t xml:space="preserve">https://www.smwcentral.net/?a=details&amp;id=22299&amp;p=section</x:t>
  </x:si>
  <x:si>
    <x:t xml:space="preserve">https://dl.smwcentral.net/22299/FridayMarioWorld_v1.22.zip</x:t>
  </x:si>
  <x:si>
    <x:t xml:space="preserve">From Heaven To Hell</x:t>
  </x:si>
  <x:si>
    <x:t xml:space="preserve">HousemeisterHD, Inflagrandy</x:t>
  </x:si>
  <x:si>
    <x:t xml:space="preserve">40494</x:t>
  </x:si>
  <x:si>
    <x:t xml:space="preserve">https://www.smwcentral.net/?a=details&amp;id=40494&amp;p=section</x:t>
  </x:si>
  <x:si>
    <x:t xml:space="preserve">https://dl.smwcentral.net/40494/From_Heaven_To_Hell.zip</x:t>
  </x:si>
  <x:si>
    <x:t xml:space="preserve">From World to World</x:t>
  </x:si>
  <x:si>
    <x:t xml:space="preserve">Paperdomo101</x:t>
  </x:si>
  <x:si>
    <x:t xml:space="preserve">13445</x:t>
  </x:si>
  <x:si>
    <x:t xml:space="preserve">https://www.smwcentral.net/?a=details&amp;id=13445&amp;p=section</x:t>
  </x:si>
  <x:si>
    <x:t xml:space="preserve">https://dl.smwcentral.net/13445/FWTW_Demo_1.ips.zip</x:t>
  </x:si>
  <x:si>
    <x:t xml:space="preserve">Fulfill the Dream</x:t>
  </x:si>
  <x:si>
    <x:t xml:space="preserve">37900</x:t>
  </x:si>
  <x:si>
    <x:t xml:space="preserve">https://www.smwcentral.net/?a=details&amp;id=37900&amp;p=section</x:t>
  </x:si>
  <x:si>
    <x:t xml:space="preserve">https://dl.smwcentral.net/37900/FulfillTheDream.zip</x:t>
  </x:si>
  <x:si>
    <x:t xml:space="preserve">Full Bloom</x:t>
  </x:si>
  <x:si>
    <x:t xml:space="preserve">Chondontore</x:t>
  </x:si>
  <x:si>
    <x:t xml:space="preserve">27569</x:t>
  </x:si>
  <x:si>
    <x:t xml:space="preserve">https://www.smwcentral.net/?a=details&amp;id=27569&amp;p=section</x:t>
  </x:si>
  <x:si>
    <x:t xml:space="preserve">https://dl.smwcentral.net/27569/Full%20Bloom%201.1.zip</x:t>
  </x:si>
  <x:si>
    <x:t xml:space="preserve">Future Elliotto World</x:t>
  </x:si>
  <x:si>
    <x:t xml:space="preserve">Cliff_Spab</x:t>
  </x:si>
  <x:si>
    <x:t xml:space="preserve">38371</x:t>
  </x:si>
  <x:si>
    <x:t xml:space="preserve">https://www.smwcentral.net/?a=details&amp;id=38371&amp;p=section</x:t>
  </x:si>
  <x:si>
    <x:t xml:space="preserve">https://dl.smwcentral.net/38371/FEW%20090124.zip</x:t>
  </x:si>
  <x:si>
    <x:t xml:space="preserve">G-FazO</x:t>
  </x:si>
  <x:si>
    <x:t xml:space="preserve">27158</x:t>
  </x:si>
  <x:si>
    <x:t xml:space="preserve">https://www.smwcentral.net/?a=details&amp;id=27158&amp;p=section</x:t>
  </x:si>
  <x:si>
    <x:t xml:space="preserve">https://dl.smwcentral.net/27158/G-Fazo%202.0.zip</x:t>
  </x:si>
  <x:si>
    <x:t xml:space="preserve">GADZOOKS</x:t>
  </x:si>
  <x:si>
    <x:t xml:space="preserve">1mslakingoff</x:t>
  </x:si>
  <x:si>
    <x:t xml:space="preserve">41041</x:t>
  </x:si>
  <x:si>
    <x:t xml:space="preserve">https://www.smwcentral.net/?a=details&amp;id=41041&amp;p=section</x:t>
  </x:si>
  <x:si>
    <x:t xml:space="preserve">https://dl.smwcentral.net/41041/GADZOOKS.zip</x:t>
  </x:si>
  <x:si>
    <x:t xml:space="preserve">Gaia</x:t>
  </x:si>
  <x:si>
    <x:t xml:space="preserve">Edidoo</x:t>
  </x:si>
  <x:si>
    <x:t xml:space="preserve">24981</x:t>
  </x:si>
  <x:si>
    <x:t xml:space="preserve">https://www.smwcentral.net/?a=details&amp;id=24981&amp;p=section</x:t>
  </x:si>
  <x:si>
    <x:t xml:space="preserve">https://dl.smwcentral.net/24981/Gaia%20v1.2.zip</x:t>
  </x:si>
  <x:si>
    <x:t xml:space="preserve">Gaijin Mario</x:t>
  </x:si>
  <x:si>
    <x:t xml:space="preserve">18101</x:t>
  </x:si>
  <x:si>
    <x:t xml:space="preserve">https://www.smwcentral.net/?a=details&amp;id=18101&amp;p=section</x:t>
  </x:si>
  <x:si>
    <x:t xml:space="preserve">https://dl.smwcentral.net/18101/gaijin1.02.zip</x:t>
  </x:si>
  <x:si>
    <x:t xml:space="preserve">Gambit</x:t>
  </x:si>
  <x:si>
    <x:t xml:space="preserve">Serge</x:t>
  </x:si>
  <x:si>
    <x:t xml:space="preserve">32819</x:t>
  </x:si>
  <x:si>
    <x:t xml:space="preserve">https://www.smwcentral.net/?a=details&amp;id=32819&amp;p=section</x:t>
  </x:si>
  <x:si>
    <x:t xml:space="preserve">https://dl.smwcentral.net/32819/Gambit.zip</x:t>
  </x:si>
  <x:si>
    <x:t xml:space="preserve">Gambol</x:t>
  </x:si>
  <x:si>
    <x:t xml:space="preserve">JezJitzu</x:t>
  </x:si>
  <x:si>
    <x:t xml:space="preserve">33054</x:t>
  </x:si>
  <x:si>
    <x:t xml:space="preserve">https://www.smwcentral.net/?a=details&amp;id=33054&amp;p=section</x:t>
  </x:si>
  <x:si>
    <x:t xml:space="preserve">https://dl.smwcentral.net/33054/Gambol_v1.1_.zip</x:t>
  </x:si>
  <x:si>
    <x:t xml:space="preserve">37652</x:t>
  </x:si>
  <x:si>
    <x:t xml:space="preserve">https://www.smwcentral.net/?a=details&amp;id=37652&amp;p=section</x:t>
  </x:si>
  <x:si>
    <x:t xml:space="preserve">https://dl.smwcentral.net/37652/Gambol_2_v1.1.zip</x:t>
  </x:si>
  <x:si>
    <x:t xml:space="preserve">game.bps</x:t>
  </x:si>
  <x:si>
    <x:t xml:space="preserve">14607</x:t>
  </x:si>
  <x:si>
    <x:t xml:space="preserve">https://www.smwcentral.net/?a=details&amp;id=14607&amp;p=section</x:t>
  </x:si>
  <x:si>
    <x:t xml:space="preserve">https://dl.smwcentral.net/14607/game.zip</x:t>
  </x:si>
  <x:si>
    <x:t xml:space="preserve">Gameboy Bros. 3!</x:t>
  </x:si>
  <x:si>
    <x:t xml:space="preserve">gameboyjeremy</x:t>
  </x:si>
  <x:si>
    <x:t xml:space="preserve">13313</x:t>
  </x:si>
  <x:si>
    <x:t xml:space="preserve">https://www.smwcentral.net/?a=details&amp;id=13313&amp;p=section</x:t>
  </x:si>
  <x:si>
    <x:t xml:space="preserve">https://dl.smwcentral.net/13313/GBB3.zip</x:t>
  </x:si>
  <x:si>
    <x:t xml:space="preserve">Ganja World</x:t>
  </x:si>
  <x:si>
    <x:t xml:space="preserve">Yoshioshi59_</x:t>
  </x:si>
  <x:si>
    <x:t xml:space="preserve">34928</x:t>
  </x:si>
  <x:si>
    <x:t xml:space="preserve">https://www.smwcentral.net/?a=details&amp;id=34928&amp;p=section</x:t>
  </x:si>
  <x:si>
    <x:t xml:space="preserve">https://dl.smwcentral.net/34928/GanjaWorld.zip</x:t>
  </x:si>
  <x:si>
    <x:t xml:space="preserve">GARLIC</x:t>
  </x:si>
  <x:si>
    <x:t xml:space="preserve">23229</x:t>
  </x:si>
  <x:si>
    <x:t xml:space="preserve">https://www.smwcentral.net/?a=details&amp;id=23229&amp;p=section</x:t>
  </x:si>
  <x:si>
    <x:t xml:space="preserve">https://dl.smwcentral.net/23229/Garlic%201.1.zip</x:t>
  </x:si>
  <x:si>
    <x:t xml:space="preserve">Gas Pack</x:t>
  </x:si>
  <x:si>
    <x:t xml:space="preserve">38992</x:t>
  </x:si>
  <x:si>
    <x:t xml:space="preserve">https://www.smwcentral.net/?a=details&amp;id=38992&amp;p=section</x:t>
  </x:si>
  <x:si>
    <x:t xml:space="preserve">https://dl.smwcentral.net/38992/GasPackV1.zip</x:t>
  </x:si>
  <x:si>
    <x:t xml:space="preserve">Gauntlet</x:t>
  </x:si>
  <x:si>
    <x:t xml:space="preserve">33615</x:t>
  </x:si>
  <x:si>
    <x:t xml:space="preserve">https://www.smwcentral.net/?a=details&amp;id=33615&amp;p=section</x:t>
  </x:si>
  <x:si>
    <x:t xml:space="preserve">https://dl.smwcentral.net/33615/Gauntlet.zip</x:t>
  </x:si>
  <x:si>
    <x:t xml:space="preserve">Gauntlet 2</x:t>
  </x:si>
  <x:si>
    <x:t xml:space="preserve">33990</x:t>
  </x:si>
  <x:si>
    <x:t xml:space="preserve">https://www.smwcentral.net/?a=details&amp;id=33990&amp;p=section</x:t>
  </x:si>
  <x:si>
    <x:t xml:space="preserve">https://dl.smwcentral.net/33990/Gauntlet%202.zip</x:t>
  </x:si>
  <x:si>
    <x:t xml:space="preserve">Gemstones</x:t>
  </x:si>
  <x:si>
    <x:t xml:space="preserve">38899</x:t>
  </x:si>
  <x:si>
    <x:t xml:space="preserve">https://www.smwcentral.net/?a=details&amp;id=38899&amp;p=section</x:t>
  </x:si>
  <x:si>
    <x:t xml:space="preserve">https://dl.smwcentral.net/38899/gemstones.zip</x:t>
  </x:si>
  <x:si>
    <x:t xml:space="preserve">Get Busy Jumping Or Get Busy Dying</x:t>
  </x:si>
  <x:si>
    <x:t xml:space="preserve">FalseCircus</x:t>
  </x:si>
  <x:si>
    <x:t xml:space="preserve">30995</x:t>
  </x:si>
  <x:si>
    <x:t xml:space="preserve">https://www.smwcentral.net/?a=details&amp;id=30995&amp;p=section</x:t>
  </x:si>
  <x:si>
    <x:t xml:space="preserve">https://dl.smwcentral.net/30995/Get%20Busy%20Jumping%20Or%20Get%20Busy%20Dying.zip</x:t>
  </x:si>
  <x:si>
    <x:t xml:space="preserve">Get On Up!</x:t>
  </x:si>
  <x:si>
    <x:t xml:space="preserve">32925</x:t>
  </x:si>
  <x:si>
    <x:t xml:space="preserve">https://www.smwcentral.net/?a=details&amp;id=32925&amp;p=section</x:t>
  </x:si>
  <x:si>
    <x:t xml:space="preserve">https://dl.smwcentral.net/32925/Get%20On%20Up%21%201.3.zip</x:t>
  </x:si>
  <x:si>
    <x:t xml:space="preserve">Get Rich Quick</x:t>
  </x:si>
  <x:si>
    <x:t xml:space="preserve">Selicre</x:t>
  </x:si>
  <x:si>
    <x:t xml:space="preserve">39837</x:t>
  </x:si>
  <x:si>
    <x:t xml:space="preserve">https://www.smwcentral.net/?a=details&amp;id=39837&amp;p=section</x:t>
  </x:si>
  <x:si>
    <x:t xml:space="preserve">https://dl.smwcentral.net/39837/get-rich-quick.zip</x:t>
  </x:si>
  <x:si>
    <x:t xml:space="preserve">Giggle world</x:t>
  </x:si>
  <x:si>
    <x:t xml:space="preserve">PphoenixX</x:t>
  </x:si>
  <x:si>
    <x:t xml:space="preserve">15302</x:t>
  </x:si>
  <x:si>
    <x:t xml:space="preserve">https://www.smwcentral.net/?a=details&amp;id=15302&amp;p=section</x:t>
  </x:si>
  <x:si>
    <x:t xml:space="preserve">https://dl.smwcentral.net/15302/Giggle%20world%20%28demo%203%29.zip</x:t>
  </x:si>
  <x:si>
    <x:t xml:space="preserve">Glow</x:t>
  </x:si>
  <x:si>
    <x:t xml:space="preserve">Idunno</x:t>
  </x:si>
  <x:si>
    <x:t xml:space="preserve">40458</x:t>
  </x:si>
  <x:si>
    <x:t xml:space="preserve">https://www.smwcentral.net/?a=details&amp;id=40458&amp;p=section</x:t>
  </x:si>
  <x:si>
    <x:t xml:space="preserve">https://dl.smwcentral.net/40458/Glow.zip</x:t>
  </x:si>
  <x:si>
    <x:t xml:space="preserve">God do Shell</x:t>
  </x:si>
  <x:si>
    <x:t xml:space="preserve">25591</x:t>
  </x:si>
  <x:si>
    <x:t xml:space="preserve">https://www.smwcentral.net/?a=details&amp;id=25591&amp;p=section</x:t>
  </x:si>
  <x:si>
    <x:t xml:space="preserve">https://dl.smwcentral.net/25591/God%20do%20Shell%20v1.3.zip</x:t>
  </x:si>
  <x:si>
    <x:t xml:space="preserve">Goku86</x:t>
  </x:si>
  <x:si>
    <x:t xml:space="preserve">26791</x:t>
  </x:si>
  <x:si>
    <x:t xml:space="preserve">https://www.smwcentral.net/?a=details&amp;id=26791&amp;p=section</x:t>
  </x:si>
  <x:si>
    <x:t xml:space="preserve">https://dl.smwcentral.net/26791/Goku86.zip</x:t>
  </x:si>
  <x:si>
    <x:t xml:space="preserve">GOMBA and stuff</x:t>
  </x:si>
  <x:si>
    <x:t xml:space="preserve">39080</x:t>
  </x:si>
  <x:si>
    <x:t xml:space="preserve">https://www.smwcentral.net/?a=details&amp;id=39080&amp;p=section</x:t>
  </x:si>
  <x:si>
    <x:t xml:space="preserve">https://dl.smwcentral.net/39080/gomba.zip</x:t>
  </x:si>
  <x:si>
    <x:t xml:space="preserve">good old days</x:t>
  </x:si>
  <x:si>
    <x:t xml:space="preserve">32216</x:t>
  </x:si>
  <x:si>
    <x:t xml:space="preserve">https://www.smwcentral.net/?a=details&amp;id=32216&amp;p=section</x:t>
  </x:si>
  <x:si>
    <x:t xml:space="preserve">https://dl.smwcentral.net/32216/good%20old%20days%20v1.10.zip</x:t>
  </x:si>
  <x:si>
    <x:t xml:space="preserve">good old days 2</x:t>
  </x:si>
  <x:si>
    <x:t xml:space="preserve">33276</x:t>
  </x:si>
  <x:si>
    <x:t xml:space="preserve">https://www.smwcentral.net/?a=details&amp;id=33276&amp;p=section</x:t>
  </x:si>
  <x:si>
    <x:t xml:space="preserve">https://dl.smwcentral.net/33276/good%20old%20days%202.zip</x:t>
  </x:si>
  <x:si>
    <x:t xml:space="preserve">good old days 3</x:t>
  </x:si>
  <x:si>
    <x:t xml:space="preserve">34422</x:t>
  </x:si>
  <x:si>
    <x:t xml:space="preserve">https://www.smwcentral.net/?a=details&amp;id=34422&amp;p=section</x:t>
  </x:si>
  <x:si>
    <x:t xml:space="preserve">https://dl.smwcentral.net/34422/good%20old%20days%203%20v1.40.zip</x:t>
  </x:si>
  <x:si>
    <x:t xml:space="preserve">good old days 4</x:t>
  </x:si>
  <x:si>
    <x:t xml:space="preserve">38711</x:t>
  </x:si>
  <x:si>
    <x:t xml:space="preserve">https://www.smwcentral.net/?a=details&amp;id=38711&amp;p=section</x:t>
  </x:si>
  <x:si>
    <x:t xml:space="preserve">https://dl.smwcentral.net/38711/good%20old%20days%204.00.zip</x:t>
  </x:si>
  <x:si>
    <x:t xml:space="preserve">good old days: recycle bin</x:t>
  </x:si>
  <x:si>
    <x:t xml:space="preserve">40683</x:t>
  </x:si>
  <x:si>
    <x:t xml:space="preserve">https://www.smwcentral.net/?a=details&amp;id=40683&amp;p=section</x:t>
  </x:si>
  <x:si>
    <x:t xml:space="preserve">https://dl.smwcentral.net/40683/good%20old%20days%20-%20recycle%20bin%20v1.11.zip</x:t>
  </x:si>
  <x:si>
    <x:t xml:space="preserve">Good Question!</x:t>
  </x:si>
  <x:si>
    <x:t xml:space="preserve">6548</x:t>
  </x:si>
  <x:si>
    <x:t xml:space="preserve">https://www.smwcentral.net/?a=details&amp;id=6548&amp;p=section</x:t>
  </x:si>
  <x:si>
    <x:t xml:space="preserve">https://dl.smwcentral.net/6548/Good%20Question%21.zip</x:t>
  </x:si>
  <x:si>
    <x:t xml:space="preserve">Goombario's World</x:t>
  </x:si>
  <x:si>
    <x:t xml:space="preserve">Cellcen</x:t>
  </x:si>
  <x:si>
    <x:t xml:space="preserve">5002</x:t>
  </x:si>
  <x:si>
    <x:t xml:space="preserve">https://www.smwcentral.net/?a=details&amp;id=5002&amp;p=section</x:t>
  </x:si>
  <x:si>
    <x:t xml:space="preserve">https://dl.smwcentral.net/5002/Goombario%27s%20World.zip</x:t>
  </x:si>
  <x:si>
    <x:t xml:space="preserve">Goukie's Palace</x:t>
  </x:si>
  <x:si>
    <x:t xml:space="preserve">Wieus96</x:t>
  </x:si>
  <x:si>
    <x:t xml:space="preserve">16406</x:t>
  </x:si>
  <x:si>
    <x:t xml:space="preserve">https://www.smwcentral.net/?a=details&amp;id=16406&amp;p=section</x:t>
  </x:si>
  <x:si>
    <x:t xml:space="preserve">https://dl.smwcentral.net/16406/GP%20v1.1.zip</x:t>
  </x:si>
  <x:si>
    <x:t xml:space="preserve">Barbarian</x:t>
  </x:si>
  <x:si>
    <x:t xml:space="preserve">17289</x:t>
  </x:si>
  <x:si>
    <x:t xml:space="preserve">https://www.smwcentral.net/?a=details&amp;id=17289&amp;p=section</x:t>
  </x:si>
  <x:si>
    <x:t xml:space="preserve">https://dl.smwcentral.net/17289/GPW1.2.zip</x:t>
  </x:si>
  <x:si>
    <x:t xml:space="preserve">19541</x:t>
  </x:si>
  <x:si>
    <x:t xml:space="preserve">https://www.smwcentral.net/?a=details&amp;id=19541&amp;p=section</x:t>
  </x:si>
  <x:si>
    <x:t xml:space="preserve">https://dl.smwcentral.net/19541/Grand%20Poo%20World%202%201.1.zip</x:t>
  </x:si>
  <x:si>
    <x:t xml:space="preserve">Unranked</x:t>
  </x:si>
  <x:si>
    <x:t xml:space="preserve">N/A</x:t>
  </x:si>
  <x:si>
    <x:t xml:space="preserve">https://www.smwcentral.net/?p=files&amp;u=32572</x:t>
  </x:si>
  <x:si>
    <x:t xml:space="preserve">https://bin.smwcentral.net/u/32572/Grand_Poo_World_3.bps</x:t>
  </x:si>
  <x:si>
    <x:t xml:space="preserve">Grand Troll World 1</x:t>
  </x:si>
  <x:si>
    <x:t xml:space="preserve">MoghedienNinek</x:t>
  </x:si>
  <x:si>
    <x:t xml:space="preserve">22880</x:t>
  </x:si>
  <x:si>
    <x:t xml:space="preserve">https://www.smwcentral.net/?a=details&amp;id=22880&amp;p=section</x:t>
  </x:si>
  <x:si>
    <x:t xml:space="preserve">https://dl.smwcentral.net/22880/Grand%20Troll%20World%201.zip</x:t>
  </x:si>
  <x:si>
    <x:t xml:space="preserve">GrandChaos' Mario World</x:t>
  </x:si>
  <x:si>
    <x:t xml:space="preserve">HarvettFox96</x:t>
  </x:si>
  <x:si>
    <x:t xml:space="preserve">5981</x:t>
  </x:si>
  <x:si>
    <x:t xml:space="preserve">https://www.smwcentral.net/?a=details&amp;id=5981&amp;p=section</x:t>
  </x:si>
  <x:si>
    <x:t xml:space="preserve">https://dl.smwcentral.net/5981/GrandChaos%27%20Mario%20World%20%28v0.25%20Alpha%20-%20Demo%202%29.zip</x:t>
  </x:si>
  <x:si>
    <x:t xml:space="preserve">Gratitude</x:t>
  </x:si>
  <x:si>
    <x:t xml:space="preserve">Fransen86</x:t>
  </x:si>
  <x:si>
    <x:t xml:space="preserve">39587</x:t>
  </x:si>
  <x:si>
    <x:t xml:space="preserve">https://www.smwcentral.net/?a=details&amp;id=39587&amp;p=section</x:t>
  </x:si>
  <x:si>
    <x:t xml:space="preserve">https://dl.smwcentral.net/39587/Gratitude%201_1.zip</x:t>
  </x:si>
  <x:si>
    <x:t xml:space="preserve">Green Cavern</x:t>
  </x:si>
  <x:si>
    <x:t xml:space="preserve">37071</x:t>
  </x:si>
  <x:si>
    <x:t xml:space="preserve">https://www.smwcentral.net/?a=details&amp;id=37071&amp;p=section</x:t>
  </x:si>
  <x:si>
    <x:t xml:space="preserve">https://dl.smwcentral.net/37071/Green%20Cavern-yoshi_1.0.zip</x:t>
  </x:si>
  <x:si>
    <x:t xml:space="preserve">Gregor's New Super Mario World</x:t>
  </x:si>
  <x:si>
    <x:t xml:space="preserve">Gregor</x:t>
  </x:si>
  <x:si>
    <x:t xml:space="preserve">10342</x:t>
  </x:si>
  <x:si>
    <x:t xml:space="preserve">https://www.smwcentral.net/?a=details&amp;id=10342&amp;p=section</x:t>
  </x:si>
  <x:si>
    <x:t xml:space="preserve">https://dl.smwcentral.net/10342/nsmw%20d2.zip</x:t>
  </x:si>
  <x:si>
    <x:t xml:space="preserve">Grenudo Planet 3</x:t>
  </x:si>
  <x:si>
    <x:t xml:space="preserve">41387</x:t>
  </x:si>
  <x:si>
    <x:t xml:space="preserve">https://www.smwcentral.net/?a=details&amp;id=41387&amp;p=section</x:t>
  </x:si>
  <x:si>
    <x:t xml:space="preserve">https://dl.smwcentral.net/41387/grenudo.zip</x:t>
  </x:si>
  <x:si>
    <x:t xml:space="preserve">Grey Eminence</x:t>
  </x:si>
  <x:si>
    <x:t xml:space="preserve">kebabchilla</x:t>
  </x:si>
  <x:si>
    <x:t xml:space="preserve">24481</x:t>
  </x:si>
  <x:si>
    <x:t xml:space="preserve">https://www.smwcentral.net/?a=details&amp;id=24481&amp;p=section</x:t>
  </x:si>
  <x:si>
    <x:t xml:space="preserve">https://dl.smwcentral.net/24481/greyeminence.zip</x:t>
  </x:si>
  <x:si>
    <x:t xml:space="preserve">Greñudo planet2 Lucas´s revenge</x:t>
  </x:si>
  <x:si>
    <x:t xml:space="preserve">magianegra21</x:t>
  </x:si>
  <x:si>
    <x:t xml:space="preserve">34307</x:t>
  </x:si>
  <x:si>
    <x:t xml:space="preserve">https://www.smwcentral.net/?a=details&amp;id=34307&amp;p=section</x:t>
  </x:si>
  <x:si>
    <x:t xml:space="preserve">https://dl.smwcentral.net/34307/grenudo%20planet%202.zip</x:t>
  </x:si>
  <x:si>
    <x:t xml:space="preserve">GREÑUDOS PLANET</x:t>
  </x:si>
  <x:si>
    <x:t xml:space="preserve">32301</x:t>
  </x:si>
  <x:si>
    <x:t xml:space="preserve">https://www.smwcentral.net/?a=details&amp;id=32301&amp;p=section</x:t>
  </x:si>
  <x:si>
    <x:t xml:space="preserve">https://dl.smwcentral.net/32301/gre%C3%B1udos%20planet.zip</x:t>
  </x:si>
  <x:si>
    <x:t xml:space="preserve">Griffy World</x:t>
  </x:si>
  <x:si>
    <x:t xml:space="preserve">Remalis</x:t>
  </x:si>
  <x:si>
    <x:t xml:space="preserve">30987</x:t>
  </x:si>
  <x:si>
    <x:t xml:space="preserve">https://www.smwcentral.net/?a=details&amp;id=30987&amp;p=section</x:t>
  </x:si>
  <x:si>
    <x:t xml:space="preserve">https://dl.smwcentral.net/30987/GriffyWorld_v1.12.zip</x:t>
  </x:si>
  <x:si>
    <x:t xml:space="preserve">Groovy</x:t>
  </x:si>
  <x:si>
    <x:t xml:space="preserve">28970</x:t>
  </x:si>
  <x:si>
    <x:t xml:space="preserve">https://www.smwcentral.net/?a=details&amp;id=28970&amp;p=section</x:t>
  </x:si>
  <x:si>
    <x:t xml:space="preserve">https://dl.smwcentral.net/28970/Groovy%20%20v1.1.zip</x:t>
  </x:si>
  <x:si>
    <x:t xml:space="preserve">Gynura</x:t>
  </x:si>
  <x:si>
    <x:t xml:space="preserve">39832</x:t>
  </x:si>
  <x:si>
    <x:t xml:space="preserve">https://www.smwcentral.net/?a=details&amp;id=39832&amp;p=section</x:t>
  </x:si>
  <x:si>
    <x:t xml:space="preserve">https://dl.smwcentral.net/39832/Gynura.zip</x:t>
  </x:si>
  <x:si>
    <x:t xml:space="preserve">H&amp;SB2 - Twilight Gem:  Hunter's Quest</x:t>
  </x:si>
  <x:si>
    <x:t xml:space="preserve">amhunter</x:t>
  </x:si>
  <x:si>
    <x:t xml:space="preserve">10226</x:t>
  </x:si>
  <x:si>
    <x:t xml:space="preserve">https://www.smwcentral.net/?a=details&amp;id=10226&amp;p=section</x:t>
  </x:si>
  <x:si>
    <x:t xml:space="preserve">https://dl.smwcentral.net/10226/Hunter%27s_Quest_Demo2.zip</x:t>
  </x:si>
  <x:si>
    <x:t xml:space="preserve">H&amp;SB2 - Twilight Gem: Scorpion's Hunt</x:t>
  </x:si>
  <x:si>
    <x:t xml:space="preserve">Skewer</x:t>
  </x:si>
  <x:si>
    <x:t xml:space="preserve">10236</x:t>
  </x:si>
  <x:si>
    <x:t xml:space="preserve">https://www.smwcentral.net/?a=details&amp;id=10236&amp;p=section</x:t>
  </x:si>
  <x:si>
    <x:t xml:space="preserve">https://dl.smwcentral.net/10236/Twilight%20Demo%202%20%283%29.zip</x:t>
  </x:si>
  <x:si>
    <x:t xml:space="preserve">Hack</x:t>
  </x:si>
  <x:si>
    <x:t xml:space="preserve">5428</x:t>
  </x:si>
  <x:si>
    <x:t xml:space="preserve">https://www.smwcentral.net/?a=details&amp;id=5428&amp;p=section</x:t>
  </x:si>
  <x:si>
    <x:t xml:space="preserve">https://dl.smwcentral.net/5428/Hack.zip</x:t>
  </x:si>
  <x:si>
    <x:t xml:space="preserve">Hack -1</x:t>
  </x:si>
  <x:si>
    <x:t xml:space="preserve">25869</x:t>
  </x:si>
  <x:si>
    <x:t xml:space="preserve">https://www.smwcentral.net/?a=details&amp;id=25869&amp;p=section</x:t>
  </x:si>
  <x:si>
    <x:t xml:space="preserve">https://dl.smwcentral.net/25869/Hack%20-1.zip</x:t>
  </x:si>
  <x:si>
    <x:t xml:space="preserve">Hack -1 2</x:t>
  </x:si>
  <x:si>
    <x:t xml:space="preserve">35730</x:t>
  </x:si>
  <x:si>
    <x:t xml:space="preserve">https://www.smwcentral.net/?a=details&amp;id=35730&amp;p=section</x:t>
  </x:si>
  <x:si>
    <x:t xml:space="preserve">https://dl.smwcentral.net/35730/HackNegative12.zip</x:t>
  </x:si>
  <x:si>
    <x:t xml:space="preserve">Hack 0</x:t>
  </x:si>
  <x:si>
    <x:t xml:space="preserve">24991</x:t>
  </x:si>
  <x:si>
    <x:t xml:space="preserve">https://www.smwcentral.net/?a=details&amp;id=24991&amp;p=section</x:t>
  </x:si>
  <x:si>
    <x:t xml:space="preserve">https://dl.smwcentral.net/24991/Hack%200.zip</x:t>
  </x:si>
  <x:si>
    <x:t xml:space="preserve">Hack 0 2</x:t>
  </x:si>
  <x:si>
    <x:t xml:space="preserve">38745</x:t>
  </x:si>
  <x:si>
    <x:t xml:space="preserve">https://www.smwcentral.net/?a=details&amp;id=38745&amp;p=section</x:t>
  </x:si>
  <x:si>
    <x:t xml:space="preserve">https://dl.smwcentral.net/38745/Hack%200%202%20v1.1.zip</x:t>
  </x:si>
  <x:si>
    <x:t xml:space="preserve">Hack 0 3</x:t>
  </x:si>
  <x:si>
    <x:t xml:space="preserve">40017</x:t>
  </x:si>
  <x:si>
    <x:t xml:space="preserve">https://www.smwcentral.net/?a=details&amp;id=40017&amp;p=section</x:t>
  </x:si>
  <x:si>
    <x:t xml:space="preserve">https://dl.smwcentral.net/40017/Hack03Releasev1.1.zip</x:t>
  </x:si>
  <x:si>
    <x:t xml:space="preserve">Hack 1 2</x:t>
  </x:si>
  <x:si>
    <x:t xml:space="preserve">25268</x:t>
  </x:si>
  <x:si>
    <x:t xml:space="preserve">https://www.smwcentral.net/?a=details&amp;id=25268&amp;p=section</x:t>
  </x:si>
  <x:si>
    <x:t xml:space="preserve">https://dl.smwcentral.net/25268/Hack%201%202.zip</x:t>
  </x:si>
  <x:si>
    <x:t xml:space="preserve">Hack 1 2 2</x:t>
  </x:si>
  <x:si>
    <x:t xml:space="preserve">25269</x:t>
  </x:si>
  <x:si>
    <x:t xml:space="preserve">https://www.smwcentral.net/?a=details&amp;id=25269&amp;p=section</x:t>
  </x:si>
  <x:si>
    <x:t xml:space="preserve">https://dl.smwcentral.net/25269/Hack%201%202%202.zip</x:t>
  </x:si>
  <x:si>
    <x:t xml:space="preserve">Hack 1 2 3</x:t>
  </x:si>
  <x:si>
    <x:t xml:space="preserve">26367</x:t>
  </x:si>
  <x:si>
    <x:t xml:space="preserve">https://www.smwcentral.net/?a=details&amp;id=26367&amp;p=section</x:t>
  </x:si>
  <x:si>
    <x:t xml:space="preserve">https://dl.smwcentral.net/26367/Hack%201%202%203.zip</x:t>
  </x:si>
  <x:si>
    <x:t xml:space="preserve">Hack 2</x:t>
  </x:si>
  <x:si>
    <x:t xml:space="preserve">5987</x:t>
  </x:si>
  <x:si>
    <x:t xml:space="preserve">https://www.smwcentral.net/?a=details&amp;id=5987&amp;p=section</x:t>
  </x:si>
  <x:si>
    <x:t xml:space="preserve">https://dl.smwcentral.net/5987/Hack%202.zip</x:t>
  </x:si>
  <x:si>
    <x:t xml:space="preserve">Hack 25</x:t>
  </x:si>
  <x:si>
    <x:t xml:space="preserve">42289</x:t>
  </x:si>
  <x:si>
    <x:t xml:space="preserve">https://www.smwcentral.net/?a=details&amp;id=42289&amp;p=section</x:t>
  </x:si>
  <x:si>
    <x:t xml:space="preserve">https://dl.smwcentral.net/42289/Hack%2025.zip</x:t>
  </x:si>
  <x:si>
    <x:t xml:space="preserve">Hack 3</x:t>
  </x:si>
  <x:si>
    <x:t xml:space="preserve">11495</x:t>
  </x:si>
  <x:si>
    <x:t xml:space="preserve">https://www.smwcentral.net/?a=details&amp;id=11495&amp;p=section</x:t>
  </x:si>
  <x:si>
    <x:t xml:space="preserve">https://dl.smwcentral.net/11495/Hack%203%20Release.zip</x:t>
  </x:si>
  <x:si>
    <x:t xml:space="preserve">Hack 4</x:t>
  </x:si>
  <x:si>
    <x:t xml:space="preserve">15993</x:t>
  </x:si>
  <x:si>
    <x:t xml:space="preserve">https://www.smwcentral.net/?a=details&amp;id=15993&amp;p=section</x:t>
  </x:si>
  <x:si>
    <x:t xml:space="preserve">https://dl.smwcentral.net/15993/Hack%204.zip</x:t>
  </x:si>
  <x:si>
    <x:t xml:space="preserve">Hack 5</x:t>
  </x:si>
  <x:si>
    <x:t xml:space="preserve">19588</x:t>
  </x:si>
  <x:si>
    <x:t xml:space="preserve">https://www.smwcentral.net/?a=details&amp;id=19588&amp;p=section</x:t>
  </x:si>
  <x:si>
    <x:t xml:space="preserve">https://dl.smwcentral.net/19588/Hack%205.zip</x:t>
  </x:si>
  <x:si>
    <x:t xml:space="preserve">Hack 6</x:t>
  </x:si>
  <x:si>
    <x:t xml:space="preserve">25350</x:t>
  </x:si>
  <x:si>
    <x:t xml:space="preserve">https://www.smwcentral.net/?a=details&amp;id=25350&amp;p=section</x:t>
  </x:si>
  <x:si>
    <x:t xml:space="preserve">https://dl.smwcentral.net/25350/Hack%206.zip</x:t>
  </x:si>
  <x:si>
    <x:t xml:space="preserve">Hack 7</x:t>
  </x:si>
  <x:si>
    <x:t xml:space="preserve">37570</x:t>
  </x:si>
  <x:si>
    <x:t xml:space="preserve">https://www.smwcentral.net/?a=details&amp;id=37570&amp;p=section</x:t>
  </x:si>
  <x:si>
    <x:t xml:space="preserve">https://dl.smwcentral.net/37570/Hack%207.zip</x:t>
  </x:si>
  <x:si>
    <x:t xml:space="preserve">Hack 8</x:t>
  </x:si>
  <x:si>
    <x:t xml:space="preserve">40619</x:t>
  </x:si>
  <x:si>
    <x:t xml:space="preserve">https://www.smwcentral.net/?a=details&amp;id=40619&amp;p=section</x:t>
  </x:si>
  <x:si>
    <x:t xml:space="preserve">https://dl.smwcentral.net/40619/Hack8Release.zip</x:t>
  </x:si>
  <x:si>
    <x:t xml:space="preserve">Hack for a dying culture</x:t>
  </x:si>
  <x:si>
    <x:t xml:space="preserve">Anonymous</x:t>
  </x:si>
  <x:si>
    <x:t xml:space="preserve">25061</x:t>
  </x:si>
  <x:si>
    <x:t xml:space="preserve">https://www.smwcentral.net/?a=details&amp;id=25061&amp;p=section</x:t>
  </x:si>
  <x:si>
    <x:t xml:space="preserve">https://dl.smwcentral.net/25061/hfadc.zip</x:t>
  </x:si>
  <x:si>
    <x:t xml:space="preserve">Hack: Greatest Hits</x:t>
  </x:si>
  <x:si>
    <x:t xml:space="preserve">39521</x:t>
  </x:si>
  <x:si>
    <x:t xml:space="preserve">https://www.smwcentral.net/?a=details&amp;id=39521&amp;p=section</x:t>
  </x:si>
  <x:si>
    <x:t xml:space="preserve">https://dl.smwcentral.net/39521/HackGreatestHitsReleasev1.2.zip</x:t>
  </x:si>
  <x:si>
    <x:t xml:space="preserve">Hack: Greatest Hits Xtreme!</x:t>
  </x:si>
  <x:si>
    <x:t xml:space="preserve">39600</x:t>
  </x:si>
  <x:si>
    <x:t xml:space="preserve">https://www.smwcentral.net/?a=details&amp;id=39600&amp;p=section</x:t>
  </x:si>
  <x:si>
    <x:t xml:space="preserve">https://dl.smwcentral.net/39600/HackGHXRelease.zip</x:t>
  </x:si>
  <x:si>
    <x:t xml:space="preserve">Hackers Dreams : Going Too Far</x:t>
  </x:si>
  <x:si>
    <x:t xml:space="preserve">anonymousbl00dlust</x:t>
  </x:si>
  <x:si>
    <x:t xml:space="preserve">15918</x:t>
  </x:si>
  <x:si>
    <x:t xml:space="preserve">https://www.smwcentral.net/?a=details&amp;id=15918&amp;p=section</x:t>
  </x:si>
  <x:si>
    <x:t xml:space="preserve">https://dl.smwcentral.net/15918/GoingTooFar.zip</x:t>
  </x:si>
  <x:si>
    <x:t xml:space="preserve">Hackers Dreams : Pipe Dream</x:t>
  </x:si>
  <x:si>
    <x:t xml:space="preserve">17741</x:t>
  </x:si>
  <x:si>
    <x:t xml:space="preserve">https://www.smwcentral.net/?a=details&amp;id=17741&amp;p=section</x:t>
  </x:si>
  <x:si>
    <x:t xml:space="preserve">https://dl.smwcentral.net/17741/Hackers%20Dreams%20Pipe%20Dream.zip</x:t>
  </x:si>
  <x:si>
    <x:t xml:space="preserve">Hage World</x:t>
  </x:si>
  <x:si>
    <x:t xml:space="preserve">39722</x:t>
  </x:si>
  <x:si>
    <x:t xml:space="preserve">https://www.smwcentral.net/?a=details&amp;id=39722&amp;p=section</x:t>
  </x:si>
  <x:si>
    <x:t xml:space="preserve">https://dl.smwcentral.net/39722/Hage%20World.zip</x:t>
  </x:si>
  <x:si>
    <x:t xml:space="preserve">Hage World 2</x:t>
  </x:si>
  <x:si>
    <x:t xml:space="preserve">41815</x:t>
  </x:si>
  <x:si>
    <x:t xml:space="preserve">https://www.smwcentral.net/?a=details&amp;id=41815&amp;p=section</x:t>
  </x:si>
  <x:si>
    <x:t xml:space="preserve">https://dl.smwcentral.net/41815/Hage%20World%202.zip</x:t>
  </x:si>
  <x:si>
    <x:t xml:space="preserve">Hakurankai Mario</x:t>
  </x:si>
  <x:si>
    <x:t xml:space="preserve">CoinBandit, Kiki-mewmew</x:t>
  </x:si>
  <x:si>
    <x:t xml:space="preserve">9859</x:t>
  </x:si>
  <x:si>
    <x:t xml:space="preserve">https://www.smwcentral.net/?a=details&amp;id=9859&amp;p=section</x:t>
  </x:si>
  <x:si>
    <x:t xml:space="preserve">https://dl.smwcentral.net/9859/HAKURANKAI%20DEMO.zip</x:t>
  </x:si>
  <x:si>
    <x:t xml:space="preserve">Hallowed Ground</x:t>
  </x:si>
  <x:si>
    <x:t xml:space="preserve">nanec</x:t>
  </x:si>
  <x:si>
    <x:t xml:space="preserve">29667</x:t>
  </x:si>
  <x:si>
    <x:t xml:space="preserve">https://www.smwcentral.net/?a=details&amp;id=29667&amp;p=section</x:t>
  </x:si>
  <x:si>
    <x:t xml:space="preserve">https://dl.smwcentral.net/29667/HGnanec.zip</x:t>
  </x:si>
  <x:si>
    <x:t xml:space="preserve">Halloween Hack</x:t>
  </x:si>
  <x:si>
    <x:t xml:space="preserve">39974</x:t>
  </x:si>
  <x:si>
    <x:t xml:space="preserve">https://www.smwcentral.net/?a=details&amp;id=39974&amp;p=section</x:t>
  </x:si>
  <x:si>
    <x:t xml:space="preserve">https://dl.smwcentral.net/39974/Halloween%20Hack.zip</x:t>
  </x:si>
  <x:si>
    <x:t xml:space="preserve">Halloween in the Mushroom Kingdom</x:t>
  </x:si>
  <x:si>
    <x:t xml:space="preserve">AuraDee</x:t>
  </x:si>
  <x:si>
    <x:t xml:space="preserve">22080</x:t>
  </x:si>
  <x:si>
    <x:t xml:space="preserve">https://www.smwcentral.net/?a=details&amp;id=22080&amp;p=section</x:t>
  </x:si>
  <x:si>
    <x:t xml:space="preserve">https://dl.smwcentral.net/22080/HITMK%20%28Music%20Fixed%29.zip</x:t>
  </x:si>
  <x:si>
    <x:t xml:space="preserve">Halloween Islands</x:t>
  </x:si>
  <x:si>
    <x:t xml:space="preserve">grisu</x:t>
  </x:si>
  <x:si>
    <x:t xml:space="preserve">28590</x:t>
  </x:si>
  <x:si>
    <x:t xml:space="preserve">https://www.smwcentral.net/?a=details&amp;id=28590&amp;p=section</x:t>
  </x:si>
  <x:si>
    <x:t xml:space="preserve">https://dl.smwcentral.net/28590/Halloween%20Islands.zip</x:t>
  </x:si>
  <x:si>
    <x:t xml:space="preserve">Halloween Kaizo World</x:t>
  </x:si>
  <x:si>
    <x:t xml:space="preserve">42450</x:t>
  </x:si>
  <x:si>
    <x:t xml:space="preserve">https://www.smwcentral.net/?a=details&amp;id=42450&amp;p=section</x:t>
  </x:si>
  <x:si>
    <x:t xml:space="preserve">https://dl.smwcentral.net/42450/Halloween%20Kaizo%20World%20v1.2.zip</x:t>
  </x:si>
  <x:si>
    <x:t xml:space="preserve">Halo 14 - Definitive Edition</x:t>
  </x:si>
  <x:si>
    <x:t xml:space="preserve">41546</x:t>
  </x:si>
  <x:si>
    <x:t xml:space="preserve">https://www.smwcentral.net/?a=details&amp;id=41546&amp;p=section</x:t>
  </x:si>
  <x:si>
    <x:t xml:space="preserve">https://dl.smwcentral.net/41546/Halo%2014%20-%20Definitive%20Edition.zip</x:t>
  </x:si>
  <x:si>
    <x:t xml:space="preserve">Halo 14 - Side A</x:t>
  </x:si>
  <x:si>
    <x:t xml:space="preserve">32170</x:t>
  </x:si>
  <x:si>
    <x:t xml:space="preserve">https://www.smwcentral.net/?a=details&amp;id=32170&amp;p=section</x:t>
  </x:si>
  <x:si>
    <x:t xml:space="preserve">https://dl.smwcentral.net/32170/Halo%2014%20Side%20A.zip</x:t>
  </x:si>
  <x:si>
    <x:t xml:space="preserve">Halo 14 - Side B</x:t>
  </x:si>
  <x:si>
    <x:t xml:space="preserve">32774</x:t>
  </x:si>
  <x:si>
    <x:t xml:space="preserve">https://www.smwcentral.net/?a=details&amp;id=32774&amp;p=section</x:t>
  </x:si>
  <x:si>
    <x:t xml:space="preserve">https://dl.smwcentral.net/32774/Halo%2014%20Side%20B.zip</x:t>
  </x:si>
  <x:si>
    <x:t xml:space="preserve">Hammer Time</x:t>
  </x:si>
  <x:si>
    <x:t xml:space="preserve">xDropTheHammer</x:t>
  </x:si>
  <x:si>
    <x:t xml:space="preserve">32937</x:t>
  </x:si>
  <x:si>
    <x:t xml:space="preserve">https://www.smwcentral.net/?a=details&amp;id=32937&amp;p=section</x:t>
  </x:si>
  <x:si>
    <x:t xml:space="preserve">https://dl.smwcentral.net/32937/HammerTime%20V1.5.zip</x:t>
  </x:si>
  <x:si>
    <x:t xml:space="preserve">Hangin With Mr. Koopa</x:t>
  </x:si>
  <x:si>
    <x:t xml:space="preserve">Miscalc</x:t>
  </x:si>
  <x:si>
    <x:t xml:space="preserve">24257</x:t>
  </x:si>
  <x:si>
    <x:t xml:space="preserve">https://www.smwcentral.net/?a=details&amp;id=24257&amp;p=section</x:t>
  </x:si>
  <x:si>
    <x:t xml:space="preserve">https://dl.smwcentral.net/24257/Hangin_With_Mr_Koopa_1.1.zip</x:t>
  </x:si>
  <x:si>
    <x:t xml:space="preserve">Hangin With Mr. Koopa 2: All Vanilla No Filla</x:t>
  </x:si>
  <x:si>
    <x:t xml:space="preserve">31460</x:t>
  </x:si>
  <x:si>
    <x:t xml:space="preserve">https://www.smwcentral.net/?a=details&amp;id=31460&amp;p=section</x:t>
  </x:si>
  <x:si>
    <x:t xml:space="preserve">https://dl.smwcentral.net/31460/hangin-with-mr-koopa-2.zip</x:t>
  </x:si>
  <x:si>
    <x:t xml:space="preserve">Hardcore Mario</x:t>
  </x:si>
  <x:si>
    <x:t xml:space="preserve">32655</x:t>
  </x:si>
  <x:si>
    <x:t xml:space="preserve">https://www.smwcentral.net/?a=details&amp;id=32655&amp;p=section</x:t>
  </x:si>
  <x:si>
    <x:t xml:space="preserve">https://dl.smwcentral.net/32655/Hardcore_Mario.zip</x:t>
  </x:si>
  <x:si>
    <x:t xml:space="preserve">Harmful</x:t>
  </x:si>
  <x:si>
    <x:t xml:space="preserve">LiamBLOL</x:t>
  </x:si>
  <x:si>
    <x:t xml:space="preserve">33450</x:t>
  </x:si>
  <x:si>
    <x:t xml:space="preserve">https://www.smwcentral.net/?a=details&amp;id=33450&amp;p=section</x:t>
  </x:si>
  <x:si>
    <x:t xml:space="preserve">https://dl.smwcentral.net/33450/Harmful.zip</x:t>
  </x:si>
  <x:si>
    <x:t xml:space="preserve">Hazuka World</x:t>
  </x:si>
  <x:si>
    <x:t xml:space="preserve">Foxy McCloud</x:t>
  </x:si>
  <x:si>
    <x:t xml:space="preserve">22581</x:t>
  </x:si>
  <x:si>
    <x:t xml:space="preserve">https://www.smwcentral.net/?a=details&amp;id=22581&amp;p=section</x:t>
  </x:si>
  <x:si>
    <x:t xml:space="preserve">https://dl.smwcentral.net/22581/HazukaWorld1.55.zip</x:t>
  </x:si>
  <x:si>
    <x:t xml:space="preserve">Heat Wave</x:t>
  </x:si>
  <x:si>
    <x:t xml:space="preserve">will___</x:t>
  </x:si>
  <x:si>
    <x:t xml:space="preserve">41380</x:t>
  </x:si>
  <x:si>
    <x:t xml:space="preserve">https://www.smwcentral.net/?a=details&amp;id=41380&amp;p=section</x:t>
  </x:si>
  <x:si>
    <x:t xml:space="preserve">https://dl.smwcentral.net/41380/HeatWave.zip</x:t>
  </x:si>
  <x:si>
    <x:t xml:space="preserve">Heavenly Host</x:t>
  </x:si>
  <x:si>
    <x:t xml:space="preserve">27872</x:t>
  </x:si>
  <x:si>
    <x:t xml:space="preserve">https://www.smwcentral.net/?a=details&amp;id=27872&amp;p=section</x:t>
  </x:si>
  <x:si>
    <x:t xml:space="preserve">https://dl.smwcentral.net/27872/Heavenly_Host_V1.1.zip</x:t>
  </x:si>
  <x:si>
    <x:t xml:space="preserve">Heavenly host 2 : Master class</x:t>
  </x:si>
  <x:si>
    <x:t xml:space="preserve">28326</x:t>
  </x:si>
  <x:si>
    <x:t xml:space="preserve">https://www.smwcentral.net/?a=details&amp;id=28326&amp;p=section</x:t>
  </x:si>
  <x:si>
    <x:t xml:space="preserve">https://dl.smwcentral.net/28326/Heavenly%20host%20II%20v1.1.zip</x:t>
  </x:si>
  <x:si>
    <x:t xml:space="preserve">Heavenly host 3 : Forever faithful</x:t>
  </x:si>
  <x:si>
    <x:t xml:space="preserve">28394</x:t>
  </x:si>
  <x:si>
    <x:t xml:space="preserve">https://www.smwcentral.net/?a=details&amp;id=28394&amp;p=section</x:t>
  </x:si>
  <x:si>
    <x:t xml:space="preserve">https://dl.smwcentral.net/28394/Heavenly%20host%203%20v1.1.zip</x:t>
  </x:si>
  <x:si>
    <x:t xml:space="preserve">Heckin' Spoop World</x:t>
  </x:si>
  <x:si>
    <x:t xml:space="preserve">Koopenstein</x:t>
  </x:si>
  <x:si>
    <x:t xml:space="preserve">40743</x:t>
  </x:si>
  <x:si>
    <x:t xml:space="preserve">https://www.smwcentral.net/?a=details&amp;id=40743&amp;p=section</x:t>
  </x:si>
  <x:si>
    <x:t xml:space="preserve">https://dl.smwcentral.net/40743/Heckin%20Spoop%20World%20v1.3.zip</x:t>
  </x:si>
  <x:si>
    <x:t xml:space="preserve">Hell Wizardry: functional overworld edition</x:t>
  </x:si>
  <x:si>
    <x:t xml:space="preserve">24549</x:t>
  </x:si>
  <x:si>
    <x:t xml:space="preserve">https://www.smwcentral.net/?a=details&amp;id=24549&amp;p=section</x:t>
  </x:si>
  <x:si>
    <x:t xml:space="preserve">https://dl.smwcentral.net/24549/HellWizardry1.4.zip</x:t>
  </x:si>
  <x:si>
    <x:t xml:space="preserve">Hertz Donut</x:t>
  </x:si>
  <x:si>
    <x:t xml:space="preserve">6069</x:t>
  </x:si>
  <x:si>
    <x:t xml:space="preserve">https://www.smwcentral.net/?a=details&amp;id=6069&amp;p=section</x:t>
  </x:si>
  <x:si>
    <x:t xml:space="preserve">https://dl.smwcentral.net/6069/Hertz%20Donut.zip</x:t>
  </x:si>
  <x:si>
    <x:t xml:space="preserve">Hi!</x:t>
  </x:si>
  <x:si>
    <x:t xml:space="preserve">3dsalmon</x:t>
  </x:si>
  <x:si>
    <x:t xml:space="preserve">40840</x:t>
  </x:si>
  <x:si>
    <x:t xml:space="preserve">https://www.smwcentral.net/?a=details&amp;id=40840&amp;p=section</x:t>
  </x:si>
  <x:si>
    <x:t xml:space="preserve">https://dl.smwcentral.net/40840/Hi%21%20v1.1.zip</x:t>
  </x:si>
  <x:si>
    <x:t xml:space="preserve">Hidden Dream in the Deep Time</x:t>
  </x:si>
  <x:si>
    <x:t xml:space="preserve">42212</x:t>
  </x:si>
  <x:si>
    <x:t xml:space="preserve">https://www.smwcentral.net/?a=details&amp;id=42212&amp;p=section</x:t>
  </x:si>
  <x:si>
    <x:t xml:space="preserve">https://dl.smwcentral.net/42212/Hidden%20Dream%20in%20the%20Deep%20Time%20%28v1.1%29.zip</x:t>
  </x:si>
  <x:si>
    <x:t xml:space="preserve">Home</x:t>
  </x:si>
  <x:si>
    <x:t xml:space="preserve">38890</x:t>
  </x:si>
  <x:si>
    <x:t xml:space="preserve">https://www.smwcentral.net/?a=details&amp;id=38890&amp;p=section</x:t>
  </x:si>
  <x:si>
    <x:t xml:space="preserve">https://dl.smwcentral.net/38890/Home%20v1.0%20Lush_50.zip</x:t>
  </x:si>
  <x:si>
    <x:t xml:space="preserve">Hope's Wind</x:t>
  </x:si>
  <x:si>
    <x:t xml:space="preserve">22131</x:t>
  </x:si>
  <x:si>
    <x:t xml:space="preserve">https://www.smwcentral.net/?a=details&amp;id=22131&amp;p=section</x:t>
  </x:si>
  <x:si>
    <x:t xml:space="preserve">https://dl.smwcentral.net/22131/Hope%27s%20Wind.zip</x:t>
  </x:si>
  <x:si>
    <x:t xml:space="preserve">Hops' Great Adventure</x:t>
  </x:si>
  <x:si>
    <x:t xml:space="preserve">30172</x:t>
  </x:si>
  <x:si>
    <x:t xml:space="preserve">https://www.smwcentral.net/?a=details&amp;id=30172&amp;p=section</x:t>
  </x:si>
  <x:si>
    <x:t xml:space="preserve">https://dl.smwcentral.net/30172/hops.r.2.0.bps.zip</x:t>
  </x:si>
  <x:si>
    <x:t xml:space="preserve">Horrifying Mario World</x:t>
  </x:si>
  <x:si>
    <x:t xml:space="preserve">9273</x:t>
  </x:si>
  <x:si>
    <x:t xml:space="preserve">https://www.smwcentral.net/?a=details&amp;id=9273&amp;p=section</x:t>
  </x:si>
  <x:si>
    <x:t xml:space="preserve">https://dl.smwcentral.net/9273/Horrifying%20Mario%20World.zip</x:t>
  </x:si>
  <x:si>
    <x:t xml:space="preserve">HotHead Heights</x:t>
  </x:si>
  <x:si>
    <x:t xml:space="preserve">BlooberryPi</x:t>
  </x:si>
  <x:si>
    <x:t xml:space="preserve">19402</x:t>
  </x:si>
  <x:si>
    <x:t xml:space="preserve">https://www.smwcentral.net/?a=details&amp;id=19402&amp;p=section</x:t>
  </x:si>
  <x:si>
    <x:t xml:space="preserve">https://dl.smwcentral.net/19402/HotHead%20Heights.zip</x:t>
  </x:si>
  <x:si>
    <x:t xml:space="preserve">Hourglass Twist</x:t>
  </x:si>
  <x:si>
    <x:t xml:space="preserve">Alex</x:t>
  </x:si>
  <x:si>
    <x:t xml:space="preserve">Kaizo, Puzzle</x:t>
  </x:si>
  <x:si>
    <x:t xml:space="preserve">28538</x:t>
  </x:si>
  <x:si>
    <x:t xml:space="preserve">https://www.smwcentral.net/?a=details&amp;id=28538&amp;p=section</x:t>
  </x:si>
  <x:si>
    <x:t xml:space="preserve">https://dl.smwcentral.net/28538/Hourglass%20Twist.zip</x:t>
  </x:si>
  <x:si>
    <x:t xml:space="preserve">House of King Boo</x:t>
  </x:si>
  <x:si>
    <x:t xml:space="preserve">Parahax</x:t>
  </x:si>
  <x:si>
    <x:t xml:space="preserve">28688</x:t>
  </x:si>
  <x:si>
    <x:t xml:space="preserve">https://www.smwcentral.net/?a=details&amp;id=28688&amp;p=section</x:t>
  </x:si>
  <x:si>
    <x:t xml:space="preserve">https://dl.smwcentral.net/28688/House%20of%20King%20Boo%201.06.zip</x:t>
  </x:si>
  <x:si>
    <x:t xml:space="preserve">How I Learned to Stop Worrying and Love the Bob-omb</x:t>
  </x:si>
  <x:si>
    <x:t xml:space="preserve">9956</x:t>
  </x:si>
  <x:si>
    <x:t xml:space="preserve">https://www.smwcentral.net/?a=details&amp;id=9956&amp;p=section</x:t>
  </x:si>
  <x:si>
    <x:t xml:space="preserve">https://dl.smwcentral.net/9956/HILTSWALTB.zip</x:t>
  </x:si>
  <x:si>
    <x:t xml:space="preserve">how long do snails sleep (vanilla)</x:t>
  </x:si>
  <x:si>
    <x:t xml:space="preserve">Somebody for sure</x:t>
  </x:si>
  <x:si>
    <x:t xml:space="preserve">37692</x:t>
  </x:si>
  <x:si>
    <x:t xml:space="preserve">https://www.smwcentral.net/?a=details&amp;id=37692&amp;p=section</x:t>
  </x:si>
  <x:si>
    <x:t xml:space="preserve">https://dl.smwcentral.net/37692/how%20long%20do%20snails%20sleep%20%28vanilla%2C%20finalhopefully%29.zip</x:t>
  </x:si>
  <x:si>
    <x:t xml:space="preserve">How NOT to Kaizo</x:t>
  </x:si>
  <x:si>
    <x:t xml:space="preserve">Skirdus</x:t>
  </x:si>
  <x:si>
    <x:t xml:space="preserve">21700</x:t>
  </x:si>
  <x:si>
    <x:t xml:space="preserve">https://www.smwcentral.net/?a=details&amp;id=21700&amp;p=section</x:t>
  </x:si>
  <x:si>
    <x:t xml:space="preserve">https://dl.smwcentral.net/21700/How%20NOT%20to%20Kaizo.zip</x:t>
  </x:si>
  <x:si>
    <x:t xml:space="preserve">Hummer Super Mario World</x:t>
  </x:si>
  <x:si>
    <x:t xml:space="preserve">King Mayro</x:t>
  </x:si>
  <x:si>
    <x:t xml:space="preserve">32158</x:t>
  </x:si>
  <x:si>
    <x:t xml:space="preserve">https://www.smwcentral.net/?a=details&amp;id=32158&amp;p=section</x:t>
  </x:si>
  <x:si>
    <x:t xml:space="preserve">https://dl.smwcentral.net/32158/HummerSMW%20VER7.8.zip</x:t>
  </x:si>
  <x:si>
    <x:t xml:space="preserve">Hunter &amp; SCORPION's Bet Saga - SCORPION's Ravage</x:t>
  </x:si>
  <x:si>
    <x:t xml:space="preserve">9965</x:t>
  </x:si>
  <x:si>
    <x:t xml:space="preserve">https://www.smwcentral.net/?a=details&amp;id=9965&amp;p=section</x:t>
  </x:si>
  <x:si>
    <x:t xml:space="preserve">https://dl.smwcentral.net/9965/H%26SB-SCORPION%27sRavage%20FULL.zip</x:t>
  </x:si>
  <x:si>
    <x:t xml:space="preserve">Hunter and Scorpion's Bet ReVised - Hunter's Path</x:t>
  </x:si>
  <x:si>
    <x:t xml:space="preserve">14166</x:t>
  </x:si>
  <x:si>
    <x:t xml:space="preserve">https://www.smwcentral.net/?a=details&amp;id=14166&amp;p=section</x:t>
  </x:si>
  <x:si>
    <x:t xml:space="preserve">https://dl.smwcentral.net/14166/HunterPath_V1_1.zip</x:t>
  </x:si>
  <x:si>
    <x:t xml:space="preserve">Hydro</x:t>
  </x:si>
  <x:si>
    <x:t xml:space="preserve">28174</x:t>
  </x:si>
  <x:si>
    <x:t xml:space="preserve">https://www.smwcentral.net/?a=details&amp;id=28174&amp;p=section</x:t>
  </x:si>
  <x:si>
    <x:t xml:space="preserve">https://dl.smwcentral.net/28174/Hydro.zip</x:t>
  </x:si>
  <x:si>
    <x:t xml:space="preserve">Hyper Hentai Hotties</x:t>
  </x:si>
  <x:si>
    <x:t xml:space="preserve">scrimpy</x:t>
  </x:si>
  <x:si>
    <x:t xml:space="preserve">9952</x:t>
  </x:si>
  <x:si>
    <x:t xml:space="preserve">https://www.smwcentral.net/?a=details&amp;id=9952&amp;p=section</x:t>
  </x:si>
  <x:si>
    <x:t xml:space="preserve">https://dl.smwcentral.net/9952/Hyper%20Hentai%20Hotties.zip</x:t>
  </x:si>
  <x:si>
    <x:t xml:space="preserve">Hyperexcitability</x:t>
  </x:si>
  <x:si>
    <x:t xml:space="preserve">9489</x:t>
  </x:si>
  <x:si>
    <x:t xml:space="preserve">https://www.smwcentral.net/?a=details&amp;id=9489&amp;p=section</x:t>
  </x:si>
  <x:si>
    <x:t xml:space="preserve">https://dl.smwcentral.net/9489/Hyperexcitability%201%20Level%20demo.zip</x:t>
  </x:si>
  <x:si>
    <x:t xml:space="preserve">HYPERION</x:t>
  </x:si>
  <x:si>
    <x:t xml:space="preserve">AmperSam</x:t>
  </x:si>
  <x:si>
    <x:t xml:space="preserve">30143</x:t>
  </x:si>
  <x:si>
    <x:t xml:space="preserve">https://www.smwcentral.net/?a=details&amp;id=30143&amp;p=section</x:t>
  </x:si>
  <x:si>
    <x:t xml:space="preserve">https://dl.smwcentral.net/30143/HYPERION_2.0.1.zip</x:t>
  </x:si>
  <x:si>
    <x:t xml:space="preserve">Hypnagogia</x:t>
  </x:si>
  <x:si>
    <x:t xml:space="preserve">39041</x:t>
  </x:si>
  <x:si>
    <x:t xml:space="preserve">https://www.smwcentral.net/?a=details&amp;id=39041&amp;p=section</x:t>
  </x:si>
  <x:si>
    <x:t xml:space="preserve">https://dl.smwcentral.net/39041/hypnagogia.zip</x:t>
  </x:si>
  <x:si>
    <x:t xml:space="preserve">HYSTERIA</x:t>
  </x:si>
  <x:si>
    <x:t xml:space="preserve">35470</x:t>
  </x:si>
  <x:si>
    <x:t xml:space="preserve">https://www.smwcentral.net/?a=details&amp;id=35470&amp;p=section</x:t>
  </x:si>
  <x:si>
    <x:t xml:space="preserve">https://dl.smwcentral.net/35470/HYSTERIA.zip</x:t>
  </x:si>
  <x:si>
    <x:t xml:space="preserve">Häschen [hɛʃn̩]</x:t>
  </x:si>
  <x:si>
    <x:t xml:space="preserve">Darkdlp02, EliteBellic, FazeMeisterMauch, Luks, Mauls, Reggiamoto, Stinky</x:t>
  </x:si>
  <x:si>
    <x:t xml:space="preserve">36778</x:t>
  </x:si>
  <x:si>
    <x:t xml:space="preserve">https://www.smwcentral.net/?a=details&amp;id=36778&amp;p=section</x:t>
  </x:si>
  <x:si>
    <x:t xml:space="preserve">https://dl.smwcentral.net/36778/haeschen1.1.zip</x:t>
  </x:si>
  <x:si>
    <x:t xml:space="preserve">I Come In Peace</x:t>
  </x:si>
  <x:si>
    <x:t xml:space="preserve">12916</x:t>
  </x:si>
  <x:si>
    <x:t xml:space="preserve">https://www.smwcentral.net/?a=details&amp;id=12916&amp;p=section</x:t>
  </x:si>
  <x:si>
    <x:t xml:space="preserve">https://dl.smwcentral.net/12916/I%20Come%20In%20Peace.zip</x:t>
  </x:si>
  <x:si>
    <x:t xml:space="preserve">I HATE YOU</x:t>
  </x:si>
  <x:si>
    <x:t xml:space="preserve">Ersanio</x:t>
  </x:si>
  <x:si>
    <x:t xml:space="preserve">13943</x:t>
  </x:si>
  <x:si>
    <x:t xml:space="preserve">https://www.smwcentral.net/?a=details&amp;id=13943&amp;p=section</x:t>
  </x:si>
  <x:si>
    <x:t xml:space="preserve">https://dl.smwcentral.net/13943/I%20HATE%20YOU.zip</x:t>
  </x:si>
  <x:si>
    <x:t xml:space="preserve">I Wanna Be The ROM Hack: Prototype</x:t>
  </x:si>
  <x:si>
    <x:t xml:space="preserve">38270</x:t>
  </x:si>
  <x:si>
    <x:t xml:space="preserve">https://www.smwcentral.net/?a=details&amp;id=38270&amp;p=section</x:t>
  </x:si>
  <x:si>
    <x:t xml:space="preserve">https://dl.smwcentral.net/38270/IWBTRH%20Prototype%20v1.01.zip</x:t>
  </x:si>
  <x:si>
    <x:t xml:space="preserve">Icarus</x:t>
  </x:si>
  <x:si>
    <x:t xml:space="preserve">CircleFriendo</x:t>
  </x:si>
  <x:si>
    <x:t xml:space="preserve">37866</x:t>
  </x:si>
  <x:si>
    <x:t xml:space="preserve">https://www.smwcentral.net/?a=details&amp;id=37866&amp;p=section</x:t>
  </x:si>
  <x:si>
    <x:t xml:space="preserve">https://dl.smwcentral.net/37866/Icarus.zip</x:t>
  </x:si>
  <x:si>
    <x:t xml:space="preserve">Ides of March</x:t>
  </x:si>
  <x:si>
    <x:t xml:space="preserve">26890</x:t>
  </x:si>
  <x:si>
    <x:t xml:space="preserve">https://www.smwcentral.net/?a=details&amp;id=26890&amp;p=section</x:t>
  </x:si>
  <x:si>
    <x:t xml:space="preserve">https://dl.smwcentral.net/26890/ides_of_march1.1.zip</x:t>
  </x:si>
  <x:si>
    <x:t xml:space="preserve">Ides of March 2: Dogs of War</x:t>
  </x:si>
  <x:si>
    <x:t xml:space="preserve">42072</x:t>
  </x:si>
  <x:si>
    <x:t xml:space="preserve">https://www.smwcentral.net/?a=details&amp;id=42072&amp;p=section</x:t>
  </x:si>
  <x:si>
    <x:t xml:space="preserve">https://dl.smwcentral.net/42072/dogs_of_war.zip</x:t>
  </x:si>
  <x:si>
    <x:t xml:space="preserve">Ieo</x:t>
  </x:si>
  <x:si>
    <x:t xml:space="preserve">Delta</x:t>
  </x:si>
  <x:si>
    <x:t xml:space="preserve">5539</x:t>
  </x:si>
  <x:si>
    <x:t xml:space="preserve">https://www.smwcentral.net/?a=details&amp;id=5539&amp;p=section</x:t>
  </x:si>
  <x:si>
    <x:t xml:space="preserve">https://dl.smwcentral.net/5539/Ieo.zip</x:t>
  </x:si>
  <x:si>
    <x:t xml:space="preserve">Iggy's Island</x:t>
  </x:si>
  <x:si>
    <x:t xml:space="preserve">surfiin' bird</x:t>
  </x:si>
  <x:si>
    <x:t xml:space="preserve">9860</x:t>
  </x:si>
  <x:si>
    <x:t xml:space="preserve">https://www.smwcentral.net/?a=details&amp;id=9860&amp;p=section</x:t>
  </x:si>
  <x:si>
    <x:t xml:space="preserve">https://dl.smwcentral.net/9860/Iggy%27s%20Island%20%28fixed%29.zip</x:t>
  </x:si>
  <x:si>
    <x:t xml:space="preserve">Il Maniero Spettrale (Halloween 2018 Version)</x:t>
  </x:si>
  <x:si>
    <x:t xml:space="preserve">Duraner Hawkeye, RednGreen, Stormkyleis</x:t>
  </x:si>
  <x:si>
    <x:t xml:space="preserve">18391</x:t>
  </x:si>
  <x:si>
    <x:t xml:space="preserve">https://www.smwcentral.net/?a=details&amp;id=18391&amp;p=section</x:t>
  </x:si>
  <x:si>
    <x:t xml:space="preserve">https://dl.smwcentral.net/18391/Il%20Maniero%20Spettrale.zip</x:t>
  </x:si>
  <x:si>
    <x:t xml:space="preserve">Illuminati</x:t>
  </x:si>
  <x:si>
    <x:t xml:space="preserve">bulti</x:t>
  </x:si>
  <x:si>
    <x:t xml:space="preserve">39650</x:t>
  </x:si>
  <x:si>
    <x:t xml:space="preserve">https://www.smwcentral.net/?a=details&amp;id=39650&amp;p=section</x:t>
  </x:si>
  <x:si>
    <x:t xml:space="preserve">https://dl.smwcentral.net/39650/Illuminati.zip</x:t>
  </x:si>
  <x:si>
    <x:t xml:space="preserve">Ilusiyellow?</x:t>
  </x:si>
  <x:si>
    <x:t xml:space="preserve">Leo137</x:t>
  </x:si>
  <x:si>
    <x:t xml:space="preserve">11386</x:t>
  </x:si>
  <x:si>
    <x:t xml:space="preserve">https://www.smwcentral.net/?a=details&amp;id=11386&amp;p=section</x:t>
  </x:si>
  <x:si>
    <x:t xml:space="preserve">https://dl.smwcentral.net/11386/ilusiyellow.zip</x:t>
  </x:si>
  <x:si>
    <x:t xml:space="preserve">Immitis</x:t>
  </x:si>
  <x:si>
    <x:t xml:space="preserve">Pikush_</x:t>
  </x:si>
  <x:si>
    <x:t xml:space="preserve">30330</x:t>
  </x:si>
  <x:si>
    <x:t xml:space="preserve">https://www.smwcentral.net/?a=details&amp;id=30330&amp;p=section</x:t>
  </x:si>
  <x:si>
    <x:t xml:space="preserve">https://dl.smwcentral.net/30330/Immitis.zip</x:t>
  </x:si>
  <x:si>
    <x:t xml:space="preserve">In A Random Adventure</x:t>
  </x:si>
  <x:si>
    <x:t xml:space="preserve">Mr. MS</x:t>
  </x:si>
  <x:si>
    <x:t xml:space="preserve">29046</x:t>
  </x:si>
  <x:si>
    <x:t xml:space="preserve">https://www.smwcentral.net/?a=details&amp;id=29046&amp;p=section</x:t>
  </x:si>
  <x:si>
    <x:t xml:space="preserve">https://dl.smwcentral.net/29046/In%20A%20Random%20Adventure.zip</x:t>
  </x:si>
  <x:si>
    <x:t xml:space="preserve">In Absentia of Knowing</x:t>
  </x:si>
  <x:si>
    <x:t xml:space="preserve">38900</x:t>
  </x:si>
  <x:si>
    <x:t xml:space="preserve">https://www.smwcentral.net/?a=details&amp;id=38900&amp;p=section</x:t>
  </x:si>
  <x:si>
    <x:t xml:space="preserve">https://dl.smwcentral.net/38900/In%20Absentia%20of%20Knowing%20%281.0%29.zip</x:t>
  </x:si>
  <x:si>
    <x:t xml:space="preserve">In Memoriam Hack Pack</x:t>
  </x:si>
  <x:si>
    <x:t xml:space="preserve">10167</x:t>
  </x:si>
  <x:si>
    <x:t xml:space="preserve">https://www.smwcentral.net/?a=details&amp;id=10167&amp;p=section</x:t>
  </x:si>
  <x:si>
    <x:t xml:space="preserve">https://dl.smwcentral.net/10167/In%20Memoriam%20Hack%20Pack.zip</x:t>
  </x:si>
  <x:si>
    <x:t xml:space="preserve">In the Pocket</x:t>
  </x:si>
  <x:si>
    <x:t xml:space="preserve">Overcrow03</x:t>
  </x:si>
  <x:si>
    <x:t xml:space="preserve">34720</x:t>
  </x:si>
  <x:si>
    <x:t xml:space="preserve">https://www.smwcentral.net/?a=details&amp;id=34720&amp;p=section</x:t>
  </x:si>
  <x:si>
    <x:t xml:space="preserve">https://dl.smwcentral.net/34720/In%20the%20Pocket%201.01.zip</x:t>
  </x:si>
  <x:si>
    <x:t xml:space="preserve">In Triplicate</x:t>
  </x:si>
  <x:si>
    <x:t xml:space="preserve">ponypowerboi</x:t>
  </x:si>
  <x:si>
    <x:t xml:space="preserve">39816</x:t>
  </x:si>
  <x:si>
    <x:t xml:space="preserve">https://www.smwcentral.net/?a=details&amp;id=39816&amp;p=section</x:t>
  </x:si>
  <x:si>
    <x:t xml:space="preserve">https://dl.smwcentral.net/39816/InTriplicate.zip</x:t>
  </x:si>
  <x:si>
    <x:t xml:space="preserve">Inane Mario World</x:t>
  </x:si>
  <x:si>
    <x:t xml:space="preserve">26202</x:t>
  </x:si>
  <x:si>
    <x:t xml:space="preserve">https://www.smwcentral.net/?a=details&amp;id=26202&amp;p=section</x:t>
  </x:si>
  <x:si>
    <x:t xml:space="preserve">https://dl.smwcentral.net/26202/inane.zip</x:t>
  </x:si>
  <x:si>
    <x:t xml:space="preserve">Inappropriate Jetski 19</x:t>
  </x:si>
  <x:si>
    <x:t xml:space="preserve">Multibella</x:t>
  </x:si>
  <x:si>
    <x:t xml:space="preserve">9759</x:t>
  </x:si>
  <x:si>
    <x:t xml:space="preserve">https://www.smwcentral.net/?a=details&amp;id=9759&amp;p=section</x:t>
  </x:si>
  <x:si>
    <x:t xml:space="preserve">https://dl.smwcentral.net/9759/Jetskifullv1.0.zip</x:t>
  </x:si>
  <x:si>
    <x:t xml:space="preserve">INCEPTION</x:t>
  </x:si>
  <x:si>
    <x:t xml:space="preserve">Dr.Moe</x:t>
  </x:si>
  <x:si>
    <x:t xml:space="preserve">29540</x:t>
  </x:si>
  <x:si>
    <x:t xml:space="preserve">https://www.smwcentral.net/?a=details&amp;id=29540&amp;p=section</x:t>
  </x:si>
  <x:si>
    <x:t xml:space="preserve">https://dl.smwcentral.net/29540/INCEPTION%20v1.2.zip</x:t>
  </x:si>
  <x:si>
    <x:t xml:space="preserve">INCEPTION II</x:t>
  </x:si>
  <x:si>
    <x:t xml:space="preserve">36666</x:t>
  </x:si>
  <x:si>
    <x:t xml:space="preserve">https://www.smwcentral.net/?a=details&amp;id=36666&amp;p=section</x:t>
  </x:si>
  <x:si>
    <x:t xml:space="preserve">https://dl.smwcentral.net/36666/INCEPTION2.zip</x:t>
  </x:si>
  <x:si>
    <x:t xml:space="preserve">Incredibous Shells</x:t>
  </x:si>
  <x:si>
    <x:t xml:space="preserve">35054</x:t>
  </x:si>
  <x:si>
    <x:t xml:space="preserve">https://www.smwcentral.net/?a=details&amp;id=35054&amp;p=section</x:t>
  </x:si>
  <x:si>
    <x:t xml:space="preserve">https://dl.smwcentral.net/35054/Incredibous%20Shells%20v1.4.zip</x:t>
  </x:si>
  <x:si>
    <x:t xml:space="preserve">Incredibous Shells 2</x:t>
  </x:si>
  <x:si>
    <x:t xml:space="preserve">40565</x:t>
  </x:si>
  <x:si>
    <x:t xml:space="preserve">https://www.smwcentral.net/?a=details&amp;id=40565&amp;p=section</x:t>
  </x:si>
  <x:si>
    <x:t xml:space="preserve">https://dl.smwcentral.net/40565/Incredibous%20Shells%202.zip</x:t>
  </x:si>
  <x:si>
    <x:t xml:space="preserve">Inert Aeronaut</x:t>
  </x:si>
  <x:si>
    <x:t xml:space="preserve">37867</x:t>
  </x:si>
  <x:si>
    <x:t xml:space="preserve">https://www.smwcentral.net/?a=details&amp;id=37867&amp;p=section</x:t>
  </x:si>
  <x:si>
    <x:t xml:space="preserve">https://dl.smwcentral.net/37867/inert%20aeronaut%20v1.1.zip</x:t>
  </x:si>
  <x:si>
    <x:t xml:space="preserve">INFERNVM</x:t>
  </x:si>
  <x:si>
    <x:t xml:space="preserve">Sariel</x:t>
  </x:si>
  <x:si>
    <x:t xml:space="preserve">35610</x:t>
  </x:si>
  <x:si>
    <x:t xml:space="preserve">https://www.smwcentral.net/?a=details&amp;id=35610&amp;p=section</x:t>
  </x:si>
  <x:si>
    <x:t xml:space="preserve">https://dl.smwcentral.net/35610/INFERNVM_v1.02.zip</x:t>
  </x:si>
  <x:si>
    <x:t xml:space="preserve">Infinity Edge</x:t>
  </x:si>
  <x:si>
    <x:t xml:space="preserve">6302</x:t>
  </x:si>
  <x:si>
    <x:t xml:space="preserve">https://www.smwcentral.net/?a=details&amp;id=6302&amp;p=section</x:t>
  </x:si>
  <x:si>
    <x:t xml:space="preserve">https://dl.smwcentral.net/6302/Infinity%20Edge%20%282nd%20Edition%29.zip</x:t>
  </x:si>
  <x:si>
    <x:t xml:space="preserve">Initiation</x:t>
  </x:si>
  <x:si>
    <x:t xml:space="preserve">Rudi_Schrausch</x:t>
  </x:si>
  <x:si>
    <x:t xml:space="preserve">30663</x:t>
  </x:si>
  <x:si>
    <x:t xml:space="preserve">https://www.smwcentral.net/?a=details&amp;id=30663&amp;p=section</x:t>
  </x:si>
  <x:si>
    <x:t xml:space="preserve">https://dl.smwcentral.net/30663/Initiation.zip</x:t>
  </x:si>
  <x:si>
    <x:t xml:space="preserve">Initiation 2 Da_Queest</x:t>
  </x:si>
  <x:si>
    <x:t xml:space="preserve">38124</x:t>
  </x:si>
  <x:si>
    <x:t xml:space="preserve">https://www.smwcentral.net/?a=details&amp;id=38124&amp;p=section</x:t>
  </x:si>
  <x:si>
    <x:t xml:space="preserve">https://dl.smwcentral.net/38124/Initiation%202.zip</x:t>
  </x:si>
  <x:si>
    <x:t xml:space="preserve">Insert Coin</x:t>
  </x:si>
  <x:si>
    <x:t xml:space="preserve">Zildjian, noon</x:t>
  </x:si>
  <x:si>
    <x:t xml:space="preserve">25878</x:t>
  </x:si>
  <x:si>
    <x:t xml:space="preserve">https://www.smwcentral.net/?a=details&amp;id=25878&amp;p=section</x:t>
  </x:si>
  <x:si>
    <x:t xml:space="preserve">https://dl.smwcentral.net/25878/Insert%20Coin.zip</x:t>
  </x:si>
  <x:si>
    <x:t xml:space="preserve">INSOMNIA</x:t>
  </x:si>
  <x:si>
    <x:t xml:space="preserve">26184</x:t>
  </x:si>
  <x:si>
    <x:t xml:space="preserve">https://www.smwcentral.net/?a=details&amp;id=26184&amp;p=section</x:t>
  </x:si>
  <x:si>
    <x:t xml:space="preserve">https://dl.smwcentral.net/26184/INSOMNIA1.1.zip</x:t>
  </x:si>
  <x:si>
    <x:t xml:space="preserve">Insouciant Mario</x:t>
  </x:si>
  <x:si>
    <x:t xml:space="preserve">31864</x:t>
  </x:si>
  <x:si>
    <x:t xml:space="preserve">https://www.smwcentral.net/?a=details&amp;id=31864&amp;p=section</x:t>
  </x:si>
  <x:si>
    <x:t xml:space="preserve">https://dl.smwcentral.net/31864/InsouciantMario1.2.zip</x:t>
  </x:si>
  <x:si>
    <x:t xml:space="preserve">Interesting Kaizo World</x:t>
  </x:si>
  <x:si>
    <x:t xml:space="preserve">Yagami</x:t>
  </x:si>
  <x:si>
    <x:t xml:space="preserve">22907</x:t>
  </x:si>
  <x:si>
    <x:t xml:space="preserve">https://www.smwcentral.net/?a=details&amp;id=22907&amp;p=section</x:t>
  </x:si>
  <x:si>
    <x:t xml:space="preserve">https://dl.smwcentral.net/22907/Interesting.zip</x:t>
  </x:si>
  <x:si>
    <x:t xml:space="preserve">Dolph1n</x:t>
  </x:si>
  <x:si>
    <x:t xml:space="preserve">28130</x:t>
  </x:si>
  <x:si>
    <x:t xml:space="preserve">https://www.smwcentral.net/?a=details&amp;id=28130&amp;p=section</x:t>
  </x:si>
  <x:si>
    <x:t xml:space="preserve">https://dl.smwcentral.net/28130/Intershellar.zip</x:t>
  </x:si>
  <x:si>
    <x:t xml:space="preserve">Intrigue of Kittens</x:t>
  </x:si>
  <x:si>
    <x:t xml:space="preserve">JonnyManjiro</x:t>
  </x:si>
  <x:si>
    <x:t xml:space="preserve">26955</x:t>
  </x:si>
  <x:si>
    <x:t xml:space="preserve">https://www.smwcentral.net/?a=details&amp;id=26955&amp;p=section</x:t>
  </x:si>
  <x:si>
    <x:t xml:space="preserve">https://dl.smwcentral.net/26955/Intrigue%20of%20Kittens%201.1.zip</x:t>
  </x:si>
  <x:si>
    <x:t xml:space="preserve">18238</x:t>
  </x:si>
  <x:si>
    <x:t xml:space="preserve">https://www.smwcentral.net/?a=details&amp;id=18238&amp;p=section</x:t>
  </x:si>
  <x:si>
    <x:t xml:space="preserve">https://dl.smwcentral.net/18238/Invictus%201.0.zip</x:t>
  </x:si>
  <x:si>
    <x:t xml:space="preserve">Iridium</x:t>
  </x:si>
  <x:si>
    <x:t xml:space="preserve">42315</x:t>
  </x:si>
  <x:si>
    <x:t xml:space="preserve">https://www.smwcentral.net/?a=details&amp;id=42315&amp;p=section</x:t>
  </x:si>
  <x:si>
    <x:t xml:space="preserve">https://dl.smwcentral.net/42315/Iridium.zip</x:t>
  </x:si>
  <x:si>
    <x:t xml:space="preserve">It's another hack with Mario in it! Yay!</x:t>
  </x:si>
  <x:si>
    <x:t xml:space="preserve">39904</x:t>
  </x:si>
  <x:si>
    <x:t xml:space="preserve">https://www.smwcentral.net/?a=details&amp;id=39904&amp;p=section</x:t>
  </x:si>
  <x:si>
    <x:t xml:space="preserve">https://dl.smwcentral.net/39904/IahwMiiY%20Demo%20v0.2.2.zip</x:t>
  </x:si>
  <x:si>
    <x:t xml:space="preserve">Item Abuse</x:t>
  </x:si>
  <x:si>
    <x:t xml:space="preserve">PangaeaPanga</x:t>
  </x:si>
  <x:si>
    <x:t xml:space="preserve">11342</x:t>
  </x:si>
  <x:si>
    <x:t xml:space="preserve">https://www.smwcentral.net/?a=details&amp;id=11342&amp;p=section</x:t>
  </x:si>
  <x:si>
    <x:t xml:space="preserve">https://dl.smwcentral.net/11342/Item%20Abuse%20v1.7.zip</x:t>
  </x:si>
  <x:si>
    <x:t xml:space="preserve">Item Abuse 3</x:t>
  </x:si>
  <x:si>
    <x:t xml:space="preserve">10907</x:t>
  </x:si>
  <x:si>
    <x:t xml:space="preserve">https://www.smwcentral.net/?a=details&amp;id=10907&amp;p=section</x:t>
  </x:si>
  <x:si>
    <x:t xml:space="preserve">https://dl.smwcentral.net/10907/Item%20Abuse%203%20v1.0.zip</x:t>
  </x:si>
  <x:si>
    <x:t xml:space="preserve">ITS EEZ WORLD</x:t>
  </x:si>
  <x:si>
    <x:t xml:space="preserve">26898</x:t>
  </x:si>
  <x:si>
    <x:t xml:space="preserve">https://www.smwcentral.net/?a=details&amp;id=26898&amp;p=section</x:t>
  </x:si>
  <x:si>
    <x:t xml:space="preserve">https://dl.smwcentral.net/26898/its%20eez.zip</x:t>
  </x:si>
  <x:si>
    <x:t xml:space="preserve">IUDICIUM TRIBUNALIS</x:t>
  </x:si>
  <x:si>
    <x:t xml:space="preserve">15956</x:t>
  </x:si>
  <x:si>
    <x:t xml:space="preserve">https://www.smwcentral.net/?a=details&amp;id=15956&amp;p=section</x:t>
  </x:si>
  <x:si>
    <x:t xml:space="preserve">https://dl.smwcentral.net/15956/SMW%20HACK%20IUDICIUM%20TRIBUNALIS%20ver%202.25%20by%20user%3DID28020.zip</x:t>
  </x:si>
  <x:si>
    <x:t xml:space="preserve">Ja, tack!</x:t>
  </x:si>
  <x:si>
    <x:t xml:space="preserve">strong</x:t>
  </x:si>
  <x:si>
    <x:t xml:space="preserve">37641</x:t>
  </x:si>
  <x:si>
    <x:t xml:space="preserve">https://www.smwcentral.net/?a=details&amp;id=37641&amp;p=section</x:t>
  </x:si>
  <x:si>
    <x:t xml:space="preserve">https://dl.smwcentral.net/37641/ja_tack_v1.1.zip</x:t>
  </x:si>
  <x:si>
    <x:t xml:space="preserve">Jam</x:t>
  </x:si>
  <x:si>
    <x:t xml:space="preserve">PopCorn181</x:t>
  </x:si>
  <x:si>
    <x:t xml:space="preserve">42402</x:t>
  </x:si>
  <x:si>
    <x:t xml:space="preserve">https://www.smwcentral.net/?a=details&amp;id=42402&amp;p=section</x:t>
  </x:si>
  <x:si>
    <x:t xml:space="preserve">https://dl.smwcentral.net/42402/JamV120.zip</x:t>
  </x:si>
  <x:si>
    <x:t xml:space="preserve">JDCGames Collab</x:t>
  </x:si>
  <x:si>
    <x:t xml:space="preserve">JDCGames</x:t>
  </x:si>
  <x:si>
    <x:t xml:space="preserve">10285</x:t>
  </x:si>
  <x:si>
    <x:t xml:space="preserve">https://www.smwcentral.net/?a=details&amp;id=10285&amp;p=section</x:t>
  </x:si>
  <x:si>
    <x:t xml:space="preserve">https://dl.smwcentral.net/10285/JDCGames%20Collaboration.zip</x:t>
  </x:si>
  <x:si>
    <x:t xml:space="preserve">Jeitor Land: The Lost Lasagna</x:t>
  </x:si>
  <x:si>
    <x:t xml:space="preserve">Hectorpn13</x:t>
  </x:si>
  <x:si>
    <x:t xml:space="preserve">37712</x:t>
  </x:si>
  <x:si>
    <x:t xml:space="preserve">https://www.smwcentral.net/?a=details&amp;id=37712&amp;p=section</x:t>
  </x:si>
  <x:si>
    <x:t xml:space="preserve">https://dl.smwcentral.net/37712/Lost%20Lasagna%20DEMO%202.zip</x:t>
  </x:si>
  <x:si>
    <x:t xml:space="preserve">Jerry's Autowalking Adventure to Rescue His Cheese</x:t>
  </x:si>
  <x:si>
    <x:t xml:space="preserve">35558</x:t>
  </x:si>
  <x:si>
    <x:t xml:space="preserve">https://www.smwcentral.net/?a=details&amp;id=35558&amp;p=section</x:t>
  </x:si>
  <x:si>
    <x:t xml:space="preserve">https://dl.smwcentral.net/35558/Jerry%27s%20Autowalking%20Adventure%20to%20Rescue%20his%20Cheese%20%28V1.0.1%29.zip</x:t>
  </x:si>
  <x:si>
    <x:t xml:space="preserve">Jerry's Vacation</x:t>
  </x:si>
  <x:si>
    <x:t xml:space="preserve">Lunar Rico</x:t>
  </x:si>
  <x:si>
    <x:t xml:space="preserve">10006</x:t>
  </x:si>
  <x:si>
    <x:t xml:space="preserve">https://www.smwcentral.net/?a=details&amp;id=10006&amp;p=section</x:t>
  </x:si>
  <x:si>
    <x:t xml:space="preserve">https://dl.smwcentral.net/10006/Jerry%27s%20Vacation.zip</x:t>
  </x:si>
  <x:si>
    <x:t xml:space="preserve">Jigoku Mario World 2</x:t>
  </x:si>
  <x:si>
    <x:t xml:space="preserve">24222</x:t>
  </x:si>
  <x:si>
    <x:t xml:space="preserve">https://www.smwcentral.net/?a=details&amp;id=24222&amp;p=section</x:t>
  </x:si>
  <x:si>
    <x:t xml:space="preserve">https://dl.smwcentral.net/24222/Jigoku%20Mario%20World%202.zip</x:t>
  </x:si>
  <x:si>
    <x:t xml:space="preserve">Jigoku Mario World 3</x:t>
  </x:si>
  <x:si>
    <x:t xml:space="preserve">38765</x:t>
  </x:si>
  <x:si>
    <x:t xml:space="preserve">https://www.smwcentral.net/?a=details&amp;id=38765&amp;p=section</x:t>
  </x:si>
  <x:si>
    <x:t xml:space="preserve">https://dl.smwcentral.net/38765/Jigoku%20Mario%20World%203.zip</x:t>
  </x:si>
  <x:si>
    <x:t xml:space="preserve">Jigoku Mario World Remastered</x:t>
  </x:si>
  <x:si>
    <x:t xml:space="preserve">20730</x:t>
  </x:si>
  <x:si>
    <x:t xml:space="preserve">https://www.smwcentral.net/?a=details&amp;id=20730&amp;p=section</x:t>
  </x:si>
  <x:si>
    <x:t xml:space="preserve">https://dl.smwcentral.net/20730/Jigoku%20Mario%20World%20Remastered.zip</x:t>
  </x:si>
  <x:si>
    <x:t xml:space="preserve">Jigsaw's Test</x:t>
  </x:si>
  <x:si>
    <x:t xml:space="preserve">CaseP, Foursword4</x:t>
  </x:si>
  <x:si>
    <x:t xml:space="preserve">4962</x:t>
  </x:si>
  <x:si>
    <x:t xml:space="preserve">https://www.smwcentral.net/?a=details&amp;id=4962&amp;p=section</x:t>
  </x:si>
  <x:si>
    <x:t xml:space="preserve">https://dl.smwcentral.net/4962/Jigsaw%27s%20Test.zip</x:t>
  </x:si>
  <x:si>
    <x:t xml:space="preserve">Jin'Rokh's Adventure</x:t>
  </x:si>
  <x:si>
    <x:t xml:space="preserve">JinRokhZenobi</x:t>
  </x:si>
  <x:si>
    <x:t xml:space="preserve">38753</x:t>
  </x:si>
  <x:si>
    <x:t xml:space="preserve">https://www.smwcentral.net/?a=details&amp;id=38753&amp;p=section</x:t>
  </x:si>
  <x:si>
    <x:t xml:space="preserve">https://dl.smwcentral.net/38753/JinRokhsAdventure.zip</x:t>
  </x:si>
  <x:si>
    <x:t xml:space="preserve">JISH</x:t>
  </x:si>
  <x:si>
    <x:t xml:space="preserve">39726</x:t>
  </x:si>
  <x:si>
    <x:t xml:space="preserve">https://www.smwcentral.net/?a=details&amp;id=39726&amp;p=section</x:t>
  </x:si>
  <x:si>
    <x:t xml:space="preserve">https://dl.smwcentral.net/39726/JISH.zip</x:t>
  </x:si>
  <x:si>
    <x:t xml:space="preserve">Joe Biden for the PS2: Re-Elected</x:t>
  </x:si>
  <x:si>
    <x:t xml:space="preserve">SubliminalSiren</x:t>
  </x:si>
  <x:si>
    <x:t xml:space="preserve">39093</x:t>
  </x:si>
  <x:si>
    <x:t xml:space="preserve">https://www.smwcentral.net/?a=details&amp;id=39093&amp;p=section</x:t>
  </x:si>
  <x:si>
    <x:t xml:space="preserve">https://dl.smwcentral.net/39093/25690-SMW-JoeBidenPS2.zip</x:t>
  </x:si>
  <x:si>
    <x:t xml:space="preserve">Joeey's Level Collection</x:t>
  </x:si>
  <x:si>
    <x:t xml:space="preserve">Joeey</x:t>
  </x:si>
  <x:si>
    <x:t xml:space="preserve">33622</x:t>
  </x:si>
  <x:si>
    <x:t xml:space="preserve">https://www.smwcentral.net/?a=details&amp;id=33622&amp;p=section</x:t>
  </x:si>
  <x:si>
    <x:t xml:space="preserve">https://dl.smwcentral.net/33622/Joeey%27s%20Level%20Collection%20-%20Demo%204.zip</x:t>
  </x:si>
  <x:si>
    <x:t xml:space="preserve">John's Unfunny World - Phase 1</x:t>
  </x:si>
  <x:si>
    <x:t xml:space="preserve">ThePolionMaster</x:t>
  </x:si>
  <x:si>
    <x:t xml:space="preserve">34098</x:t>
  </x:si>
  <x:si>
    <x:t xml:space="preserve">https://www.smwcentral.net/?a=details&amp;id=34098&amp;p=section</x:t>
  </x:si>
  <x:si>
    <x:t xml:space="preserve">https://dl.smwcentral.net/34098/John%27s%20Unfunny%20World%20-%20Phase%201.zip</x:t>
  </x:si>
  <x:si>
    <x:t xml:space="preserve">JokerShellOk</x:t>
  </x:si>
  <x:si>
    <x:t xml:space="preserve">41192</x:t>
  </x:si>
  <x:si>
    <x:t xml:space="preserve">https://www.smwcentral.net/?a=details&amp;id=41192&amp;p=section</x:t>
  </x:si>
  <x:si>
    <x:t xml:space="preserve">https://dl.smwcentral.net/41192/JokerShellOk.zip</x:t>
  </x:si>
  <x:si>
    <x:t xml:space="preserve">Jono Hack</x:t>
  </x:si>
  <x:si>
    <x:t xml:space="preserve">JonoFeio1</x:t>
  </x:si>
  <x:si>
    <x:t xml:space="preserve">38785</x:t>
  </x:si>
  <x:si>
    <x:t xml:space="preserve">https://www.smwcentral.net/?a=details&amp;id=38785&amp;p=section</x:t>
  </x:si>
  <x:si>
    <x:t xml:space="preserve">https://dl.smwcentral.net/38785/Jono%20Hack%201.0.0.zip</x:t>
  </x:si>
  <x:si>
    <x:t xml:space="preserve">Jouhou</x:t>
  </x:si>
  <x:si>
    <x:t xml:space="preserve">30147</x:t>
  </x:si>
  <x:si>
    <x:t xml:space="preserve">https://www.smwcentral.net/?a=details&amp;id=30147&amp;p=section</x:t>
  </x:si>
  <x:si>
    <x:t xml:space="preserve">https://dl.smwcentral.net/30147/Jouhou.zip</x:t>
  </x:si>
  <x:si>
    <x:t xml:space="preserve">Journey To Peak</x:t>
  </x:si>
  <x:si>
    <x:t xml:space="preserve">Silver Wind</x:t>
  </x:si>
  <x:si>
    <x:t xml:space="preserve">38474</x:t>
  </x:si>
  <x:si>
    <x:t xml:space="preserve">https://www.smwcentral.net/?a=details&amp;id=38474&amp;p=section</x:t>
  </x:si>
  <x:si>
    <x:t xml:space="preserve">https://dl.smwcentral.net/38474/Journey%20to%20peak.zip</x:t>
  </x:si>
  <x:si>
    <x:t xml:space="preserve">JTTMK 3 - Mario and Moonlight's Quest</x:t>
  </x:si>
  <x:si>
    <x:t xml:space="preserve">Sayuri</x:t>
  </x:si>
  <x:si>
    <x:t xml:space="preserve">20758</x:t>
  </x:si>
  <x:si>
    <x:t xml:space="preserve">https://www.smwcentral.net/?a=details&amp;id=20758&amp;p=section</x:t>
  </x:si>
  <x:si>
    <x:t xml:space="preserve">https://dl.smwcentral.net/20758/JTTMK%203%20v2.0.zip</x:t>
  </x:si>
  <x:si>
    <x:t xml:space="preserve">JUMP</x:t>
  </x:si>
  <x:si>
    <x:t xml:space="preserve">JUMP Team, worldpeace</x:t>
  </x:si>
  <x:si>
    <x:t xml:space="preserve">14495</x:t>
  </x:si>
  <x:si>
    <x:t xml:space="preserve">https://www.smwcentral.net/?a=details&amp;id=14495&amp;p=section</x:t>
  </x:si>
  <x:si>
    <x:t xml:space="preserve">https://dl.smwcentral.net/14495/JUMP%20ver1.04.zip</x:t>
  </x:si>
  <x:si>
    <x:t xml:space="preserve">Jumping Over It with Super Mario</x:t>
  </x:si>
  <x:si>
    <x:t xml:space="preserve">38777</x:t>
  </x:si>
  <x:si>
    <x:t xml:space="preserve">https://www.smwcentral.net/?a=details&amp;id=38777&amp;p=section</x:t>
  </x:si>
  <x:si>
    <x:t xml:space="preserve">https://dl.smwcentral.net/38777/Jumping%20Over%20It%20With%20Super%20Mario%20v.1.0.zip</x:t>
  </x:si>
  <x:si>
    <x:t xml:space="preserve">Jumpman Returns</x:t>
  </x:si>
  <x:si>
    <x:t xml:space="preserve">13781</x:t>
  </x:si>
  <x:si>
    <x:t xml:space="preserve">https://www.smwcentral.net/?a=details&amp;id=13781&amp;p=section</x:t>
  </x:si>
  <x:si>
    <x:t xml:space="preserve">https://dl.smwcentral.net/13781/Jumpman%20Returns.zip</x:t>
  </x:si>
  <x:si>
    <x:t xml:space="preserve">Jumps Rhymes and Life</x:t>
  </x:si>
  <x:si>
    <x:t xml:space="preserve">42470</x:t>
  </x:si>
  <x:si>
    <x:t xml:space="preserve">https://www.smwcentral.net/?a=details&amp;id=42470&amp;p=section</x:t>
  </x:si>
  <x:si>
    <x:t xml:space="preserve">https://dl.smwcentral.net/42470/JumpsRhymesLife.zip</x:t>
  </x:si>
  <x:si>
    <x:t xml:space="preserve">Jumpscare</x:t>
  </x:si>
  <x:si>
    <x:t xml:space="preserve">41515</x:t>
  </x:si>
  <x:si>
    <x:t xml:space="preserve">https://www.smwcentral.net/?a=details&amp;id=41515&amp;p=section</x:t>
  </x:si>
  <x:si>
    <x:t xml:space="preserve">https://dl.smwcentral.net/41515/Jumpsc.zip</x:t>
  </x:si>
  <x:si>
    <x:t xml:space="preserve">JUMP½</x:t>
  </x:si>
  <x:si>
    <x:t xml:space="preserve">JUMP Team, Lazy, Sixcorby, lolyoshi</x:t>
  </x:si>
  <x:si>
    <x:t xml:space="preserve">19720</x:t>
  </x:si>
  <x:si>
    <x:t xml:space="preserve">https://www.smwcentral.net/?a=details&amp;id=19720&amp;p=section</x:t>
  </x:si>
  <x:si>
    <x:t xml:space="preserve">https://dl.smwcentral.net/19720/JUMPhalf_ver1.01.zip</x:t>
  </x:si>
  <x:si>
    <x:t xml:space="preserve">Just a Normal Quest</x:t>
  </x:si>
  <x:si>
    <x:t xml:space="preserve">28084</x:t>
  </x:si>
  <x:si>
    <x:t xml:space="preserve">https://www.smwcentral.net/?a=details&amp;id=28084&amp;p=section</x:t>
  </x:si>
  <x:si>
    <x:t xml:space="preserve">https://dl.smwcentral.net/28084/janq%201.6%20%28fixed%29.zip</x:t>
  </x:si>
  <x:si>
    <x:t xml:space="preserve">Just a Pure Vanilla Super Mario World Hack</x:t>
  </x:si>
  <x:si>
    <x:t xml:space="preserve">DrAnas</x:t>
  </x:si>
  <x:si>
    <x:t xml:space="preserve">15656</x:t>
  </x:si>
  <x:si>
    <x:t xml:space="preserve">https://www.smwcentral.net/?a=details&amp;id=15656&amp;p=section</x:t>
  </x:si>
  <x:si>
    <x:t xml:space="preserve">https://dl.smwcentral.net/15656/JAPSMWH.zip</x:t>
  </x:si>
  <x:si>
    <x:t xml:space="preserve">Just Another Bad Kaizo Hack</x:t>
  </x:si>
  <x:si>
    <x:t xml:space="preserve">Phobic</x:t>
  </x:si>
  <x:si>
    <x:t xml:space="preserve">27318</x:t>
  </x:si>
  <x:si>
    <x:t xml:space="preserve">https://www.smwcentral.net/?a=details&amp;id=27318&amp;p=section</x:t>
  </x:si>
  <x:si>
    <x:t xml:space="preserve">https://dl.smwcentral.net/27318/Just%20Another%20Bad%20Kaizo%20Hack.zip</x:t>
  </x:si>
  <x:si>
    <x:t xml:space="preserve">Just Another Mario Hack</x:t>
  </x:si>
  <x:si>
    <x:t xml:space="preserve">Juggling Joker</x:t>
  </x:si>
  <x:si>
    <x:t xml:space="preserve">9843</x:t>
  </x:si>
  <x:si>
    <x:t xml:space="preserve">https://www.smwcentral.net/?a=details&amp;id=9843&amp;p=section</x:t>
  </x:si>
  <x:si>
    <x:t xml:space="preserve">https://dl.smwcentral.net/9843/Just%20Another%20Mario%20Hack.zip</x:t>
  </x:si>
  <x:si>
    <x:t xml:space="preserve">Just Another Shell Hack</x:t>
  </x:si>
  <x:si>
    <x:t xml:space="preserve">31396</x:t>
  </x:si>
  <x:si>
    <x:t xml:space="preserve">https://www.smwcentral.net/?a=details&amp;id=31396&amp;p=section</x:t>
  </x:si>
  <x:si>
    <x:t xml:space="preserve">https://dl.smwcentral.net/31396/shell.zip</x:t>
  </x:si>
  <x:si>
    <x:t xml:space="preserve">Just Another SMW Hack</x:t>
  </x:si>
  <x:si>
    <x:t xml:space="preserve">TenPoundHammer</x:t>
  </x:si>
  <x:si>
    <x:t xml:space="preserve">6050</x:t>
  </x:si>
  <x:si>
    <x:t xml:space="preserve">https://www.smwcentral.net/?a=details&amp;id=6050&amp;p=section</x:t>
  </x:si>
  <x:si>
    <x:t xml:space="preserve">https://dl.smwcentral.net/6050/hack%202%20patch.zip</x:t>
  </x:si>
  <x:si>
    <x:t xml:space="preserve">Just Blob</x:t>
  </x:si>
  <x:si>
    <x:t xml:space="preserve">TheDutchLuigi</x:t>
  </x:si>
  <x:si>
    <x:t xml:space="preserve">5492</x:t>
  </x:si>
  <x:si>
    <x:t xml:space="preserve">https://www.smwcentral.net/?a=details&amp;id=5492&amp;p=section</x:t>
  </x:si>
  <x:si>
    <x:t xml:space="preserve">https://dl.smwcentral.net/5492/Just%20Blob.zip</x:t>
  </x:si>
  <x:si>
    <x:t xml:space="preserve">just like amy; exactly like amy</x:t>
  </x:si>
  <x:si>
    <x:t xml:space="preserve">41451</x:t>
  </x:si>
  <x:si>
    <x:t xml:space="preserve">https://www.smwcentral.net/?a=details&amp;id=41451&amp;p=section</x:t>
  </x:si>
  <x:si>
    <x:t xml:space="preserve">https://dl.smwcentral.net/41451/just%20like%20amy%3B%20exactly%20like%20amy%20%28v1.01%29.zip</x:t>
  </x:si>
  <x:si>
    <x:t xml:space="preserve">Just Thanks</x:t>
  </x:si>
  <x:si>
    <x:t xml:space="preserve">33880</x:t>
  </x:si>
  <x:si>
    <x:t xml:space="preserve">https://www.smwcentral.net/?a=details&amp;id=33880&amp;p=section</x:t>
  </x:si>
  <x:si>
    <x:t xml:space="preserve">https://dl.smwcentral.net/33880/SMW-JustThanks.zip</x:t>
  </x:si>
  <x:si>
    <x:t xml:space="preserve">Justice for Mario</x:t>
  </x:si>
  <x:si>
    <x:t xml:space="preserve">Centipede</x:t>
  </x:si>
  <x:si>
    <x:t xml:space="preserve">26449</x:t>
  </x:si>
  <x:si>
    <x:t xml:space="preserve">https://www.smwcentral.net/?a=details&amp;id=26449&amp;p=section</x:t>
  </x:si>
  <x:si>
    <x:t xml:space="preserve">https://dl.smwcentral.net/26449/Justice%20for%20Mario.zip</x:t>
  </x:si>
  <x:si>
    <x:t xml:space="preserve">K-16 - Story of Steel</x:t>
  </x:si>
  <x:si>
    <x:t xml:space="preserve">Eevee</x:t>
  </x:si>
  <x:si>
    <x:t xml:space="preserve">10495</x:t>
  </x:si>
  <x:si>
    <x:t xml:space="preserve">https://www.smwcentral.net/?a=details&amp;id=10495&amp;p=section</x:t>
  </x:si>
  <x:si>
    <x:t xml:space="preserve">https://dl.smwcentral.net/10495/v1.3.zip</x:t>
  </x:si>
  <x:si>
    <x:t xml:space="preserve">Kaeru's Unnamed Hack</x:t>
  </x:si>
  <x:si>
    <x:t xml:space="preserve">Kaeru</x:t>
  </x:si>
  <x:si>
    <x:t xml:space="preserve">9739</x:t>
  </x:si>
  <x:si>
    <x:t xml:space="preserve">https://www.smwcentral.net/?a=details&amp;id=9739&amp;p=section</x:t>
  </x:si>
  <x:si>
    <x:t xml:space="preserve">https://dl.smwcentral.net/9739/Unnamed.zip</x:t>
  </x:si>
  <x:si>
    <x:t xml:space="preserve">Kaiden, where's your head at??</x:t>
  </x:si>
  <x:si>
    <x:t xml:space="preserve">Donut</x:t>
  </x:si>
  <x:si>
    <x:t xml:space="preserve">28910</x:t>
  </x:si>
  <x:si>
    <x:t xml:space="preserve">https://www.smwcentral.net/?a=details&amp;id=28910&amp;p=section</x:t>
  </x:si>
  <x:si>
    <x:t xml:space="preserve">https://dl.smwcentral.net/28910/kaiden.zip</x:t>
  </x:si>
  <x:si>
    <x:t xml:space="preserve">Kaiketsoy Mario</x:t>
  </x:si>
  <x:si>
    <x:t xml:space="preserve">Bammcreeper</x:t>
  </x:si>
  <x:si>
    <x:t xml:space="preserve">6283</x:t>
  </x:si>
  <x:si>
    <x:t xml:space="preserve">https://www.smwcentral.net/?a=details&amp;id=6283&amp;p=section</x:t>
  </x:si>
  <x:si>
    <x:t xml:space="preserve">https://dl.smwcentral.net/6283/kaiketsoy.zip</x:t>
  </x:si>
  <x:si>
    <x:t xml:space="preserve">Kain's Quest</x:t>
  </x:si>
  <x:si>
    <x:t xml:space="preserve">Atma</x:t>
  </x:si>
  <x:si>
    <x:t xml:space="preserve">9899</x:t>
  </x:si>
  <x:si>
    <x:t xml:space="preserve">https://www.smwcentral.net/?a=details&amp;id=9899&amp;p=section</x:t>
  </x:si>
  <x:si>
    <x:t xml:space="preserve">https://dl.smwcentral.net/9899/Kain%27s%20Quest1.1.zip</x:t>
  </x:si>
  <x:si>
    <x:t xml:space="preserve">Kaitenzushi</x:t>
  </x:si>
  <x:si>
    <x:t xml:space="preserve">JeepySol</x:t>
  </x:si>
  <x:si>
    <x:t xml:space="preserve">39746</x:t>
  </x:si>
  <x:si>
    <x:t xml:space="preserve">https://www.smwcentral.net/?a=details&amp;id=39746&amp;p=section</x:t>
  </x:si>
  <x:si>
    <x:t xml:space="preserve">https://dl.smwcentral.net/39746/Kaitenzushi%20v1_1.zip</x:t>
  </x:si>
  <x:si>
    <x:t xml:space="preserve">38232</x:t>
  </x:si>
  <x:si>
    <x:t xml:space="preserve">https://www.smwcentral.net/?a=details&amp;id=38232&amp;p=section</x:t>
  </x:si>
  <x:si>
    <x:t xml:space="preserve">https://dl.smwcentral.net/38232/Kaizo.zip</x:t>
  </x:si>
  <x:si>
    <x:t xml:space="preserve">Kaizo 2: The Kaizening</x:t>
  </x:si>
  <x:si>
    <x:t xml:space="preserve">38419</x:t>
  </x:si>
  <x:si>
    <x:t xml:space="preserve">https://www.smwcentral.net/?a=details&amp;id=38419&amp;p=section</x:t>
  </x:si>
  <x:si>
    <x:t xml:space="preserve">https://dl.smwcentral.net/38419/Kaizo%202%20The%20Kaizening.zip</x:t>
  </x:si>
  <x:si>
    <x:t xml:space="preserve">Kaizo 3 Styled Hack</x:t>
  </x:si>
  <x:si>
    <x:t xml:space="preserve">Picayune</x:t>
  </x:si>
  <x:si>
    <x:t xml:space="preserve">28577</x:t>
  </x:si>
  <x:si>
    <x:t xml:space="preserve">https://www.smwcentral.net/?a=details&amp;id=28577&amp;p=section</x:t>
  </x:si>
  <x:si>
    <x:t xml:space="preserve">https://dl.smwcentral.net/28577/K3SH.zip</x:t>
  </x:si>
  <x:si>
    <x:t xml:space="preserve">kaizo beats to run quick to - vol. 3</x:t>
  </x:si>
  <x:si>
    <x:t xml:space="preserve">Alex, Blaagon, Fyre150, Hiro-sofT, HmWhyNot, LightAligns, Saela, Spirits, YMM, dansalvato, dtothefourth, margot, shaoshao, snoruntpyro</x:t>
  </x:si>
  <x:si>
    <x:t xml:space="preserve">38472</x:t>
  </x:si>
  <x:si>
    <x:t xml:space="preserve">https://www.smwcentral.net/?a=details&amp;id=38472&amp;p=section</x:t>
  </x:si>
  <x:si>
    <x:t xml:space="preserve">https://dl.smwcentral.net/38472/Kaizo%20Beats%20vol%203.zip</x:t>
  </x:si>
  <x:si>
    <x:t xml:space="preserve">Kaizo Breeze</x:t>
  </x:si>
  <x:si>
    <x:t xml:space="preserve">BielDusty, naBerada</x:t>
  </x:si>
  <x:si>
    <x:t xml:space="preserve">42670</x:t>
  </x:si>
  <x:si>
    <x:t xml:space="preserve">https://www.smwcentral.net/?a=details&amp;id=42670&amp;p=section</x:t>
  </x:si>
  <x:si>
    <x:t xml:space="preserve">https://dl.smwcentral.net/42670/KaizoBreezev1.1.zip</x:t>
  </x:si>
  <x:si>
    <x:t xml:space="preserve">Kaizo Consistency</x:t>
  </x:si>
  <x:si>
    <x:t xml:space="preserve">35TCB77</x:t>
  </x:si>
  <x:si>
    <x:t xml:space="preserve">39791</x:t>
  </x:si>
  <x:si>
    <x:t xml:space="preserve">https://www.smwcentral.net/?a=details&amp;id=39791&amp;p=section</x:t>
  </x:si>
  <x:si>
    <x:t xml:space="preserve">https://dl.smwcentral.net/39791/KCDV.zip</x:t>
  </x:si>
  <x:si>
    <x:t xml:space="preserve">Kaizo Crisis</x:t>
  </x:si>
  <x:si>
    <x:t xml:space="preserve">31756</x:t>
  </x:si>
  <x:si>
    <x:t xml:space="preserve">https://www.smwcentral.net/?a=details&amp;id=31756&amp;p=section</x:t>
  </x:si>
  <x:si>
    <x:t xml:space="preserve">https://dl.smwcentral.net/31756/KaizoCrisis.zip</x:t>
  </x:si>
  <x:si>
    <x:t xml:space="preserve">Kaizo Crisis 2</x:t>
  </x:si>
  <x:si>
    <x:t xml:space="preserve">38727</x:t>
  </x:si>
  <x:si>
    <x:t xml:space="preserve">https://www.smwcentral.net/?a=details&amp;id=38727&amp;p=section</x:t>
  </x:si>
  <x:si>
    <x:t xml:space="preserve">https://dl.smwcentral.net/38727/Kaizo%20Crisis%202.zip</x:t>
  </x:si>
  <x:si>
    <x:t xml:space="preserve">Kaizo Dreamland</x:t>
  </x:si>
  <x:si>
    <x:t xml:space="preserve">RecToR_24</x:t>
  </x:si>
  <x:si>
    <x:t xml:space="preserve">26043</x:t>
  </x:si>
  <x:si>
    <x:t xml:space="preserve">https://www.smwcentral.net/?a=details&amp;id=26043&amp;p=section</x:t>
  </x:si>
  <x:si>
    <x:t xml:space="preserve">https://dl.smwcentral.net/26043/KaizoDreamland.zip</x:t>
  </x:si>
  <x:si>
    <x:t xml:space="preserve">Kaizo Island</x:t>
  </x:si>
  <x:si>
    <x:t xml:space="preserve">BrickSMW</x:t>
  </x:si>
  <x:si>
    <x:t xml:space="preserve">21425</x:t>
  </x:si>
  <x:si>
    <x:t xml:space="preserve">https://www.smwcentral.net/?a=details&amp;id=21425&amp;p=section</x:t>
  </x:si>
  <x:si>
    <x:t xml:space="preserve">https://dl.smwcentral.net/21425/Kaizo%20Island.zip</x:t>
  </x:si>
  <x:si>
    <x:t xml:space="preserve">Kaizo Kidz</x:t>
  </x:si>
  <x:si>
    <x:t xml:space="preserve">wulv257</x:t>
  </x:si>
  <x:si>
    <x:t xml:space="preserve">30642</x:t>
  </x:si>
  <x:si>
    <x:t xml:space="preserve">https://www.smwcentral.net/?a=details&amp;id=30642&amp;p=section</x:t>
  </x:si>
  <x:si>
    <x:t xml:space="preserve">https://dl.smwcentral.net/30642/Kaizo%20Kidz%20V1.2.zip</x:t>
  </x:si>
  <x:si>
    <x:t xml:space="preserve">Kaizo Kong Country</x:t>
  </x:si>
  <x:si>
    <x:t xml:space="preserve">oneframejames</x:t>
  </x:si>
  <x:si>
    <x:t xml:space="preserve">24760</x:t>
  </x:si>
  <x:si>
    <x:t xml:space="preserve">https://www.smwcentral.net/?a=details&amp;id=24760&amp;p=section</x:t>
  </x:si>
  <x:si>
    <x:t xml:space="preserve">https://dl.smwcentral.net/24760/Kaizo%20Kong%20Country%20v1.0.bps.zip</x:t>
  </x:si>
  <x:si>
    <x:t xml:space="preserve">Kaizo Marathon</x:t>
  </x:si>
  <x:si>
    <x:t xml:space="preserve">33210</x:t>
  </x:si>
  <x:si>
    <x:t xml:space="preserve">https://www.smwcentral.net/?a=details&amp;id=33210&amp;p=section</x:t>
  </x:si>
  <x:si>
    <x:t xml:space="preserve">https://dl.smwcentral.net/33210/KaizoMarathon1_1.zip</x:t>
  </x:si>
  <x:si>
    <x:t xml:space="preserve">Kaizo Mario World</x:t>
  </x:si>
  <x:si>
    <x:t xml:space="preserve">T. Takemoto</x:t>
  </x:si>
  <x:si>
    <x:t xml:space="preserve">16059</x:t>
  </x:si>
  <x:si>
    <x:t xml:space="preserve">https://www.smwcentral.net/?a=details&amp;id=16059&amp;p=section</x:t>
  </x:si>
  <x:si>
    <x:t xml:space="preserve">https://dl.smwcentral.net/16059/Kaizo%20Mario%20World.zip</x:t>
  </x:si>
  <x:si>
    <x:t xml:space="preserve">Kaizo Mario World 2</x:t>
  </x:si>
  <x:si>
    <x:t xml:space="preserve">16058</x:t>
  </x:si>
  <x:si>
    <x:t xml:space="preserve">https://www.smwcentral.net/?a=details&amp;id=16058&amp;p=section</x:t>
  </x:si>
  <x:si>
    <x:t xml:space="preserve">https://dl.smwcentral.net/16058/Kaizo%20Mario%20World%202.zip</x:t>
  </x:si>
  <x:si>
    <x:t xml:space="preserve">Kaizo Mario World 3</x:t>
  </x:si>
  <x:si>
    <x:t xml:space="preserve">16060</x:t>
  </x:si>
  <x:si>
    <x:t xml:space="preserve">https://www.smwcentral.net/?a=details&amp;id=16060&amp;p=section</x:t>
  </x:si>
  <x:si>
    <x:t xml:space="preserve">https://dl.smwcentral.net/16060/Kaizo%20Mario%20World%203.zip</x:t>
  </x:si>
  <x:si>
    <x:t xml:space="preserve">Kaizo no Notam</x:t>
  </x:si>
  <x:si>
    <x:t xml:space="preserve">41561</x:t>
  </x:si>
  <x:si>
    <x:t xml:space="preserve">https://www.smwcentral.net/?a=details&amp;id=41561&amp;p=section</x:t>
  </x:si>
  <x:si>
    <x:t xml:space="preserve">https://dl.smwcentral.net/41561/Notam.zip</x:t>
  </x:si>
  <x:si>
    <x:t xml:space="preserve">Kaizo no Yume</x:t>
  </x:si>
  <x:si>
    <x:t xml:space="preserve">duders</x:t>
  </x:si>
  <x:si>
    <x:t xml:space="preserve">19584</x:t>
  </x:si>
  <x:si>
    <x:t xml:space="preserve">https://www.smwcentral.net/?a=details&amp;id=19584&amp;p=section</x:t>
  </x:si>
  <x:si>
    <x:t xml:space="preserve">https://dl.smwcentral.net/19584/Kaizo%20no%20Yume%20v1.05.zip</x:t>
  </x:si>
  <x:si>
    <x:t xml:space="preserve">Kamek and the Shroobs</x:t>
  </x:si>
  <x:si>
    <x:t xml:space="preserve">1339</x:t>
  </x:si>
  <x:si>
    <x:t xml:space="preserve">9918</x:t>
  </x:si>
  <x:si>
    <x:t xml:space="preserve">https://www.smwcentral.net/?a=details&amp;id=9918&amp;p=section</x:t>
  </x:si>
  <x:si>
    <x:t xml:space="preserve">https://dl.smwcentral.net/9918/kamek.zip</x:t>
  </x:si>
  <x:si>
    <x:t xml:space="preserve">Kamek's Island</x:t>
  </x:si>
  <x:si>
    <x:t xml:space="preserve">12161</x:t>
  </x:si>
  <x:si>
    <x:t xml:space="preserve">https://www.smwcentral.net/?a=details&amp;id=12161&amp;p=section</x:t>
  </x:si>
  <x:si>
    <x:t xml:space="preserve">https://dl.smwcentral.net/12161/Kamek%27s%20Island%201.7.zip</x:t>
  </x:si>
  <x:si>
    <x:t xml:space="preserve">Kamek's Revenge</x:t>
  </x:si>
  <x:si>
    <x:t xml:space="preserve">PorygonPOW</x:t>
  </x:si>
  <x:si>
    <x:t xml:space="preserve">12812</x:t>
  </x:si>
  <x:si>
    <x:t xml:space="preserve">https://www.smwcentral.net/?a=details&amp;id=12812&amp;p=section</x:t>
  </x:si>
  <x:si>
    <x:t xml:space="preserve">https://dl.smwcentral.net/12812/Kamek%27s%20Revenge.zip</x:t>
  </x:si>
  <x:si>
    <x:t xml:space="preserve">Kamikaze</x:t>
  </x:si>
  <x:si>
    <x:t xml:space="preserve">obiet</x:t>
  </x:si>
  <x:si>
    <x:t xml:space="preserve">35278</x:t>
  </x:si>
  <x:si>
    <x:t xml:space="preserve">https://www.smwcentral.net/?a=details&amp;id=35278&amp;p=section</x:t>
  </x:si>
  <x:si>
    <x:t xml:space="preserve">https://dl.smwcentral.net/35278/kamikaze.zip</x:t>
  </x:si>
  <x:si>
    <x:t xml:space="preserve">Kaos Islands</x:t>
  </x:si>
  <x:si>
    <x:t xml:space="preserve">xIque</x:t>
  </x:si>
  <x:si>
    <x:t xml:space="preserve">4959</x:t>
  </x:si>
  <x:si>
    <x:t xml:space="preserve">https://www.smwcentral.net/?a=details&amp;id=4959&amp;p=section</x:t>
  </x:si>
  <x:si>
    <x:t xml:space="preserve">https://dl.smwcentral.net/4959/Kaos%20Islands.zip</x:t>
  </x:si>
  <x:si>
    <x:t xml:space="preserve">Karma</x:t>
  </x:si>
  <x:si>
    <x:t xml:space="preserve">42143</x:t>
  </x:si>
  <x:si>
    <x:t xml:space="preserve">https://www.smwcentral.net/?a=details&amp;id=42143&amp;p=section</x:t>
  </x:si>
  <x:si>
    <x:t xml:space="preserve">https://dl.smwcentral.net/42143/Karma.zip</x:t>
  </x:si>
  <x:si>
    <x:t xml:space="preserve">Karoshi Mario</x:t>
  </x:si>
  <x:si>
    <x:t xml:space="preserve">9980</x:t>
  </x:si>
  <x:si>
    <x:t xml:space="preserve">https://www.smwcentral.net/?a=details&amp;id=9980&amp;p=section</x:t>
  </x:si>
  <x:si>
    <x:t xml:space="preserve">https://dl.smwcentral.net/9980/KaroshiMario.zip</x:t>
  </x:si>
  <x:si>
    <x:t xml:space="preserve">KawaMarioWorld</x:t>
  </x:si>
  <x:si>
    <x:t xml:space="preserve">ram.heroe</x:t>
  </x:si>
  <x:si>
    <x:t xml:space="preserve">23041</x:t>
  </x:si>
  <x:si>
    <x:t xml:space="preserve">https://www.smwcentral.net/?a=details&amp;id=23041&amp;p=section</x:t>
  </x:si>
  <x:si>
    <x:t xml:space="preserve">https://dl.smwcentral.net/23041/KawaMarioWorld.zip</x:t>
  </x:si>
  <x:si>
    <x:t xml:space="preserve">Kazue World</x:t>
  </x:si>
  <x:si>
    <x:t xml:space="preserve">32837</x:t>
  </x:si>
  <x:si>
    <x:t xml:space="preserve">https://www.smwcentral.net/?a=details&amp;id=32837&amp;p=section</x:t>
  </x:si>
  <x:si>
    <x:t xml:space="preserve">https://dl.smwcentral.net/32837/Kazue%20World.zip</x:t>
  </x:si>
  <x:si>
    <x:t xml:space="preserve">Kazue World 2</x:t>
  </x:si>
  <x:si>
    <x:t xml:space="preserve">Eryck, RicardoDeMelo</x:t>
  </x:si>
  <x:si>
    <x:t xml:space="preserve">36844</x:t>
  </x:si>
  <x:si>
    <x:t xml:space="preserve">https://www.smwcentral.net/?a=details&amp;id=36844&amp;p=section</x:t>
  </x:si>
  <x:si>
    <x:t xml:space="preserve">https://dl.smwcentral.net/36844/Kazue%20World%202.zip</x:t>
  </x:si>
  <x:si>
    <x:t xml:space="preserve">Kekcroc DASH!</x:t>
  </x:si>
  <x:si>
    <x:t xml:space="preserve">21546</x:t>
  </x:si>
  <x:si>
    <x:t xml:space="preserve">https://www.smwcentral.net/?a=details&amp;id=21546&amp;p=section</x:t>
  </x:si>
  <x:si>
    <x:t xml:space="preserve">https://dl.smwcentral.net/21546/patch.zip</x:t>
  </x:si>
  <x:si>
    <x:t xml:space="preserve">Keratin Valley</x:t>
  </x:si>
  <x:si>
    <x:t xml:space="preserve">revolug</x:t>
  </x:si>
  <x:si>
    <x:t xml:space="preserve">38338</x:t>
  </x:si>
  <x:si>
    <x:t xml:space="preserve">https://www.smwcentral.net/?a=details&amp;id=38338&amp;p=section</x:t>
  </x:si>
  <x:si>
    <x:t xml:space="preserve">https://dl.smwcentral.net/38338/Keratin%20Valley%201.3.zip</x:t>
  </x:si>
  <x:si>
    <x:t xml:space="preserve">Ketchup Adventure</x:t>
  </x:si>
  <x:si>
    <x:t xml:space="preserve">mockingod</x:t>
  </x:si>
  <x:si>
    <x:t xml:space="preserve">10113</x:t>
  </x:si>
  <x:si>
    <x:t xml:space="preserve">https://www.smwcentral.net/?a=details&amp;id=10113&amp;p=section</x:t>
  </x:si>
  <x:si>
    <x:t xml:space="preserve">https://dl.smwcentral.net/10113/KetchupAdventure.zip</x:t>
  </x:si>
  <x:si>
    <x:t xml:space="preserve">Kibeth Takes a Walk</x:t>
  </x:si>
  <x:si>
    <x:t xml:space="preserve">bsolt</x:t>
  </x:si>
  <x:si>
    <x:t xml:space="preserve">25929</x:t>
  </x:si>
  <x:si>
    <x:t xml:space="preserve">https://www.smwcentral.net/?a=details&amp;id=25929&amp;p=section</x:t>
  </x:si>
  <x:si>
    <x:t xml:space="preserve">https://dl.smwcentral.net/25929/KTaW.zip</x:t>
  </x:si>
  <x:si>
    <x:t xml:space="preserve">Kid Adventure</x:t>
  </x:si>
  <x:si>
    <x:t xml:space="preserve">9755</x:t>
  </x:si>
  <x:si>
    <x:t xml:space="preserve">https://www.smwcentral.net/?a=details&amp;id=9755&amp;p=section</x:t>
  </x:si>
  <x:si>
    <x:t xml:space="preserve">https://dl.smwcentral.net/9755/Kid%20Adventure%20%28English%20version%29.zip</x:t>
  </x:si>
  <x:si>
    <x:t xml:space="preserve">Kid Adventure 2: Biza Strikes Back</x:t>
  </x:si>
  <x:si>
    <x:t xml:space="preserve">5184</x:t>
  </x:si>
  <x:si>
    <x:t xml:space="preserve">https://www.smwcentral.net/?a=details&amp;id=5184&amp;p=section</x:t>
  </x:si>
  <x:si>
    <x:t xml:space="preserve">https://dl.smwcentral.net/5184/Kid%20Adventure%202%20%28English%29.zip</x:t>
  </x:si>
  <x:si>
    <x:t xml:space="preserve">Kid Adventure 3: The Will of Sakito</x:t>
  </x:si>
  <x:si>
    <x:t xml:space="preserve">9862</x:t>
  </x:si>
  <x:si>
    <x:t xml:space="preserve">https://www.smwcentral.net/?a=details&amp;id=9862&amp;p=section</x:t>
  </x:si>
  <x:si>
    <x:t xml:space="preserve">https://dl.smwcentral.net/9862/Kid%20Adventure%203%20%28English%20version%29.zip</x:t>
  </x:si>
  <x:si>
    <x:t xml:space="preserve">Kid Adventure 4: Kid Xtreme</x:t>
  </x:si>
  <x:si>
    <x:t xml:space="preserve">10114</x:t>
  </x:si>
  <x:si>
    <x:t xml:space="preserve">https://www.smwcentral.net/?a=details&amp;id=10114&amp;p=section</x:t>
  </x:si>
  <x:si>
    <x:t xml:space="preserve">https://dl.smwcentral.net/10114/Kax.zip</x:t>
  </x:si>
  <x:si>
    <x:t xml:space="preserve">Kid Adventure 5: Amazing Kid</x:t>
  </x:si>
  <x:si>
    <x:t xml:space="preserve">5604</x:t>
  </x:si>
  <x:si>
    <x:t xml:space="preserve">https://www.smwcentral.net/?a=details&amp;id=5604&amp;p=section</x:t>
  </x:si>
  <x:si>
    <x:t xml:space="preserve">https://dl.smwcentral.net/5604/Amazing%20Kid%20demo1.zip</x:t>
  </x:si>
  <x:si>
    <x:t xml:space="preserve">Kill Luigi</x:t>
  </x:si>
  <x:si>
    <x:t xml:space="preserve">Overcomon7</x:t>
  </x:si>
  <x:si>
    <x:t xml:space="preserve">26517</x:t>
  </x:si>
  <x:si>
    <x:t xml:space="preserve">https://www.smwcentral.net/?a=details&amp;id=26517&amp;p=section</x:t>
  </x:si>
  <x:si>
    <x:t xml:space="preserve">https://dl.smwcentral.net/26517/KillLuigi1.0.zip</x:t>
  </x:si>
  <x:si>
    <x:t xml:space="preserve">Kings Of Kuso</x:t>
  </x:si>
  <x:si>
    <x:t xml:space="preserve">33016</x:t>
  </x:si>
  <x:si>
    <x:t xml:space="preserve">https://www.smwcentral.net/?a=details&amp;id=33016&amp;p=section</x:t>
  </x:si>
  <x:si>
    <x:t xml:space="preserve">https://dl.smwcentral.net/33016/KOK.zip</x:t>
  </x:si>
  <x:si>
    <x:t xml:space="preserve">Kink's Awakening</x:t>
  </x:si>
  <x:si>
    <x:t xml:space="preserve">41681</x:t>
  </x:si>
  <x:si>
    <x:t xml:space="preserve">27275</x:t>
  </x:si>
  <x:si>
    <x:t xml:space="preserve">https://www.smwcentral.net/?a=details&amp;id=27275&amp;p=section</x:t>
  </x:si>
  <x:si>
    <x:t xml:space="preserve">https://dl.smwcentral.net/27275/KinksAwakening.zip</x:t>
  </x:si>
  <x:si>
    <x:t xml:space="preserve">Knuckles Saves Christmas</x:t>
  </x:si>
  <x:si>
    <x:t xml:space="preserve">39426</x:t>
  </x:si>
  <x:si>
    <x:t xml:space="preserve">https://www.smwcentral.net/?a=details&amp;id=39426&amp;p=section</x:t>
  </x:si>
  <x:si>
    <x:t xml:space="preserve">https://dl.smwcentral.net/39426/Knuckles%20V2.zip</x:t>
  </x:si>
  <x:si>
    <x:t xml:space="preserve">Kogarashi Mario World</x:t>
  </x:si>
  <x:si>
    <x:t xml:space="preserve">HLXY</x:t>
  </x:si>
  <x:si>
    <x:t xml:space="preserve">18523</x:t>
  </x:si>
  <x:si>
    <x:t xml:space="preserve">https://www.smwcentral.net/?a=details&amp;id=18523&amp;p=section</x:t>
  </x:si>
  <x:si>
    <x:t xml:space="preserve">https://dl.smwcentral.net/18523/Kogarashi%20Mario%20World.zip</x:t>
  </x:si>
  <x:si>
    <x:t xml:space="preserve">Konk World</x:t>
  </x:si>
  <x:si>
    <x:t xml:space="preserve">23425</x:t>
  </x:si>
  <x:si>
    <x:t xml:space="preserve">https://www.smwcentral.net/?a=details&amp;id=23425&amp;p=section</x:t>
  </x:si>
  <x:si>
    <x:t xml:space="preserve">https://dl.smwcentral.net/23425/KonkWorld.zip</x:t>
  </x:si>
  <x:si>
    <x:t xml:space="preserve">Koopa Castle: The Escape</x:t>
  </x:si>
  <x:si>
    <x:t xml:space="preserve">Cobaltergeist</x:t>
  </x:si>
  <x:si>
    <x:t xml:space="preserve">9903</x:t>
  </x:si>
  <x:si>
    <x:t xml:space="preserve">https://www.smwcentral.net/?a=details&amp;id=9903&amp;p=section</x:t>
  </x:si>
  <x:si>
    <x:t xml:space="preserve">https://dl.smwcentral.net/9903/Koopa%20Castle%20Demo%201.zip</x:t>
  </x:si>
  <x:si>
    <x:t xml:space="preserve">Koopa Hopper's Delight</x:t>
  </x:si>
  <x:si>
    <x:t xml:space="preserve">gabesoranges</x:t>
  </x:si>
  <x:si>
    <x:t xml:space="preserve">40054</x:t>
  </x:si>
  <x:si>
    <x:t xml:space="preserve">https://www.smwcentral.net/?a=details&amp;id=40054&amp;p=section</x:t>
  </x:si>
  <x:si>
    <x:t xml:space="preserve">https://dl.smwcentral.net/40054/Koopa%20Hoppers%20Delight%201.1.zip</x:t>
  </x:si>
  <x:si>
    <x:t xml:space="preserve">Korosu Mario World</x:t>
  </x:si>
  <x:si>
    <x:t xml:space="preserve">ChrisG___</x:t>
  </x:si>
  <x:si>
    <x:t xml:space="preserve">15195</x:t>
  </x:si>
  <x:si>
    <x:t xml:space="preserve">https://www.smwcentral.net/?a=details&amp;id=15195&amp;p=section</x:t>
  </x:si>
  <x:si>
    <x:t xml:space="preserve">https://dl.smwcentral.net/15195/Korosu%20Mario%20World%201.4.zip</x:t>
  </x:si>
  <x:si>
    <x:t xml:space="preserve">Korosu Mario World 2</x:t>
  </x:si>
  <x:si>
    <x:t xml:space="preserve">18203</x:t>
  </x:si>
  <x:si>
    <x:t xml:space="preserve">https://www.smwcentral.net/?a=details&amp;id=18203&amp;p=section</x:t>
  </x:si>
  <x:si>
    <x:t xml:space="preserve">https://dl.smwcentral.net/18203/Korosu%20Mario%20World%202.41.zip</x:t>
  </x:si>
  <x:si>
    <x:t xml:space="preserve">KR World</x:t>
  </x:si>
  <x:si>
    <x:t xml:space="preserve">Kaique Jesus, RenanSV</x:t>
  </x:si>
  <x:si>
    <x:t xml:space="preserve">33726</x:t>
  </x:si>
  <x:si>
    <x:t xml:space="preserve">https://www.smwcentral.net/?a=details&amp;id=33726&amp;p=section</x:t>
  </x:si>
  <x:si>
    <x:t xml:space="preserve">https://dl.smwcentral.net/33726/KR%20World.zip</x:t>
  </x:si>
  <x:si>
    <x:t xml:space="preserve">Krabs Test</x:t>
  </x:si>
  <x:si>
    <x:t xml:space="preserve">21542</x:t>
  </x:si>
  <x:si>
    <x:t xml:space="preserve">https://www.smwcentral.net/?a=details&amp;id=21542&amp;p=section</x:t>
  </x:si>
  <x:si>
    <x:t xml:space="preserve">https://dl.smwcentral.net/21542/SPONGEBOB%20ME%20BOY.zip</x:t>
  </x:si>
  <x:si>
    <x:t xml:space="preserve">Krack The Hack</x:t>
  </x:si>
  <x:si>
    <x:t xml:space="preserve">20900</x:t>
  </x:si>
  <x:si>
    <x:t xml:space="preserve">https://www.smwcentral.net/?a=details&amp;id=20900&amp;p=section</x:t>
  </x:si>
  <x:si>
    <x:t xml:space="preserve">https://dl.smwcentral.net/20900/Krack%20The%20Hack.zip</x:t>
  </x:si>
  <x:si>
    <x:t xml:space="preserve">Krack's Kafe: Because They Kicked Me Out!</x:t>
  </x:si>
  <x:si>
    <x:t xml:space="preserve">ChaseNScooter, Daizo Dee Von, EvilGuy0613, Jamie, amhunter</x:t>
  </x:si>
  <x:si>
    <x:t xml:space="preserve">31405</x:t>
  </x:si>
  <x:si>
    <x:t xml:space="preserve">https://www.smwcentral.net/?a=details&amp;id=31405&amp;p=section</x:t>
  </x:si>
  <x:si>
    <x:t xml:space="preserve">https://dl.smwcentral.net/31405/Krack%27s%20Kafe%20-%20Because%20They%20Kicked%20Me%20Out%21%20v1.0.2d.zip</x:t>
  </x:si>
  <x:si>
    <x:t xml:space="preserve">Krefeld Kaizo Relay Race 2025</x:t>
  </x:si>
  <x:si>
    <x:t xml:space="preserve">JinRokhZenobi, Justepic, Saphros, Spedinja, neidoodle</x:t>
  </x:si>
  <x:si>
    <x:t xml:space="preserve">39813</x:t>
  </x:si>
  <x:si>
    <x:t xml:space="preserve">https://www.smwcentral.net/?a=details&amp;id=39813&amp;p=section</x:t>
  </x:si>
  <x:si>
    <x:t xml:space="preserve">https://dl.smwcentral.net/39813/KrefeldKaizoRelayRace2025.zip</x:t>
  </x:si>
  <x:si>
    <x:t xml:space="preserve">Kris' Adventure</x:t>
  </x:si>
  <x:si>
    <x:t xml:space="preserve">Martin9172</x:t>
  </x:si>
  <x:si>
    <x:t xml:space="preserve">10066</x:t>
  </x:si>
  <x:si>
    <x:t xml:space="preserve">https://www.smwcentral.net/?a=details&amp;id=10066&amp;p=section</x:t>
  </x:si>
  <x:si>
    <x:t xml:space="preserve">https://dl.smwcentral.net/10066/Kris%27%20Adventure.zip</x:t>
  </x:si>
  <x:si>
    <x:t xml:space="preserve">Kruela Mario</x:t>
  </x:si>
  <x:si>
    <x:t xml:space="preserve">15921</x:t>
  </x:si>
  <x:si>
    <x:t xml:space="preserve">https://www.smwcentral.net/?a=details&amp;id=15921&amp;p=section</x:t>
  </x:si>
  <x:si>
    <x:t xml:space="preserve">https://dl.smwcentral.net/15921/Kruela%20Mario.zip</x:t>
  </x:si>
  <x:si>
    <x:t xml:space="preserve">Kruela Mario 2</x:t>
  </x:si>
  <x:si>
    <x:t xml:space="preserve">24477</x:t>
  </x:si>
  <x:si>
    <x:t xml:space="preserve">https://www.smwcentral.net/?a=details&amp;id=24477&amp;p=section</x:t>
  </x:si>
  <x:si>
    <x:t xml:space="preserve">https://dl.smwcentral.net/24477/Kruela%20Mario%202%20v1.2.zip</x:t>
  </x:si>
  <x:si>
    <x:t xml:space="preserve">Kumikyoku</x:t>
  </x:si>
  <x:si>
    <x:t xml:space="preserve">Nico Nico Douga, Shimo</x:t>
  </x:si>
  <x:si>
    <x:t xml:space="preserve">6757</x:t>
  </x:si>
  <x:si>
    <x:t xml:space="preserve">https://www.smwcentral.net/?a=details&amp;id=6757&amp;p=section</x:t>
  </x:si>
  <x:si>
    <x:t xml:space="preserve">https://dl.smwcentral.net/6757/kumikyoku.zip</x:t>
  </x:si>
  <x:si>
    <x:t xml:space="preserve">Kuribo_Shoe the Adventure</x:t>
  </x:si>
  <x:si>
    <x:t xml:space="preserve">9969</x:t>
  </x:si>
  <x:si>
    <x:t xml:space="preserve">https://www.smwcentral.net/?a=details&amp;id=9969&amp;p=section</x:t>
  </x:si>
  <x:si>
    <x:t xml:space="preserve">https://dl.smwcentral.net/9969/K_STA.zip</x:t>
  </x:si>
  <x:si>
    <x:t xml:space="preserve">Kurisu Mario World</x:t>
  </x:si>
  <x:si>
    <x:t xml:space="preserve">Freakin_HA, HmWhyNot, NeXuS15, ThirdWall, juzcook, microwave_brothr, white_moth</x:t>
  </x:si>
  <x:si>
    <x:t xml:space="preserve">24719</x:t>
  </x:si>
  <x:si>
    <x:t xml:space="preserve">https://www.smwcentral.net/?a=details&amp;id=24719&amp;p=section</x:t>
  </x:si>
  <x:si>
    <x:t xml:space="preserve">https://dl.smwcentral.net/24719/KurisuMarioWorld.zip</x:t>
  </x:si>
  <x:si>
    <x:t xml:space="preserve">Kuso Ecstasy</x:t>
  </x:si>
  <x:si>
    <x:t xml:space="preserve">26237</x:t>
  </x:si>
  <x:si>
    <x:t xml:space="preserve">https://www.smwcentral.net/?a=details&amp;id=26237&amp;p=section</x:t>
  </x:si>
  <x:si>
    <x:t xml:space="preserve">https://dl.smwcentral.net/26237/KusoEcstasy1_1.zip</x:t>
  </x:si>
  <x:si>
    <x:t xml:space="preserve">Kuuwote's Level Pack #1</x:t>
  </x:si>
  <x:si>
    <x:t xml:space="preserve">Kuuwote</x:t>
  </x:si>
  <x:si>
    <x:t xml:space="preserve">34900</x:t>
  </x:si>
  <x:si>
    <x:t xml:space="preserve">https://www.smwcentral.net/?a=details&amp;id=34900&amp;p=section</x:t>
  </x:si>
  <x:si>
    <x:t xml:space="preserve">https://dl.smwcentral.net/34900/Kuuwote%27s%20Level%20Pack%20%231.zip</x:t>
  </x:si>
  <x:si>
    <x:t xml:space="preserve">Kuuwote's Level Pack #2</x:t>
  </x:si>
  <x:si>
    <x:t xml:space="preserve">35061</x:t>
  </x:si>
  <x:si>
    <x:t xml:space="preserve">https://www.smwcentral.net/?a=details&amp;id=35061&amp;p=section</x:t>
  </x:si>
  <x:si>
    <x:t xml:space="preserve">https://dl.smwcentral.net/35061/Kuuwote%27s%20Level%20Pack%20%232%20%28fixed%29.zip</x:t>
  </x:si>
  <x:si>
    <x:t xml:space="preserve">Kuzo Heaven</x:t>
  </x:si>
  <x:si>
    <x:t xml:space="preserve">jirok1</x:t>
  </x:si>
  <x:si>
    <x:t xml:space="preserve">39988</x:t>
  </x:si>
  <x:si>
    <x:t xml:space="preserve">https://www.smwcentral.net/?a=details&amp;id=39988&amp;p=section</x:t>
  </x:si>
  <x:si>
    <x:t xml:space="preserve">https://dl.smwcentral.net/39988/KuzoHeaven1_3.zip</x:t>
  </x:si>
  <x:si>
    <x:t xml:space="preserve">L I M B O</x:t>
  </x:si>
  <x:si>
    <x:t xml:space="preserve">GRIMMKIN</x:t>
  </x:si>
  <x:si>
    <x:t xml:space="preserve">37671</x:t>
  </x:si>
  <x:si>
    <x:t xml:space="preserve">https://www.smwcentral.net/?a=details&amp;id=37671&amp;p=section</x:t>
  </x:si>
  <x:si>
    <x:t xml:space="preserve">https://dl.smwcentral.net/37671/LIMBO%20v3.25.zip</x:t>
  </x:si>
  <x:si>
    <x:t xml:space="preserve">L4good Island</x:t>
  </x:si>
  <x:si>
    <x:t xml:space="preserve">L4good</x:t>
  </x:si>
  <x:si>
    <x:t xml:space="preserve">15476</x:t>
  </x:si>
  <x:si>
    <x:t xml:space="preserve">https://www.smwcentral.net/?a=details&amp;id=15476&amp;p=section</x:t>
  </x:si>
  <x:si>
    <x:t xml:space="preserve">https://dl.smwcentral.net/15476/L4good%20island.zip</x:t>
  </x:si>
  <x:si>
    <x:t xml:space="preserve">La Connaisseuse de Kaizo</x:t>
  </x:si>
  <x:si>
    <x:t xml:space="preserve">42458</x:t>
  </x:si>
  <x:si>
    <x:t xml:space="preserve">https://www.smwcentral.net/?a=details&amp;id=42458&amp;p=section</x:t>
  </x:si>
  <x:si>
    <x:t xml:space="preserve">https://dl.smwcentral.net/42458/La%20Connaisseuse%20de%20Kaizo.zip</x:t>
  </x:si>
  <x:si>
    <x:t xml:space="preserve">La Mansion De Benja</x:t>
  </x:si>
  <x:si>
    <x:t xml:space="preserve">Fyre150, Kaizo Literature Club</x:t>
  </x:si>
  <x:si>
    <x:t xml:space="preserve">34374</x:t>
  </x:si>
  <x:si>
    <x:t xml:space="preserve">https://www.smwcentral.net/?a=details&amp;id=34374&amp;p=section</x:t>
  </x:si>
  <x:si>
    <x:t xml:space="preserve">https://dl.smwcentral.net/34374/LaMansionDeBenja.zip</x:t>
  </x:si>
  <x:si>
    <x:t xml:space="preserve">Labyrinth Of Shadows</x:t>
  </x:si>
  <x:si>
    <x:t xml:space="preserve">Pizzagamer9791</x:t>
  </x:si>
  <x:si>
    <x:t xml:space="preserve">38747</x:t>
  </x:si>
  <x:si>
    <x:t xml:space="preserve">https://www.smwcentral.net/?a=details&amp;id=38747&amp;p=section</x:t>
  </x:si>
  <x:si>
    <x:t xml:space="preserve">https://dl.smwcentral.net/38747/Labyrinth%20of%20shadows.zip</x:t>
  </x:si>
  <x:si>
    <x:t xml:space="preserve">Lack Of Control</x:t>
  </x:si>
  <x:si>
    <x:t xml:space="preserve">37629</x:t>
  </x:si>
  <x:si>
    <x:t xml:space="preserve">https://www.smwcentral.net/?a=details&amp;id=37629&amp;p=section</x:t>
  </x:si>
  <x:si>
    <x:t xml:space="preserve">https://dl.smwcentral.net/37629/LackOfControl.zip</x:t>
  </x:si>
  <x:si>
    <x:t xml:space="preserve">Lakitu's Great Adventure</x:t>
  </x:si>
  <x:si>
    <x:t xml:space="preserve">Gamet2004</x:t>
  </x:si>
  <x:si>
    <x:t xml:space="preserve">39020</x:t>
  </x:si>
  <x:si>
    <x:t xml:space="preserve">https://www.smwcentral.net/?a=details&amp;id=39020&amp;p=section</x:t>
  </x:si>
  <x:si>
    <x:t xml:space="preserve">https://dl.smwcentral.net/39020/LakituIHopeThisIsTheFinalUpdate.zip</x:t>
  </x:si>
  <x:si>
    <x:t xml:space="preserve">Lakitu's Great Adventure 2</x:t>
  </x:si>
  <x:si>
    <x:t xml:space="preserve">32220</x:t>
  </x:si>
  <x:si>
    <x:t xml:space="preserve">https://www.smwcentral.net/?a=details&amp;id=32220&amp;p=section</x:t>
  </x:si>
  <x:si>
    <x:t xml:space="preserve">https://dl.smwcentral.net/32220/LAKITU2bps.zip</x:t>
  </x:si>
  <x:si>
    <x:t xml:space="preserve">Law &amp; Order: Mushroom Kingdom Unit - Pilot Episode - Tragic Fox "Tails" (Director's Cut)</x:t>
  </x:si>
  <x:si>
    <x:t xml:space="preserve">ChaseNScooter, Daizo Dee Von, EvilGuy0613, Jamie</x:t>
  </x:si>
  <x:si>
    <x:t xml:space="preserve">38323</x:t>
  </x:si>
  <x:si>
    <x:t xml:space="preserve">https://www.smwcentral.net/?a=details&amp;id=38323&amp;p=section</x:t>
  </x:si>
  <x:si>
    <x:t xml:space="preserve">https://dl.smwcentral.net/38323/Law%20%26%20Order%20Mushroom%20Kingdom%20Unit%20Pilot%20-%20Director%27s%20Cut%20%28v1.0.2%29.zip</x:t>
  </x:si>
  <x:si>
    <x:t xml:space="preserve">Le avventure di Mario 1</x:t>
  </x:si>
  <x:si>
    <x:t xml:space="preserve">29091</x:t>
  </x:si>
  <x:si>
    <x:t xml:space="preserve">https://www.smwcentral.net/?a=details&amp;id=29091&amp;p=section</x:t>
  </x:si>
  <x:si>
    <x:t xml:space="preserve">https://dl.smwcentral.net/29091/Le%20Avventure%20di%20Mario%201%20-%20Fixed.zip</x:t>
  </x:si>
  <x:si>
    <x:t xml:space="preserve">Le Avventure di Mario 3</x:t>
  </x:si>
  <x:si>
    <x:t xml:space="preserve">28942</x:t>
  </x:si>
  <x:si>
    <x:t xml:space="preserve">https://www.smwcentral.net/?a=details&amp;id=28942&amp;p=section</x:t>
  </x:si>
  <x:si>
    <x:t xml:space="preserve">https://dl.smwcentral.net/28942/LADM3.zip</x:t>
  </x:si>
  <x:si>
    <x:t xml:space="preserve">Le Connaisseur de Kaizo</x:t>
  </x:si>
  <x:si>
    <x:t xml:space="preserve">39182</x:t>
  </x:si>
  <x:si>
    <x:t xml:space="preserve">https://www.smwcentral.net/?a=details&amp;id=39182&amp;p=section</x:t>
  </x:si>
  <x:si>
    <x:t xml:space="preserve">https://dl.smwcentral.net/39182/Le%20Connaisseur%20de%20Kaizo%20ver1_1.zip</x:t>
  </x:si>
  <x:si>
    <x:t xml:space="preserve">Le Gole World</x:t>
  </x:si>
  <x:si>
    <x:t xml:space="preserve">30098</x:t>
  </x:si>
  <x:si>
    <x:t xml:space="preserve">https://www.smwcentral.net/?a=details&amp;id=30098&amp;p=section</x:t>
  </x:si>
  <x:si>
    <x:t xml:space="preserve">https://dl.smwcentral.net/30098/le-gole.zip</x:t>
  </x:si>
  <x:si>
    <x:t xml:space="preserve">Le plume</x:t>
  </x:si>
  <x:si>
    <x:t xml:space="preserve">FiveFactor, bonjoursauce, drkrdnk</x:t>
  </x:si>
  <x:si>
    <x:t xml:space="preserve">40131</x:t>
  </x:si>
  <x:si>
    <x:t xml:space="preserve">https://www.smwcentral.net/?a=details&amp;id=40131&amp;p=section</x:t>
  </x:si>
  <x:si>
    <x:t xml:space="preserve">https://dl.smwcentral.net/40131/le_plume_1-1.zip</x:t>
  </x:si>
  <x:si>
    <x:t xml:space="preserve">NeXuS15</x:t>
  </x:si>
  <x:si>
    <x:t xml:space="preserve">42361</x:t>
  </x:si>
  <x:si>
    <x:t xml:space="preserve">https://www.smwcentral.net/?a=details&amp;id=42361&amp;p=section</x:t>
  </x:si>
  <x:si>
    <x:t xml:space="preserve">https://dl.smwcentral.net/42361/Learn2Kaizo%20v1.1.zip</x:t>
  </x:si>
  <x:si>
    <x:t xml:space="preserve">Learn To Shell Jump</x:t>
  </x:si>
  <x:si>
    <x:t xml:space="preserve">40002</x:t>
  </x:si>
  <x:si>
    <x:t xml:space="preserve">https://www.smwcentral.net/?a=details&amp;id=40002&amp;p=section</x:t>
  </x:si>
  <x:si>
    <x:t xml:space="preserve">https://dl.smwcentral.net/40002/Learn%20To%20Shell%20Jump.zip</x:t>
  </x:si>
  <x:si>
    <x:t xml:space="preserve">Learning to Fly</x:t>
  </x:si>
  <x:si>
    <x:t xml:space="preserve">DJLocks, NewPointless</x:t>
  </x:si>
  <x:si>
    <x:t xml:space="preserve">38653</x:t>
  </x:si>
  <x:si>
    <x:t xml:space="preserve">https://www.smwcentral.net/?a=details&amp;id=38653&amp;p=section</x:t>
  </x:si>
  <x:si>
    <x:t xml:space="preserve">https://dl.smwcentral.net/38653/LearningToFly2_0.zip</x:t>
  </x:si>
  <x:si>
    <x:t xml:space="preserve">Legend of the Rift, Volume 1: Venus</x:t>
  </x:si>
  <x:si>
    <x:t xml:space="preserve">Foursword4</x:t>
  </x:si>
  <x:si>
    <x:t xml:space="preserve">5451</x:t>
  </x:si>
  <x:si>
    <x:t xml:space="preserve">https://www.smwcentral.net/?a=details&amp;id=5451&amp;p=section</x:t>
  </x:si>
  <x:si>
    <x:t xml:space="preserve">https://dl.smwcentral.net/5451/LOTR%20Venus.zip</x:t>
  </x:si>
  <x:si>
    <x:t xml:space="preserve">Legends of Mario</x:t>
  </x:si>
  <x:si>
    <x:t xml:space="preserve">ChrisG___, HmWhyNot, Mega, NeXuS15, SomeBroYouDontKnow, Tubbaluvin</x:t>
  </x:si>
  <x:si>
    <x:t xml:space="preserve">17046</x:t>
  </x:si>
  <x:si>
    <x:t xml:space="preserve">https://www.smwcentral.net/?a=details&amp;id=17046&amp;p=section</x:t>
  </x:si>
  <x:si>
    <x:t xml:space="preserve">https://dl.smwcentral.net/17046/LegendsOfMario_v1.2.zip</x:t>
  </x:si>
  <x:si>
    <x:t xml:space="preserve">Legends of the Hidden Thwimple</x:t>
  </x:si>
  <x:si>
    <x:t xml:space="preserve">BeeKaay, Christina Hendricks, FerpyMcFrosting, GbreezeSunset, MiracleWater, Romhack Races, TheBourgyman, YMM, dtothefourth, margot, sio-kedelic</x:t>
  </x:si>
  <x:si>
    <x:t xml:space="preserve">31391</x:t>
  </x:si>
  <x:si>
    <x:t xml:space="preserve">https://www.smwcentral.net/?a=details&amp;id=31391&amp;p=section</x:t>
  </x:si>
  <x:si>
    <x:t xml:space="preserve">https://dl.smwcentral.net/31391/Hidden%20Thwimple%201.1.zip</x:t>
  </x:si>
  <x:si>
    <x:t xml:space="preserve">Lemmy's Wrath</x:t>
  </x:si>
  <x:si>
    <x:t xml:space="preserve">Blue Leaf</x:t>
  </x:si>
  <x:si>
    <x:t xml:space="preserve">6828</x:t>
  </x:si>
  <x:si>
    <x:t xml:space="preserve">https://www.smwcentral.net/?a=details&amp;id=6828&amp;p=section</x:t>
  </x:si>
  <x:si>
    <x:t xml:space="preserve">https://dl.smwcentral.net/6828/Lemmy%27s%20Htarw%20v1_1.zip</x:t>
  </x:si>
  <x:si>
    <x:t xml:space="preserve">Lesbian Vampire Killer World 5000</x:t>
  </x:si>
  <x:si>
    <x:t xml:space="preserve">23089</x:t>
  </x:si>
  <x:si>
    <x:t xml:space="preserve">https://www.smwcentral.net/?a=details&amp;id=23089&amp;p=section</x:t>
  </x:si>
  <x:si>
    <x:t xml:space="preserve">https://dl.smwcentral.net/23089/LesbianVampireKillerWorld5000.zip</x:t>
  </x:si>
  <x:si>
    <x:t xml:space="preserve">Lessness World</x:t>
  </x:si>
  <x:si>
    <x:t xml:space="preserve">22972</x:t>
  </x:si>
  <x:si>
    <x:t xml:space="preserve">https://www.smwcentral.net/?a=details&amp;id=22972&amp;p=section</x:t>
  </x:si>
  <x:si>
    <x:t xml:space="preserve">https://dl.smwcentral.net/22972/LW%201.2.zip</x:t>
  </x:si>
  <x:si>
    <x:t xml:space="preserve">Lessness World 2</x:t>
  </x:si>
  <x:si>
    <x:t xml:space="preserve">31338</x:t>
  </x:si>
  <x:si>
    <x:t xml:space="preserve">https://www.smwcentral.net/?a=details&amp;id=31338&amp;p=section</x:t>
  </x:si>
  <x:si>
    <x:t xml:space="preserve">https://dl.smwcentral.net/31338/Lessness_World_2.zip</x:t>
  </x:si>
  <x:si>
    <x:t xml:space="preserve">Let's A Go!</x:t>
  </x:si>
  <x:si>
    <x:t xml:space="preserve">42544</x:t>
  </x:si>
  <x:si>
    <x:t xml:space="preserve">https://www.smwcentral.net/?a=details&amp;id=42544&amp;p=section</x:t>
  </x:si>
  <x:si>
    <x:t xml:space="preserve">https://dl.smwcentral.net/42544/LAG.zip</x:t>
  </x:si>
  <x:si>
    <x:t xml:space="preserve">Let's Give Up</x:t>
  </x:si>
  <x:si>
    <x:t xml:space="preserve">BeeKaay</x:t>
  </x:si>
  <x:si>
    <x:t xml:space="preserve">24702</x:t>
  </x:si>
  <x:si>
    <x:t xml:space="preserve">https://www.smwcentral.net/?a=details&amp;id=24702&amp;p=section</x:t>
  </x:si>
  <x:si>
    <x:t xml:space="preserve">https://dl.smwcentral.net/24702/Let%27s%20Give%20Up.zip</x:t>
  </x:si>
  <x:si>
    <x:t xml:space="preserve">Level - 2023 Remaster</x:t>
  </x:si>
  <x:si>
    <x:t xml:space="preserve">37073</x:t>
  </x:si>
  <x:si>
    <x:t xml:space="preserve">https://www.smwcentral.net/?a=details&amp;id=37073&amp;p=section</x:t>
  </x:si>
  <x:si>
    <x:t xml:space="preserve">https://dl.smwcentral.net/37073/A%20glitch%20puzzle%20level%20-%202023%20Remaster.zip</x:t>
  </x:si>
  <x:si>
    <x:t xml:space="preserve">Levels</x:t>
  </x:si>
  <x:si>
    <x:t xml:space="preserve">Cwole23</x:t>
  </x:si>
  <x:si>
    <x:t xml:space="preserve">41477</x:t>
  </x:si>
  <x:si>
    <x:t xml:space="preserve">https://www.smwcentral.net/?a=details&amp;id=41477&amp;p=section</x:t>
  </x:si>
  <x:si>
    <x:t xml:space="preserve">https://dl.smwcentral.net/41477/LevelsV2real.zip</x:t>
  </x:si>
  <x:si>
    <x:t xml:space="preserve">Lewd Mario</x:t>
  </x:si>
  <x:si>
    <x:t xml:space="preserve">22418</x:t>
  </x:si>
  <x:si>
    <x:t xml:space="preserve">https://www.smwcentral.net/?a=details&amp;id=22418&amp;p=section</x:t>
  </x:si>
  <x:si>
    <x:t xml:space="preserve">https://dl.smwcentral.net/22418/Lewd%20Mario.zip</x:t>
  </x:si>
  <x:si>
    <x:t xml:space="preserve">Life Of Glitches</x:t>
  </x:si>
  <x:si>
    <x:t xml:space="preserve">ShadowDragon121</x:t>
  </x:si>
  <x:si>
    <x:t xml:space="preserve">6468</x:t>
  </x:si>
  <x:si>
    <x:t xml:space="preserve">https://www.smwcentral.net/?a=details&amp;id=6468&amp;p=section</x:t>
  </x:si>
  <x:si>
    <x:t xml:space="preserve">https://dl.smwcentral.net/6468/Life%20Of%20Glitches.zip</x:t>
  </x:si>
  <x:si>
    <x:t xml:space="preserve">Lightning Crashes</x:t>
  </x:si>
  <x:si>
    <x:t xml:space="preserve">9936</x:t>
  </x:si>
  <x:si>
    <x:t xml:space="preserve">https://www.smwcentral.net/?a=details&amp;id=9936&amp;p=section</x:t>
  </x:si>
  <x:si>
    <x:t xml:space="preserve">https://dl.smwcentral.net/9936/Lightning%20Crashes%201.2.zip</x:t>
  </x:si>
  <x:si>
    <x:t xml:space="preserve">Lil Mallow World</x:t>
  </x:si>
  <x:si>
    <x:t xml:space="preserve">FridayFables, Romhack Races Team</x:t>
  </x:si>
  <x:si>
    <x:t xml:space="preserve">18835</x:t>
  </x:si>
  <x:si>
    <x:t xml:space="preserve">https://www.smwcentral.net/?a=details&amp;id=18835&amp;p=section</x:t>
  </x:si>
  <x:si>
    <x:t xml:space="preserve">https://dl.smwcentral.net/18835/LilMallowWorld.zip</x:t>
  </x:si>
  <x:si>
    <x:t xml:space="preserve">Link's Adventure</x:t>
  </x:si>
  <x:si>
    <x:t xml:space="preserve">General Ike</x:t>
  </x:si>
  <x:si>
    <x:t xml:space="preserve">9754</x:t>
  </x:si>
  <x:si>
    <x:t xml:space="preserve">https://www.smwcentral.net/?a=details&amp;id=9754&amp;p=section</x:t>
  </x:si>
  <x:si>
    <x:t xml:space="preserve">https://dl.smwcentral.net/9754/Link%27s%20Adventure%20Demo%202.zip</x:t>
  </x:si>
  <x:si>
    <x:t xml:space="preserve">Linnaea</x:t>
  </x:si>
  <x:si>
    <x:t xml:space="preserve">33042</x:t>
  </x:si>
  <x:si>
    <x:t xml:space="preserve">https://www.smwcentral.net/?a=details&amp;id=33042&amp;p=section</x:t>
  </x:si>
  <x:si>
    <x:t xml:space="preserve">https://dl.smwcentral.net/33042/Linnaea.zip</x:t>
  </x:si>
  <x:si>
    <x:t xml:space="preserve">Liquid Metal</x:t>
  </x:si>
  <x:si>
    <x:t xml:space="preserve">38428</x:t>
  </x:si>
  <x:si>
    <x:t xml:space="preserve">https://www.smwcentral.net/?a=details&amp;id=38428&amp;p=section</x:t>
  </x:si>
  <x:si>
    <x:t xml:space="preserve">https://dl.smwcentral.net/38428/LiquidMetal2.0.zip</x:t>
  </x:si>
  <x:si>
    <x:t xml:space="preserve">Literally just a bonus room</x:t>
  </x:si>
  <x:si>
    <x:t xml:space="preserve">24758</x:t>
  </x:si>
  <x:si>
    <x:t xml:space="preserve">https://www.smwcentral.net/?a=details&amp;id=24758&amp;p=section</x:t>
  </x:si>
  <x:si>
    <x:t xml:space="preserve">https://dl.smwcentral.net/24758/bonusroom.zip</x:t>
  </x:si>
  <x:si>
    <x:t xml:space="preserve">Little Mario World</x:t>
  </x:si>
  <x:si>
    <x:t xml:space="preserve">OctaviusPepper</x:t>
  </x:si>
  <x:si>
    <x:t xml:space="preserve">24705</x:t>
  </x:si>
  <x:si>
    <x:t xml:space="preserve">https://www.smwcentral.net/?a=details&amp;id=24705&amp;p=section</x:t>
  </x:si>
  <x:si>
    <x:t xml:space="preserve">https://dl.smwcentral.net/24705/LittleMarioWorld.zip</x:t>
  </x:si>
  <x:si>
    <x:t xml:space="preserve">Long Road to Ruin</x:t>
  </x:si>
  <x:si>
    <x:t xml:space="preserve">xhsdf</x:t>
  </x:si>
  <x:si>
    <x:t xml:space="preserve">37666</x:t>
  </x:si>
  <x:si>
    <x:t xml:space="preserve">https://www.smwcentral.net/?a=details&amp;id=37666&amp;p=section</x:t>
  </x:si>
  <x:si>
    <x:t xml:space="preserve">https://dl.smwcentral.net/37666/Long%20Road%20to%20Ruin%201.1.zip</x:t>
  </x:si>
  <x:si>
    <x:t xml:space="preserve">17903</x:t>
  </x:si>
  <x:si>
    <x:t xml:space="preserve">https://www.smwcentral.net/?a=details&amp;id=17903&amp;p=section</x:t>
  </x:si>
  <x:si>
    <x:t xml:space="preserve">https://dl.smwcentral.net/17903/Lord%20Pickle%20World%20v1.3.zip</x:t>
  </x:si>
  <x:si>
    <x:t xml:space="preserve">Lost and Found</x:t>
  </x:si>
  <x:si>
    <x:t xml:space="preserve">Icon of Sin</x:t>
  </x:si>
  <x:si>
    <x:t xml:space="preserve">9916</x:t>
  </x:si>
  <x:si>
    <x:t xml:space="preserve">https://www.smwcentral.net/?a=details&amp;id=9916&amp;p=section</x:t>
  </x:si>
  <x:si>
    <x:t xml:space="preserve">https://dl.smwcentral.net/9916/Lost%20and%20Found%20Full%20version.zip</x:t>
  </x:si>
  <x:si>
    <x:t xml:space="preserve">Lost Dimension</x:t>
  </x:si>
  <x:si>
    <x:t xml:space="preserve">PercentN</x:t>
  </x:si>
  <x:si>
    <x:t xml:space="preserve">9874</x:t>
  </x:si>
  <x:si>
    <x:t xml:space="preserve">https://www.smwcentral.net/?a=details&amp;id=9874&amp;p=section</x:t>
  </x:si>
  <x:si>
    <x:t xml:space="preserve">https://dl.smwcentral.net/9874/Lost%20Dimension.zip</x:t>
  </x:si>
  <x:si>
    <x:t xml:space="preserve">Lost in Puzzle Land</x:t>
  </x:si>
  <x:si>
    <x:t xml:space="preserve">S.R.H.</x:t>
  </x:si>
  <x:si>
    <x:t xml:space="preserve">6310</x:t>
  </x:si>
  <x:si>
    <x:t xml:space="preserve">https://www.smwcentral.net/?a=details&amp;id=6310&amp;p=section</x:t>
  </x:si>
  <x:si>
    <x:t xml:space="preserve">https://dl.smwcentral.net/6310/PW2.4.zip</x:t>
  </x:si>
  <x:si>
    <x:t xml:space="preserve">Lost in the Forest</x:t>
  </x:si>
  <x:si>
    <x:t xml:space="preserve">17968</x:t>
  </x:si>
  <x:si>
    <x:t xml:space="preserve">https://www.smwcentral.net/?a=details&amp;id=17968&amp;p=section</x:t>
  </x:si>
  <x:si>
    <x:t xml:space="preserve">https://dl.smwcentral.net/17968/Lost%20in%20the%20Forest.zip</x:t>
  </x:si>
  <x:si>
    <x:t xml:space="preserve">Lost In Yoshi Island Remix</x:t>
  </x:si>
  <x:si>
    <x:t xml:space="preserve">goomba</x:t>
  </x:si>
  <x:si>
    <x:t xml:space="preserve">9890</x:t>
  </x:si>
  <x:si>
    <x:t xml:space="preserve">https://www.smwcentral.net/?a=details&amp;id=9890&amp;p=section</x:t>
  </x:si>
  <x:si>
    <x:t xml:space="preserve">https://dl.smwcentral.net/9890/lost%20in%20yoshi%27s%20island%20remix.zip</x:t>
  </x:si>
  <x:si>
    <x:t xml:space="preserve">Lost Mario Bros.</x:t>
  </x:si>
  <x:si>
    <x:t xml:space="preserve">Le Comte Niark</x:t>
  </x:si>
  <x:si>
    <x:t xml:space="preserve">7005</x:t>
  </x:si>
  <x:si>
    <x:t xml:space="preserve">https://www.smwcentral.net/?a=details&amp;id=7005&amp;p=section</x:t>
  </x:si>
  <x:si>
    <x:t xml:space="preserve">https://dl.smwcentral.net/7005/Lost%20Mario%20Bros.%20-%20Demo%202.1.zip</x:t>
  </x:si>
  <x:si>
    <x:t xml:space="preserve">Lost On The Islands</x:t>
  </x:si>
  <x:si>
    <x:t xml:space="preserve">therealSWK</x:t>
  </x:si>
  <x:si>
    <x:t xml:space="preserve">10057</x:t>
  </x:si>
  <x:si>
    <x:t xml:space="preserve">https://www.smwcentral.net/?a=details&amp;id=10057&amp;p=section</x:t>
  </x:si>
  <x:si>
    <x:t xml:space="preserve">https://dl.smwcentral.net/10057/Lost%20on%20the%20Islands%20Demo%20V1.1.zip</x:t>
  </x:si>
  <x:si>
    <x:t xml:space="preserve">Lost Paths</x:t>
  </x:si>
  <x:si>
    <x:t xml:space="preserve">Chuycraft</x:t>
  </x:si>
  <x:si>
    <x:t xml:space="preserve">41461</x:t>
  </x:si>
  <x:si>
    <x:t xml:space="preserve">https://www.smwcentral.net/?a=details&amp;id=41461&amp;p=section</x:t>
  </x:si>
  <x:si>
    <x:t xml:space="preserve">https://dl.smwcentral.net/41461/Lost%20Paths%20V1.2.1.zip</x:t>
  </x:si>
  <x:si>
    <x:t xml:space="preserve">Lost Places</x:t>
  </x:si>
  <x:si>
    <x:t xml:space="preserve">Schlafkopf</x:t>
  </x:si>
  <x:si>
    <x:t xml:space="preserve">26771</x:t>
  </x:si>
  <x:si>
    <x:t xml:space="preserve">https://www.smwcentral.net/?a=details&amp;id=26771&amp;p=section</x:t>
  </x:si>
  <x:si>
    <x:t xml:space="preserve">https://dl.smwcentral.net/26771/Lost%20Places%20Demo.zip</x:t>
  </x:si>
  <x:si>
    <x:t xml:space="preserve">Lost Wayfarers- The Escapade back to Mushroom Kingdom</x:t>
  </x:si>
  <x:si>
    <x:t xml:space="preserve">15632</x:t>
  </x:si>
  <x:si>
    <x:t xml:space="preserve">https://www.smwcentral.net/?a=details&amp;id=15632&amp;p=section</x:t>
  </x:si>
  <x:si>
    <x:t xml:space="preserve">https://dl.smwcentral.net/15632/LW.zip</x:t>
  </x:si>
  <x:si>
    <x:t xml:space="preserve">Love Letter</x:t>
  </x:si>
  <x:si>
    <x:t xml:space="preserve">40069</x:t>
  </x:si>
  <x:si>
    <x:t xml:space="preserve">https://www.smwcentral.net/?a=details&amp;id=40069&amp;p=section</x:t>
  </x:si>
  <x:si>
    <x:t xml:space="preserve">https://dl.smwcentral.net/40069/Love%20Letter.zip</x:t>
  </x:si>
  <x:si>
    <x:t xml:space="preserve">30864</x:t>
  </x:si>
  <x:si>
    <x:t xml:space="preserve">https://www.smwcentral.net/?a=details&amp;id=30864&amp;p=section</x:t>
  </x:si>
  <x:si>
    <x:t xml:space="preserve">https://dl.smwcentral.net/30864/Love%20Yourself%201.0.zip</x:t>
  </x:si>
  <x:si>
    <x:t xml:space="preserve">Lucky</x:t>
  </x:si>
  <x:si>
    <x:t xml:space="preserve">32513</x:t>
  </x:si>
  <x:si>
    <x:t xml:space="preserve">https://www.smwcentral.net/?a=details&amp;id=32513&amp;p=section</x:t>
  </x:si>
  <x:si>
    <x:t xml:space="preserve">https://dl.smwcentral.net/32513/Lucky%20V1.0A.zip</x:t>
  </x:si>
  <x:si>
    <x:t xml:space="preserve">Luigi and the Final Year</x:t>
  </x:si>
  <x:si>
    <x:t xml:space="preserve">21746</x:t>
  </x:si>
  <x:si>
    <x:t xml:space="preserve">https://www.smwcentral.net/?a=details&amp;id=21746&amp;p=section</x:t>
  </x:si>
  <x:si>
    <x:t xml:space="preserve">https://dl.smwcentral.net/21746/Luigi%20and%20the%20Final%20Year.zip</x:t>
  </x:si>
  <x:si>
    <x:t xml:space="preserve">Luigi and the Happy Hillside</x:t>
  </x:si>
  <x:si>
    <x:t xml:space="preserve">31167</x:t>
  </x:si>
  <x:si>
    <x:t xml:space="preserve">https://www.smwcentral.net/?a=details&amp;id=31167&amp;p=section</x:t>
  </x:si>
  <x:si>
    <x:t xml:space="preserve">https://dl.smwcentral.net/31167/HappyHillside.zip</x:t>
  </x:si>
  <x:si>
    <x:t xml:space="preserve">Luigi and the Island of Mystery</x:t>
  </x:si>
  <x:si>
    <x:t xml:space="preserve">14809</x:t>
  </x:si>
  <x:si>
    <x:t xml:space="preserve">https://www.smwcentral.net/?a=details&amp;id=14809&amp;p=section</x:t>
  </x:si>
  <x:si>
    <x:t xml:space="preserve">https://dl.smwcentral.net/14809/Luigi%20and%20the%20island%20of%20mystery.zip</x:t>
  </x:si>
  <x:si>
    <x:t xml:space="preserve">Luigi and the Mysterious Portals</x:t>
  </x:si>
  <x:si>
    <x:t xml:space="preserve">imamelia</x:t>
  </x:si>
  <x:si>
    <x:t xml:space="preserve">39174</x:t>
  </x:si>
  <x:si>
    <x:t xml:space="preserve">https://www.smwcentral.net/?a=details&amp;id=39174&amp;p=section</x:t>
  </x:si>
  <x:si>
    <x:t xml:space="preserve">https://dl.smwcentral.net/39174/Luigi%20and%20the%20Mysterious%20Portals.zip</x:t>
  </x:si>
  <x:si>
    <x:t xml:space="preserve">Luigi in: The Rescue of Daisy</x:t>
  </x:si>
  <x:si>
    <x:t xml:space="preserve">Retired Man</x:t>
  </x:si>
  <x:si>
    <x:t xml:space="preserve">10073</x:t>
  </x:si>
  <x:si>
    <x:t xml:space="preserve">https://www.smwcentral.net/?a=details&amp;id=10073&amp;p=section</x:t>
  </x:si>
  <x:si>
    <x:t xml:space="preserve">https://dl.smwcentral.net/10073/Luigi%20demo%201.zip</x:t>
  </x:si>
  <x:si>
    <x:t xml:space="preserve">Luigi Kaizo King</x:t>
  </x:si>
  <x:si>
    <x:t xml:space="preserve">20906</x:t>
  </x:si>
  <x:si>
    <x:t xml:space="preserve">https://www.smwcentral.net/?a=details&amp;id=20906&amp;p=section</x:t>
  </x:si>
  <x:si>
    <x:t xml:space="preserve">https://dl.smwcentral.net/20906/LKK.zip</x:t>
  </x:si>
  <x:si>
    <x:t xml:space="preserve">Luigi lost in Telinc's World</x:t>
  </x:si>
  <x:si>
    <x:t xml:space="preserve">Telinc1</x:t>
  </x:si>
  <x:si>
    <x:t xml:space="preserve">10212</x:t>
  </x:si>
  <x:si>
    <x:t xml:space="preserve">https://www.smwcentral.net/?a=details&amp;id=10212&amp;p=section</x:t>
  </x:si>
  <x:si>
    <x:t xml:space="preserve">https://dl.smwcentral.net/10212/Luigi%20lost%20in%20Telinc%27s%20World%20-%20Demo%201.5.zip</x:t>
  </x:si>
  <x:si>
    <x:t xml:space="preserve">Luigi Stardust Adventure</x:t>
  </x:si>
  <x:si>
    <x:t xml:space="preserve">Zavok</x:t>
  </x:si>
  <x:si>
    <x:t xml:space="preserve">25705</x:t>
  </x:si>
  <x:si>
    <x:t xml:space="preserve">https://www.smwcentral.net/?a=details&amp;id=25705&amp;p=section</x:t>
  </x:si>
  <x:si>
    <x:t xml:space="preserve">https://dl.smwcentral.net/25705/Luigi%20Stardust%20Adventure.zip</x:t>
  </x:si>
  <x:si>
    <x:t xml:space="preserve">Luigi's Adventure 3: Overseas Edition</x:t>
  </x:si>
  <x:si>
    <x:t xml:space="preserve">Anikiti</x:t>
  </x:si>
  <x:si>
    <x:t xml:space="preserve">27348</x:t>
  </x:si>
  <x:si>
    <x:t xml:space="preserve">https://www.smwcentral.net/?a=details&amp;id=27348&amp;p=section</x:t>
  </x:si>
  <x:si>
    <x:t xml:space="preserve">https://dl.smwcentral.net/27348/ladv3_ose_v10.zip</x:t>
  </x:si>
  <x:si>
    <x:t xml:space="preserve">Luigi's Adventure 4: The Revival of Tortoise Empire</x:t>
  </x:si>
  <x:si>
    <x:t xml:space="preserve">5127</x:t>
  </x:si>
  <x:si>
    <x:t xml:space="preserve">https://www.smwcentral.net/?a=details&amp;id=5127&amp;p=section</x:t>
  </x:si>
  <x:si>
    <x:t xml:space="preserve">https://dl.smwcentral.net/5127/ladv4_rev0422.zip</x:t>
  </x:si>
  <x:si>
    <x:t xml:space="preserve">Luigi's Adventure OSE</x:t>
  </x:si>
  <x:si>
    <x:t xml:space="preserve">34399</x:t>
  </x:si>
  <x:si>
    <x:t xml:space="preserve">https://www.smwcentral.net/?a=details&amp;id=34399&amp;p=section</x:t>
  </x:si>
  <x:si>
    <x:t xml:space="preserve">https://dl.smwcentral.net/34399/ladv_ose_v131.zip</x:t>
  </x:si>
  <x:si>
    <x:t xml:space="preserve">Luigi's Adventure OSE - The Lost Levels</x:t>
  </x:si>
  <x:si>
    <x:t xml:space="preserve">27196</x:t>
  </x:si>
  <x:si>
    <x:t xml:space="preserve">https://www.smwcentral.net/?a=details&amp;id=27196&amp;p=section</x:t>
  </x:si>
  <x:si>
    <x:t xml:space="preserve">https://dl.smwcentral.net/27196/Luigi%27s%20Adventure%20OSE%20-%20The%20Lost%20Levels%20-%20Fixed.zip</x:t>
  </x:si>
  <x:si>
    <x:t xml:space="preserve">Luigi's Decision</x:t>
  </x:si>
  <x:si>
    <x:t xml:space="preserve">Thundahack</x:t>
  </x:si>
  <x:si>
    <x:t xml:space="preserve">5180</x:t>
  </x:si>
  <x:si>
    <x:t xml:space="preserve">https://www.smwcentral.net/?a=details&amp;id=5180&amp;p=section</x:t>
  </x:si>
  <x:si>
    <x:t xml:space="preserve">https://dl.smwcentral.net/5180/Luigi%27s%20Decision.zip</x:t>
  </x:si>
  <x:si>
    <x:t xml:space="preserve">Luigi's First Adventure</x:t>
  </x:si>
  <x:si>
    <x:t xml:space="preserve">Yoshi987</x:t>
  </x:si>
  <x:si>
    <x:t xml:space="preserve">10000</x:t>
  </x:si>
  <x:si>
    <x:t xml:space="preserve">https://www.smwcentral.net/?a=details&amp;id=10000&amp;p=section</x:t>
  </x:si>
  <x:si>
    <x:t xml:space="preserve">https://dl.smwcentral.net/10000/Luigi%27s%20First%20Adventure%20%28Demo%29.zip</x:t>
  </x:si>
  <x:si>
    <x:t xml:space="preserve">Luigi's Heated Journey</x:t>
  </x:si>
  <x:si>
    <x:t xml:space="preserve">KennyJ</x:t>
  </x:si>
  <x:si>
    <x:t xml:space="preserve">10101</x:t>
  </x:si>
  <x:si>
    <x:t xml:space="preserve">https://www.smwcentral.net/?a=details&amp;id=10101&amp;p=section</x:t>
  </x:si>
  <x:si>
    <x:t xml:space="preserve">https://dl.smwcentral.net/10101/LHJ.zip</x:t>
  </x:si>
  <x:si>
    <x:t xml:space="preserve">Luigi's Lost Levels</x:t>
  </x:si>
  <x:si>
    <x:t xml:space="preserve">Romano338</x:t>
  </x:si>
  <x:si>
    <x:t xml:space="preserve">16689</x:t>
  </x:si>
  <x:si>
    <x:t xml:space="preserve">https://www.smwcentral.net/?a=details&amp;id=16689&amp;p=section</x:t>
  </x:si>
  <x:si>
    <x:t xml:space="preserve">https://dl.smwcentral.net/16689/Luigi%27s%20Lost%20Levels.zip</x:t>
  </x:si>
  <x:si>
    <x:t xml:space="preserve">Luigi's Lost Levels 2 - Back With A Revenge</x:t>
  </x:si>
  <x:si>
    <x:t xml:space="preserve">32187</x:t>
  </x:si>
  <x:si>
    <x:t xml:space="preserve">https://www.smwcentral.net/?a=details&amp;id=32187&amp;p=section</x:t>
  </x:si>
  <x:si>
    <x:t xml:space="preserve">https://dl.smwcentral.net/32187/Luigi%27s%20Lost%20Levels%202%20-%20Back%20With%20A%20Revenge.zip</x:t>
  </x:si>
  <x:si>
    <x:t xml:space="preserve">Luigi's Lost Levels 3 - Electrik Boogaloo</x:t>
  </x:si>
  <x:si>
    <x:t xml:space="preserve">32235</x:t>
  </x:si>
  <x:si>
    <x:t xml:space="preserve">https://www.smwcentral.net/?a=details&amp;id=32235&amp;p=section</x:t>
  </x:si>
  <x:si>
    <x:t xml:space="preserve">https://dl.smwcentral.net/32235/Luigi%27s%20Lost%20Levels%203%20-%20Electrik%20Boogaloo.zip</x:t>
  </x:si>
  <x:si>
    <x:t xml:space="preserve">Luigi's Misadventures - Tsux Namine's factor</x:t>
  </x:si>
  <x:si>
    <x:t xml:space="preserve">Roberto zampari</x:t>
  </x:si>
  <x:si>
    <x:t xml:space="preserve">15802</x:t>
  </x:si>
  <x:si>
    <x:t xml:space="preserve">https://www.smwcentral.net/?a=details&amp;id=15802&amp;p=section</x:t>
  </x:si>
  <x:si>
    <x:t xml:space="preserve">https://dl.smwcentral.net/15802/Luigimisadventures.zip</x:t>
  </x:si>
  <x:si>
    <x:t xml:space="preserve">Luigi's Misadventures 2 - Leviathan's Mania</x:t>
  </x:si>
  <x:si>
    <x:t xml:space="preserve">17632</x:t>
  </x:si>
  <x:si>
    <x:t xml:space="preserve">https://www.smwcentral.net/?a=details&amp;id=17632&amp;p=section</x:t>
  </x:si>
  <x:si>
    <x:t xml:space="preserve">https://dl.smwcentral.net/17632/luigimiss2full2A.zip</x:t>
  </x:si>
  <x:si>
    <x:t xml:space="preserve">Luigi's Misadventures 3 - Recipe for a disaster</x:t>
  </x:si>
  <x:si>
    <x:t xml:space="preserve">21799</x:t>
  </x:si>
  <x:si>
    <x:t xml:space="preserve">https://www.smwcentral.net/?a=details&amp;id=21799&amp;p=section</x:t>
  </x:si>
  <x:si>
    <x:t xml:space="preserve">https://dl.smwcentral.net/21799/Luigimiss3full1A.zip</x:t>
  </x:si>
  <x:si>
    <x:t xml:space="preserve">Luigi's Misadventures 4 - Galactic Kids Next Door</x:t>
  </x:si>
  <x:si>
    <x:t xml:space="preserve">31321</x:t>
  </x:si>
  <x:si>
    <x:t xml:space="preserve">https://www.smwcentral.net/?a=details&amp;id=31321&amp;p=section</x:t>
  </x:si>
  <x:si>
    <x:t xml:space="preserve">https://dl.smwcentral.net/31321/Luigimiss4_U3.zip</x:t>
  </x:si>
  <x:si>
    <x:t xml:space="preserve">Luigi's Misadventures 5 - Rougenia Merald's challenge</x:t>
  </x:si>
  <x:si>
    <x:t xml:space="preserve">35320</x:t>
  </x:si>
  <x:si>
    <x:t xml:space="preserve">https://www.smwcentral.net/?a=details&amp;id=35320&amp;p=section</x:t>
  </x:si>
  <x:si>
    <x:t xml:space="preserve">https://dl.smwcentral.net/35320/Luigimiss5full04A.zip</x:t>
  </x:si>
  <x:si>
    <x:t xml:space="preserve">Luigi's Misadventures 6 - Bambulua</x:t>
  </x:si>
  <x:si>
    <x:t xml:space="preserve">39177</x:t>
  </x:si>
  <x:si>
    <x:t xml:space="preserve">https://www.smwcentral.net/?a=details&amp;id=39177&amp;p=section</x:t>
  </x:si>
  <x:si>
    <x:t xml:space="preserve">https://dl.smwcentral.net/39177/Luigimiss6-F04a.zip</x:t>
  </x:si>
  <x:si>
    <x:t xml:space="preserve">Luigi's New Quest</x:t>
  </x:si>
  <x:si>
    <x:t xml:space="preserve">Mr. MS, edgar</x:t>
  </x:si>
  <x:si>
    <x:t xml:space="preserve">37057</x:t>
  </x:si>
  <x:si>
    <x:t xml:space="preserve">https://www.smwcentral.net/?a=details&amp;id=37057&amp;p=section</x:t>
  </x:si>
  <x:si>
    <x:t xml:space="preserve">https://dl.smwcentral.net/37057/LuigisNewQuest.zip</x:t>
  </x:si>
  <x:si>
    <x:t xml:space="preserve">Luigi's Revenge!</x:t>
  </x:si>
  <x:si>
    <x:t xml:space="preserve">Kaisaan</x:t>
  </x:si>
  <x:si>
    <x:t xml:space="preserve">13613</x:t>
  </x:si>
  <x:si>
    <x:t xml:space="preserve">https://www.smwcentral.net/?a=details&amp;id=13613&amp;p=section</x:t>
  </x:si>
  <x:si>
    <x:t xml:space="preserve">https://dl.smwcentral.net/13613/Luigi%27s%20Revenge%21.zip</x:t>
  </x:si>
  <x:si>
    <x:t xml:space="preserve">Luigi's Super Adventure - C3 Demo</x:t>
  </x:si>
  <x:si>
    <x:t xml:space="preserve">Dispace</x:t>
  </x:si>
  <x:si>
    <x:t xml:space="preserve">23606</x:t>
  </x:si>
  <x:si>
    <x:t xml:space="preserve">https://www.smwcentral.net/?a=details&amp;id=23606&amp;p=section</x:t>
  </x:si>
  <x:si>
    <x:t xml:space="preserve">https://dl.smwcentral.net/23606/luigi_super_adventure_c3_demo_v1.02.zip</x:t>
  </x:si>
  <x:si>
    <x:t xml:space="preserve">Luigi's Superstar Search</x:t>
  </x:si>
  <x:si>
    <x:t xml:space="preserve">Delmaru</x:t>
  </x:si>
  <x:si>
    <x:t xml:space="preserve">9912</x:t>
  </x:si>
  <x:si>
    <x:t xml:space="preserve">https://www.smwcentral.net/?a=details&amp;id=9912&amp;p=section</x:t>
  </x:si>
  <x:si>
    <x:t xml:space="preserve">https://dl.smwcentral.net/9912/LSSDemo1.1.zip</x:t>
  </x:si>
  <x:si>
    <x:t xml:space="preserve">Luigis Story</x:t>
  </x:si>
  <x:si>
    <x:t xml:space="preserve">PaperMario94</x:t>
  </x:si>
  <x:si>
    <x:t xml:space="preserve">10190</x:t>
  </x:si>
  <x:si>
    <x:t xml:space="preserve">https://www.smwcentral.net/?a=details&amp;id=10190&amp;p=section</x:t>
  </x:si>
  <x:si>
    <x:t xml:space="preserve">https://dl.smwcentral.net/10190/Luigis%20Story.zip</x:t>
  </x:si>
  <x:si>
    <x:t xml:space="preserve">TheBourgyman</x:t>
  </x:si>
  <x:si>
    <x:t xml:space="preserve">28951</x:t>
  </x:si>
  <x:si>
    <x:t xml:space="preserve">https://www.smwcentral.net/?a=details&amp;id=28951&amp;p=section</x:t>
  </x:si>
  <x:si>
    <x:t xml:space="preserve">https://dl.smwcentral.net/28951/Luminescent%20v1.02.zip</x:t>
  </x:si>
  <x:si>
    <x:t xml:space="preserve">Lunar Legends</x:t>
  </x:si>
  <x:si>
    <x:t xml:space="preserve">6498</x:t>
  </x:si>
  <x:si>
    <x:t xml:space="preserve">https://www.smwcentral.net/?a=details&amp;id=6498&amp;p=section</x:t>
  </x:si>
  <x:si>
    <x:t xml:space="preserve">https://dl.smwcentral.net/6498/LL%20-%20C3%20Demo.zip</x:t>
  </x:si>
  <x:si>
    <x:t xml:space="preserve">Lunar Legends: The Search</x:t>
  </x:si>
  <x:si>
    <x:t xml:space="preserve">5572</x:t>
  </x:si>
  <x:si>
    <x:t xml:space="preserve">https://www.smwcentral.net/?a=details&amp;id=5572&amp;p=section</x:t>
  </x:si>
  <x:si>
    <x:t xml:space="preserve">https://dl.smwcentral.net/5572/Lunar%20Legends%2C%20The%20Search%20-%20C3%20Demo.zip</x:t>
  </x:si>
  <x:si>
    <x:t xml:space="preserve">Lunar Magic 1.0 Adventures</x:t>
  </x:si>
  <x:si>
    <x:t xml:space="preserve">Carld923, Gartore, Maxodex, Pinci, StanTheMackiar, VashVaati, anonimzwx</x:t>
  </x:si>
  <x:si>
    <x:t xml:space="preserve">11760</x:t>
  </x:si>
  <x:si>
    <x:t xml:space="preserve">https://www.smwcentral.net/?a=details&amp;id=11760&amp;p=section</x:t>
  </x:si>
  <x:si>
    <x:t xml:space="preserve">https://dl.smwcentral.net/11760/LM%201.0%20Adventures%20v1.1.zip</x:t>
  </x:si>
  <x:si>
    <x:t xml:space="preserve">LunchBreak</x:t>
  </x:si>
  <x:si>
    <x:t xml:space="preserve">ToxicRave</x:t>
  </x:si>
  <x:si>
    <x:t xml:space="preserve">9818</x:t>
  </x:si>
  <x:si>
    <x:t xml:space="preserve">https://www.smwcentral.net/?a=details&amp;id=9818&amp;p=section</x:t>
  </x:si>
  <x:si>
    <x:t xml:space="preserve">https://dl.smwcentral.net/9818/LunchBreakDemo.zip</x:t>
  </x:si>
  <x:si>
    <x:t xml:space="preserve">Lurn 2 Shell</x:t>
  </x:si>
  <x:si>
    <x:t xml:space="preserve">Wolfguy423</x:t>
  </x:si>
  <x:si>
    <x:t xml:space="preserve">33600</x:t>
  </x:si>
  <x:si>
    <x:t xml:space="preserve">https://www.smwcentral.net/?a=details&amp;id=33600&amp;p=section</x:t>
  </x:si>
  <x:si>
    <x:t xml:space="preserve">https://dl.smwcentral.net/33600/Lurn2Shell.zip</x:t>
  </x:si>
  <x:si>
    <x:t xml:space="preserve">Lydian Mario World</x:t>
  </x:si>
  <x:si>
    <x:t xml:space="preserve">Jonah</x:t>
  </x:si>
  <x:si>
    <x:t xml:space="preserve">30107</x:t>
  </x:si>
  <x:si>
    <x:t xml:space="preserve">https://www.smwcentral.net/?a=details&amp;id=30107&amp;p=section</x:t>
  </x:si>
  <x:si>
    <x:t xml:space="preserve">https://dl.smwcentral.net/30107/Lydian%20Mario%20World.zip</x:t>
  </x:si>
  <x:si>
    <x:t xml:space="preserve">Mad with Kaizo Power</x:t>
  </x:si>
  <x:si>
    <x:t xml:space="preserve">24419</x:t>
  </x:si>
  <x:si>
    <x:t xml:space="preserve">https://www.smwcentral.net/?a=details&amp;id=24419&amp;p=section</x:t>
  </x:si>
  <x:si>
    <x:t xml:space="preserve">https://dl.smwcentral.net/24419/MadWithKaizoPower1_1.zip</x:t>
  </x:si>
  <x:si>
    <x:t xml:space="preserve">Made of Fantasy</x:t>
  </x:si>
  <x:si>
    <x:t xml:space="preserve">39844</x:t>
  </x:si>
  <x:si>
    <x:t xml:space="preserve">https://www.smwcentral.net/?a=details&amp;id=39844&amp;p=section</x:t>
  </x:si>
  <x:si>
    <x:t xml:space="preserve">https://dl.smwcentral.net/39844/Made%20of%20Fantasy%20v1.1.1.zip</x:t>
  </x:si>
  <x:si>
    <x:t xml:space="preserve">Magiopolis</x:t>
  </x:si>
  <x:si>
    <x:t xml:space="preserve">Mpereira</x:t>
  </x:si>
  <x:si>
    <x:t xml:space="preserve">28580</x:t>
  </x:si>
  <x:si>
    <x:t xml:space="preserve">https://www.smwcentral.net/?a=details&amp;id=28580&amp;p=section</x:t>
  </x:si>
  <x:si>
    <x:t xml:space="preserve">https://dl.smwcentral.net/28580/Magiopolis.zip</x:t>
  </x:si>
  <x:si>
    <x:t xml:space="preserve">Mahogen</x:t>
  </x:si>
  <x:si>
    <x:t xml:space="preserve">marleymm</x:t>
  </x:si>
  <x:si>
    <x:t xml:space="preserve">26519</x:t>
  </x:si>
  <x:si>
    <x:t xml:space="preserve">https://www.smwcentral.net/?a=details&amp;id=26519&amp;p=section</x:t>
  </x:si>
  <x:si>
    <x:t xml:space="preserve">https://dl.smwcentral.net/26519/Mahogen.zip</x:t>
  </x:si>
  <x:si>
    <x:t xml:space="preserve">mancorsa</x:t>
  </x:si>
  <x:si>
    <x:t xml:space="preserve">Steven Atauchi, alvinwawa</x:t>
  </x:si>
  <x:si>
    <x:t xml:space="preserve">38063</x:t>
  </x:si>
  <x:si>
    <x:t xml:space="preserve">https://www.smwcentral.net/?a=details&amp;id=38063&amp;p=section</x:t>
  </x:si>
  <x:si>
    <x:t xml:space="preserve">https://dl.smwcentral.net/38063/mancorsa.zip</x:t>
  </x:si>
  <x:si>
    <x:t xml:space="preserve">Maple Island</x:t>
  </x:si>
  <x:si>
    <x:t xml:space="preserve">Jungche</x:t>
  </x:si>
  <x:si>
    <x:t xml:space="preserve">9889</x:t>
  </x:si>
  <x:si>
    <x:t xml:space="preserve">https://www.smwcentral.net/?a=details&amp;id=9889&amp;p=section</x:t>
  </x:si>
  <x:si>
    <x:t xml:space="preserve">https://dl.smwcentral.net/9889/Maple%20Island%20DEMO.zip</x:t>
  </x:si>
  <x:si>
    <x:t xml:space="preserve">MARIO [SMWC #6416]</x:t>
  </x:si>
  <x:si>
    <x:t xml:space="preserve">MARIO</x:t>
  </x:si>
  <x:si>
    <x:t xml:space="preserve">Adam, M A R I O</x:t>
  </x:si>
  <x:si>
    <x:t xml:space="preserve">6416</x:t>
  </x:si>
  <x:si>
    <x:t xml:space="preserve">https://www.smwcentral.net/?a=details&amp;id=6416&amp;p=section</x:t>
  </x:si>
  <x:si>
    <x:t xml:space="preserve">https://dl.smwcentral.net/6416/MARIO.zip</x:t>
  </x:si>
  <x:si>
    <x:t xml:space="preserve">Mario [SMWC #9891]</x:t>
  </x:si>
  <x:si>
    <x:t xml:space="preserve">Mario</x:t>
  </x:si>
  <x:si>
    <x:t xml:space="preserve">UmbreonRomReviews</x:t>
  </x:si>
  <x:si>
    <x:t xml:space="preserve">9891</x:t>
  </x:si>
  <x:si>
    <x:t xml:space="preserve">https://www.smwcentral.net/?a=details&amp;id=9891&amp;p=section</x:t>
  </x:si>
  <x:si>
    <x:t xml:space="preserve">https://dl.smwcentral.net/9891/Mario.zip</x:t>
  </x:si>
  <x:si>
    <x:t xml:space="preserve">Mario &amp; Friends in: Volcanic Panic</x:t>
  </x:si>
  <x:si>
    <x:t xml:space="preserve">CircleFriendo, HamOfJustice, sio-kedelic</x:t>
  </x:si>
  <x:si>
    <x:t xml:space="preserve">38927</x:t>
  </x:si>
  <x:si>
    <x:t xml:space="preserve">https://www.smwcentral.net/?a=details&amp;id=38927&amp;p=section</x:t>
  </x:si>
  <x:si>
    <x:t xml:space="preserve">https://dl.smwcentral.net/38927/marioandfriends2.zip</x:t>
  </x:si>
  <x:si>
    <x:t xml:space="preserve">Mario &amp; La Sphère de Toad 2</x:t>
  </x:si>
  <x:si>
    <x:t xml:space="preserve">Aurel509</x:t>
  </x:si>
  <x:si>
    <x:t xml:space="preserve">6809</x:t>
  </x:si>
  <x:si>
    <x:t xml:space="preserve">https://www.smwcentral.net/?a=details&amp;id=6809&amp;p=section</x:t>
  </x:si>
  <x:si>
    <x:t xml:space="preserve">https://dl.smwcentral.net/6809/Mario%20%26%20la%20sph%C3%A8re%20de%20Toad%20Demo%202%20%28%20V.0.6%29%20Fixed%20%20bugs%20%282%29.zip</x:t>
  </x:si>
  <x:si>
    <x:t xml:space="preserve">Mario &amp; Luigi - Mecha Koopa Mayhem</x:t>
  </x:si>
  <x:si>
    <x:t xml:space="preserve">Kitikuchan, Kusamochi, This Eye o' Mine</x:t>
  </x:si>
  <x:si>
    <x:t xml:space="preserve">29716</x:t>
  </x:si>
  <x:si>
    <x:t xml:space="preserve">https://www.smwcentral.net/?a=details&amp;id=29716&amp;p=section</x:t>
  </x:si>
  <x:si>
    <x:t xml:space="preserve">https://dl.smwcentral.net/29716/Mecha_Koopa_Mayhem_v1.21.zip</x:t>
  </x:si>
  <x:si>
    <x:t xml:space="preserve">Mario &amp; Luigi DOS Remake</x:t>
  </x:si>
  <x:si>
    <x:t xml:space="preserve">Superjustinbros</x:t>
  </x:si>
  <x:si>
    <x:t xml:space="preserve">10092</x:t>
  </x:si>
  <x:si>
    <x:t xml:space="preserve">https://www.smwcentral.net/?a=details&amp;id=10092&amp;p=section</x:t>
  </x:si>
  <x:si>
    <x:t xml:space="preserve">https://dl.smwcentral.net/10092/Mario%20%26%20Luigi%20DOSv2.ips.zip</x:t>
  </x:si>
  <x:si>
    <x:t xml:space="preserve">Mario &amp; Luigi: Adventures</x:t>
  </x:si>
  <x:si>
    <x:t xml:space="preserve">Marioman</x:t>
  </x:si>
  <x:si>
    <x:t xml:space="preserve">9856</x:t>
  </x:si>
  <x:si>
    <x:t xml:space="preserve">https://www.smwcentral.net/?a=details&amp;id=9856&amp;p=section</x:t>
  </x:si>
  <x:si>
    <x:t xml:space="preserve">https://dl.smwcentral.net/9856/M%26L%20Adventures.zip</x:t>
  </x:si>
  <x:si>
    <x:t xml:space="preserve">Mario &amp; Luigi: Kola Kingdom Quest</x:t>
  </x:si>
  <x:si>
    <x:t xml:space="preserve">15940</x:t>
  </x:si>
  <x:si>
    <x:t xml:space="preserve">https://www.smwcentral.net/?a=details&amp;id=15940&amp;p=section</x:t>
  </x:si>
  <x:si>
    <x:t xml:space="preserve">https://dl.smwcentral.net/15940/KKQFixedIntros.zip</x:t>
  </x:si>
  <x:si>
    <x:t xml:space="preserve">Mario &amp; Luigi: Power Blast</x:t>
  </x:si>
  <x:si>
    <x:t xml:space="preserve">18162</x:t>
  </x:si>
  <x:si>
    <x:t xml:space="preserve">https://www.smwcentral.net/?a=details&amp;id=18162&amp;p=section</x:t>
  </x:si>
  <x:si>
    <x:t xml:space="preserve">https://dl.smwcentral.net/18162/MarioLuigiPowerBlastDemo.zip</x:t>
  </x:si>
  <x:si>
    <x:t xml:space="preserve">Mario &amp; Luigi: Starlight Island Adventure</x:t>
  </x:si>
  <x:si>
    <x:t xml:space="preserve">12162</x:t>
  </x:si>
  <x:si>
    <x:t xml:space="preserve">https://www.smwcentral.net/?a=details&amp;id=12162&amp;p=section</x:t>
  </x:si>
  <x:si>
    <x:t xml:space="preserve">https://dl.smwcentral.net/12162/Starlight%20Island%20Adventure.zip</x:t>
  </x:si>
  <x:si>
    <x:t xml:space="preserve">Mario &amp; Waluigi: In Search of Luigi</x:t>
  </x:si>
  <x:si>
    <x:t xml:space="preserve">Arinsu</x:t>
  </x:si>
  <x:si>
    <x:t xml:space="preserve">11900</x:t>
  </x:si>
  <x:si>
    <x:t xml:space="preserve">https://www.smwcentral.net/?a=details&amp;id=11900&amp;p=section</x:t>
  </x:si>
  <x:si>
    <x:t xml:space="preserve">https://dl.smwcentral.net/11900/M%26W%20-%20ISoL.zip</x:t>
  </x:si>
  <x:si>
    <x:t xml:space="preserve">Mario - Crazy Adventures 1: Lost in Subcoony World</x:t>
  </x:si>
  <x:si>
    <x:t xml:space="preserve">Major Flare</x:t>
  </x:si>
  <x:si>
    <x:t xml:space="preserve">5276</x:t>
  </x:si>
  <x:si>
    <x:t xml:space="preserve">https://www.smwcentral.net/?a=details&amp;id=5276&amp;p=section</x:t>
  </x:si>
  <x:si>
    <x:t xml:space="preserve">https://dl.smwcentral.net/5276/Crazy%20adventure%20demo%201.zip</x:t>
  </x:si>
  <x:si>
    <x:t xml:space="preserve">Mario - The Currently Unnamed Hack</x:t>
  </x:si>
  <x:si>
    <x:t xml:space="preserve">Halzyn</x:t>
  </x:si>
  <x:si>
    <x:t xml:space="preserve">9837</x:t>
  </x:si>
  <x:si>
    <x:t xml:space="preserve">https://www.smwcentral.net/?a=details&amp;id=9837&amp;p=section</x:t>
  </x:si>
  <x:si>
    <x:t xml:space="preserve">https://dl.smwcentral.net/9837/mario%20-%20tcuh.zip</x:t>
  </x:si>
  <x:si>
    <x:t xml:space="preserve">Mario - The Mystical Gem</x:t>
  </x:si>
  <x:si>
    <x:t xml:space="preserve">36967</x:t>
  </x:si>
  <x:si>
    <x:t xml:space="preserve">https://www.smwcentral.net/?a=details&amp;id=36967&amp;p=section</x:t>
  </x:si>
  <x:si>
    <x:t xml:space="preserve">https://dl.smwcentral.net/36967/MTMGR1_8.zip</x:t>
  </x:si>
  <x:si>
    <x:t xml:space="preserve">Mario and Friends in: The Ghost's Gallery</x:t>
  </x:si>
  <x:si>
    <x:t xml:space="preserve">29048</x:t>
  </x:si>
  <x:si>
    <x:t xml:space="preserve">https://www.smwcentral.net/?a=details&amp;id=29048&amp;p=section</x:t>
  </x:si>
  <x:si>
    <x:t xml:space="preserve">https://dl.smwcentral.net/29048/marioandfriends.zip</x:t>
  </x:si>
  <x:si>
    <x:t xml:space="preserve">Mario and Luigi Go to White Castle</x:t>
  </x:si>
  <x:si>
    <x:t xml:space="preserve">Scrambles_</x:t>
  </x:si>
  <x:si>
    <x:t xml:space="preserve">28604</x:t>
  </x:si>
  <x:si>
    <x:t xml:space="preserve">https://www.smwcentral.net/?a=details&amp;id=28604&amp;p=section</x:t>
  </x:si>
  <x:si>
    <x:t xml:space="preserve">https://dl.smwcentral.net/28604/White%20Castle.zip</x:t>
  </x:si>
  <x:si>
    <x:t xml:space="preserve">Mario and Luigi in an Unknown Island [SMWC #23496]</x:t>
  </x:si>
  <x:si>
    <x:t xml:space="preserve">Mario and Luigi in an Unknown Island</x:t>
  </x:si>
  <x:si>
    <x:t xml:space="preserve">MirrorReflect</x:t>
  </x:si>
  <x:si>
    <x:t xml:space="preserve">23496</x:t>
  </x:si>
  <x:si>
    <x:t xml:space="preserve">https://www.smwcentral.net/?a=details&amp;id=23496&amp;p=section</x:t>
  </x:si>
  <x:si>
    <x:t xml:space="preserve">https://dl.smwcentral.net/23496/Mario%20and%20Luigi%20in%20an%20Unknown%20Island.zip</x:t>
  </x:si>
  <x:si>
    <x:t xml:space="preserve">Mario and Luigi in an Unknown Island [SMWC #34207]</x:t>
  </x:si>
  <x:si>
    <x:t xml:space="preserve">34207</x:t>
  </x:si>
  <x:si>
    <x:t xml:space="preserve">https://www.smwcentral.net/?a=details&amp;id=34207&amp;p=section</x:t>
  </x:si>
  <x:si>
    <x:t xml:space="preserve">https://dl.smwcentral.net/34207/Mario%20and%20Luigi%20in%20an%20Unknown%20Island.zip</x:t>
  </x:si>
  <x:si>
    <x:t xml:space="preserve">Mario and Luigi in an Unknown Island [SMWC #40092]</x:t>
  </x:si>
  <x:si>
    <x:t xml:space="preserve">40092</x:t>
  </x:si>
  <x:si>
    <x:t xml:space="preserve">https://www.smwcentral.net/?a=details&amp;id=40092&amp;p=section</x:t>
  </x:si>
  <x:si>
    <x:t xml:space="preserve">https://dl.smwcentral.net/40092/M%26L%20UI.zip</x:t>
  </x:si>
  <x:si>
    <x:t xml:space="preserve">Mario and luigi MEGA Adventure 1</x:t>
  </x:si>
  <x:si>
    <x:t xml:space="preserve">Master mario 27</x:t>
  </x:si>
  <x:si>
    <x:t xml:space="preserve">10137</x:t>
  </x:si>
  <x:si>
    <x:t xml:space="preserve">https://www.smwcentral.net/?a=details&amp;id=10137&amp;p=section</x:t>
  </x:si>
  <x:si>
    <x:t xml:space="preserve">https://dl.smwcentral.net/10137/Mario%20and%20Luigi%20MEGA%20Adventure%201%20Demo%202.0.zip</x:t>
  </x:si>
  <x:si>
    <x:t xml:space="preserve">Mario And Luigi: Super Berry World</x:t>
  </x:si>
  <x:si>
    <x:t xml:space="preserve">LeonDragonCat, ViralTyphlosion</x:t>
  </x:si>
  <x:si>
    <x:t xml:space="preserve">15571</x:t>
  </x:si>
  <x:si>
    <x:t xml:space="preserve">https://www.smwcentral.net/?a=details&amp;id=15571&amp;p=section</x:t>
  </x:si>
  <x:si>
    <x:t xml:space="preserve">https://dl.smwcentral.net/15571/Mario%20and%20Luigi%20Super%20Berry%20World%20First%20Demo.zip</x:t>
  </x:si>
  <x:si>
    <x:t xml:space="preserve">Mario and The 5 Golden Eggs</x:t>
  </x:si>
  <x:si>
    <x:t xml:space="preserve">10098</x:t>
  </x:si>
  <x:si>
    <x:t xml:space="preserve">https://www.smwcentral.net/?a=details&amp;id=10098&amp;p=section</x:t>
  </x:si>
  <x:si>
    <x:t xml:space="preserve">https://dl.smwcentral.net/10098/Mario%20and%20the%205%20Golden%20Eggs.zip</x:t>
  </x:si>
  <x:si>
    <x:t xml:space="preserve">Mario and the Cursed Coins</x:t>
  </x:si>
  <x:si>
    <x:t xml:space="preserve">RedboneBit</x:t>
  </x:si>
  <x:si>
    <x:t xml:space="preserve">9913</x:t>
  </x:si>
  <x:si>
    <x:t xml:space="preserve">https://www.smwcentral.net/?a=details&amp;id=9913&amp;p=section</x:t>
  </x:si>
  <x:si>
    <x:t xml:space="preserve">https://dl.smwcentral.net/9913/CursedCoinsSampler.zip</x:t>
  </x:si>
  <x:si>
    <x:t xml:space="preserve">Mario And The Diamond Moon</x:t>
  </x:si>
  <x:si>
    <x:t xml:space="preserve">39488</x:t>
  </x:si>
  <x:si>
    <x:t xml:space="preserve">https://www.smwcentral.net/?a=details&amp;id=39488&amp;p=section</x:t>
  </x:si>
  <x:si>
    <x:t xml:space="preserve">https://dl.smwcentral.net/39488/Mario%27s%20And%20The%20Diamond%20Moon.zip</x:t>
  </x:si>
  <x:si>
    <x:t xml:space="preserve">Mario and the Forgotten Flower</x:t>
  </x:si>
  <x:si>
    <x:t xml:space="preserve">Kh2playa</x:t>
  </x:si>
  <x:si>
    <x:t xml:space="preserve">9846</x:t>
  </x:si>
  <x:si>
    <x:t xml:space="preserve">https://www.smwcentral.net/?a=details&amp;id=9846&amp;p=section</x:t>
  </x:si>
  <x:si>
    <x:t xml:space="preserve">https://dl.smwcentral.net/9846/Mario%20forgotten%20flower.zip</x:t>
  </x:si>
  <x:si>
    <x:t xml:space="preserve">Mario And The Golden Star</x:t>
  </x:si>
  <x:si>
    <x:t xml:space="preserve">41605</x:t>
  </x:si>
  <x:si>
    <x:t xml:space="preserve">https://www.smwcentral.net/?a=details&amp;id=41605&amp;p=section</x:t>
  </x:si>
  <x:si>
    <x:t xml:space="preserve">https://dl.smwcentral.net/41605/Mario%20And%20The%20Golden%20Star.zip</x:t>
  </x:si>
  <x:si>
    <x:t xml:space="preserve">Mario and the Haunted Forest 2: Kamek's Return</x:t>
  </x:si>
  <x:si>
    <x:t xml:space="preserve">Mr.GameAndWatch</x:t>
  </x:si>
  <x:si>
    <x:t xml:space="preserve">9802</x:t>
  </x:si>
  <x:si>
    <x:t xml:space="preserve">https://www.smwcentral.net/?a=details&amp;id=9802&amp;p=section</x:t>
  </x:si>
  <x:si>
    <x:t xml:space="preserve">https://dl.smwcentral.net/9802/MATHF%20DEMO%201.1.zip</x:t>
  </x:si>
  <x:si>
    <x:t xml:space="preserve">Mario and the Kaizo Trials</x:t>
  </x:si>
  <x:si>
    <x:t xml:space="preserve">PedroHrodrigues</x:t>
  </x:si>
  <x:si>
    <x:t xml:space="preserve">22897</x:t>
  </x:si>
  <x:si>
    <x:t xml:space="preserve">https://www.smwcentral.net/?a=details&amp;id=22897&amp;p=section</x:t>
  </x:si>
  <x:si>
    <x:t xml:space="preserve">https://dl.smwcentral.net/22897/MarioAndTheKaizoTrials.zip</x:t>
  </x:si>
  <x:si>
    <x:t xml:space="preserve">Mario and the Magic Switches</x:t>
  </x:si>
  <x:si>
    <x:t xml:space="preserve">yoshiapplecachetitos</x:t>
  </x:si>
  <x:si>
    <x:t xml:space="preserve">10179</x:t>
  </x:si>
  <x:si>
    <x:t xml:space="preserve">https://www.smwcentral.net/?a=details&amp;id=10179&amp;p=section</x:t>
  </x:si>
  <x:si>
    <x:t xml:space="preserve">https://dl.smwcentral.net/10179/Mario%20and%20the%20Magic%20Switches%20v1.2.zip</x:t>
  </x:si>
  <x:si>
    <x:t xml:space="preserve">Mario and the Mushroom of Power</x:t>
  </x:si>
  <x:si>
    <x:t xml:space="preserve">SafeDesire</x:t>
  </x:si>
  <x:si>
    <x:t xml:space="preserve">9851</x:t>
  </x:si>
  <x:si>
    <x:t xml:space="preserve">https://www.smwcentral.net/?a=details&amp;id=9851&amp;p=section</x:t>
  </x:si>
  <x:si>
    <x:t xml:space="preserve">https://dl.smwcentral.net/9851/Mario%20and%20The%20Mushroom%20of%20Power.zip</x:t>
  </x:si>
  <x:si>
    <x:t xml:space="preserve">Mario and the Mysterious Robot</x:t>
  </x:si>
  <x:si>
    <x:t xml:space="preserve">Firebar</x:t>
  </x:si>
  <x:si>
    <x:t xml:space="preserve">5113</x:t>
  </x:si>
  <x:si>
    <x:t xml:space="preserve">https://www.smwcentral.net/?a=details&amp;id=5113&amp;p=section</x:t>
  </x:si>
  <x:si>
    <x:t xml:space="preserve">https://dl.smwcentral.net/5113/MATMR%20hack.zip</x:t>
  </x:si>
  <x:si>
    <x:t xml:space="preserve">Mario and the Parallel World</x:t>
  </x:si>
  <x:si>
    <x:t xml:space="preserve">mamlazizou</x:t>
  </x:si>
  <x:si>
    <x:t xml:space="preserve">9618</x:t>
  </x:si>
  <x:si>
    <x:t xml:space="preserve">https://www.smwcentral.net/?a=details&amp;id=9618&amp;p=section</x:t>
  </x:si>
  <x:si>
    <x:t xml:space="preserve">https://dl.smwcentral.net/9618/Mario%20and%20the%20parallel%20world%20%5B%20FR%20%5D.zip</x:t>
  </x:si>
  <x:si>
    <x:t xml:space="preserve">Mario and the Passage of Perils</x:t>
  </x:si>
  <x:si>
    <x:t xml:space="preserve">Crystal King</x:t>
  </x:si>
  <x:si>
    <x:t xml:space="preserve">9917</x:t>
  </x:si>
  <x:si>
    <x:t xml:space="preserve">https://www.smwcentral.net/?a=details&amp;id=9917&amp;p=section</x:t>
  </x:si>
  <x:si>
    <x:t xml:space="preserve">https://dl.smwcentral.net/9917/PoP.zip</x:t>
  </x:si>
  <x:si>
    <x:t xml:space="preserve">Mario and the Pipe of Challenges</x:t>
  </x:si>
  <x:si>
    <x:t xml:space="preserve">LuigiPikachu</x:t>
  </x:si>
  <x:si>
    <x:t xml:space="preserve">9968</x:t>
  </x:si>
  <x:si>
    <x:t xml:space="preserve">https://www.smwcentral.net/?a=details&amp;id=9968&amp;p=section</x:t>
  </x:si>
  <x:si>
    <x:t xml:space="preserve">https://dl.smwcentral.net/9968/Mario%20and%20the%20pipe%20of%20challenges.zip</x:t>
  </x:si>
  <x:si>
    <x:t xml:space="preserve">Mario and the Sphere of Toad - Reloaded</x:t>
  </x:si>
  <x:si>
    <x:t xml:space="preserve">18437</x:t>
  </x:si>
  <x:si>
    <x:t xml:space="preserve">https://www.smwcentral.net/?a=details&amp;id=18437&amp;p=section</x:t>
  </x:si>
  <x:si>
    <x:t xml:space="preserve">https://dl.smwcentral.net/18437/MLSDT2R.zip</x:t>
  </x:si>
  <x:si>
    <x:t xml:space="preserve">Mario and the Stolen Yoshi-Egg</x:t>
  </x:si>
  <x:si>
    <x:t xml:space="preserve">Humingbird96</x:t>
  </x:si>
  <x:si>
    <x:t xml:space="preserve">9810</x:t>
  </x:si>
  <x:si>
    <x:t xml:space="preserve">https://www.smwcentral.net/?a=details&amp;id=9810&amp;p=section</x:t>
  </x:si>
  <x:si>
    <x:t xml:space="preserve">https://dl.smwcentral.net/9810/Mario%20and%20the%20stolen%20Yoshi%20egg.zip</x:t>
  </x:si>
  <x:si>
    <x:t xml:space="preserve">Mario and the Thwomp</x:t>
  </x:si>
  <x:si>
    <x:t xml:space="preserve">Master S</x:t>
  </x:si>
  <x:si>
    <x:t xml:space="preserve">9941</x:t>
  </x:si>
  <x:si>
    <x:t xml:space="preserve">https://www.smwcentral.net/?a=details&amp;id=9941&amp;p=section</x:t>
  </x:si>
  <x:si>
    <x:t xml:space="preserve">https://dl.smwcentral.net/9941/MATT%20Beta%20Demo.zip</x:t>
  </x:si>
  <x:si>
    <x:t xml:space="preserve">Mario at the Kasranova Levels</x:t>
  </x:si>
  <x:si>
    <x:t xml:space="preserve">19357</x:t>
  </x:si>
  <x:si>
    <x:t xml:space="preserve">https://www.smwcentral.net/?a=details&amp;id=19357&amp;p=section</x:t>
  </x:si>
  <x:si>
    <x:t xml:space="preserve">https://dl.smwcentral.net/19357/Mario%20at%20the%20Kasranova%20Levels.zip</x:t>
  </x:si>
  <x:si>
    <x:t xml:space="preserve">Mario at the Kasranova Levels 2: Imgelemden Hallice</x:t>
  </x:si>
  <x:si>
    <x:t xml:space="preserve">21232</x:t>
  </x:si>
  <x:si>
    <x:t xml:space="preserve">https://www.smwcentral.net/?a=details&amp;id=21232&amp;p=section</x:t>
  </x:si>
  <x:si>
    <x:t xml:space="preserve">https://dl.smwcentral.net/21232/mario%20at%20the%20kasranova%20levels%202%20-%20imgelemden%20hallice.zip</x:t>
  </x:si>
  <x:si>
    <x:t xml:space="preserve">Mario Bros Adventure Land</x:t>
  </x:si>
  <x:si>
    <x:t xml:space="preserve">Wind Fish</x:t>
  </x:si>
  <x:si>
    <x:t xml:space="preserve">10206</x:t>
  </x:si>
  <x:si>
    <x:t xml:space="preserve">https://www.smwcentral.net/?a=details&amp;id=10206&amp;p=section</x:t>
  </x:si>
  <x:si>
    <x:t xml:space="preserve">https://dl.smwcentral.net/10206/MBAL_demo1.zip</x:t>
  </x:si>
  <x:si>
    <x:t xml:space="preserve">Mario Brother World</x:t>
  </x:si>
  <x:si>
    <x:t xml:space="preserve">Keypas</x:t>
  </x:si>
  <x:si>
    <x:t xml:space="preserve">9971</x:t>
  </x:si>
  <x:si>
    <x:t xml:space="preserve">https://www.smwcentral.net/?a=details&amp;id=9971&amp;p=section</x:t>
  </x:si>
  <x:si>
    <x:t xml:space="preserve">https://dl.smwcentral.net/9971/MBW%20demo.zip</x:t>
  </x:si>
  <x:si>
    <x:t xml:space="preserve">Mario Brother World 2</x:t>
  </x:si>
  <x:si>
    <x:t xml:space="preserve">10122</x:t>
  </x:si>
  <x:si>
    <x:t xml:space="preserve">https://www.smwcentral.net/?a=details&amp;id=10122&amp;p=section</x:t>
  </x:si>
  <x:si>
    <x:t xml:space="preserve">https://dl.smwcentral.net/10122/MBW2.zip</x:t>
  </x:si>
  <x:si>
    <x:t xml:space="preserve">Mario Brothers Adventures</x:t>
  </x:si>
  <x:si>
    <x:t xml:space="preserve">nintendofreck</x:t>
  </x:si>
  <x:si>
    <x:t xml:space="preserve">10069</x:t>
  </x:si>
  <x:si>
    <x:t xml:space="preserve">https://www.smwcentral.net/?a=details&amp;id=10069&amp;p=section</x:t>
  </x:si>
  <x:si>
    <x:t xml:space="preserve">https://dl.smwcentral.net/10069/MBAV02.zip</x:t>
  </x:si>
  <x:si>
    <x:t xml:space="preserve">Mario Curse Hunter</x:t>
  </x:si>
  <x:si>
    <x:t xml:space="preserve">9852</x:t>
  </x:si>
  <x:si>
    <x:t xml:space="preserve">https://www.smwcentral.net/?a=details&amp;id=9852&amp;p=section</x:t>
  </x:si>
  <x:si>
    <x:t xml:space="preserve">https://dl.smwcentral.net/9852/Mario%20Curse%20Hunter%20Demo%201.5.zip</x:t>
  </x:si>
  <x:si>
    <x:t xml:space="preserve">Mario Destroys the World</x:t>
  </x:si>
  <x:si>
    <x:t xml:space="preserve">NobbyBop</x:t>
  </x:si>
  <x:si>
    <x:t xml:space="preserve">29559</x:t>
  </x:si>
  <x:si>
    <x:t xml:space="preserve">https://www.smwcentral.net/?a=details&amp;id=29559&amp;p=section</x:t>
  </x:si>
  <x:si>
    <x:t xml:space="preserve">https://dl.smwcentral.net/29559/Mario%20Destroys%20the%20World.zip</x:t>
  </x:si>
  <x:si>
    <x:t xml:space="preserve">MARIO EN BUSCA DE LA MASTER EMERALD (DEMO WORLD 2)</x:t>
  </x:si>
  <x:si>
    <x:t xml:space="preserve">Reynner's</x:t>
  </x:si>
  <x:si>
    <x:t xml:space="preserve">41397</x:t>
  </x:si>
  <x:si>
    <x:t xml:space="preserve">https://www.smwcentral.net/?a=details&amp;id=41397&amp;p=section</x:t>
  </x:si>
  <x:si>
    <x:t xml:space="preserve">https://dl.smwcentral.net/41397/MARIO.zip</x:t>
  </x:si>
  <x:si>
    <x:t xml:space="preserve">Mario Explores the Sewers</x:t>
  </x:si>
  <x:si>
    <x:t xml:space="preserve">10018</x:t>
  </x:si>
  <x:si>
    <x:t xml:space="preserve">https://www.smwcentral.net/?a=details&amp;id=10018&amp;p=section</x:t>
  </x:si>
  <x:si>
    <x:t xml:space="preserve">https://dl.smwcentral.net/10018/MES.zip</x:t>
  </x:si>
  <x:si>
    <x:t xml:space="preserve">Mario Frenzy</x:t>
  </x:si>
  <x:si>
    <x:t xml:space="preserve">RedToonLink</x:t>
  </x:si>
  <x:si>
    <x:t xml:space="preserve">9764</x:t>
  </x:si>
  <x:si>
    <x:t xml:space="preserve">https://www.smwcentral.net/?a=details&amp;id=9764&amp;p=section</x:t>
  </x:si>
  <x:si>
    <x:t xml:space="preserve">https://dl.smwcentral.net/9764/MFDemoC3.zip</x:t>
  </x:si>
  <x:si>
    <x:t xml:space="preserve">Mario Gives Up</x:t>
  </x:si>
  <x:si>
    <x:t xml:space="preserve">25573</x:t>
  </x:si>
  <x:si>
    <x:t xml:space="preserve">https://www.smwcentral.net/?a=details&amp;id=25573&amp;p=section</x:t>
  </x:si>
  <x:si>
    <x:t xml:space="preserve">https://dl.smwcentral.net/25573/Mario%20Gives%20Up.zip</x:t>
  </x:si>
  <x:si>
    <x:t xml:space="preserve">Mario Gives Up 2</x:t>
  </x:si>
  <x:si>
    <x:t xml:space="preserve">26935</x:t>
  </x:si>
  <x:si>
    <x:t xml:space="preserve">https://www.smwcentral.net/?a=details&amp;id=26935&amp;p=section</x:t>
  </x:si>
  <x:si>
    <x:t xml:space="preserve">https://dl.smwcentral.net/26935/Mario%20Gives%20Up%202.zip</x:t>
  </x:si>
  <x:si>
    <x:t xml:space="preserve">Mario Gives Up 3</x:t>
  </x:si>
  <x:si>
    <x:t xml:space="preserve">12826</x:t>
  </x:si>
  <x:si>
    <x:t xml:space="preserve">https://www.smwcentral.net/?a=details&amp;id=12826&amp;p=section</x:t>
  </x:si>
  <x:si>
    <x:t xml:space="preserve">https://dl.smwcentral.net/12826/MGU3.zip</x:t>
  </x:si>
  <x:si>
    <x:t xml:space="preserve">Mario goes on an adventure for apparently no reason</x:t>
  </x:si>
  <x:si>
    <x:t xml:space="preserve">Alfombra de madera</x:t>
  </x:si>
  <x:si>
    <x:t xml:space="preserve">40065</x:t>
  </x:si>
  <x:si>
    <x:t xml:space="preserve">https://www.smwcentral.net/?a=details&amp;id=40065&amp;p=section</x:t>
  </x:si>
  <x:si>
    <x:t xml:space="preserve">https://dl.smwcentral.net/40065/MGOAAFANR%20demo%201.51.zip</x:t>
  </x:si>
  <x:si>
    <x:t xml:space="preserve">Mario goes to a castle to pay his taxes</x:t>
  </x:si>
  <x:si>
    <x:t xml:space="preserve">Young Boi</x:t>
  </x:si>
  <x:si>
    <x:t xml:space="preserve">18681</x:t>
  </x:si>
  <x:si>
    <x:t xml:space="preserve">https://www.smwcentral.net/?a=details&amp;id=18681&amp;p=section</x:t>
  </x:si>
  <x:si>
    <x:t xml:space="preserve">https://dl.smwcentral.net/18681/Pay%20your%20taxes%20kids.zip</x:t>
  </x:si>
  <x:si>
    <x:t xml:space="preserve">Mario Goes to Brazil</x:t>
  </x:si>
  <x:si>
    <x:t xml:space="preserve">MarcosMoutta</x:t>
  </x:si>
  <x:si>
    <x:t xml:space="preserve">32554</x:t>
  </x:si>
  <x:si>
    <x:t xml:space="preserve">https://www.smwcentral.net/?a=details&amp;id=32554&amp;p=section</x:t>
  </x:si>
  <x:si>
    <x:t xml:space="preserve">https://dl.smwcentral.net/32554/MGtB.zip</x:t>
  </x:si>
  <x:si>
    <x:t xml:space="preserve">Mario goes to the Adventure Park</x:t>
  </x:si>
  <x:si>
    <x:t xml:space="preserve">Saibot1997</x:t>
  </x:si>
  <x:si>
    <x:t xml:space="preserve">10282</x:t>
  </x:si>
  <x:si>
    <x:t xml:space="preserve">https://www.smwcentral.net/?a=details&amp;id=10282&amp;p=section</x:t>
  </x:si>
  <x:si>
    <x:t xml:space="preserve">https://dl.smwcentral.net/10282/Mario%20goes%20to%20the%20Adventure%20Park.zip</x:t>
  </x:si>
  <x:si>
    <x:t xml:space="preserve">Mario Goes To The Store</x:t>
  </x:si>
  <x:si>
    <x:t xml:space="preserve">eltiolavara9</x:t>
  </x:si>
  <x:si>
    <x:t xml:space="preserve">39995</x:t>
  </x:si>
  <x:si>
    <x:t xml:space="preserve">https://www.smwcentral.net/?a=details&amp;id=39995&amp;p=section</x:t>
  </x:si>
  <x:si>
    <x:t xml:space="preserve">https://dl.smwcentral.net/39995/mario%20goes%20to%20the%20store.zip</x:t>
  </x:si>
  <x:si>
    <x:t xml:space="preserve">Mario goes to Wendy's</x:t>
  </x:si>
  <x:si>
    <x:t xml:space="preserve">autumnfrog</x:t>
  </x:si>
  <x:si>
    <x:t xml:space="preserve">32143</x:t>
  </x:si>
  <x:si>
    <x:t xml:space="preserve">https://www.smwcentral.net/?a=details&amp;id=32143&amp;p=section</x:t>
  </x:si>
  <x:si>
    <x:t xml:space="preserve">https://dl.smwcentral.net/32143/mario%20goes%20to%20wendys.zip</x:t>
  </x:si>
  <x:si>
    <x:t xml:space="preserve">Mario Got Bored</x:t>
  </x:si>
  <x:si>
    <x:t xml:space="preserve">Zarasuto</x:t>
  </x:si>
  <x:si>
    <x:t xml:space="preserve">10075</x:t>
  </x:si>
  <x:si>
    <x:t xml:space="preserve">https://www.smwcentral.net/?a=details&amp;id=10075&amp;p=section</x:t>
  </x:si>
  <x:si>
    <x:t xml:space="preserve">https://dl.smwcentral.net/10075/Mario%20Got%20Bored.zip</x:t>
  </x:si>
  <x:si>
    <x:t xml:space="preserve">Mario in a Mysterious World</x:t>
  </x:si>
  <x:si>
    <x:t xml:space="preserve">Falconpunch</x:t>
  </x:si>
  <x:si>
    <x:t xml:space="preserve">10140</x:t>
  </x:si>
  <x:si>
    <x:t xml:space="preserve">https://www.smwcentral.net/?a=details&amp;id=10140&amp;p=section</x:t>
  </x:si>
  <x:si>
    <x:t xml:space="preserve">https://dl.smwcentral.net/10140/MiaMW.zip</x:t>
  </x:si>
  <x:si>
    <x:t xml:space="preserve">Mario in a Strange Adventure</x:t>
  </x:si>
  <x:si>
    <x:t xml:space="preserve">Fan-cristian-Yuyuko-</x:t>
  </x:si>
  <x:si>
    <x:t xml:space="preserve">10141</x:t>
  </x:si>
  <x:si>
    <x:t xml:space="preserve">https://www.smwcentral.net/?a=details&amp;id=10141&amp;p=section</x:t>
  </x:si>
  <x:si>
    <x:t xml:space="preserve">https://dl.smwcentral.net/10141/mario%20in%20a%20strange%20adventure.zip</x:t>
  </x:si>
  <x:si>
    <x:t xml:space="preserve">Mario in Another Land</x:t>
  </x:si>
  <x:si>
    <x:t xml:space="preserve">13582</x:t>
  </x:si>
  <x:si>
    <x:t xml:space="preserve">https://www.smwcentral.net/?a=details&amp;id=13582&amp;p=section</x:t>
  </x:si>
  <x:si>
    <x:t xml:space="preserve">https://dl.smwcentral.net/13582/Mario%20in%20Another%20Land.zip</x:t>
  </x:si>
  <x:si>
    <x:t xml:space="preserve">Mario In Dragon Land</x:t>
  </x:si>
  <x:si>
    <x:t xml:space="preserve">BobbyBombmaster</x:t>
  </x:si>
  <x:si>
    <x:t xml:space="preserve">9845</x:t>
  </x:si>
  <x:si>
    <x:t xml:space="preserve">https://www.smwcentral.net/?a=details&amp;id=9845&amp;p=section</x:t>
  </x:si>
  <x:si>
    <x:t xml:space="preserve">https://dl.smwcentral.net/9845/Mario%20In%20Dragon%20Land.zip</x:t>
  </x:si>
  <x:si>
    <x:t xml:space="preserve">Mario in Leprechaun Island</x:t>
  </x:si>
  <x:si>
    <x:t xml:space="preserve">22412</x:t>
  </x:si>
  <x:si>
    <x:t xml:space="preserve">https://www.smwcentral.net/?a=details&amp;id=22412&amp;p=section</x:t>
  </x:si>
  <x:si>
    <x:t xml:space="preserve">https://dl.smwcentral.net/22412/Mario%20in%20Leprechaun%20Island%20%28V1.0.1%29.zip</x:t>
  </x:si>
  <x:si>
    <x:t xml:space="preserve">Mario In Lucid Dream</x:t>
  </x:si>
  <x:si>
    <x:t xml:space="preserve">TS_N</x:t>
  </x:si>
  <x:si>
    <x:t xml:space="preserve">37694</x:t>
  </x:si>
  <x:si>
    <x:t xml:space="preserve">https://www.smwcentral.net/?a=details&amp;id=37694&amp;p=section</x:t>
  </x:si>
  <x:si>
    <x:t xml:space="preserve">https://dl.smwcentral.net/37694/Mario%20In%20Lucid%20Dream.zip</x:t>
  </x:si>
  <x:si>
    <x:t xml:space="preserve">Mario In Midgard</x:t>
  </x:si>
  <x:si>
    <x:t xml:space="preserve">9720</x:t>
  </x:si>
  <x:si>
    <x:t xml:space="preserve">https://www.smwcentral.net/?a=details&amp;id=9720&amp;p=section</x:t>
  </x:si>
  <x:si>
    <x:t xml:space="preserve">https://dl.smwcentral.net/9720/Mario%20in%20midgard.zip</x:t>
  </x:si>
  <x:si>
    <x:t xml:space="preserve">Mario In Mushroom Rix Land</x:t>
  </x:si>
  <x:si>
    <x:t xml:space="preserve">24685</x:t>
  </x:si>
  <x:si>
    <x:t xml:space="preserve">https://www.smwcentral.net/?a=details&amp;id=24685&amp;p=section</x:t>
  </x:si>
  <x:si>
    <x:t xml:space="preserve">https://dl.smwcentral.net/24685/Mario%20in%20Mushroom%20Rix%20Land.zip</x:t>
  </x:si>
  <x:si>
    <x:t xml:space="preserve">Mario In Mushroom Rix Land 2 Gimmicky Island</x:t>
  </x:si>
  <x:si>
    <x:t xml:space="preserve">25552</x:t>
  </x:si>
  <x:si>
    <x:t xml:space="preserve">https://www.smwcentral.net/?a=details&amp;id=25552&amp;p=section</x:t>
  </x:si>
  <x:si>
    <x:t xml:space="preserve">https://dl.smwcentral.net/25552/Mario%20in%20Mushroom%20Rix%20Land%202.zip</x:t>
  </x:si>
  <x:si>
    <x:t xml:space="preserve">Mario In Mushroom Rix Land 3 Master Thwomps Avenge</x:t>
  </x:si>
  <x:si>
    <x:t xml:space="preserve">28229</x:t>
  </x:si>
  <x:si>
    <x:t xml:space="preserve">https://www.smwcentral.net/?a=details&amp;id=28229&amp;p=section</x:t>
  </x:si>
  <x:si>
    <x:t xml:space="preserve">https://dl.smwcentral.net/28229/Mario%20in%20Mushroom%20Rix%20Land%203.zip</x:t>
  </x:si>
  <x:si>
    <x:t xml:space="preserve">Mario In Mushroom Rix Land 4 Trip To Nano Island</x:t>
  </x:si>
  <x:si>
    <x:t xml:space="preserve">35757</x:t>
  </x:si>
  <x:si>
    <x:t xml:space="preserve">https://www.smwcentral.net/?a=details&amp;id=35757&amp;p=section</x:t>
  </x:si>
  <x:si>
    <x:t xml:space="preserve">https://dl.smwcentral.net/35757/MIMRL4%20Trip%20To%20Nano%20Island.zip</x:t>
  </x:si>
  <x:si>
    <x:t xml:space="preserve">Mario In Mushroom Rix Land 5</x:t>
  </x:si>
  <x:si>
    <x:t xml:space="preserve">38322</x:t>
  </x:si>
  <x:si>
    <x:t xml:space="preserve">https://www.smwcentral.net/?a=details&amp;id=38322&amp;p=section</x:t>
  </x:si>
  <x:si>
    <x:t xml:space="preserve">https://dl.smwcentral.net/38322/Mario%20In%20Mushroom%20Rix%20Land%205%20C3%20Summer%202024%20Demo%20%28Version%201.1%20Update%21%29.zip</x:t>
  </x:si>
  <x:si>
    <x:t xml:space="preserve">Mario in Neb's Land</x:t>
  </x:si>
  <x:si>
    <x:t xml:space="preserve">darken</x:t>
  </x:si>
  <x:si>
    <x:t xml:space="preserve">14422</x:t>
  </x:si>
  <x:si>
    <x:t xml:space="preserve">https://www.smwcentral.net/?a=details&amp;id=14422&amp;p=section</x:t>
  </x:si>
  <x:si>
    <x:t xml:space="preserve">https://dl.smwcentral.net/14422/MNL.zip</x:t>
  </x:si>
  <x:si>
    <x:t xml:space="preserve">Mario in Search of the Rest</x:t>
  </x:si>
  <x:si>
    <x:t xml:space="preserve">22397</x:t>
  </x:si>
  <x:si>
    <x:t xml:space="preserve">https://www.smwcentral.net/?a=details&amp;id=22397&amp;p=section</x:t>
  </x:si>
  <x:si>
    <x:t xml:space="preserve">https://dl.smwcentral.net/22397/MarioInSearchOfTheRest.zip</x:t>
  </x:si>
  <x:si>
    <x:t xml:space="preserve">Mario In The World Of Matik</x:t>
  </x:si>
  <x:si>
    <x:t xml:space="preserve">Red Chameleon</x:t>
  </x:si>
  <x:si>
    <x:t xml:space="preserve">9828</x:t>
  </x:si>
  <x:si>
    <x:t xml:space="preserve">https://www.smwcentral.net/?a=details&amp;id=9828&amp;p=section</x:t>
  </x:si>
  <x:si>
    <x:t xml:space="preserve">https://dl.smwcentral.net/9828/Mario%20in%20the%20World%20of%20Matik%20-%20Demo%203.zip</x:t>
  </x:si>
  <x:si>
    <x:t xml:space="preserve">Mario in the Yoshis' Heartland</x:t>
  </x:si>
  <x:si>
    <x:t xml:space="preserve">Hach</x:t>
  </x:si>
  <x:si>
    <x:t xml:space="preserve">4996</x:t>
  </x:si>
  <x:si>
    <x:t xml:space="preserve">https://www.smwcentral.net/?a=details&amp;id=4996&amp;p=section</x:t>
  </x:si>
  <x:si>
    <x:t xml:space="preserve">https://dl.smwcentral.net/4996/MitYH.zip</x:t>
  </x:si>
  <x:si>
    <x:t xml:space="preserve">Mario in Whatever Land</x:t>
  </x:si>
  <x:si>
    <x:t xml:space="preserve">niko</x:t>
  </x:si>
  <x:si>
    <x:t xml:space="preserve">14633</x:t>
  </x:si>
  <x:si>
    <x:t xml:space="preserve">https://www.smwcentral.net/?a=details&amp;id=14633&amp;p=section</x:t>
  </x:si>
  <x:si>
    <x:t xml:space="preserve">https://dl.smwcentral.net/14633/Mario%20in%20Whatever%20Land%20%28V.0.11%29.zip</x:t>
  </x:si>
  <x:si>
    <x:t xml:space="preserve">Mario into Megaman</x:t>
  </x:si>
  <x:si>
    <x:t xml:space="preserve">Jimmy, That Guy</x:t>
  </x:si>
  <x:si>
    <x:t xml:space="preserve">9645</x:t>
  </x:si>
  <x:si>
    <x:t xml:space="preserve">https://www.smwcentral.net/?a=details&amp;id=9645&amp;p=section</x:t>
  </x:si>
  <x:si>
    <x:t xml:space="preserve">https://dl.smwcentral.net/9645/Mario%20Into%20Megaman%202.0.zip</x:t>
  </x:si>
  <x:si>
    <x:t xml:space="preserve">Mario is looking for the Golden Pizzaland</x:t>
  </x:si>
  <x:si>
    <x:t xml:space="preserve">35668</x:t>
  </x:si>
  <x:si>
    <x:t xml:space="preserve">https://www.smwcentral.net/?a=details&amp;id=35668&amp;p=section</x:t>
  </x:si>
  <x:si>
    <x:t xml:space="preserve">https://dl.smwcentral.net/35668/MarioGoldenPizza.zip</x:t>
  </x:si>
  <x:si>
    <x:t xml:space="preserve">Mario Is Missing 3: Mario's Wreck</x:t>
  </x:si>
  <x:si>
    <x:t xml:space="preserve">MetalUpYourAss</x:t>
  </x:si>
  <x:si>
    <x:t xml:space="preserve">10068</x:t>
  </x:si>
  <x:si>
    <x:t xml:space="preserve">https://www.smwcentral.net/?a=details&amp;id=10068&amp;p=section</x:t>
  </x:si>
  <x:si>
    <x:t xml:space="preserve">https://dl.smwcentral.net/10068/M%20Is%20Missing%203.zip</x:t>
  </x:si>
  <x:si>
    <x:t xml:space="preserve">Mario is Missing! Done Right</x:t>
  </x:si>
  <x:si>
    <x:t xml:space="preserve">15939</x:t>
  </x:si>
  <x:si>
    <x:t xml:space="preserve">https://www.smwcentral.net/?a=details&amp;id=15939&amp;p=section</x:t>
  </x:si>
  <x:si>
    <x:t xml:space="preserve">https://dl.smwcentral.net/15939/MIMFixedIntros.zip</x:t>
  </x:si>
  <x:si>
    <x:t xml:space="preserve">Mario is Missing... again</x:t>
  </x:si>
  <x:si>
    <x:t xml:space="preserve">10197</x:t>
  </x:si>
  <x:si>
    <x:t xml:space="preserve">https://www.smwcentral.net/?a=details&amp;id=10197&amp;p=section</x:t>
  </x:si>
  <x:si>
    <x:t xml:space="preserve">https://dl.smwcentral.net/10197/Alt%20Mario%20is%20Missing%202.zip</x:t>
  </x:si>
  <x:si>
    <x:t xml:space="preserve">Mario is Screwed</x:t>
  </x:si>
  <x:si>
    <x:t xml:space="preserve">Sixcorby</x:t>
  </x:si>
  <x:si>
    <x:t xml:space="preserve">15922</x:t>
  </x:si>
  <x:si>
    <x:t xml:space="preserve">https://www.smwcentral.net/?a=details&amp;id=15922&amp;p=section</x:t>
  </x:si>
  <x:si>
    <x:t xml:space="preserve">https://dl.smwcentral.net/15922/marioisscrewed.zip</x:t>
  </x:si>
  <x:si>
    <x:t xml:space="preserve">Mario is Sick!</x:t>
  </x:si>
  <x:si>
    <x:t xml:space="preserve">Corruptendo</x:t>
  </x:si>
  <x:si>
    <x:t xml:space="preserve">10154</x:t>
  </x:si>
  <x:si>
    <x:t xml:space="preserve">https://www.smwcentral.net/?a=details&amp;id=10154&amp;p=section</x:t>
  </x:si>
  <x:si>
    <x:t xml:space="preserve">https://dl.smwcentral.net/10154/Mario%20Is%20Sick%21%20V.6.zip</x:t>
  </x:si>
  <x:si>
    <x:t xml:space="preserve">Mario is Stupid</x:t>
  </x:si>
  <x:si>
    <x:t xml:space="preserve">14712</x:t>
  </x:si>
  <x:si>
    <x:t xml:space="preserve">https://www.smwcentral.net/?a=details&amp;id=14712&amp;p=section</x:t>
  </x:si>
  <x:si>
    <x:t xml:space="preserve">https://dl.smwcentral.net/14712/Mario_is_Stupid.zip</x:t>
  </x:si>
  <x:si>
    <x:t xml:space="preserve">Mario is too casual</x:t>
  </x:si>
  <x:si>
    <x:t xml:space="preserve">ocked</x:t>
  </x:si>
  <x:si>
    <x:t xml:space="preserve">32566</x:t>
  </x:si>
  <x:si>
    <x:t xml:space="preserve">https://www.smwcentral.net/?a=details&amp;id=32566&amp;p=section</x:t>
  </x:si>
  <x:si>
    <x:t xml:space="preserve">https://dl.smwcentral.net/32566/v1.1.zip</x:t>
  </x:si>
  <x:si>
    <x:t xml:space="preserve">Mario Keymanship</x:t>
  </x:si>
  <x:si>
    <x:t xml:space="preserve">29650</x:t>
  </x:si>
  <x:si>
    <x:t xml:space="preserve">https://www.smwcentral.net/?a=details&amp;id=29650&amp;p=section</x:t>
  </x:si>
  <x:si>
    <x:t xml:space="preserve">https://dl.smwcentral.net/29650/keymanship.zip</x:t>
  </x:si>
  <x:si>
    <x:t xml:space="preserve">Mario Kick World</x:t>
  </x:si>
  <x:si>
    <x:t xml:space="preserve">18714</x:t>
  </x:si>
  <x:si>
    <x:t xml:space="preserve">https://www.smwcentral.net/?a=details&amp;id=18714&amp;p=section</x:t>
  </x:si>
  <x:si>
    <x:t xml:space="preserve">https://dl.smwcentral.net/18714/Mario%20Kick%20World%20Demo.zip</x:t>
  </x:si>
  <x:si>
    <x:t xml:space="preserve">Mario Left the Garage Door Open Again</x:t>
  </x:si>
  <x:si>
    <x:t xml:space="preserve">23172</x:t>
  </x:si>
  <x:si>
    <x:t xml:space="preserve">https://www.smwcentral.net/?a=details&amp;id=23172&amp;p=section</x:t>
  </x:si>
  <x:si>
    <x:t xml:space="preserve">https://dl.smwcentral.net/23172/Mario%20Left%20The%20Garage%20Door%20Open%20Again.zip</x:t>
  </x:si>
  <x:si>
    <x:t xml:space="preserve">Mario Lost in the Fruit Cave</x:t>
  </x:si>
  <x:si>
    <x:t xml:space="preserve">10949</x:t>
  </x:si>
  <x:si>
    <x:t xml:space="preserve">https://www.smwcentral.net/?a=details&amp;id=10949&amp;p=section</x:t>
  </x:si>
  <x:si>
    <x:t xml:space="preserve">https://dl.smwcentral.net/10949/fruitcave.zip</x:t>
  </x:si>
  <x:si>
    <x:t xml:space="preserve">Mario Mania [SMWC #22072]</x:t>
  </x:si>
  <x:si>
    <x:t xml:space="preserve">Mario Mania</x:t>
  </x:si>
  <x:si>
    <x:t xml:space="preserve">22072</x:t>
  </x:si>
  <x:si>
    <x:t xml:space="preserve">https://www.smwcentral.net/?a=details&amp;id=22072&amp;p=section</x:t>
  </x:si>
  <x:si>
    <x:t xml:space="preserve">https://dl.smwcentral.net/22072/Mario%20Mania%201.1.zip</x:t>
  </x:si>
  <x:si>
    <x:t xml:space="preserve">Mario Mania [SMWC #34594]</x:t>
  </x:si>
  <x:si>
    <x:t xml:space="preserve">Hammerer</x:t>
  </x:si>
  <x:si>
    <x:t xml:space="preserve">34594</x:t>
  </x:si>
  <x:si>
    <x:t xml:space="preserve">https://www.smwcentral.net/?a=details&amp;id=34594&amp;p=section</x:t>
  </x:si>
  <x:si>
    <x:t xml:space="preserve">https://dl.smwcentral.net/34594/M.Mania.zip</x:t>
  </x:si>
  <x:si>
    <x:t xml:space="preserve">Mario Mario Mario</x:t>
  </x:si>
  <x:si>
    <x:t xml:space="preserve">BlueSkye209</x:t>
  </x:si>
  <x:si>
    <x:t xml:space="preserve">18257</x:t>
  </x:si>
  <x:si>
    <x:t xml:space="preserve">https://www.smwcentral.net/?a=details&amp;id=18257&amp;p=section</x:t>
  </x:si>
  <x:si>
    <x:t xml:space="preserve">https://dl.smwcentral.net/18257/MMM%20Demo.zip</x:t>
  </x:si>
  <x:si>
    <x:t xml:space="preserve">Mario Mario vs the Crab Army</x:t>
  </x:si>
  <x:si>
    <x:t xml:space="preserve">27426</x:t>
  </x:si>
  <x:si>
    <x:t xml:space="preserve">https://www.smwcentral.net/?a=details&amp;id=27426&amp;p=section</x:t>
  </x:si>
  <x:si>
    <x:t xml:space="preserve">https://dl.smwcentral.net/27426/crabs_v1.03.zip</x:t>
  </x:si>
  <x:si>
    <x:t xml:space="preserve">Mario Mario's Superior Platforming Physics Challenge</x:t>
  </x:si>
  <x:si>
    <x:t xml:space="preserve">Jamie</x:t>
  </x:si>
  <x:si>
    <x:t xml:space="preserve">40735</x:t>
  </x:si>
  <x:si>
    <x:t xml:space="preserve">https://www.smwcentral.net/?a=details&amp;id=40735&amp;p=section</x:t>
  </x:si>
  <x:si>
    <x:t xml:space="preserve">https://dl.smwcentral.net/40735/MMSPPC.zip</x:t>
  </x:si>
  <x:si>
    <x:t xml:space="preserve">Mario Memorandum</x:t>
  </x:si>
  <x:si>
    <x:t xml:space="preserve">Buzbee</x:t>
  </x:si>
  <x:si>
    <x:t xml:space="preserve">32691</x:t>
  </x:si>
  <x:si>
    <x:t xml:space="preserve">https://www.smwcentral.net/?a=details&amp;id=32691&amp;p=section</x:t>
  </x:si>
  <x:si>
    <x:t xml:space="preserve">https://dl.smwcentral.net/32691/Mario%20Memorandum%201.1.zip</x:t>
  </x:si>
  <x:si>
    <x:t xml:space="preserve">Mario Memorandum: New Game Plus</x:t>
  </x:si>
  <x:si>
    <x:t xml:space="preserve">33227</x:t>
  </x:si>
  <x:si>
    <x:t xml:space="preserve">https://www.smwcentral.net/?a=details&amp;id=33227&amp;p=section</x:t>
  </x:si>
  <x:si>
    <x:t xml:space="preserve">https://dl.smwcentral.net/33227/MMNGP%201.1.bps.zip</x:t>
  </x:si>
  <x:si>
    <x:t xml:space="preserve">Mario Mission</x:t>
  </x:si>
  <x:si>
    <x:t xml:space="preserve">jstreet2000</x:t>
  </x:si>
  <x:si>
    <x:t xml:space="preserve">26194</x:t>
  </x:si>
  <x:si>
    <x:t xml:space="preserve">https://www.smwcentral.net/?a=details&amp;id=26194&amp;p=section</x:t>
  </x:si>
  <x:si>
    <x:t xml:space="preserve">https://dl.smwcentral.net/26194/Mario%20Mission%201.0.zip</x:t>
  </x:si>
  <x:si>
    <x:t xml:space="preserve">Mario Must Die (SMWC version)</x:t>
  </x:si>
  <x:si>
    <x:t xml:space="preserve">9033</x:t>
  </x:si>
  <x:si>
    <x:t xml:space="preserve">https://www.smwcentral.net/?a=details&amp;id=9033&amp;p=section</x:t>
  </x:si>
  <x:si>
    <x:t xml:space="preserve">https://dl.smwcentral.net/9033/MarioMustDie.zip</x:t>
  </x:si>
  <x:si>
    <x:t xml:space="preserve">Mario Must Die 2</x:t>
  </x:si>
  <x:si>
    <x:t xml:space="preserve">13907</x:t>
  </x:si>
  <x:si>
    <x:t xml:space="preserve">https://www.smwcentral.net/?a=details&amp;id=13907&amp;p=section</x:t>
  </x:si>
  <x:si>
    <x:t xml:space="preserve">https://dl.smwcentral.net/13907/MMD2.zip</x:t>
  </x:si>
  <x:si>
    <x:t xml:space="preserve">Mario No Kumorizora</x:t>
  </x:si>
  <x:si>
    <x:t xml:space="preserve">39350</x:t>
  </x:si>
  <x:si>
    <x:t xml:space="preserve">https://www.smwcentral.net/?a=details&amp;id=39350&amp;p=section</x:t>
  </x:si>
  <x:si>
    <x:t xml:space="preserve">https://dl.smwcentral.net/39350/Kumorizora.zip</x:t>
  </x:si>
  <x:si>
    <x:t xml:space="preserve">Mario OC</x:t>
  </x:si>
  <x:si>
    <x:t xml:space="preserve">elieltonl</x:t>
  </x:si>
  <x:si>
    <x:t xml:space="preserve">24890</x:t>
  </x:si>
  <x:si>
    <x:t xml:space="preserve">https://www.smwcentral.net/?a=details&amp;id=24890&amp;p=section</x:t>
  </x:si>
  <x:si>
    <x:t xml:space="preserve">https://dl.smwcentral.net/24890/MARIO%20OC%20ediitor.zip</x:t>
  </x:si>
  <x:si>
    <x:t xml:space="preserve">Mario on Ice</x:t>
  </x:si>
  <x:si>
    <x:t xml:space="preserve">Pureblade</x:t>
  </x:si>
  <x:si>
    <x:t xml:space="preserve">9946</x:t>
  </x:si>
  <x:si>
    <x:t xml:space="preserve">https://www.smwcentral.net/?a=details&amp;id=9946&amp;p=section</x:t>
  </x:si>
  <x:si>
    <x:t xml:space="preserve">https://dl.smwcentral.net/9946/Icemario.zip</x:t>
  </x:si>
  <x:si>
    <x:t xml:space="preserve">Mario on the Moon</x:t>
  </x:si>
  <x:si>
    <x:t xml:space="preserve">28324</x:t>
  </x:si>
  <x:si>
    <x:t xml:space="preserve">https://www.smwcentral.net/?a=details&amp;id=28324&amp;p=section</x:t>
  </x:si>
  <x:si>
    <x:t xml:space="preserve">https://dl.smwcentral.net/28324/Mario%20On%20The%20Moon.zip</x:t>
  </x:si>
  <x:si>
    <x:t xml:space="preserve">Mario Quits</x:t>
  </x:si>
  <x:si>
    <x:t xml:space="preserve">DasFueller</x:t>
  </x:si>
  <x:si>
    <x:t xml:space="preserve">31372</x:t>
  </x:si>
  <x:si>
    <x:t xml:space="preserve">https://www.smwcentral.net/?a=details&amp;id=31372&amp;p=section</x:t>
  </x:si>
  <x:si>
    <x:t xml:space="preserve">https://dl.smwcentral.net/31372/Mario_Quits_1.0.zip</x:t>
  </x:si>
  <x:si>
    <x:t xml:space="preserve">Mario Quits 2</x:t>
  </x:si>
  <x:si>
    <x:t xml:space="preserve">41121</x:t>
  </x:si>
  <x:si>
    <x:t xml:space="preserve">https://www.smwcentral.net/?a=details&amp;id=41121&amp;p=section</x:t>
  </x:si>
  <x:si>
    <x:t xml:space="preserve">https://dl.smwcentral.net/41121/MQ2_v1_2.zip</x:t>
  </x:si>
  <x:si>
    <x:t xml:space="preserve">Mario Rescues 4th Of July</x:t>
  </x:si>
  <x:si>
    <x:t xml:space="preserve">23536</x:t>
  </x:si>
  <x:si>
    <x:t xml:space="preserve">https://www.smwcentral.net/?a=details&amp;id=23536&amp;p=section</x:t>
  </x:si>
  <x:si>
    <x:t xml:space="preserve">https://dl.smwcentral.net/23536/Mario%20Rescues%204th%20Of%20July.zip</x:t>
  </x:si>
  <x:si>
    <x:t xml:space="preserve">Mario Rescues Santa Claus</x:t>
  </x:si>
  <x:si>
    <x:t xml:space="preserve">32809</x:t>
  </x:si>
  <x:si>
    <x:t xml:space="preserve">https://www.smwcentral.net/?a=details&amp;id=32809&amp;p=section</x:t>
  </x:si>
  <x:si>
    <x:t xml:space="preserve">https://dl.smwcentral.net/32809/Mario%20Rescues%20Santa%20Claus%20%28V1.0.2%29.zip</x:t>
  </x:si>
  <x:si>
    <x:t xml:space="preserve">Mario Rescues the Golden Mushroom</x:t>
  </x:si>
  <x:si>
    <x:t xml:space="preserve">20754</x:t>
  </x:si>
  <x:si>
    <x:t xml:space="preserve">https://www.smwcentral.net/?a=details&amp;id=20754&amp;p=section</x:t>
  </x:si>
  <x:si>
    <x:t xml:space="preserve">https://dl.smwcentral.net/20754/Mario%20Rescues%20the%20Golden%20Mushroom%20V1.1.4.zip</x:t>
  </x:si>
  <x:si>
    <x:t xml:space="preserve">Mario Returns To Yoshi's Island</x:t>
  </x:si>
  <x:si>
    <x:t xml:space="preserve">supernova38</x:t>
  </x:si>
  <x:si>
    <x:t xml:space="preserve">5982</x:t>
  </x:si>
  <x:si>
    <x:t xml:space="preserve">https://www.smwcentral.net/?a=details&amp;id=5982&amp;p=section</x:t>
  </x:si>
  <x:si>
    <x:t xml:space="preserve">https://dl.smwcentral.net/5982/MRTYI%20demo.zip</x:t>
  </x:si>
  <x:si>
    <x:t xml:space="preserve">Mario Saves Christmas</x:t>
  </x:si>
  <x:si>
    <x:t xml:space="preserve">21687</x:t>
  </x:si>
  <x:si>
    <x:t xml:space="preserve">https://www.smwcentral.net/?a=details&amp;id=21687&amp;p=section</x:t>
  </x:si>
  <x:si>
    <x:t xml:space="preserve">https://dl.smwcentral.net/21687/Mario%20Saves%20Christmas%20V1.2.zip</x:t>
  </x:si>
  <x:si>
    <x:t xml:space="preserve">Mario Saves Christmas 2021</x:t>
  </x:si>
  <x:si>
    <x:t xml:space="preserve">28944</x:t>
  </x:si>
  <x:si>
    <x:t xml:space="preserve">https://www.smwcentral.net/?a=details&amp;id=28944&amp;p=section</x:t>
  </x:si>
  <x:si>
    <x:t xml:space="preserve">https://dl.smwcentral.net/28944/Mario%20Saves%20Christmas%202021.zip</x:t>
  </x:si>
  <x:si>
    <x:t xml:space="preserve">Mario Saves Easter 2023</x:t>
  </x:si>
  <x:si>
    <x:t xml:space="preserve">33669</x:t>
  </x:si>
  <x:si>
    <x:t xml:space="preserve">https://www.smwcentral.net/?a=details&amp;id=33669&amp;p=section</x:t>
  </x:si>
  <x:si>
    <x:t xml:space="preserve">https://dl.smwcentral.net/33669/Mario%20Saves%20Easter%202023.zip</x:t>
  </x:si>
  <x:si>
    <x:t xml:space="preserve">Mario Saves Fermin's Birthday</x:t>
  </x:si>
  <x:si>
    <x:t xml:space="preserve">29823</x:t>
  </x:si>
  <x:si>
    <x:t xml:space="preserve">https://www.smwcentral.net/?a=details&amp;id=29823&amp;p=section</x:t>
  </x:si>
  <x:si>
    <x:t xml:space="preserve">https://dl.smwcentral.net/29823/Mario%20Saves%20Fermin%27s%20Birthday.zip</x:t>
  </x:si>
  <x:si>
    <x:t xml:space="preserve">Mario Saves Peach Once Again</x:t>
  </x:si>
  <x:si>
    <x:t xml:space="preserve">Lmao</x:t>
  </x:si>
  <x:si>
    <x:t xml:space="preserve">29857</x:t>
  </x:si>
  <x:si>
    <x:t xml:space="preserve">https://www.smwcentral.net/?a=details&amp;id=29857&amp;p=section</x:t>
  </x:si>
  <x:si>
    <x:t xml:space="preserve">https://dl.smwcentral.net/29857/MSPOA%20DEMO%20UPDATE%203.zip</x:t>
  </x:si>
  <x:si>
    <x:t xml:space="preserve">Mario Saves Princess Peach</x:t>
  </x:si>
  <x:si>
    <x:t xml:space="preserve">28253</x:t>
  </x:si>
  <x:si>
    <x:t xml:space="preserve">https://www.smwcentral.net/?a=details&amp;id=28253&amp;p=section</x:t>
  </x:si>
  <x:si>
    <x:t xml:space="preserve">https://dl.smwcentral.net/28253/Mario%20Saves%20Princess%20Peach.zip</x:t>
  </x:si>
  <x:si>
    <x:t xml:space="preserve">Mario Saves Princess Toadstool 2</x:t>
  </x:si>
  <x:si>
    <x:t xml:space="preserve">32992</x:t>
  </x:si>
  <x:si>
    <x:t xml:space="preserve">https://www.smwcentral.net/?a=details&amp;id=32992&amp;p=section</x:t>
  </x:si>
  <x:si>
    <x:t xml:space="preserve">https://dl.smwcentral.net/32992/Mario%20Saves%20Princess%20Toadstool%202.zip</x:t>
  </x:si>
  <x:si>
    <x:t xml:space="preserve">Mario Saves Spring Break</x:t>
  </x:si>
  <x:si>
    <x:t xml:space="preserve">20687</x:t>
  </x:si>
  <x:si>
    <x:t xml:space="preserve">https://www.smwcentral.net/?a=details&amp;id=20687&amp;p=section</x:t>
  </x:si>
  <x:si>
    <x:t xml:space="preserve">https://dl.smwcentral.net/20687/Mario%20Saves%20Spring%20Break%20%28UPDATED%29.zip</x:t>
  </x:si>
  <x:si>
    <x:t xml:space="preserve">Mario Saves Spring Break 2</x:t>
  </x:si>
  <x:si>
    <x:t xml:space="preserve">30183</x:t>
  </x:si>
  <x:si>
    <x:t xml:space="preserve">https://www.smwcentral.net/?a=details&amp;id=30183&amp;p=section</x:t>
  </x:si>
  <x:si>
    <x:t xml:space="preserve">https://dl.smwcentral.net/30183/Mario%20Saves%20Spring%20Break%202.zip</x:t>
  </x:si>
  <x:si>
    <x:t xml:space="preserve">Mario Saves Summer Break 2024</x:t>
  </x:si>
  <x:si>
    <x:t xml:space="preserve">37877</x:t>
  </x:si>
  <x:si>
    <x:t xml:space="preserve">https://www.smwcentral.net/?a=details&amp;id=37877&amp;p=section</x:t>
  </x:si>
  <x:si>
    <x:t xml:space="preserve">https://dl.smwcentral.net/37877/Mario%20Saves%20Summer%20Break%202024.zip</x:t>
  </x:si>
  <x:si>
    <x:t xml:space="preserve">Mario Silver Land Ep I</x:t>
  </x:si>
  <x:si>
    <x:t xml:space="preserve">BlackStone187</x:t>
  </x:si>
  <x:si>
    <x:t xml:space="preserve">10256</x:t>
  </x:si>
  <x:si>
    <x:t xml:space="preserve">https://www.smwcentral.net/?a=details&amp;id=10256&amp;p=section</x:t>
  </x:si>
  <x:si>
    <x:t xml:space="preserve">https://dl.smwcentral.net/10256/Silver%20Land%20Ep%201%20%28Mario%20demo%29.zip</x:t>
  </x:si>
  <x:si>
    <x:t xml:space="preserve">Mario story : Return to sweet n' sour land</x:t>
  </x:si>
  <x:si>
    <x:t xml:space="preserve">27627</x:t>
  </x:si>
  <x:si>
    <x:t xml:space="preserve">https://www.smwcentral.net/?a=details&amp;id=27627&amp;p=section</x:t>
  </x:si>
  <x:si>
    <x:t xml:space="preserve">https://dl.smwcentral.net/27627/Mario%20story%20-%20return%20to%20SNS%20V1.1.zip</x:t>
  </x:si>
  <x:si>
    <x:t xml:space="preserve">Mario Super R</x:t>
  </x:si>
  <x:si>
    <x:t xml:space="preserve">expgst</x:t>
  </x:si>
  <x:si>
    <x:t xml:space="preserve">23422</x:t>
  </x:si>
  <x:si>
    <x:t xml:space="preserve">https://www.smwcentral.net/?a=details&amp;id=23422&amp;p=section</x:t>
  </x:si>
  <x:si>
    <x:t xml:space="preserve">https://dl.smwcentral.net/23422/Mario%20Super%20R%20V1.01.zip</x:t>
  </x:si>
  <x:si>
    <x:t xml:space="preserve">Mario the Archaeologist</x:t>
  </x:si>
  <x:si>
    <x:t xml:space="preserve">9814</x:t>
  </x:si>
  <x:si>
    <x:t xml:space="preserve">https://www.smwcentral.net/?a=details&amp;id=9814&amp;p=section</x:t>
  </x:si>
  <x:si>
    <x:t xml:space="preserve">https://dl.smwcentral.net/9814/MTA.zip</x:t>
  </x:si>
  <x:si>
    <x:t xml:space="preserve">Mario to the Rescue</x:t>
  </x:si>
  <x:si>
    <x:t xml:space="preserve">Medic</x:t>
  </x:si>
  <x:si>
    <x:t xml:space="preserve">10037</x:t>
  </x:si>
  <x:si>
    <x:t xml:space="preserve">https://www.smwcentral.net/?a=details&amp;id=10037&amp;p=section</x:t>
  </x:si>
  <x:si>
    <x:t xml:space="preserve">https://dl.smwcentral.net/10037/Mario%20to%20the%20rescue%21.zip</x:t>
  </x:si>
  <x:si>
    <x:t xml:space="preserve">Mario travels around the World</x:t>
  </x:si>
  <x:si>
    <x:t xml:space="preserve">Edphonse15</x:t>
  </x:si>
  <x:si>
    <x:t xml:space="preserve">25469</x:t>
  </x:si>
  <x:si>
    <x:t xml:space="preserve">https://www.smwcentral.net/?a=details&amp;id=25469&amp;p=section</x:t>
  </x:si>
  <x:si>
    <x:t xml:space="preserve">https://dl.smwcentral.net/25469/Mario%20travels%20around%20the%20world%20-%20Demo.zip</x:t>
  </x:si>
  <x:si>
    <x:t xml:space="preserve">Mario vs Sonic.exe 2</x:t>
  </x:si>
  <x:si>
    <x:t xml:space="preserve">TheInsanity115</x:t>
  </x:si>
  <x:si>
    <x:t xml:space="preserve">13963</x:t>
  </x:si>
  <x:si>
    <x:t xml:space="preserve">https://www.smwcentral.net/?a=details&amp;id=13963&amp;p=section</x:t>
  </x:si>
  <x:si>
    <x:t xml:space="preserve">https://dl.smwcentral.net/13963/Mario%20vs%20SONIC.EXE%202%20Final%20Version.zip</x:t>
  </x:si>
  <x:si>
    <x:t xml:space="preserve">Mario VS The Police 2</x:t>
  </x:si>
  <x:si>
    <x:t xml:space="preserve">nnj</x:t>
  </x:si>
  <x:si>
    <x:t xml:space="preserve">25224</x:t>
  </x:si>
  <x:si>
    <x:t xml:space="preserve">https://www.smwcentral.net/?a=details&amp;id=25224&amp;p=section</x:t>
  </x:si>
  <x:si>
    <x:t xml:space="preserve">https://dl.smwcentral.net/25224/awfulhack.zip</x:t>
  </x:si>
  <x:si>
    <x:t xml:space="preserve">Mario Vs. Big Boo</x:t>
  </x:si>
  <x:si>
    <x:t xml:space="preserve">XpheXl</x:t>
  </x:si>
  <x:si>
    <x:t xml:space="preserve">14571</x:t>
  </x:si>
  <x:si>
    <x:t xml:space="preserve">https://www.smwcentral.net/?a=details&amp;id=14571&amp;p=section</x:t>
  </x:si>
  <x:si>
    <x:t xml:space="preserve">https://dl.smwcentral.net/14571/Mario%20Vs.%20Big%20Boo%20-%20the%20ultimate%20epic%20showdown%20of%20destiny%20in%20a%20duel%20of%20life%2C%20death%20and%20bananas.zip</x:t>
  </x:si>
  <x:si>
    <x:t xml:space="preserve">Mario vs. Bowser and Mighty No. 9</x:t>
  </x:si>
  <x:si>
    <x:t xml:space="preserve">6632</x:t>
  </x:si>
  <x:si>
    <x:t xml:space="preserve">https://www.smwcentral.net/?a=details&amp;id=6632&amp;p=section</x:t>
  </x:si>
  <x:si>
    <x:t xml:space="preserve">https://dl.smwcentral.net/6632/SMWMightyFull3.zip</x:t>
  </x:si>
  <x:si>
    <x:t xml:space="preserve">Mario vs. Shyguy</x:t>
  </x:si>
  <x:si>
    <x:t xml:space="preserve">chris10125</x:t>
  </x:si>
  <x:si>
    <x:t xml:space="preserve">9700</x:t>
  </x:si>
  <x:si>
    <x:t xml:space="preserve">https://www.smwcentral.net/?a=details&amp;id=9700&amp;p=section</x:t>
  </x:si>
  <x:si>
    <x:t xml:space="preserve">https://dl.smwcentral.net/9700/Mario_Vs_Shyguy.zip</x:t>
  </x:si>
  <x:si>
    <x:t xml:space="preserve">Mario vs. SONIC.EXE</x:t>
  </x:si>
  <x:si>
    <x:t xml:space="preserve">11616</x:t>
  </x:si>
  <x:si>
    <x:t xml:space="preserve">https://www.smwcentral.net/?a=details&amp;id=11616&amp;p=section</x:t>
  </x:si>
  <x:si>
    <x:t xml:space="preserve">https://dl.smwcentral.net/11616/Mario%20vs%20Sonic%20v6.zip</x:t>
  </x:si>
  <x:si>
    <x:t xml:space="preserve">Mario Vs. The Deadly Alliance</x:t>
  </x:si>
  <x:si>
    <x:t xml:space="preserve">SpoodahBro</x:t>
  </x:si>
  <x:si>
    <x:t xml:space="preserve">33308</x:t>
  </x:si>
  <x:si>
    <x:t xml:space="preserve">https://www.smwcentral.net/?a=details&amp;id=33308&amp;p=section</x:t>
  </x:si>
  <x:si>
    <x:t xml:space="preserve">https://dl.smwcentral.net/33308/Mario%20Vs.%20The%20Deadly%20Alliance%28V2.5%29.zip</x:t>
  </x:si>
  <x:si>
    <x:t xml:space="preserve">Mario vs. the Magnificent 7</x:t>
  </x:si>
  <x:si>
    <x:t xml:space="preserve">Agent Q</x:t>
  </x:si>
  <x:si>
    <x:t xml:space="preserve">9896</x:t>
  </x:si>
  <x:si>
    <x:t xml:space="preserve">https://www.smwcentral.net/?a=details&amp;id=9896&amp;p=section</x:t>
  </x:si>
  <x:si>
    <x:t xml:space="preserve">https://dl.smwcentral.net/9896/DaKingDemo.zip</x:t>
  </x:si>
  <x:si>
    <x:t xml:space="preserve">Mario Wakes Up... Expanded!</x:t>
  </x:si>
  <x:si>
    <x:t xml:space="preserve">9798</x:t>
  </x:si>
  <x:si>
    <x:t xml:space="preserve">https://www.smwcentral.net/?a=details&amp;id=9798&amp;p=section</x:t>
  </x:si>
  <x:si>
    <x:t xml:space="preserve">https://dl.smwcentral.net/9798/MWU-Ex.zip</x:t>
  </x:si>
  <x:si>
    <x:t xml:space="preserve">Mario Wants His Lemonade</x:t>
  </x:si>
  <x:si>
    <x:t xml:space="preserve">5596</x:t>
  </x:si>
  <x:si>
    <x:t xml:space="preserve">https://www.smwcentral.net/?a=details&amp;id=5596&amp;p=section</x:t>
  </x:si>
  <x:si>
    <x:t xml:space="preserve">https://dl.smwcentral.net/5596/Mario%20Wants%20His%20Lemonade.zip</x:t>
  </x:si>
  <x:si>
    <x:t xml:space="preserve">Mario World Super Yuri's Hack</x:t>
  </x:si>
  <x:si>
    <x:t xml:space="preserve">Yurelvis123</x:t>
  </x:si>
  <x:si>
    <x:t xml:space="preserve">10185</x:t>
  </x:si>
  <x:si>
    <x:t xml:space="preserve">https://www.smwcentral.net/?a=details&amp;id=10185&amp;p=section</x:t>
  </x:si>
  <x:si>
    <x:t xml:space="preserve">https://dl.smwcentral.net/10185/Mario%20World%20Super%20Yuri%27s%20Hack%20DEMO%202.6.1.zip</x:t>
  </x:si>
  <x:si>
    <x:t xml:space="preserve">Mario World The Mario Adventure</x:t>
  </x:si>
  <x:si>
    <x:t xml:space="preserve">rodark</x:t>
  </x:si>
  <x:si>
    <x:t xml:space="preserve">35335</x:t>
  </x:si>
  <x:si>
    <x:t xml:space="preserve">https://www.smwcentral.net/?a=details&amp;id=35335&amp;p=section</x:t>
  </x:si>
  <x:si>
    <x:t xml:space="preserve">https://dl.smwcentral.net/35335/Mario%20World%20the%20mario%20adventure%20demo.zip</x:t>
  </x:si>
  <x:si>
    <x:t xml:space="preserve">Mario! A New Era</x:t>
  </x:si>
  <x:si>
    <x:t xml:space="preserve">Tahixham</x:t>
  </x:si>
  <x:si>
    <x:t xml:space="preserve">9897</x:t>
  </x:si>
  <x:si>
    <x:t xml:space="preserve">https://www.smwcentral.net/?a=details&amp;id=9897&amp;p=section</x:t>
  </x:si>
  <x:si>
    <x:t xml:space="preserve">https://dl.smwcentral.net/9897/mario%21%20nera.zip</x:t>
  </x:si>
  <x:si>
    <x:t xml:space="preserve">Mario's 100s Challenge</x:t>
  </x:si>
  <x:si>
    <x:t xml:space="preserve">JP32</x:t>
  </x:si>
  <x:si>
    <x:t xml:space="preserve">13372</x:t>
  </x:si>
  <x:si>
    <x:t xml:space="preserve">https://www.smwcentral.net/?a=details&amp;id=13372&amp;p=section</x:t>
  </x:si>
  <x:si>
    <x:t xml:space="preserve">https://dl.smwcentral.net/13372/Marios%20100s%20Challenge%20FINAL%202%2C1.zip</x:t>
  </x:si>
  <x:si>
    <x:t xml:space="preserve">Mario's 2 Ways 2 Victory</x:t>
  </x:si>
  <x:si>
    <x:t xml:space="preserve">Ckristina</x:t>
  </x:si>
  <x:si>
    <x:t xml:space="preserve">5583</x:t>
  </x:si>
  <x:si>
    <x:t xml:space="preserve">https://www.smwcentral.net/?a=details&amp;id=5583&amp;p=section</x:t>
  </x:si>
  <x:si>
    <x:t xml:space="preserve">https://dl.smwcentral.net/5583/Mario%27s%202%20Ways%202%20Victory.zip</x:t>
  </x:si>
  <x:si>
    <x:t xml:space="preserve">Mario's Adventure</x:t>
  </x:si>
  <x:si>
    <x:t xml:space="preserve">John Freeman</x:t>
  </x:si>
  <x:si>
    <x:t xml:space="preserve">9785</x:t>
  </x:si>
  <x:si>
    <x:t xml:space="preserve">https://www.smwcentral.net/?a=details&amp;id=9785&amp;p=section</x:t>
  </x:si>
  <x:si>
    <x:t xml:space="preserve">https://dl.smwcentral.net/9785/Mario%27s%20adventure%20demo%202.zip</x:t>
  </x:si>
  <x:si>
    <x:t xml:space="preserve">Mario's Adventure in Yoshi's Island</x:t>
  </x:si>
  <x:si>
    <x:t xml:space="preserve">10188</x:t>
  </x:si>
  <x:si>
    <x:t xml:space="preserve">https://www.smwcentral.net/?a=details&amp;id=10188&amp;p=section</x:t>
  </x:si>
  <x:si>
    <x:t xml:space="preserve">https://dl.smwcentral.net/10188/Mario%27s.zip</x:t>
  </x:si>
  <x:si>
    <x:t xml:space="preserve">Mario's Adventure on the Southern Continent</x:t>
  </x:si>
  <x:si>
    <x:t xml:space="preserve">NoodleSauce</x:t>
  </x:si>
  <x:si>
    <x:t xml:space="preserve">5564</x:t>
  </x:si>
  <x:si>
    <x:t xml:space="preserve">https://www.smwcentral.net/?a=details&amp;id=5564&amp;p=section</x:t>
  </x:si>
  <x:si>
    <x:t xml:space="preserve">https://dl.smwcentral.net/5564/Southern%20Continent.zip</x:t>
  </x:si>
  <x:si>
    <x:t xml:space="preserve">Mario's Amazing Adventure Revitalized</x:t>
  </x:si>
  <x:si>
    <x:t xml:space="preserve">13836</x:t>
  </x:si>
  <x:si>
    <x:t xml:space="preserve">https://www.smwcentral.net/?a=details&amp;id=13836&amp;p=section</x:t>
  </x:si>
  <x:si>
    <x:t xml:space="preserve">https://dl.smwcentral.net/13836/Mario%27s%20amazing%20adventure.zip</x:t>
  </x:si>
  <x:si>
    <x:t xml:space="preserve">Mario's Amazing Adventure: Extrem Edition</x:t>
  </x:si>
  <x:si>
    <x:t xml:space="preserve">16579</x:t>
  </x:si>
  <x:si>
    <x:t xml:space="preserve">https://www.smwcentral.net/?a=details&amp;id=16579&amp;p=section</x:t>
  </x:si>
  <x:si>
    <x:t xml:space="preserve">https://dl.smwcentral.net/16579/MAAEE.zip</x:t>
  </x:si>
  <x:si>
    <x:t xml:space="preserve">Mario's Ascetic Adventure</x:t>
  </x:si>
  <x:si>
    <x:t xml:space="preserve">11662</x:t>
  </x:si>
  <x:si>
    <x:t xml:space="preserve">https://www.smwcentral.net/?a=details&amp;id=11662&amp;p=section</x:t>
  </x:si>
  <x:si>
    <x:t xml:space="preserve">https://dl.smwcentral.net/11662/Mario%27sAsceticAdventuredemo.zip</x:t>
  </x:si>
  <x:si>
    <x:t xml:space="preserve">Mario's Awesome Journey</x:t>
  </x:si>
  <x:si>
    <x:t xml:space="preserve">16326</x:t>
  </x:si>
  <x:si>
    <x:t xml:space="preserve">https://www.smwcentral.net/?a=details&amp;id=16326&amp;p=section</x:t>
  </x:si>
  <x:si>
    <x:t xml:space="preserve">https://dl.smwcentral.net/16326/Mario%27s%20Awesome%20Journey%20Demo%202.zip</x:t>
  </x:si>
  <x:si>
    <x:t xml:space="preserve">Mario's Bathroom Adventure</x:t>
  </x:si>
  <x:si>
    <x:t xml:space="preserve">Noobish Noobsicle</x:t>
  </x:si>
  <x:si>
    <x:t xml:space="preserve">10034</x:t>
  </x:si>
  <x:si>
    <x:t xml:space="preserve">https://www.smwcentral.net/?a=details&amp;id=10034&amp;p=section</x:t>
  </x:si>
  <x:si>
    <x:t xml:space="preserve">https://dl.smwcentral.net/10034/Mario%27s%20Bathroom%20Adventure.zip</x:t>
  </x:si>
  <x:si>
    <x:t xml:space="preserve">Mario's Bizarre Adventure</x:t>
  </x:si>
  <x:si>
    <x:t xml:space="preserve">StayAtHomeStegosaurus</x:t>
  </x:si>
  <x:si>
    <x:t xml:space="preserve">26949</x:t>
  </x:si>
  <x:si>
    <x:t xml:space="preserve">https://www.smwcentral.net/?a=details&amp;id=26949&amp;p=section</x:t>
  </x:si>
  <x:si>
    <x:t xml:space="preserve">https://dl.smwcentral.net/26949/MariosBizarreAdventure_v1.1.zip</x:t>
  </x:si>
  <x:si>
    <x:t xml:space="preserve">Mario's Bizarre Adventure DLC</x:t>
  </x:si>
  <x:si>
    <x:t xml:space="preserve">27388</x:t>
  </x:si>
  <x:si>
    <x:t xml:space="preserve">https://www.smwcentral.net/?a=details&amp;id=27388&amp;p=section</x:t>
  </x:si>
  <x:si>
    <x:t xml:space="preserve">https://dl.smwcentral.net/27388/MariosBizarreAdventureDLC.zip</x:t>
  </x:si>
  <x:si>
    <x:t xml:space="preserve">Mario's Cookie Catastrophe</x:t>
  </x:si>
  <x:si>
    <x:t xml:space="preserve">millieman76</x:t>
  </x:si>
  <x:si>
    <x:t xml:space="preserve">10239</x:t>
  </x:si>
  <x:si>
    <x:t xml:space="preserve">https://www.smwcentral.net/?a=details&amp;id=10239&amp;p=section</x:t>
  </x:si>
  <x:si>
    <x:t xml:space="preserve">https://dl.smwcentral.net/10239/Mario%27s%20Cookie%20Catastrophe%20V1.2.zip</x:t>
  </x:si>
  <x:si>
    <x:t xml:space="preserve">Mario's Cool Mission</x:t>
  </x:si>
  <x:si>
    <x:t xml:space="preserve">Woody</x:t>
  </x:si>
  <x:si>
    <x:t xml:space="preserve">9861</x:t>
  </x:si>
  <x:si>
    <x:t xml:space="preserve">https://www.smwcentral.net/?a=details&amp;id=9861&amp;p=section</x:t>
  </x:si>
  <x:si>
    <x:t xml:space="preserve">https://dl.smwcentral.net/9861/SMW%20Mario%27s%20Cool%20Mission.zip</x:t>
  </x:si>
  <x:si>
    <x:t xml:space="preserve">Mario's Day Off</x:t>
  </x:si>
  <x:si>
    <x:t xml:space="preserve">hendog30_</x:t>
  </x:si>
  <x:si>
    <x:t xml:space="preserve">21139</x:t>
  </x:si>
  <x:si>
    <x:t xml:space="preserve">https://www.smwcentral.net/?a=details&amp;id=21139&amp;p=section</x:t>
  </x:si>
  <x:si>
    <x:t xml:space="preserve">https://dl.smwcentral.net/21139/MariosDayOff.zip</x:t>
  </x:si>
  <x:si>
    <x:t xml:space="preserve">Mario's Double Trouble</x:t>
  </x:si>
  <x:si>
    <x:t xml:space="preserve">AlWaYsDeLiVeRz</x:t>
  </x:si>
  <x:si>
    <x:t xml:space="preserve">9769</x:t>
  </x:si>
  <x:si>
    <x:t xml:space="preserve">https://www.smwcentral.net/?a=details&amp;id=9769&amp;p=section</x:t>
  </x:si>
  <x:si>
    <x:t xml:space="preserve">https://dl.smwcentral.net/9769/Mario%27s%20Double%20Trouble.zip</x:t>
  </x:si>
  <x:si>
    <x:t xml:space="preserve">Mario's Dying Simulator</x:t>
  </x:si>
  <x:si>
    <x:t xml:space="preserve">39635</x:t>
  </x:si>
  <x:si>
    <x:t xml:space="preserve">https://www.smwcentral.net/?a=details&amp;id=39635&amp;p=section</x:t>
  </x:si>
  <x:si>
    <x:t xml:space="preserve">https://dl.smwcentral.net/39635/MariosDyingSimulator.zip</x:t>
  </x:si>
  <x:si>
    <x:t xml:space="preserve">Mario's Endless Adventure 2: Escape From Koopatraz Prison</x:t>
  </x:si>
  <x:si>
    <x:t xml:space="preserve">Ddoomm10</x:t>
  </x:si>
  <x:si>
    <x:t xml:space="preserve">10268</x:t>
  </x:si>
  <x:si>
    <x:t xml:space="preserve">https://www.smwcentral.net/?a=details&amp;id=10268&amp;p=section</x:t>
  </x:si>
  <x:si>
    <x:t xml:space="preserve">https://dl.smwcentral.net/10268/MEA2.zip</x:t>
  </x:si>
  <x:si>
    <x:t xml:space="preserve">Mario's Enigmatic Tales 1: The Betrayal</x:t>
  </x:si>
  <x:si>
    <x:t xml:space="preserve">10300</x:t>
  </x:si>
  <x:si>
    <x:t xml:space="preserve">https://www.smwcentral.net/?a=details&amp;id=10300&amp;p=section</x:t>
  </x:si>
  <x:si>
    <x:t xml:space="preserve">https://dl.smwcentral.net/10300/Mario%27s%20Enigmatic%20Tales%20BETA%20Fixed.zip</x:t>
  </x:si>
  <x:si>
    <x:t xml:space="preserve">Mario's Epic Adventure [SMWC #10132]</x:t>
  </x:si>
  <x:si>
    <x:t xml:space="preserve">Mario's Epic Adventure</x:t>
  </x:si>
  <x:si>
    <x:t xml:space="preserve">10132</x:t>
  </x:si>
  <x:si>
    <x:t xml:space="preserve">https://www.smwcentral.net/?a=details&amp;id=10132&amp;p=section</x:t>
  </x:si>
  <x:si>
    <x:t xml:space="preserve">https://dl.smwcentral.net/10132/Mario%27s%20Epic%20Adventure.zip</x:t>
  </x:si>
  <x:si>
    <x:t xml:space="preserve">Mario's Epic Adventure [SMWC #36826]</x:t>
  </x:si>
  <x:si>
    <x:t xml:space="preserve">36826</x:t>
  </x:si>
  <x:si>
    <x:t xml:space="preserve">https://www.smwcentral.net/?a=details&amp;id=36826&amp;p=section</x:t>
  </x:si>
  <x:si>
    <x:t xml:space="preserve">https://dl.smwcentral.net/36826/Marios%20Epic%20Adventure%20Demo%202.zip</x:t>
  </x:si>
  <x:si>
    <x:t xml:space="preserve">Mario's Evil Level</x:t>
  </x:si>
  <x:si>
    <x:t xml:space="preserve">Mapsking</x:t>
  </x:si>
  <x:si>
    <x:t xml:space="preserve">33315</x:t>
  </x:si>
  <x:si>
    <x:t xml:space="preserve">https://www.smwcentral.net/?a=details&amp;id=33315&amp;p=section</x:t>
  </x:si>
  <x:si>
    <x:t xml:space="preserve">https://dl.smwcentral.net/33315/Mario%27s%20Evil%20Level%20v1.5.zip</x:t>
  </x:si>
  <x:si>
    <x:t xml:space="preserve">Mario's Exodus To Death</x:t>
  </x:si>
  <x:si>
    <x:t xml:space="preserve">Soul2Limbo</x:t>
  </x:si>
  <x:si>
    <x:t xml:space="preserve">5261</x:t>
  </x:si>
  <x:si>
    <x:t xml:space="preserve">https://www.smwcentral.net/?a=details&amp;id=5261&amp;p=section</x:t>
  </x:si>
  <x:si>
    <x:t xml:space="preserve">https://dl.smwcentral.net/5261/MD.zip</x:t>
  </x:si>
  <x:si>
    <x:t xml:space="preserve">Mario's Final Quest</x:t>
  </x:si>
  <x:si>
    <x:t xml:space="preserve">Kyanite</x:t>
  </x:si>
  <x:si>
    <x:t xml:space="preserve">13877</x:t>
  </x:si>
  <x:si>
    <x:t xml:space="preserve">https://www.smwcentral.net/?a=details&amp;id=13877&amp;p=section</x:t>
  </x:si>
  <x:si>
    <x:t xml:space="preserve">https://dl.smwcentral.net/13877/MFQ%20v1.2.zip</x:t>
  </x:si>
  <x:si>
    <x:t xml:space="preserve">Mario's First Adventure</x:t>
  </x:si>
  <x:si>
    <x:t xml:space="preserve">10243</x:t>
  </x:si>
  <x:si>
    <x:t xml:space="preserve">https://www.smwcentral.net/?a=details&amp;id=10243&amp;p=section</x:t>
  </x:si>
  <x:si>
    <x:t xml:space="preserve">https://dl.smwcentral.net/10243/C3%20Demo%20of%20M1A.zip</x:t>
  </x:si>
  <x:si>
    <x:t xml:space="preserve">Mario's Grand Adventure</x:t>
  </x:si>
  <x:si>
    <x:t xml:space="preserve">31857</x:t>
  </x:si>
  <x:si>
    <x:t xml:space="preserve">https://www.smwcentral.net/?a=details&amp;id=31857&amp;p=section</x:t>
  </x:si>
  <x:si>
    <x:t xml:space="preserve">https://dl.smwcentral.net/31857/Mario%27s%20Grand%20Adventure.zip</x:t>
  </x:si>
  <x:si>
    <x:t xml:space="preserve">Mario's Grand Adventure 2: Mario's World Tour</x:t>
  </x:si>
  <x:si>
    <x:t xml:space="preserve">28978</x:t>
  </x:si>
  <x:si>
    <x:t xml:space="preserve">https://www.smwcentral.net/?a=details&amp;id=28978&amp;p=section</x:t>
  </x:si>
  <x:si>
    <x:t xml:space="preserve">https://dl.smwcentral.net/28978/Mario%27s%20Grand%20Adventure%202%20Mario%27s%20World%20Tour.zip</x:t>
  </x:si>
  <x:si>
    <x:t xml:space="preserve">Mario's Grand Adventure: Delta Island</x:t>
  </x:si>
  <x:si>
    <x:t xml:space="preserve">27808</x:t>
  </x:si>
  <x:si>
    <x:t xml:space="preserve">https://www.smwcentral.net/?a=details&amp;id=27808&amp;p=section</x:t>
  </x:si>
  <x:si>
    <x:t xml:space="preserve">https://dl.smwcentral.net/27808/Mario%27s%20Grand%20Adventure%20Delta%20Island.zip</x:t>
  </x:si>
  <x:si>
    <x:t xml:space="preserve">Mario's Grand Adventure: Omega Jungle</x:t>
  </x:si>
  <x:si>
    <x:t xml:space="preserve">28058</x:t>
  </x:si>
  <x:si>
    <x:t xml:space="preserve">https://www.smwcentral.net/?a=details&amp;id=28058&amp;p=section</x:t>
  </x:si>
  <x:si>
    <x:t xml:space="preserve">https://dl.smwcentral.net/28058/Mario%27s%20Grand%20Adventure%20Omega%20Jungle.zip</x:t>
  </x:si>
  <x:si>
    <x:t xml:space="preserve">Mario's Homeland</x:t>
  </x:si>
  <x:si>
    <x:t xml:space="preserve">Tommy15551</x:t>
  </x:si>
  <x:si>
    <x:t xml:space="preserve">9953</x:t>
  </x:si>
  <x:si>
    <x:t xml:space="preserve">https://www.smwcentral.net/?a=details&amp;id=9953&amp;p=section</x:t>
  </x:si>
  <x:si>
    <x:t xml:space="preserve">https://dl.smwcentral.net/9953/Mario%27s%20Homeland%20%28Demo1%29.zip</x:t>
  </x:si>
  <x:si>
    <x:t xml:space="preserve">Mario's Island Exploration</x:t>
  </x:si>
  <x:si>
    <x:t xml:space="preserve">5573</x:t>
  </x:si>
  <x:si>
    <x:t xml:space="preserve">https://www.smwcentral.net/?a=details&amp;id=5573&amp;p=section</x:t>
  </x:si>
  <x:si>
    <x:t xml:space="preserve">https://dl.smwcentral.net/5573/MIE.zip</x:t>
  </x:si>
  <x:si>
    <x:t xml:space="preserve">Mario's Journey Through Time &amp; Space</x:t>
  </x:si>
  <x:si>
    <x:t xml:space="preserve">Ice Man</x:t>
  </x:si>
  <x:si>
    <x:t xml:space="preserve">6505</x:t>
  </x:si>
  <x:si>
    <x:t xml:space="preserve">https://www.smwcentral.net/?a=details&amp;id=6505&amp;p=section</x:t>
  </x:si>
  <x:si>
    <x:t xml:space="preserve">https://dl.smwcentral.net/6505/MJTTAS%20Final.zip</x:t>
  </x:si>
  <x:si>
    <x:t xml:space="preserve">Mario's Keytastrophe</x:t>
  </x:si>
  <x:si>
    <x:t xml:space="preserve">S.N.N.</x:t>
  </x:si>
  <x:si>
    <x:t xml:space="preserve">5317</x:t>
  </x:si>
  <x:si>
    <x:t xml:space="preserve">https://www.smwcentral.net/?a=details&amp;id=5317&amp;p=section</x:t>
  </x:si>
  <x:si>
    <x:t xml:space="preserve">https://dl.smwcentral.net/5317/MKT.zip</x:t>
  </x:si>
  <x:si>
    <x:t xml:space="preserve">Mario's Keytastrophe: Rebirth Edition</x:t>
  </x:si>
  <x:si>
    <x:t xml:space="preserve">15797</x:t>
  </x:si>
  <x:si>
    <x:t xml:space="preserve">https://www.smwcentral.net/?a=details&amp;id=15797&amp;p=section</x:t>
  </x:si>
  <x:si>
    <x:t xml:space="preserve">https://dl.smwcentral.net/15797/KTR.zip</x:t>
  </x:si>
  <x:si>
    <x:t xml:space="preserve">Mario's Last Adventure</x:t>
  </x:si>
  <x:si>
    <x:t xml:space="preserve">14534</x:t>
  </x:si>
  <x:si>
    <x:t xml:space="preserve">https://www.smwcentral.net/?a=details&amp;id=14534&amp;p=section</x:t>
  </x:si>
  <x:si>
    <x:t xml:space="preserve">https://dl.smwcentral.net/14534/MLA%20Demo%201.zip</x:t>
  </x:si>
  <x:si>
    <x:t xml:space="preserve">Mario's Long Traveling</x:t>
  </x:si>
  <x:si>
    <x:t xml:space="preserve">Teo17</x:t>
  </x:si>
  <x:si>
    <x:t xml:space="preserve">5435</x:t>
  </x:si>
  <x:si>
    <x:t xml:space="preserve">https://www.smwcentral.net/?a=details&amp;id=5435&amp;p=section</x:t>
  </x:si>
  <x:si>
    <x:t xml:space="preserve">https://dl.smwcentral.net/5435/MLT.zip</x:t>
  </x:si>
  <x:si>
    <x:t xml:space="preserve">Mario's Lost World</x:t>
  </x:si>
  <x:si>
    <x:t xml:space="preserve">icegoom</x:t>
  </x:si>
  <x:si>
    <x:t xml:space="preserve">4982</x:t>
  </x:si>
  <x:si>
    <x:t xml:space="preserve">https://www.smwcentral.net/?a=details&amp;id=4982&amp;p=section</x:t>
  </x:si>
  <x:si>
    <x:t xml:space="preserve">https://dl.smwcentral.net/4982/MariosLostWorldDemo.zip</x:t>
  </x:si>
  <x:si>
    <x:t xml:space="preserve">Mario's Low-Budget Adventure</x:t>
  </x:si>
  <x:si>
    <x:t xml:space="preserve">tranvucam</x:t>
  </x:si>
  <x:si>
    <x:t xml:space="preserve">38080</x:t>
  </x:si>
  <x:si>
    <x:t xml:space="preserve">https://www.smwcentral.net/?a=details&amp;id=38080&amp;p=section</x:t>
  </x:si>
  <x:si>
    <x:t xml:space="preserve">https://dl.smwcentral.net/38080/Mario%27s%20Low-Budget%20Adventure%20v1.2.zip</x:t>
  </x:si>
  <x:si>
    <x:t xml:space="preserve">Mario's Mad Adventure</x:t>
  </x:si>
  <x:si>
    <x:t xml:space="preserve">9703</x:t>
  </x:si>
  <x:si>
    <x:t xml:space="preserve">https://www.smwcentral.net/?a=details&amp;id=9703&amp;p=section</x:t>
  </x:si>
  <x:si>
    <x:t xml:space="preserve">https://dl.smwcentral.net/9703/Mario%27s%20Mad%20Adventure%20%282%20Parts%29.zip</x:t>
  </x:si>
  <x:si>
    <x:t xml:space="preserve">Mario's Misadventures 2: The Black Hole Bomb</x:t>
  </x:si>
  <x:si>
    <x:t xml:space="preserve">signature_steve</x:t>
  </x:si>
  <x:si>
    <x:t xml:space="preserve">41279</x:t>
  </x:si>
  <x:si>
    <x:t xml:space="preserve">https://www.smwcentral.net/?a=details&amp;id=41279&amp;p=section</x:t>
  </x:si>
  <x:si>
    <x:t xml:space="preserve">https://dl.smwcentral.net/41279/MariosMisadventures2%20v1.2.5.zip</x:t>
  </x:si>
  <x:si>
    <x:t xml:space="preserve">Mario's Misadventures: The Secret of The 11 Gems</x:t>
  </x:si>
  <x:si>
    <x:t xml:space="preserve">38098</x:t>
  </x:si>
  <x:si>
    <x:t xml:space="preserve">https://www.smwcentral.net/?a=details&amp;id=38098&amp;p=section</x:t>
  </x:si>
  <x:si>
    <x:t xml:space="preserve">https://dl.smwcentral.net/38098/MariosMisadventures1.4.3.zip</x:t>
  </x:si>
  <x:si>
    <x:t xml:space="preserve">Mario's Mission</x:t>
  </x:si>
  <x:si>
    <x:t xml:space="preserve">10225</x:t>
  </x:si>
  <x:si>
    <x:t xml:space="preserve">https://www.smwcentral.net/?a=details&amp;id=10225&amp;p=section</x:t>
  </x:si>
  <x:si>
    <x:t xml:space="preserve">https://dl.smwcentral.net/10225/Marios%20Mission.zip</x:t>
  </x:si>
  <x:si>
    <x:t xml:space="preserve">Mario's Mistake</x:t>
  </x:si>
  <x:si>
    <x:t xml:space="preserve">gibbl</x:t>
  </x:si>
  <x:si>
    <x:t xml:space="preserve">6131</x:t>
  </x:si>
  <x:si>
    <x:t xml:space="preserve">https://www.smwcentral.net/?a=details&amp;id=6131&amp;p=section</x:t>
  </x:si>
  <x:si>
    <x:t xml:space="preserve">https://dl.smwcentral.net/6131/Mario%27s%20Mistake.zip</x:t>
  </x:si>
  <x:si>
    <x:t xml:space="preserve">Mario's Mystery Meat</x:t>
  </x:si>
  <x:si>
    <x:t xml:space="preserve">Eminus</x:t>
  </x:si>
  <x:si>
    <x:t xml:space="preserve">23290</x:t>
  </x:si>
  <x:si>
    <x:t xml:space="preserve">https://www.smwcentral.net/?a=details&amp;id=23290&amp;p=section</x:t>
  </x:si>
  <x:si>
    <x:t xml:space="preserve">https://dl.smwcentral.net/23290/mmmeat.zip</x:t>
  </x:si>
  <x:si>
    <x:t xml:space="preserve">Mario's Mystical Garden</x:t>
  </x:si>
  <x:si>
    <x:t xml:space="preserve">5529</x:t>
  </x:si>
  <x:si>
    <x:t xml:space="preserve">https://www.smwcentral.net/?a=details&amp;id=5529&amp;p=section</x:t>
  </x:si>
  <x:si>
    <x:t xml:space="preserve">https://dl.smwcentral.net/5529/MMG1.3.zip</x:t>
  </x:si>
  <x:si>
    <x:t xml:space="preserve">Mario's New World</x:t>
  </x:si>
  <x:si>
    <x:t xml:space="preserve">10217</x:t>
  </x:si>
  <x:si>
    <x:t xml:space="preserve">https://www.smwcentral.net/?a=details&amp;id=10217&amp;p=section</x:t>
  </x:si>
  <x:si>
    <x:t xml:space="preserve">https://dl.smwcentral.net/10217/%282004%29%20Mario%27s%20New%20World.zip</x:t>
  </x:si>
  <x:si>
    <x:t xml:space="preserve">Mario's New Year Mini Quest</x:t>
  </x:si>
  <x:si>
    <x:t xml:space="preserve">26149</x:t>
  </x:si>
  <x:si>
    <x:t xml:space="preserve">https://www.smwcentral.net/?a=details&amp;id=26149&amp;p=section</x:t>
  </x:si>
  <x:si>
    <x:t xml:space="preserve">https://dl.smwcentral.net/26149/Mario%27s%20New%20Year%20Mini%20Quest%20%28V1.2%29.zip</x:t>
  </x:si>
  <x:si>
    <x:t xml:space="preserve">Mario's Next Adventure</x:t>
  </x:si>
  <x:si>
    <x:t xml:space="preserve">Systrem Studios</x:t>
  </x:si>
  <x:si>
    <x:t xml:space="preserve">13292</x:t>
  </x:si>
  <x:si>
    <x:t xml:space="preserve">https://www.smwcentral.net/?a=details&amp;id=13292&amp;p=section</x:t>
  </x:si>
  <x:si>
    <x:t xml:space="preserve">https://dl.smwcentral.net/13292/Marios%20Next%20Adventure%20v.2.0.zip</x:t>
  </x:si>
  <x:si>
    <x:t xml:space="preserve">Mario's Nightmare: Episode 1</x:t>
  </x:si>
  <x:si>
    <x:t xml:space="preserve">TooManyToasters</x:t>
  </x:si>
  <x:si>
    <x:t xml:space="preserve">9816</x:t>
  </x:si>
  <x:si>
    <x:t xml:space="preserve">https://www.smwcentral.net/?a=details&amp;id=9816&amp;p=section</x:t>
  </x:si>
  <x:si>
    <x:t xml:space="preserve">https://dl.smwcentral.net/9816/Mario%27s%20Nightmare%20Ep1.zip</x:t>
  </x:si>
  <x:si>
    <x:t xml:space="preserve">Mario's NOSE</x:t>
  </x:si>
  <x:si>
    <x:t xml:space="preserve">rextep</x:t>
  </x:si>
  <x:si>
    <x:t xml:space="preserve">17452</x:t>
  </x:si>
  <x:si>
    <x:t xml:space="preserve">https://www.smwcentral.net/?a=details&amp;id=17452&amp;p=section</x:t>
  </x:si>
  <x:si>
    <x:t xml:space="preserve">https://dl.smwcentral.net/17452/MNOSE.zip</x:t>
  </x:si>
  <x:si>
    <x:t xml:space="preserve">Mario's on a New Adventure!</x:t>
  </x:si>
  <x:si>
    <x:t xml:space="preserve">ItsaMe.64</x:t>
  </x:si>
  <x:si>
    <x:t xml:space="preserve">18975</x:t>
  </x:si>
  <x:si>
    <x:t xml:space="preserve">https://www.smwcentral.net/?a=details&amp;id=18975&amp;p=section</x:t>
  </x:si>
  <x:si>
    <x:t xml:space="preserve">https://dl.smwcentral.net/18975/%5BMoaNA%21%20up1%5D.zip</x:t>
  </x:si>
  <x:si>
    <x:t xml:space="preserve">Mario's Peregrination-Kingdom Elementum Phantasia</x:t>
  </x:si>
  <x:si>
    <x:t xml:space="preserve">14536</x:t>
  </x:si>
  <x:si>
    <x:t xml:space="preserve">https://www.smwcentral.net/?a=details&amp;id=14536&amp;p=section</x:t>
  </x:si>
  <x:si>
    <x:t xml:space="preserve">https://dl.smwcentral.net/14536/MP.zip</x:t>
  </x:si>
  <x:si>
    <x:t xml:space="preserve">Mario's Pride Mini Quest</x:t>
  </x:si>
  <x:si>
    <x:t xml:space="preserve">34166</x:t>
  </x:si>
  <x:si>
    <x:t xml:space="preserve">https://www.smwcentral.net/?a=details&amp;id=34166&amp;p=section</x:t>
  </x:si>
  <x:si>
    <x:t xml:space="preserve">https://dl.smwcentral.net/34166/Mario%27s%20Pride%20Mini%20Quest%20%28V1.3.5%29.zip</x:t>
  </x:si>
  <x:si>
    <x:t xml:space="preserve">Mario's Quest For The Water</x:t>
  </x:si>
  <x:si>
    <x:t xml:space="preserve">waffledoctor87</x:t>
  </x:si>
  <x:si>
    <x:t xml:space="preserve">20324</x:t>
  </x:si>
  <x:si>
    <x:t xml:space="preserve">https://www.smwcentral.net/?a=details&amp;id=20324&amp;p=section</x:t>
  </x:si>
  <x:si>
    <x:t xml:space="preserve">https://dl.smwcentral.net/20324/MQFTW.zip</x:t>
  </x:si>
  <x:si>
    <x:t xml:space="preserve">Mario's Quest: The Legend of Darmi</x:t>
  </x:si>
  <x:si>
    <x:t xml:space="preserve">12947</x:t>
  </x:si>
  <x:si>
    <x:t xml:space="preserve">https://www.smwcentral.net/?a=details&amp;id=12947&amp;p=section</x:t>
  </x:si>
  <x:si>
    <x:t xml:space="preserve">https://dl.smwcentral.net/12947/Mario%27s%20Quest-%20The%20Legend%20of%20Darmi.zip</x:t>
  </x:si>
  <x:si>
    <x:t xml:space="preserve">Mario's Redemption Quest</x:t>
  </x:si>
  <x:si>
    <x:t xml:space="preserve">25924</x:t>
  </x:si>
  <x:si>
    <x:t xml:space="preserve">https://www.smwcentral.net/?a=details&amp;id=25924&amp;p=section</x:t>
  </x:si>
  <x:si>
    <x:t xml:space="preserve">https://dl.smwcentral.net/25924/Mario%27s%20Redemption%20Quest%20v1.1.zip</x:t>
  </x:si>
  <x:si>
    <x:t xml:space="preserve">Mario's Redrawn Adventure</x:t>
  </x:si>
  <x:si>
    <x:t xml:space="preserve">Moltz</x:t>
  </x:si>
  <x:si>
    <x:t xml:space="preserve">8897</x:t>
  </x:si>
  <x:si>
    <x:t xml:space="preserve">https://www.smwcentral.net/?a=details&amp;id=8897&amp;p=section</x:t>
  </x:si>
  <x:si>
    <x:t xml:space="preserve">https://dl.smwcentral.net/8897/MRA.zip</x:t>
  </x:si>
  <x:si>
    <x:t xml:space="preserve">Mario's Return</x:t>
  </x:si>
  <x:si>
    <x:t xml:space="preserve">Stark</x:t>
  </x:si>
  <x:si>
    <x:t xml:space="preserve">19903</x:t>
  </x:si>
  <x:si>
    <x:t xml:space="preserve">https://www.smwcentral.net/?a=details&amp;id=19903&amp;p=section</x:t>
  </x:si>
  <x:si>
    <x:t xml:space="preserve">https://dl.smwcentral.net/19903/Marios_Return.zip</x:t>
  </x:si>
  <x:si>
    <x:t xml:space="preserve">Mario's Return Again</x:t>
  </x:si>
  <x:si>
    <x:t xml:space="preserve">9878</x:t>
  </x:si>
  <x:si>
    <x:t xml:space="preserve">https://www.smwcentral.net/?a=details&amp;id=9878&amp;p=section</x:t>
  </x:si>
  <x:si>
    <x:t xml:space="preserve">https://dl.smwcentral.net/9878/MRA%20Beta.zip</x:t>
  </x:si>
  <x:si>
    <x:t xml:space="preserve">Mario's Ruined Seclusion</x:t>
  </x:si>
  <x:si>
    <x:t xml:space="preserve">33606</x:t>
  </x:si>
  <x:si>
    <x:t xml:space="preserve">https://www.smwcentral.net/?a=details&amp;id=33606&amp;p=section</x:t>
  </x:si>
  <x:si>
    <x:t xml:space="preserve">https://dl.smwcentral.net/33606/Mario%27s_Ruined_Seclusion_1.0.0.zip</x:t>
  </x:si>
  <x:si>
    <x:t xml:space="preserve">Mario's Search for the 8 Jewels</x:t>
  </x:si>
  <x:si>
    <x:t xml:space="preserve">MaiK</x:t>
  </x:si>
  <x:si>
    <x:t xml:space="preserve">5373</x:t>
  </x:si>
  <x:si>
    <x:t xml:space="preserve">https://www.smwcentral.net/?a=details&amp;id=5373&amp;p=section</x:t>
  </x:si>
  <x:si>
    <x:t xml:space="preserve">https://dl.smwcentral.net/5373/MariosSearchForThe8Jewels%20Mawwo7.zip</x:t>
  </x:si>
  <x:si>
    <x:t xml:space="preserve">Mario's Search for the 8 Jewels 2</x:t>
  </x:si>
  <x:si>
    <x:t xml:space="preserve">16492</x:t>
  </x:si>
  <x:si>
    <x:t xml:space="preserve">https://www.smwcentral.net/?a=details&amp;id=16492&amp;p=section</x:t>
  </x:si>
  <x:si>
    <x:t xml:space="preserve">https://dl.smwcentral.net/16492/Mario%27s%20Search%20for%20the%208%20Jewels%202%20-%20by%20MaiK.zip</x:t>
  </x:si>
  <x:si>
    <x:t xml:space="preserve">Mario's Search for the Shrine of Eternal Ice</x:t>
  </x:si>
  <x:si>
    <x:t xml:space="preserve">12310</x:t>
  </x:si>
  <x:si>
    <x:t xml:space="preserve">https://www.smwcentral.net/?a=details&amp;id=12310&amp;p=section</x:t>
  </x:si>
  <x:si>
    <x:t xml:space="preserve">https://dl.smwcentral.net/12310/Mario%27s%20Search%20for%20the%20Shrine%20of%20Eternal%20Ice%20%28Version%201.1%29.zip</x:t>
  </x:si>
  <x:si>
    <x:t xml:space="preserve">Mario's Search for the Stolen Stars</x:t>
  </x:si>
  <x:si>
    <x:t xml:space="preserve">majora211</x:t>
  </x:si>
  <x:si>
    <x:t xml:space="preserve">5412</x:t>
  </x:si>
  <x:si>
    <x:t xml:space="preserve">https://www.smwcentral.net/?a=details&amp;id=5412&amp;p=section</x:t>
  </x:si>
  <x:si>
    <x:t xml:space="preserve">https://dl.smwcentral.net/5412/Mario%27s%20search%20for%20the%20stolen%20stars.zip</x:t>
  </x:si>
  <x:si>
    <x:t xml:space="preserve">Mario's Simple Way</x:t>
  </x:si>
  <x:si>
    <x:t xml:space="preserve">Everest</x:t>
  </x:si>
  <x:si>
    <x:t xml:space="preserve">10079</x:t>
  </x:si>
  <x:si>
    <x:t xml:space="preserve">https://www.smwcentral.net/?a=details&amp;id=10079&amp;p=section</x:t>
  </x:si>
  <x:si>
    <x:t xml:space="preserve">https://dl.smwcentral.net/10079/mswdemo1.zip</x:t>
  </x:si>
  <x:si>
    <x:t xml:space="preserve">Mario's Strange Quest</x:t>
  </x:si>
  <x:si>
    <x:t xml:space="preserve">yoshifanatic</x:t>
  </x:si>
  <x:si>
    <x:t xml:space="preserve">5258</x:t>
  </x:si>
  <x:si>
    <x:t xml:space="preserve">https://www.smwcentral.net/?a=details&amp;id=5258&amp;p=section</x:t>
  </x:si>
  <x:si>
    <x:t xml:space="preserve">https://dl.smwcentral.net/5258/Mario%27s%20Strange%20Quest%20v1.6.zip</x:t>
  </x:si>
  <x:si>
    <x:t xml:space="preserve">Mario's Super Galactic Illusion Space Time</x:t>
  </x:si>
  <x:si>
    <x:t xml:space="preserve">Sulcuryalt</x:t>
  </x:si>
  <x:si>
    <x:t xml:space="preserve">10033</x:t>
  </x:si>
  <x:si>
    <x:t xml:space="preserve">https://www.smwcentral.net/?a=details&amp;id=10033&amp;p=section</x:t>
  </x:si>
  <x:si>
    <x:t xml:space="preserve">https://dl.smwcentral.net/10033/Mario%27s%20Super%20Galactic%20Illusion%20Space%20Time.zip</x:t>
  </x:si>
  <x:si>
    <x:t xml:space="preserve">Mario's Supper World</x:t>
  </x:si>
  <x:si>
    <x:t xml:space="preserve">35659</x:t>
  </x:si>
  <x:si>
    <x:t xml:space="preserve">https://www.smwcentral.net/?a=details&amp;id=35659&amp;p=section</x:t>
  </x:si>
  <x:si>
    <x:t xml:space="preserve">https://dl.smwcentral.net/35659/Mario%27s%20Supper%20World.zip</x:t>
  </x:si>
  <x:si>
    <x:t xml:space="preserve">Mario's Sweet Adventure</x:t>
  </x:si>
  <x:si>
    <x:t xml:space="preserve">12794</x:t>
  </x:si>
  <x:si>
    <x:t xml:space="preserve">https://www.smwcentral.net/?a=details&amp;id=12794&amp;p=section</x:t>
  </x:si>
  <x:si>
    <x:t xml:space="preserve">https://dl.smwcentral.net/12794/Marios%20Sweet%20Adventure%20Demo%204.zip</x:t>
  </x:si>
  <x:si>
    <x:t xml:space="preserve">Mario's Sweet Adventure 2</x:t>
  </x:si>
  <x:si>
    <x:t xml:space="preserve">12884</x:t>
  </x:si>
  <x:si>
    <x:t xml:space="preserve">https://www.smwcentral.net/?a=details&amp;id=12884&amp;p=section</x:t>
  </x:si>
  <x:si>
    <x:t xml:space="preserve">https://dl.smwcentral.net/12884/Marios%20Sweet%20Adventure%202%20Demo%201.zip</x:t>
  </x:si>
  <x:si>
    <x:t xml:space="preserve">Mario's Sweet Adventure 3 - A New Quest</x:t>
  </x:si>
  <x:si>
    <x:t xml:space="preserve">14710</x:t>
  </x:si>
  <x:si>
    <x:t xml:space="preserve">https://www.smwcentral.net/?a=details&amp;id=14710&amp;p=section</x:t>
  </x:si>
  <x:si>
    <x:t xml:space="preserve">https://dl.smwcentral.net/14710/MSA%203%20FINAL%201.1.0.0.zip</x:t>
  </x:si>
  <x:si>
    <x:t xml:space="preserve">Mario's Time Quest</x:t>
  </x:si>
  <x:si>
    <x:t xml:space="preserve">Red Chameleon, YoshiFan501</x:t>
  </x:si>
  <x:si>
    <x:t xml:space="preserve">9842</x:t>
  </x:si>
  <x:si>
    <x:t xml:space="preserve">https://www.smwcentral.net/?a=details&amp;id=9842&amp;p=section</x:t>
  </x:si>
  <x:si>
    <x:t xml:space="preserve">https://dl.smwcentral.net/9842/Mario%27s%20Time%20Quest%20-%20Demo%201.zip</x:t>
  </x:si>
  <x:si>
    <x:t xml:space="preserve">Mario's Timely Adventure</x:t>
  </x:si>
  <x:si>
    <x:t xml:space="preserve">xman0444</x:t>
  </x:si>
  <x:si>
    <x:t xml:space="preserve">9868</x:t>
  </x:si>
  <x:si>
    <x:t xml:space="preserve">https://www.smwcentral.net/?a=details&amp;id=9868&amp;p=section</x:t>
  </x:si>
  <x:si>
    <x:t xml:space="preserve">https://dl.smwcentral.net/9868/mta.zip.zip</x:t>
  </x:si>
  <x:si>
    <x:t xml:space="preserve">Mario's Training</x:t>
  </x:si>
  <x:si>
    <x:t xml:space="preserve">18509</x:t>
  </x:si>
  <x:si>
    <x:t xml:space="preserve">https://www.smwcentral.net/?a=details&amp;id=18509&amp;p=section</x:t>
  </x:si>
  <x:si>
    <x:t xml:space="preserve">https://dl.smwcentral.net/18509/Mario%27s%20Training.zip</x:t>
  </x:si>
  <x:si>
    <x:t xml:space="preserve">Mario's Treasure Hunt</x:t>
  </x:si>
  <x:si>
    <x:t xml:space="preserve">5551</x:t>
  </x:si>
  <x:si>
    <x:t xml:space="preserve">https://www.smwcentral.net/?a=details&amp;id=5551&amp;p=section</x:t>
  </x:si>
  <x:si>
    <x:t xml:space="preserve">https://dl.smwcentral.net/5551/MTH%20by%20Mawwo7.zip</x:t>
  </x:si>
  <x:si>
    <x:t xml:space="preserve">Mario's Treasure Hunt 2</x:t>
  </x:si>
  <x:si>
    <x:t xml:space="preserve">5566</x:t>
  </x:si>
  <x:si>
    <x:t xml:space="preserve">https://www.smwcentral.net/?a=details&amp;id=5566&amp;p=section</x:t>
  </x:si>
  <x:si>
    <x:t xml:space="preserve">https://dl.smwcentral.net/5566/MTH2.zip</x:t>
  </x:si>
  <x:si>
    <x:t xml:space="preserve">Mario's Ultimate Journey</x:t>
  </x:si>
  <x:si>
    <x:t xml:space="preserve">5488</x:t>
  </x:si>
  <x:si>
    <x:t xml:space="preserve">https://www.smwcentral.net/?a=details&amp;id=5488&amp;p=section</x:t>
  </x:si>
  <x:si>
    <x:t xml:space="preserve">https://dl.smwcentral.net/5488/Mario%27s%20Ultimate%20Journey%20Demo%201.zip</x:t>
  </x:si>
  <x:si>
    <x:t xml:space="preserve">Mario's Vanilla Journey</x:t>
  </x:si>
  <x:si>
    <x:t xml:space="preserve">akacesfan</x:t>
  </x:si>
  <x:si>
    <x:t xml:space="preserve">8721</x:t>
  </x:si>
  <x:si>
    <x:t xml:space="preserve">https://www.smwcentral.net/?a=details&amp;id=8721&amp;p=section</x:t>
  </x:si>
  <x:si>
    <x:t xml:space="preserve">https://dl.smwcentral.net/8721/Mario%27s%20Vanilla%20Journey%20-%20Demo%202.02.zip</x:t>
  </x:si>
  <x:si>
    <x:t xml:space="preserve">Mario's Walk Home: Extended Collector's Edition</x:t>
  </x:si>
  <x:si>
    <x:t xml:space="preserve">Noivern</x:t>
  </x:si>
  <x:si>
    <x:t xml:space="preserve">5422</x:t>
  </x:si>
  <x:si>
    <x:t xml:space="preserve">https://www.smwcentral.net/?a=details&amp;id=5422&amp;p=section</x:t>
  </x:si>
  <x:si>
    <x:t xml:space="preserve">https://dl.smwcentral.net/5422/Mario%27s%20Walk%20Home.zip</x:t>
  </x:si>
  <x:si>
    <x:t xml:space="preserve">Mario's Way to be a Legend</x:t>
  </x:si>
  <x:si>
    <x:t xml:space="preserve">SuperMarisa1999</x:t>
  </x:si>
  <x:si>
    <x:t xml:space="preserve">13486</x:t>
  </x:si>
  <x:si>
    <x:t xml:space="preserve">https://www.smwcentral.net/?a=details&amp;id=13486&amp;p=section</x:t>
  </x:si>
  <x:si>
    <x:t xml:space="preserve">https://dl.smwcentral.net/13486/Mario%27s%20Way%20To%20Be%20a%20Legend%20Demo%200.1.1.zip</x:t>
  </x:si>
  <x:si>
    <x:t xml:space="preserve">Mario, Luigi and the 7 Eggs of Peace</x:t>
  </x:si>
  <x:si>
    <x:t xml:space="preserve">20943</x:t>
  </x:si>
  <x:si>
    <x:t xml:space="preserve">https://www.smwcentral.net/?a=details&amp;id=20943&amp;p=section</x:t>
  </x:si>
  <x:si>
    <x:t xml:space="preserve">https://dl.smwcentral.net/20943/Mario%20Luigi%20and%20the%207%20eggs%20of%20peace.zip</x:t>
  </x:si>
  <x:si>
    <x:t xml:space="preserve">Mario41001's Unknown Hack</x:t>
  </x:si>
  <x:si>
    <x:t xml:space="preserve">440</x:t>
  </x:si>
  <x:si>
    <x:t xml:space="preserve">9693</x:t>
  </x:si>
  <x:si>
    <x:t xml:space="preserve">https://www.smwcentral.net/?a=details&amp;id=9693&amp;p=section</x:t>
  </x:si>
  <x:si>
    <x:t xml:space="preserve">https://dl.smwcentral.net/9693/MUH.zip</x:t>
  </x:si>
  <x:si>
    <x:t xml:space="preserve">Mario: Apocalypse Dawn</x:t>
  </x:si>
  <x:si>
    <x:t xml:space="preserve">BulletBillTime</x:t>
  </x:si>
  <x:si>
    <x:t xml:space="preserve">9725</x:t>
  </x:si>
  <x:si>
    <x:t xml:space="preserve">https://www.smwcentral.net/?a=details&amp;id=9725&amp;p=section</x:t>
  </x:si>
  <x:si>
    <x:t xml:space="preserve">https://dl.smwcentral.net/9725/Mario%20-%20Apocalypse%20Dawn%20Demo%201.zip</x:t>
  </x:si>
  <x:si>
    <x:t xml:space="preserve">Mario: Collapsing Worlds</x:t>
  </x:si>
  <x:si>
    <x:t xml:space="preserve">Blue_Raven</x:t>
  </x:si>
  <x:si>
    <x:t xml:space="preserve">10145</x:t>
  </x:si>
  <x:si>
    <x:t xml:space="preserve">https://www.smwcentral.net/?a=details&amp;id=10145&amp;p=section</x:t>
  </x:si>
  <x:si>
    <x:t xml:space="preserve">https://dl.smwcentral.net/10145/MCW.zip</x:t>
  </x:si>
  <x:si>
    <x:t xml:space="preserve">Mario: Dawn to Darkness</x:t>
  </x:si>
  <x:si>
    <x:t xml:space="preserve">Yanama</x:t>
  </x:si>
  <x:si>
    <x:t xml:space="preserve">13707</x:t>
  </x:si>
  <x:si>
    <x:t xml:space="preserve">https://www.smwcentral.net/?a=details&amp;id=13707&amp;p=section</x:t>
  </x:si>
  <x:si>
    <x:t xml:space="preserve">https://dl.smwcentral.net/13707/MarioDawnToDarkness_fixed.zip</x:t>
  </x:si>
  <x:si>
    <x:t xml:space="preserve">Mario: Other M</x:t>
  </x:si>
  <x:si>
    <x:t xml:space="preserve">10131</x:t>
  </x:si>
  <x:si>
    <x:t xml:space="preserve">https://www.smwcentral.net/?a=details&amp;id=10131&amp;p=section</x:t>
  </x:si>
  <x:si>
    <x:t xml:space="preserve">https://dl.smwcentral.net/10131/Mario%20Other%20M.zip</x:t>
  </x:si>
  <x:si>
    <x:t xml:space="preserve">Mario: The Curse of King Boo</x:t>
  </x:si>
  <x:si>
    <x:t xml:space="preserve">21156</x:t>
  </x:si>
  <x:si>
    <x:t xml:space="preserve">https://www.smwcentral.net/?a=details&amp;id=21156&amp;p=section</x:t>
  </x:si>
  <x:si>
    <x:t xml:space="preserve">https://dl.smwcentral.net/21156/Curse%20of%20King%20Boo.zip</x:t>
  </x:si>
  <x:si>
    <x:t xml:space="preserve">Marios Adventure in the Dream World</x:t>
  </x:si>
  <x:si>
    <x:t xml:space="preserve">HookEcho</x:t>
  </x:si>
  <x:si>
    <x:t xml:space="preserve">17178</x:t>
  </x:si>
  <x:si>
    <x:t xml:space="preserve">https://www.smwcentral.net/?a=details&amp;id=17178&amp;p=section</x:t>
  </x:si>
  <x:si>
    <x:t xml:space="preserve">https://dl.smwcentral.net/17178/MarioAdventureInTheDreamWorld.zip</x:t>
  </x:si>
  <x:si>
    <x:t xml:space="preserve">Marios Christmas Adventure</x:t>
  </x:si>
  <x:si>
    <x:t xml:space="preserve">38969</x:t>
  </x:si>
  <x:si>
    <x:t xml:space="preserve">https://www.smwcentral.net/?a=details&amp;id=38969&amp;p=section</x:t>
  </x:si>
  <x:si>
    <x:t xml:space="preserve">https://dl.smwcentral.net/38969/Marios_Christmas_Adventure.zip</x:t>
  </x:si>
  <x:si>
    <x:t xml:space="preserve">Marios Christmas Adventure 2</x:t>
  </x:si>
  <x:si>
    <x:t xml:space="preserve">41143</x:t>
  </x:si>
  <x:si>
    <x:t xml:space="preserve">https://www.smwcentral.net/?a=details&amp;id=41143&amp;p=section</x:t>
  </x:si>
  <x:si>
    <x:t xml:space="preserve">https://dl.smwcentral.net/41143/Marios_Christmas_Adventure_2.zip</x:t>
  </x:si>
  <x:si>
    <x:t xml:space="preserve">Marios Pizza Party</x:t>
  </x:si>
  <x:si>
    <x:t xml:space="preserve">37928</x:t>
  </x:si>
  <x:si>
    <x:t xml:space="preserve">https://www.smwcentral.net/?a=details&amp;id=37928&amp;p=section</x:t>
  </x:si>
  <x:si>
    <x:t xml:space="preserve">https://dl.smwcentral.net/37928/MariosPizzaParty.zip</x:t>
  </x:si>
  <x:si>
    <x:t xml:space="preserve">Marios Pizza Party 2</x:t>
  </x:si>
  <x:si>
    <x:t xml:space="preserve">38576</x:t>
  </x:si>
  <x:si>
    <x:t xml:space="preserve">https://www.smwcentral.net/?a=details&amp;id=38576&amp;p=section</x:t>
  </x:si>
  <x:si>
    <x:t xml:space="preserve">https://dl.smwcentral.net/38576/Marios_Pizza_Party_2.zip</x:t>
  </x:si>
  <x:si>
    <x:t xml:space="preserve">Marios Pizza Party 3</x:t>
  </x:si>
  <x:si>
    <x:t xml:space="preserve">40193</x:t>
  </x:si>
  <x:si>
    <x:t xml:space="preserve">https://www.smwcentral.net/?a=details&amp;id=40193&amp;p=section</x:t>
  </x:si>
  <x:si>
    <x:t xml:space="preserve">https://dl.smwcentral.net/40193/Marios%20Pizza%20Party%203%20-%201.1.zip</x:t>
  </x:si>
  <x:si>
    <x:t xml:space="preserve">Marios story</x:t>
  </x:si>
  <x:si>
    <x:t xml:space="preserve">9928</x:t>
  </x:si>
  <x:si>
    <x:t xml:space="preserve">https://www.smwcentral.net/?a=details&amp;id=9928&amp;p=section</x:t>
  </x:si>
  <x:si>
    <x:t xml:space="preserve">https://dl.smwcentral.net/9928/Mario%C2%B4s%20Story.zip</x:t>
  </x:si>
  <x:si>
    <x:t xml:space="preserve">MarioX World SER</x:t>
  </x:si>
  <x:si>
    <x:t xml:space="preserve">10183</x:t>
  </x:si>
  <x:si>
    <x:t xml:space="preserve">https://www.smwcentral.net/?a=details&amp;id=10183&amp;p=section</x:t>
  </x:si>
  <x:si>
    <x:t xml:space="preserve">https://dl.smwcentral.net/10183/mxw2ndr.zip</x:t>
  </x:si>
  <x:si>
    <x:t xml:space="preserve">Marisa And Reimu VS C3</x:t>
  </x:si>
  <x:si>
    <x:t xml:space="preserve">29522</x:t>
  </x:si>
  <x:si>
    <x:t xml:space="preserve">https://www.smwcentral.net/?a=details&amp;id=29522&amp;p=section</x:t>
  </x:si>
  <x:si>
    <x:t xml:space="preserve">https://dl.smwcentral.net/29522/Marisa%20And%20Reimu%20VS%20C3.zip</x:t>
  </x:si>
  <x:si>
    <x:t xml:space="preserve">Marisa And Reimu's Hack</x:t>
  </x:si>
  <x:si>
    <x:t xml:space="preserve">29146</x:t>
  </x:si>
  <x:si>
    <x:t xml:space="preserve">https://www.smwcentral.net/?a=details&amp;id=29146&amp;p=section</x:t>
  </x:si>
  <x:si>
    <x:t xml:space="preserve">https://dl.smwcentral.net/29146/Marisa%20And%20Reimu%27s%20Hack.zip</x:t>
  </x:si>
  <x:si>
    <x:t xml:space="preserve">Marisa And Reimu's Hack 2</x:t>
  </x:si>
  <x:si>
    <x:t xml:space="preserve">39933</x:t>
  </x:si>
  <x:si>
    <x:t xml:space="preserve">https://www.smwcentral.net/?a=details&amp;id=39933&amp;p=section</x:t>
  </x:si>
  <x:si>
    <x:t xml:space="preserve">https://dl.smwcentral.net/39933/Marisa%20and%20Reimu%27s%20Hack%202.zip</x:t>
  </x:si>
  <x:si>
    <x:t xml:space="preserve">Marisa And Reimu's Switch Hunt</x:t>
  </x:si>
  <x:si>
    <x:t xml:space="preserve">27626</x:t>
  </x:si>
  <x:si>
    <x:t xml:space="preserve">https://www.smwcentral.net/?a=details&amp;id=27626&amp;p=section</x:t>
  </x:si>
  <x:si>
    <x:t xml:space="preserve">https://dl.smwcentral.net/27626/MarisaAndReimuC3_V.1.02.zip</x:t>
  </x:si>
  <x:si>
    <x:t xml:space="preserve">Marisa's Dimensional Adventure Demo 2</x:t>
  </x:si>
  <x:si>
    <x:t xml:space="preserve">tfpivman</x:t>
  </x:si>
  <x:si>
    <x:t xml:space="preserve">32694</x:t>
  </x:si>
  <x:si>
    <x:t xml:space="preserve">https://www.smwcentral.net/?a=details&amp;id=32694&amp;p=section</x:t>
  </x:si>
  <x:si>
    <x:t xml:space="preserve">https://dl.smwcentral.net/32694/Marisa%27s%20Dimensional%20Adventure%20Demo%202.zip</x:t>
  </x:si>
  <x:si>
    <x:t xml:space="preserve">MaSeHiHa - Mario's Search For His Hat</x:t>
  </x:si>
  <x:si>
    <x:t xml:space="preserve">6055</x:t>
  </x:si>
  <x:si>
    <x:t xml:space="preserve">https://www.smwcentral.net/?a=details&amp;id=6055&amp;p=section</x:t>
  </x:si>
  <x:si>
    <x:t xml:space="preserve">https://dl.smwcentral.net/6055/MaSeHiHa.zip</x:t>
  </x:si>
  <x:si>
    <x:t xml:space="preserve">Master of Shell</x:t>
  </x:si>
  <x:si>
    <x:t xml:space="preserve">29054</x:t>
  </x:si>
  <x:si>
    <x:t xml:space="preserve">https://www.smwcentral.net/?a=details&amp;id=29054&amp;p=section</x:t>
  </x:si>
  <x:si>
    <x:t xml:space="preserve">https://dl.smwcentral.net/29054/MasterOfShellSMWC.zip</x:t>
  </x:si>
  <x:si>
    <x:t xml:space="preserve">Masterpiece</x:t>
  </x:si>
  <x:si>
    <x:t xml:space="preserve">YMM</x:t>
  </x:si>
  <x:si>
    <x:t xml:space="preserve">40715</x:t>
  </x:si>
  <x:si>
    <x:t xml:space="preserve">https://www.smwcentral.net/?a=details&amp;id=40715&amp;p=section</x:t>
  </x:si>
  <x:si>
    <x:t xml:space="preserve">https://dl.smwcentral.net/40715/Masterpiece%20v1.2.8.zip</x:t>
  </x:si>
  <x:si>
    <x:t xml:space="preserve">Mastery Shells</x:t>
  </x:si>
  <x:si>
    <x:t xml:space="preserve">39059</x:t>
  </x:si>
  <x:si>
    <x:t xml:space="preserve">https://www.smwcentral.net/?a=details&amp;id=39059&amp;p=section</x:t>
  </x:si>
  <x:si>
    <x:t xml:space="preserve">https://dl.smwcentral.net/39059/Mastery%20Shells.zip</x:t>
  </x:si>
  <x:si>
    <x:t xml:space="preserve">Mastery Shells 2</x:t>
  </x:si>
  <x:si>
    <x:t xml:space="preserve">40966</x:t>
  </x:si>
  <x:si>
    <x:t xml:space="preserve">https://www.smwcentral.net/?a=details&amp;id=40966&amp;p=section</x:t>
  </x:si>
  <x:si>
    <x:t xml:space="preserve">https://dl.smwcentral.net/40966/Mastery%20Shells%202.zip</x:t>
  </x:si>
  <x:si>
    <x:t xml:space="preserve">Maxodex's World: The Ancestor's Treasure</x:t>
  </x:si>
  <x:si>
    <x:t xml:space="preserve">Maxodex</x:t>
  </x:si>
  <x:si>
    <x:t xml:space="preserve">5534</x:t>
  </x:si>
  <x:si>
    <x:t xml:space="preserve">https://www.smwcentral.net/?a=details&amp;id=5534&amp;p=section</x:t>
  </x:si>
  <x:si>
    <x:t xml:space="preserve">https://dl.smwcentral.net/5534/Maxworld%20-%20TAT.zip</x:t>
  </x:si>
  <x:si>
    <x:t xml:space="preserve">Mecha-Bowser's Revenge</x:t>
  </x:si>
  <x:si>
    <x:t xml:space="preserve">10237</x:t>
  </x:si>
  <x:si>
    <x:t xml:space="preserve">https://www.smwcentral.net/?a=details&amp;id=10237&amp;p=section</x:t>
  </x:si>
  <x:si>
    <x:t xml:space="preserve">https://dl.smwcentral.net/10237/Mecha-Bowser%27s%20Revenge%20Demo.zip</x:t>
  </x:si>
  <x:si>
    <x:t xml:space="preserve">Med's World - A Stick's Birthday</x:t>
  </x:si>
  <x:si>
    <x:t xml:space="preserve">GlitchyR-01</x:t>
  </x:si>
  <x:si>
    <x:t xml:space="preserve">37517</x:t>
  </x:si>
  <x:si>
    <x:t xml:space="preserve">https://www.smwcentral.net/?a=details&amp;id=37517&amp;p=section</x:t>
  </x:si>
  <x:si>
    <x:t xml:space="preserve">https://dl.smwcentral.net/37517/Med%27s%20World%20A%20Stick%27s%20Birthday.zip</x:t>
  </x:si>
  <x:si>
    <x:t xml:space="preserve">Meet The Balkans (Demo)</x:t>
  </x:si>
  <x:si>
    <x:t xml:space="preserve">karls_Corinthia</x:t>
  </x:si>
  <x:si>
    <x:t xml:space="preserve">33618</x:t>
  </x:si>
  <x:si>
    <x:t xml:space="preserve">https://www.smwcentral.net/?a=details&amp;id=33618&amp;p=section</x:t>
  </x:si>
  <x:si>
    <x:t xml:space="preserve">https://dl.smwcentral.net/33618/Meet%20the%20Balkans.zip</x:t>
  </x:si>
  <x:si>
    <x:t xml:space="preserve">Mega Man's Trip to an Unknown World</x:t>
  </x:si>
  <x:si>
    <x:t xml:space="preserve">Hackerboy1</x:t>
  </x:si>
  <x:si>
    <x:t xml:space="preserve">9967</x:t>
  </x:si>
  <x:si>
    <x:t xml:space="preserve">https://www.smwcentral.net/?a=details&amp;id=9967&amp;p=section</x:t>
  </x:si>
  <x:si>
    <x:t xml:space="preserve">https://dl.smwcentral.net/9967/Mega%20Man%27s%20Trip%20to%20An%20Unknown%20World.zip</x:t>
  </x:si>
  <x:si>
    <x:t xml:space="preserve">Mega Mario Bros. 2</x:t>
  </x:si>
  <x:si>
    <x:t xml:space="preserve">BlackBoo24</x:t>
  </x:si>
  <x:si>
    <x:t xml:space="preserve">9669</x:t>
  </x:si>
  <x:si>
    <x:t xml:space="preserve">https://www.smwcentral.net/?a=details&amp;id=9669&amp;p=section</x:t>
  </x:si>
  <x:si>
    <x:t xml:space="preserve">https://dl.smwcentral.net/9669/MMB2.zip</x:t>
  </x:si>
  <x:si>
    <x:t xml:space="preserve">Mega Mario World 2: Awakened Power</x:t>
  </x:si>
  <x:si>
    <x:t xml:space="preserve">yoshi3706</x:t>
  </x:si>
  <x:si>
    <x:t xml:space="preserve">37601</x:t>
  </x:si>
  <x:si>
    <x:t xml:space="preserve">https://www.smwcentral.net/?a=details&amp;id=37601&amp;p=section</x:t>
  </x:si>
  <x:si>
    <x:t xml:space="preserve">https://dl.smwcentral.net/37601/Mega%20Mario%20World%202%20-%20Awakened%20Power%201.4%20%28eng%2Besp%29.zip</x:t>
  </x:si>
  <x:si>
    <x:t xml:space="preserve">Mega Mario World: Another Universe</x:t>
  </x:si>
  <x:si>
    <x:t xml:space="preserve">17688</x:t>
  </x:si>
  <x:si>
    <x:t xml:space="preserve">https://www.smwcentral.net/?a=details&amp;id=17688&amp;p=section</x:t>
  </x:si>
  <x:si>
    <x:t xml:space="preserve">https://dl.smwcentral.net/17688/Mega%20Mario%20World%20Another%20Universe%20v1.2.zip</x:t>
  </x:si>
  <x:si>
    <x:t xml:space="preserve">Mega Rex Adventure [SMWC #9773]</x:t>
  </x:si>
  <x:si>
    <x:t xml:space="preserve">Mega Rex Adventure</x:t>
  </x:si>
  <x:si>
    <x:t xml:space="preserve">omegaLakitu</x:t>
  </x:si>
  <x:si>
    <x:t xml:space="preserve">9773</x:t>
  </x:si>
  <x:si>
    <x:t xml:space="preserve">https://www.smwcentral.net/?a=details&amp;id=9773&amp;p=section</x:t>
  </x:si>
  <x:si>
    <x:t xml:space="preserve">https://dl.smwcentral.net/9773/mega%20rex%20adventure.zip</x:t>
  </x:si>
  <x:si>
    <x:t xml:space="preserve">Mega Rex Adventure [SMWC #9869]</x:t>
  </x:si>
  <x:si>
    <x:t xml:space="preserve">9869</x:t>
  </x:si>
  <x:si>
    <x:t xml:space="preserve">https://www.smwcentral.net/?a=details&amp;id=9869&amp;p=section</x:t>
  </x:si>
  <x:si>
    <x:t xml:space="preserve">https://dl.smwcentral.net/9869/rex.zip</x:t>
  </x:si>
  <x:si>
    <x:t xml:space="preserve">Mega Rex Island</x:t>
  </x:si>
  <x:si>
    <x:t xml:space="preserve">14144</x:t>
  </x:si>
  <x:si>
    <x:t xml:space="preserve">https://www.smwcentral.net/?a=details&amp;id=14144&amp;p=section</x:t>
  </x:si>
  <x:si>
    <x:t xml:space="preserve">https://dl.smwcentral.net/14144/mega%20rex%20island.zip</x:t>
  </x:si>
  <x:si>
    <x:t xml:space="preserve">Megaman Reborn</x:t>
  </x:si>
  <x:si>
    <x:t xml:space="preserve">YamiMario</x:t>
  </x:si>
  <x:si>
    <x:t xml:space="preserve">9931</x:t>
  </x:si>
  <x:si>
    <x:t xml:space="preserve">https://www.smwcentral.net/?a=details&amp;id=9931&amp;p=section</x:t>
  </x:si>
  <x:si>
    <x:t xml:space="preserve">https://dl.smwcentral.net/9931/MMRDemo.zip</x:t>
  </x:si>
  <x:si>
    <x:t xml:space="preserve">MEME 😂👌💯</x:t>
  </x:si>
  <x:si>
    <x:t xml:space="preserve">34925</x:t>
  </x:si>
  <x:si>
    <x:t xml:space="preserve">https://www.smwcentral.net/?a=details&amp;id=34925&amp;p=section</x:t>
  </x:si>
  <x:si>
    <x:t xml:space="preserve">https://dl.smwcentral.net/34925/MEME1.1.zip</x:t>
  </x:si>
  <x:si>
    <x:t xml:space="preserve">Memento Mori</x:t>
  </x:si>
  <x:si>
    <x:t xml:space="preserve">37658</x:t>
  </x:si>
  <x:si>
    <x:t xml:space="preserve">https://www.smwcentral.net/?a=details&amp;id=37658&amp;p=section</x:t>
  </x:si>
  <x:si>
    <x:t xml:space="preserve">https://dl.smwcentral.net/37658/Memento%20Mori.zip</x:t>
  </x:si>
  <x:si>
    <x:t xml:space="preserve">Memorabilia</x:t>
  </x:si>
  <x:si>
    <x:t xml:space="preserve">33449</x:t>
  </x:si>
  <x:si>
    <x:t xml:space="preserve">https://www.smwcentral.net/?a=details&amp;id=33449&amp;p=section</x:t>
  </x:si>
  <x:si>
    <x:t xml:space="preserve">https://dl.smwcentral.net/33449/Memorabilia.zip</x:t>
  </x:si>
  <x:si>
    <x:t xml:space="preserve">Memory Lane</x:t>
  </x:si>
  <x:si>
    <x:t xml:space="preserve">28692</x:t>
  </x:si>
  <x:si>
    <x:t xml:space="preserve">https://www.smwcentral.net/?a=details&amp;id=28692&amp;p=section</x:t>
  </x:si>
  <x:si>
    <x:t xml:space="preserve">https://dl.smwcentral.net/28692/MemoryLane1.1.zip</x:t>
  </x:si>
  <x:si>
    <x:t xml:space="preserve">Mercenaries</x:t>
  </x:si>
  <x:si>
    <x:t xml:space="preserve">DTG</x:t>
  </x:si>
  <x:si>
    <x:t xml:space="preserve">9646</x:t>
  </x:si>
  <x:si>
    <x:t xml:space="preserve">https://www.smwcentral.net/?a=details&amp;id=9646&amp;p=section</x:t>
  </x:si>
  <x:si>
    <x:t xml:space="preserve">https://dl.smwcentral.net/9646/Mercenaries%20Version%201.1.zip</x:t>
  </x:si>
  <x:si>
    <x:t xml:space="preserve">MFC</x:t>
  </x:si>
  <x:si>
    <x:t xml:space="preserve">Firstnamebutt, Jordan</x:t>
  </x:si>
  <x:si>
    <x:t xml:space="preserve">37167</x:t>
  </x:si>
  <x:si>
    <x:t xml:space="preserve">https://www.smwcentral.net/?a=details&amp;id=37167&amp;p=section</x:t>
  </x:si>
  <x:si>
    <x:t xml:space="preserve">https://dl.smwcentral.net/37167/MFC.zip</x:t>
  </x:si>
  <x:si>
    <x:t xml:space="preserve">Midair Mastery</x:t>
  </x:si>
  <x:si>
    <x:t xml:space="preserve">tjb0607</x:t>
  </x:si>
  <x:si>
    <x:t xml:space="preserve">24680</x:t>
  </x:si>
  <x:si>
    <x:t xml:space="preserve">https://www.smwcentral.net/?a=details&amp;id=24680&amp;p=section</x:t>
  </x:si>
  <x:si>
    <x:t xml:space="preserve">https://dl.smwcentral.net/24680/Midair%20Mastery%201.1.zip</x:t>
  </x:si>
  <x:si>
    <x:t xml:space="preserve">Midday</x:t>
  </x:si>
  <x:si>
    <x:t xml:space="preserve">37802</x:t>
  </x:si>
  <x:si>
    <x:t xml:space="preserve">https://www.smwcentral.net/?a=details&amp;id=37802&amp;p=section</x:t>
  </x:si>
  <x:si>
    <x:t xml:space="preserve">https://dl.smwcentral.net/37802/Midday.zip</x:t>
  </x:si>
  <x:si>
    <x:t xml:space="preserve">Midnight Lightning</x:t>
  </x:si>
  <x:si>
    <x:t xml:space="preserve">MassPunishment</x:t>
  </x:si>
  <x:si>
    <x:t xml:space="preserve">27345</x:t>
  </x:si>
  <x:si>
    <x:t xml:space="preserve">https://www.smwcentral.net/?a=details&amp;id=27345&amp;p=section</x:t>
  </x:si>
  <x:si>
    <x:t xml:space="preserve">https://dl.smwcentral.net/27345/MidnightLightning1.1.zip</x:t>
  </x:si>
  <x:si>
    <x:t xml:space="preserve">Miku's Spike Hell</x:t>
  </x:si>
  <x:si>
    <x:t xml:space="preserve">27264</x:t>
  </x:si>
  <x:si>
    <x:t xml:space="preserve">https://www.smwcentral.net/?a=details&amp;id=27264&amp;p=section</x:t>
  </x:si>
  <x:si>
    <x:t xml:space="preserve">https://dl.smwcentral.net/27264/miku.zip</x:t>
  </x:si>
  <x:si>
    <x:t xml:space="preserve">MINERVA</x:t>
  </x:si>
  <x:si>
    <x:t xml:space="preserve">25100</x:t>
  </x:si>
  <x:si>
    <x:t xml:space="preserve">https://www.smwcentral.net/?a=details&amp;id=25100&amp;p=section</x:t>
  </x:si>
  <x:si>
    <x:t xml:space="preserve">https://dl.smwcentral.net/25100/Minerva1.5.zip</x:t>
  </x:si>
  <x:si>
    <x:t xml:space="preserve">Mini Challenge Medley (Wave 1)</x:t>
  </x:si>
  <x:si>
    <x:t xml:space="preserve">32526</x:t>
  </x:si>
  <x:si>
    <x:t xml:space="preserve">https://www.smwcentral.net/?a=details&amp;id=32526&amp;p=section</x:t>
  </x:si>
  <x:si>
    <x:t xml:space="preserve">https://dl.smwcentral.net/32526/Mini%20Challenge%20Medley%20%28Demo%201.0%29.zip</x:t>
  </x:si>
  <x:si>
    <x:t xml:space="preserve">Mini Kaizo</x:t>
  </x:si>
  <x:si>
    <x:t xml:space="preserve">KarDiux</x:t>
  </x:si>
  <x:si>
    <x:t xml:space="preserve">32943</x:t>
  </x:si>
  <x:si>
    <x:t xml:space="preserve">https://www.smwcentral.net/?a=details&amp;id=32943&amp;p=section</x:t>
  </x:si>
  <x:si>
    <x:t xml:space="preserve">https://dl.smwcentral.net/32943/Mini%20Kaizo.zip</x:t>
  </x:si>
  <x:si>
    <x:t xml:space="preserve">minidumb</x:t>
  </x:si>
  <x:si>
    <x:t xml:space="preserve">24954</x:t>
  </x:si>
  <x:si>
    <x:t xml:space="preserve">https://www.smwcentral.net/?a=details&amp;id=24954&amp;p=section</x:t>
  </x:si>
  <x:si>
    <x:t xml:space="preserve">https://dl.smwcentral.net/24954/minidumbson%20-%20new%20update.zip</x:t>
  </x:si>
  <x:si>
    <x:t xml:space="preserve">Mint Chocolate</x:t>
  </x:si>
  <x:si>
    <x:t xml:space="preserve">38002</x:t>
  </x:si>
  <x:si>
    <x:t xml:space="preserve">https://www.smwcentral.net/?a=details&amp;id=38002&amp;p=section</x:t>
  </x:si>
  <x:si>
    <x:t xml:space="preserve">https://dl.smwcentral.net/38002/Mint%20Chocolate.zip</x:t>
  </x:si>
  <x:si>
    <x:t xml:space="preserve">MintGreenYoshi's Challenge</x:t>
  </x:si>
  <x:si>
    <x:t xml:space="preserve">14969</x:t>
  </x:si>
  <x:si>
    <x:t xml:space="preserve">https://www.smwcentral.net/?a=details&amp;id=14969&amp;p=section</x:t>
  </x:si>
  <x:si>
    <x:t xml:space="preserve">https://dl.smwcentral.net/14969/MintGreenYoshi_s_Challenge.zip</x:t>
  </x:si>
  <x:si>
    <x:t xml:space="preserve">Mirthful Mario-Escapade through Stellatus Shire</x:t>
  </x:si>
  <x:si>
    <x:t xml:space="preserve">14845</x:t>
  </x:si>
  <x:si>
    <x:t xml:space="preserve">https://www.smwcentral.net/?a=details&amp;id=14845&amp;p=section</x:t>
  </x:si>
  <x:si>
    <x:t xml:space="preserve">https://dl.smwcentral.net/14845/MM.zip</x:t>
  </x:si>
  <x:si>
    <x:t xml:space="preserve">Mischievous Mouser</x:t>
  </x:si>
  <x:si>
    <x:t xml:space="preserve">MagmaMouse</x:t>
  </x:si>
  <x:si>
    <x:t xml:space="preserve">25403</x:t>
  </x:si>
  <x:si>
    <x:t xml:space="preserve">https://www.smwcentral.net/?a=details&amp;id=25403&amp;p=section</x:t>
  </x:si>
  <x:si>
    <x:t xml:space="preserve">https://dl.smwcentral.net/25403/MischievousMouser_v1.5.zip</x:t>
  </x:si>
  <x:si>
    <x:t xml:space="preserve">Mistakes Were Made</x:t>
  </x:si>
  <x:si>
    <x:t xml:space="preserve">36957</x:t>
  </x:si>
  <x:si>
    <x:t xml:space="preserve">https://www.smwcentral.net/?a=details&amp;id=36957&amp;p=section</x:t>
  </x:si>
  <x:si>
    <x:t xml:space="preserve">https://dl.smwcentral.net/36957/MistakesWereMade1.2.zip</x:t>
  </x:si>
  <x:si>
    <x:t xml:space="preserve">Misty Out There</x:t>
  </x:si>
  <x:si>
    <x:t xml:space="preserve">24114</x:t>
  </x:si>
  <x:si>
    <x:t xml:space="preserve">https://www.smwcentral.net/?a=details&amp;id=24114&amp;p=section</x:t>
  </x:si>
  <x:si>
    <x:t xml:space="preserve">https://dl.smwcentral.net/24114/Misty%20Out%20There.zip</x:t>
  </x:si>
  <x:si>
    <x:t xml:space="preserve">MK Ultra</x:t>
  </x:si>
  <x:si>
    <x:t xml:space="preserve">34095</x:t>
  </x:si>
  <x:si>
    <x:t xml:space="preserve">https://www.smwcentral.net/?a=details&amp;id=34095&amp;p=section</x:t>
  </x:si>
  <x:si>
    <x:t xml:space="preserve">https://dl.smwcentral.net/34095/MK_Ultra.zip</x:t>
  </x:si>
  <x:si>
    <x:t xml:space="preserve">mod cape: a precision cape level</x:t>
  </x:si>
  <x:si>
    <x:t xml:space="preserve">27521</x:t>
  </x:si>
  <x:si>
    <x:t xml:space="preserve">https://www.smwcentral.net/?a=details&amp;id=27521&amp;p=section</x:t>
  </x:si>
  <x:si>
    <x:t xml:space="preserve">https://dl.smwcentral.net/27521/mod%20cape.zip</x:t>
  </x:si>
  <x:si>
    <x:t xml:space="preserve">Momoku Mario World</x:t>
  </x:si>
  <x:si>
    <x:t xml:space="preserve">penguin64</x:t>
  </x:si>
  <x:si>
    <x:t xml:space="preserve">22491</x:t>
  </x:si>
  <x:si>
    <x:t xml:space="preserve">https://www.smwcentral.net/?a=details&amp;id=22491&amp;p=section</x:t>
  </x:si>
  <x:si>
    <x:t xml:space="preserve">https://dl.smwcentral.net/22491/Momoku%20Mario%20World.zip</x:t>
  </x:si>
  <x:si>
    <x:t xml:space="preserve">Monty Mole Island</x:t>
  </x:si>
  <x:si>
    <x:t xml:space="preserve">18419</x:t>
  </x:si>
  <x:si>
    <x:t xml:space="preserve">https://www.smwcentral.net/?a=details&amp;id=18419&amp;p=section</x:t>
  </x:si>
  <x:si>
    <x:t xml:space="preserve">https://dl.smwcentral.net/18419/Monty%20Mole%20Island%20V1.2.zip</x:t>
  </x:si>
  <x:si>
    <x:t xml:space="preserve">Monty Mole Island 2 - Redrawn Island</x:t>
  </x:si>
  <x:si>
    <x:t xml:space="preserve">18254</x:t>
  </x:si>
  <x:si>
    <x:t xml:space="preserve">https://www.smwcentral.net/?a=details&amp;id=18254&amp;p=section</x:t>
  </x:si>
  <x:si>
    <x:t xml:space="preserve">https://dl.smwcentral.net/18254/Monty%20Mole%20Island%202%20-%20Redrawn%20Island.zip</x:t>
  </x:si>
  <x:si>
    <x:t xml:space="preserve">Monty Mole Island 3 - Boom Boom's World</x:t>
  </x:si>
  <x:si>
    <x:t xml:space="preserve">18890</x:t>
  </x:si>
  <x:si>
    <x:t xml:space="preserve">https://www.smwcentral.net/?a=details&amp;id=18890&amp;p=section</x:t>
  </x:si>
  <x:si>
    <x:t xml:space="preserve">https://dl.smwcentral.net/18890/Monty%20Mole%20Island%203%20-%20Boom%20Boom%27s%20World%20V1.1.zip</x:t>
  </x:si>
  <x:si>
    <x:t xml:space="preserve">Monty Mole Island 4 - Gamma Archipelago</x:t>
  </x:si>
  <x:si>
    <x:t xml:space="preserve">19837</x:t>
  </x:si>
  <x:si>
    <x:t xml:space="preserve">https://www.smwcentral.net/?a=details&amp;id=19837&amp;p=section</x:t>
  </x:si>
  <x:si>
    <x:t xml:space="preserve">https://dl.smwcentral.net/19837/Monty%20Mole%20Island%204%20-%20Gamma%20Archipelago%20%28V1.0.1%29.zip</x:t>
  </x:si>
  <x:si>
    <x:t xml:space="preserve">MOON</x:t>
  </x:si>
  <x:si>
    <x:t xml:space="preserve">25624</x:t>
  </x:si>
  <x:si>
    <x:t xml:space="preserve">https://www.smwcentral.net/?a=details&amp;id=25624&amp;p=section</x:t>
  </x:si>
  <x:si>
    <x:t xml:space="preserve">https://dl.smwcentral.net/25624/MOON.zip</x:t>
  </x:si>
  <x:si>
    <x:t xml:space="preserve">Moon Finder</x:t>
  </x:si>
  <x:si>
    <x:t xml:space="preserve">Fyre150, Mega</x:t>
  </x:si>
  <x:si>
    <x:t xml:space="preserve">38359</x:t>
  </x:si>
  <x:si>
    <x:t xml:space="preserve">https://www.smwcentral.net/?a=details&amp;id=38359&amp;p=section</x:t>
  </x:si>
  <x:si>
    <x:t xml:space="preserve">https://dl.smwcentral.net/38359/MoonFinder_.zip</x:t>
  </x:si>
  <x:si>
    <x:t xml:space="preserve">Morton's Empire</x:t>
  </x:si>
  <x:si>
    <x:t xml:space="preserve">Arinsu, Centipede, MercuryPenny, SMW Central, a hick</x:t>
  </x:si>
  <x:si>
    <x:t xml:space="preserve">17305</x:t>
  </x:si>
  <x:si>
    <x:t xml:space="preserve">https://www.smwcentral.net/?a=details&amp;id=17305&amp;p=section</x:t>
  </x:si>
  <x:si>
    <x:t xml:space="preserve">https://dl.smwcentral.net/17305/Mortons_Empire.zip</x:t>
  </x:si>
  <x:si>
    <x:t xml:space="preserve">Morton's Tyranny</x:t>
  </x:si>
  <x:si>
    <x:t xml:space="preserve">Pirate Yoshi</x:t>
  </x:si>
  <x:si>
    <x:t xml:space="preserve">9865</x:t>
  </x:si>
  <x:si>
    <x:t xml:space="preserve">https://www.smwcentral.net/?a=details&amp;id=9865&amp;p=section</x:t>
  </x:si>
  <x:si>
    <x:t xml:space="preserve">https://dl.smwcentral.net/9865/Morton%27s%20Tyranny%20Zip.zip</x:t>
  </x:si>
  <x:si>
    <x:t xml:space="preserve">Mostly Harmless</x:t>
  </x:si>
  <x:si>
    <x:t xml:space="preserve">25402</x:t>
  </x:si>
  <x:si>
    <x:t xml:space="preserve">https://www.smwcentral.net/?a=details&amp;id=25402&amp;p=section</x:t>
  </x:si>
  <x:si>
    <x:t xml:space="preserve">https://dl.smwcentral.net/25402/Mostly%20Harmless.zip</x:t>
  </x:si>
  <x:si>
    <x:t xml:space="preserve">Motor Shells</x:t>
  </x:si>
  <x:si>
    <x:t xml:space="preserve">39881</x:t>
  </x:si>
  <x:si>
    <x:t xml:space="preserve">https://www.smwcentral.net/?a=details&amp;id=39881&amp;p=section</x:t>
  </x:si>
  <x:si>
    <x:t xml:space="preserve">https://dl.smwcentral.net/39881/motor%20shells.zip</x:t>
  </x:si>
  <x:si>
    <x:t xml:space="preserve">MrUg's Mini Level Pack</x:t>
  </x:si>
  <x:si>
    <x:t xml:space="preserve">MrUg123</x:t>
  </x:si>
  <x:si>
    <x:t xml:space="preserve">42537</x:t>
  </x:si>
  <x:si>
    <x:t xml:space="preserve">https://www.smwcentral.net/?a=details&amp;id=42537&amp;p=section</x:t>
  </x:si>
  <x:si>
    <x:t xml:space="preserve">https://dl.smwcentral.net/42537/MMLP.zip</x:t>
  </x:si>
  <x:si>
    <x:t xml:space="preserve">Much Ado About Eggs</x:t>
  </x:si>
  <x:si>
    <x:t xml:space="preserve">Diego</x:t>
  </x:si>
  <x:si>
    <x:t xml:space="preserve">21516</x:t>
  </x:si>
  <x:si>
    <x:t xml:space="preserve">https://www.smwcentral.net/?a=details&amp;id=21516&amp;p=section</x:t>
  </x:si>
  <x:si>
    <x:t xml:space="preserve">https://dl.smwcentral.net/21516/Much%20Ado%20About%20Eggs.zip</x:t>
  </x:si>
  <x:si>
    <x:t xml:space="preserve">Mura World</x:t>
  </x:si>
  <x:si>
    <x:t xml:space="preserve">27022</x:t>
  </x:si>
  <x:si>
    <x:t xml:space="preserve">https://www.smwcentral.net/?a=details&amp;id=27022&amp;p=section</x:t>
  </x:si>
  <x:si>
    <x:t xml:space="preserve">https://dl.smwcentral.net/27022/_MuraWorld_V1.2.zip</x:t>
  </x:si>
  <x:si>
    <x:t xml:space="preserve">Mura World 2</x:t>
  </x:si>
  <x:si>
    <x:t xml:space="preserve">21997</x:t>
  </x:si>
  <x:si>
    <x:t xml:space="preserve">https://www.smwcentral.net/?a=details&amp;id=21997&amp;p=section</x:t>
  </x:si>
  <x:si>
    <x:t xml:space="preserve">https://dl.smwcentral.net/21997/MuraWorld2.zip</x:t>
  </x:si>
  <x:si>
    <x:t xml:space="preserve">Mushroom Kingdom - Under Crimson Skies</x:t>
  </x:si>
  <x:si>
    <x:t xml:space="preserve">15820</x:t>
  </x:si>
  <x:si>
    <x:t xml:space="preserve">https://www.smwcentral.net/?a=details&amp;id=15820&amp;p=section</x:t>
  </x:si>
  <x:si>
    <x:t xml:space="preserve">https://dl.smwcentral.net/15820/Mushroom%20Kingdom%20-%20Under%20Crimson%20Skies.zip</x:t>
  </x:si>
  <x:si>
    <x:t xml:space="preserve">Mushroom Kingdom Invasion</x:t>
  </x:si>
  <x:si>
    <x:t xml:space="preserve">6550</x:t>
  </x:si>
  <x:si>
    <x:t xml:space="preserve">https://www.smwcentral.net/?a=details&amp;id=6550&amp;p=section</x:t>
  </x:si>
  <x:si>
    <x:t xml:space="preserve">https://dl.smwcentral.net/6550/mushroom%20kingdom%20invasion.zip</x:t>
  </x:si>
  <x:si>
    <x:t xml:space="preserve">Mushroom Kingdom Meltdown</x:t>
  </x:si>
  <x:si>
    <x:t xml:space="preserve">30027</x:t>
  </x:si>
  <x:si>
    <x:t xml:space="preserve">https://www.smwcentral.net/?a=details&amp;id=30027&amp;p=section</x:t>
  </x:si>
  <x:si>
    <x:t xml:space="preserve">https://dl.smwcentral.net/30027/Mushroom%20Kingdom%20Meltdown%20-%20Fixed.zip</x:t>
  </x:si>
  <x:si>
    <x:t xml:space="preserve">Mushroom Kingdom Meltdown 2</x:t>
  </x:si>
  <x:si>
    <x:t xml:space="preserve">31223</x:t>
  </x:si>
  <x:si>
    <x:t xml:space="preserve">https://www.smwcentral.net/?a=details&amp;id=31223&amp;p=section</x:t>
  </x:si>
  <x:si>
    <x:t xml:space="preserve">https://dl.smwcentral.net/31223/Mushroom%20Kingdom%20Meltdown%202%20-%20Fixed.zip</x:t>
  </x:si>
  <x:si>
    <x:t xml:space="preserve">Mushroom Onion Pizza</x:t>
  </x:si>
  <x:si>
    <x:t xml:space="preserve">MistaX88</x:t>
  </x:si>
  <x:si>
    <x:t xml:space="preserve">25204</x:t>
  </x:si>
  <x:si>
    <x:t xml:space="preserve">https://www.smwcentral.net/?a=details&amp;id=25204&amp;p=section</x:t>
  </x:si>
  <x:si>
    <x:t xml:space="preserve">https://dl.smwcentral.net/25204/MushroomOnionPizzaV1.2.zip</x:t>
  </x:si>
  <x:si>
    <x:t xml:space="preserve">Mute's Christmas Quest</x:t>
  </x:si>
  <x:si>
    <x:t xml:space="preserve">ChaseNScooter, Daizo Dee Von</x:t>
  </x:si>
  <x:si>
    <x:t xml:space="preserve">20595</x:t>
  </x:si>
  <x:si>
    <x:t xml:space="preserve">https://www.smwcentral.net/?a=details&amp;id=20595&amp;p=section</x:t>
  </x:si>
  <x:si>
    <x:t xml:space="preserve">https://dl.smwcentral.net/20595/Mute%27s%20Christmas%20Quest.zip</x:t>
  </x:si>
  <x:si>
    <x:t xml:space="preserve">My Contest Entries Collection</x:t>
  </x:si>
  <x:si>
    <x:t xml:space="preserve">TheKazooBloccGosh</x:t>
  </x:si>
  <x:si>
    <x:t xml:space="preserve">Standard, Kaizo, Puzzle</x:t>
  </x:si>
  <x:si>
    <x:t xml:space="preserve">40447</x:t>
  </x:si>
  <x:si>
    <x:t xml:space="preserve">https://www.smwcentral.net/?a=details&amp;id=40447&amp;p=section</x:t>
  </x:si>
  <x:si>
    <x:t xml:space="preserve">https://dl.smwcentral.net/40447/My%20entries%20contest%20collection.zip</x:t>
  </x:si>
  <x:si>
    <x:t xml:space="preserve">My Favorite Things</x:t>
  </x:si>
  <x:si>
    <x:t xml:space="preserve">33687</x:t>
  </x:si>
  <x:si>
    <x:t xml:space="preserve">https://www.smwcentral.net/?a=details&amp;id=33687&amp;p=section</x:t>
  </x:si>
  <x:si>
    <x:t xml:space="preserve">https://dl.smwcentral.net/33687/My%20Favorite%20Things%201.2.zip</x:t>
  </x:si>
  <x:si>
    <x:t xml:space="preserve">My Hack</x:t>
  </x:si>
  <x:si>
    <x:t xml:space="preserve">LouisDoucet</x:t>
  </x:si>
  <x:si>
    <x:t xml:space="preserve">39638</x:t>
  </x:si>
  <x:si>
    <x:t xml:space="preserve">https://www.smwcentral.net/?a=details&amp;id=39638&amp;p=section</x:t>
  </x:si>
  <x:si>
    <x:t xml:space="preserve">https://dl.smwcentral.net/39638/My%20Hack.zip</x:t>
  </x:si>
  <x:si>
    <x:t xml:space="preserve">My Level 4 Emero</x:t>
  </x:si>
  <x:si>
    <x:t xml:space="preserve">DjMPK</x:t>
  </x:si>
  <x:si>
    <x:t xml:space="preserve">25216</x:t>
  </x:si>
  <x:si>
    <x:t xml:space="preserve">https://www.smwcentral.net/?a=details&amp;id=25216&amp;p=section</x:t>
  </x:si>
  <x:si>
    <x:t xml:space="preserve">https://dl.smwcentral.net/25216/l4emero.zip</x:t>
  </x:si>
  <x:si>
    <x:t xml:space="preserve">My little Puzzles - The Road to Wisdom</x:t>
  </x:si>
  <x:si>
    <x:t xml:space="preserve">Chosentw0</x:t>
  </x:si>
  <x:si>
    <x:t xml:space="preserve">Standard, Kaizo, Puzzle, Tool-Assisted</x:t>
  </x:si>
  <x:si>
    <x:t xml:space="preserve">12920</x:t>
  </x:si>
  <x:si>
    <x:t xml:space="preserve">https://www.smwcentral.net/?a=details&amp;id=12920&amp;p=section</x:t>
  </x:si>
  <x:si>
    <x:t xml:space="preserve">https://dl.smwcentral.net/12920/My%20little%20Puzzles%20-%20The%20Road%20to%20Wisdom%20v1.1.zip</x:t>
  </x:si>
  <x:si>
    <x:t xml:space="preserve">My little Puzzles 2 - The Continents of Knowledge</x:t>
  </x:si>
  <x:si>
    <x:t xml:space="preserve">Chosentw0, Sariel</x:t>
  </x:si>
  <x:si>
    <x:t xml:space="preserve">14080</x:t>
  </x:si>
  <x:si>
    <x:t xml:space="preserve">https://www.smwcentral.net/?a=details&amp;id=14080&amp;p=section</x:t>
  </x:si>
  <x:si>
    <x:t xml:space="preserve">https://dl.smwcentral.net/14080/My%20little%20Puzzles%202%20-%20The%20Continents%20of%20Knowledge.zip</x:t>
  </x:si>
  <x:si>
    <x:t xml:space="preserve">My little Puzzles 3 - The Key to Eternity</x:t>
  </x:si>
  <x:si>
    <x:t xml:space="preserve">14882</x:t>
  </x:si>
  <x:si>
    <x:t xml:space="preserve">https://www.smwcentral.net/?a=details&amp;id=14882&amp;p=section</x:t>
  </x:si>
  <x:si>
    <x:t xml:space="preserve">https://dl.smwcentral.net/14882/My%20little%20Puzzles%203%20-%20The%20Key%20to%20Eternity.zip</x:t>
  </x:si>
  <x:si>
    <x:t xml:space="preserve">My love is all wrong</x:t>
  </x:si>
  <x:si>
    <x:t xml:space="preserve">38704</x:t>
  </x:si>
  <x:si>
    <x:t xml:space="preserve">https://www.smwcentral.net/?a=details&amp;id=38704&amp;p=section</x:t>
  </x:si>
  <x:si>
    <x:t xml:space="preserve">https://dl.smwcentral.net/38704/Myloveisallwrong.zip</x:t>
  </x:si>
  <x:si>
    <x:t xml:space="preserve">My Name is Goal</x:t>
  </x:si>
  <x:si>
    <x:t xml:space="preserve">39058</x:t>
  </x:si>
  <x:si>
    <x:t xml:space="preserve">https://www.smwcentral.net/?a=details&amp;id=39058&amp;p=section</x:t>
  </x:si>
  <x:si>
    <x:t xml:space="preserve">https://dl.smwcentral.net/39058/My%20Name%20is%20Goal.zip</x:t>
  </x:si>
  <x:si>
    <x:t xml:space="preserve">My New Favorite Hack</x:t>
  </x:si>
  <x:si>
    <x:t xml:space="preserve">30077</x:t>
  </x:si>
  <x:si>
    <x:t xml:space="preserve">https://www.smwcentral.net/?a=details&amp;id=30077&amp;p=section</x:t>
  </x:si>
  <x:si>
    <x:t xml:space="preserve">https://dl.smwcentral.net/30077/My%20New%20Favorite%20Hack.zip</x:t>
  </x:si>
  <x:si>
    <x:t xml:space="preserve">Mycelium</x:t>
  </x:si>
  <x:si>
    <x:t xml:space="preserve">schema_tuna</x:t>
  </x:si>
  <x:si>
    <x:t xml:space="preserve">35259</x:t>
  </x:si>
  <x:si>
    <x:t xml:space="preserve">https://www.smwcentral.net/?a=details&amp;id=35259&amp;p=section</x:t>
  </x:si>
  <x:si>
    <x:t xml:space="preserve">https://dl.smwcentral.net/35259/Mycelium.zip</x:t>
  </x:si>
  <x:si>
    <x:t xml:space="preserve">Mystery of the Seven Orbs</x:t>
  </x:si>
  <x:si>
    <x:t xml:space="preserve">Kiwisauce</x:t>
  </x:si>
  <x:si>
    <x:t xml:space="preserve">9738</x:t>
  </x:si>
  <x:si>
    <x:t xml:space="preserve">https://www.smwcentral.net/?a=details&amp;id=9738&amp;p=section</x:t>
  </x:si>
  <x:si>
    <x:t xml:space="preserve">https://dl.smwcentral.net/9738/MOTSO.zip</x:t>
  </x:si>
  <x:si>
    <x:t xml:space="preserve">Mystical Island</x:t>
  </x:si>
  <x:si>
    <x:t xml:space="preserve">nicknick293</x:t>
  </x:si>
  <x:si>
    <x:t xml:space="preserve">9981</x:t>
  </x:si>
  <x:si>
    <x:t xml:space="preserve">https://www.smwcentral.net/?a=details&amp;id=9981&amp;p=section</x:t>
  </x:si>
  <x:si>
    <x:t xml:space="preserve">https://dl.smwcentral.net/9981/Mystical%20island%201.0.2.zip</x:t>
  </x:si>
  <x:si>
    <x:t xml:space="preserve">Myth of Mana</x:t>
  </x:si>
  <x:si>
    <x:t xml:space="preserve">38186</x:t>
  </x:si>
  <x:si>
    <x:t xml:space="preserve">https://www.smwcentral.net/?a=details&amp;id=38186&amp;p=section</x:t>
  </x:si>
  <x:si>
    <x:t xml:space="preserve">https://dl.smwcentral.net/38186/Myth%20of%20Mana%201.2.zip</x:t>
  </x:si>
  <x:si>
    <x:t xml:space="preserve">N'sane Studios hack</x:t>
  </x:si>
  <x:si>
    <x:t xml:space="preserve">Insanit, Sammmoo, n'sane studios</x:t>
  </x:si>
  <x:si>
    <x:t xml:space="preserve">33121</x:t>
  </x:si>
  <x:si>
    <x:t xml:space="preserve">https://www.smwcentral.net/?a=details&amp;id=33121&amp;p=section</x:t>
  </x:si>
  <x:si>
    <x:t xml:space="preserve">https://dl.smwcentral.net/33121/n%27sane_studios.zip</x:t>
  </x:si>
  <x:si>
    <x:t xml:space="preserve">Nabbit Steals Christmas</x:t>
  </x:si>
  <x:si>
    <x:t xml:space="preserve">35753</x:t>
  </x:si>
  <x:si>
    <x:t xml:space="preserve">https://www.smwcentral.net/?a=details&amp;id=35753&amp;p=section</x:t>
  </x:si>
  <x:si>
    <x:t xml:space="preserve">https://dl.smwcentral.net/35753/NabbitStealsXmas.zip</x:t>
  </x:si>
  <x:si>
    <x:t xml:space="preserve">Nachos and Fried Oreos</x:t>
  </x:si>
  <x:si>
    <x:t xml:space="preserve">GbreezeSunset, MiracleWater</x:t>
  </x:si>
  <x:si>
    <x:t xml:space="preserve">19044</x:t>
  </x:si>
  <x:si>
    <x:t xml:space="preserve">https://www.smwcentral.net/?a=details&amp;id=19044&amp;p=section</x:t>
  </x:si>
  <x:si>
    <x:t xml:space="preserve">https://dl.smwcentral.net/19044/Nachos%20and%20Fried%20Oreos.zip</x:t>
  </x:si>
  <x:si>
    <x:t xml:space="preserve">Nador Quest</x:t>
  </x:si>
  <x:si>
    <x:t xml:space="preserve">Lexator</x:t>
  </x:si>
  <x:si>
    <x:t xml:space="preserve">5166</x:t>
  </x:si>
  <x:si>
    <x:t xml:space="preserve">https://www.smwcentral.net/?a=details&amp;id=5166&amp;p=section</x:t>
  </x:si>
  <x:si>
    <x:t xml:space="preserve">https://dl.smwcentral.net/5166/Nador%20Quest%20%28demo%202%29.zip</x:t>
  </x:si>
  <x:si>
    <x:t xml:space="preserve">Nakama</x:t>
  </x:si>
  <x:si>
    <x:t xml:space="preserve">42206</x:t>
  </x:si>
  <x:si>
    <x:t xml:space="preserve">https://www.smwcentral.net/?a=details&amp;id=42206&amp;p=section</x:t>
  </x:si>
  <x:si>
    <x:t xml:space="preserve">https://dl.smwcentral.net/42206/Nakama1.1.zip</x:t>
  </x:si>
  <x:si>
    <x:t xml:space="preserve">Nameless Kaizo World</x:t>
  </x:si>
  <x:si>
    <x:t xml:space="preserve">31239</x:t>
  </x:si>
  <x:si>
    <x:t xml:space="preserve">https://www.smwcentral.net/?a=details&amp;id=31239&amp;p=section</x:t>
  </x:si>
  <x:si>
    <x:t xml:space="preserve">https://dl.smwcentral.net/31239/Nameless_Kaizo_World-V1.1.zip</x:t>
  </x:si>
  <x:si>
    <x:t xml:space="preserve">Nameless Kaizo World (Light)</x:t>
  </x:si>
  <x:si>
    <x:t xml:space="preserve">31683</x:t>
  </x:si>
  <x:si>
    <x:t xml:space="preserve">https://www.smwcentral.net/?a=details&amp;id=31683&amp;p=section</x:t>
  </x:si>
  <x:si>
    <x:t xml:space="preserve">https://dl.smwcentral.net/31683/Nameless%20Kaizo%20World%20%28Light%29.zip</x:t>
  </x:si>
  <x:si>
    <x:t xml:space="preserve">Nameless Shells</x:t>
  </x:si>
  <x:si>
    <x:t xml:space="preserve">32900</x:t>
  </x:si>
  <x:si>
    <x:t xml:space="preserve">https://www.smwcentral.net/?a=details&amp;id=32900&amp;p=section</x:t>
  </x:si>
  <x:si>
    <x:t xml:space="preserve">https://dl.smwcentral.net/32900/Nameless%20Shells.zip</x:t>
  </x:si>
  <x:si>
    <x:t xml:space="preserve">Natsukashii Mario World</x:t>
  </x:si>
  <x:si>
    <x:t xml:space="preserve">pixelninetales</x:t>
  </x:si>
  <x:si>
    <x:t xml:space="preserve">32847</x:t>
  </x:si>
  <x:si>
    <x:t xml:space="preserve">https://www.smwcentral.net/?a=details&amp;id=32847&amp;p=section</x:t>
  </x:si>
  <x:si>
    <x:t xml:space="preserve">https://dl.smwcentral.net/32847/natsukashii.zip</x:t>
  </x:si>
  <x:si>
    <x:t xml:space="preserve">Naughtyworld</x:t>
  </x:si>
  <x:si>
    <x:t xml:space="preserve">Christina Hendricks, JUMP Team, Kevin</x:t>
  </x:si>
  <x:si>
    <x:t xml:space="preserve">36680</x:t>
  </x:si>
  <x:si>
    <x:t xml:space="preserve">https://www.smwcentral.net/?a=details&amp;id=36680&amp;p=section</x:t>
  </x:si>
  <x:si>
    <x:t xml:space="preserve">https://dl.smwcentral.net/36680/naughtyworld.zip</x:t>
  </x:si>
  <x:si>
    <x:t xml:space="preserve">Nebula</x:t>
  </x:si>
  <x:si>
    <x:t xml:space="preserve">33695</x:t>
  </x:si>
  <x:si>
    <x:t xml:space="preserve">https://www.smwcentral.net/?a=details&amp;id=33695&amp;p=section</x:t>
  </x:si>
  <x:si>
    <x:t xml:space="preserve">https://dl.smwcentral.net/33695/NebulaVer.1.1.zip</x:t>
  </x:si>
  <x:si>
    <x:t xml:space="preserve">Neighborhood of Make-Believe</x:t>
  </x:si>
  <x:si>
    <x:t xml:space="preserve">38883</x:t>
  </x:si>
  <x:si>
    <x:t xml:space="preserve">https://www.smwcentral.net/?a=details&amp;id=38883&amp;p=section</x:t>
  </x:si>
  <x:si>
    <x:t xml:space="preserve">https://dl.smwcentral.net/38883/Neighborhood%20of%20Make-Believe%20v1.1.zip</x:t>
  </x:si>
  <x:si>
    <x:t xml:space="preserve">Neko Nightmare</x:t>
  </x:si>
  <x:si>
    <x:t xml:space="preserve">YamiRamzaNeko</x:t>
  </x:si>
  <x:si>
    <x:t xml:space="preserve">9850</x:t>
  </x:si>
  <x:si>
    <x:t xml:space="preserve">https://www.smwcentral.net/?a=details&amp;id=9850&amp;p=section</x:t>
  </x:si>
  <x:si>
    <x:t xml:space="preserve">https://dl.smwcentral.net/9850/smw.zip</x:t>
  </x:si>
  <x:si>
    <x:t xml:space="preserve">Nemesis</x:t>
  </x:si>
  <x:si>
    <x:t xml:space="preserve">Dennsen86</x:t>
  </x:si>
  <x:si>
    <x:t xml:space="preserve">30309</x:t>
  </x:si>
  <x:si>
    <x:t xml:space="preserve">https://www.smwcentral.net/?a=details&amp;id=30309&amp;p=section</x:t>
  </x:si>
  <x:si>
    <x:t xml:space="preserve">https://dl.smwcentral.net/30309/Nemesis.zip</x:t>
  </x:si>
  <x:si>
    <x:t xml:space="preserve">Nerdina's World</x:t>
  </x:si>
  <x:si>
    <x:t xml:space="preserve">B-Yoshi</x:t>
  </x:si>
  <x:si>
    <x:t xml:space="preserve">10198</x:t>
  </x:si>
  <x:si>
    <x:t xml:space="preserve">https://www.smwcentral.net/?a=details&amp;id=10198&amp;p=section</x:t>
  </x:si>
  <x:si>
    <x:t xml:space="preserve">https://dl.smwcentral.net/10198/Nerdina%27s%20World%20-%20Demo%20V%201.0.zip</x:t>
  </x:si>
  <x:si>
    <x:t xml:space="preserve">New Easter World</x:t>
  </x:si>
  <x:si>
    <x:t xml:space="preserve">SkywinDragoon</x:t>
  </x:si>
  <x:si>
    <x:t xml:space="preserve">15252</x:t>
  </x:si>
  <x:si>
    <x:t xml:space="preserve">https://www.smwcentral.net/?a=details&amp;id=15252&amp;p=section</x:t>
  </x:si>
  <x:si>
    <x:t xml:space="preserve">https://dl.smwcentral.net/15252/New%20Easter%20World%20W1%20DEMO.zip</x:t>
  </x:si>
  <x:si>
    <x:t xml:space="preserve">New Mario's Adventure</x:t>
  </x:si>
  <x:si>
    <x:t xml:space="preserve">yoshi9429</x:t>
  </x:si>
  <x:si>
    <x:t xml:space="preserve">15438</x:t>
  </x:si>
  <x:si>
    <x:t xml:space="preserve">https://www.smwcentral.net/?a=details&amp;id=15438&amp;p=section</x:t>
  </x:si>
  <x:si>
    <x:t xml:space="preserve">https://dl.smwcentral.net/15438/New%20Mario%27s%20Adventure.zip</x:t>
  </x:si>
  <x:si>
    <x:t xml:space="preserve">NEW Nightmare cafe</x:t>
  </x:si>
  <x:si>
    <x:t xml:space="preserve">33431</x:t>
  </x:si>
  <x:si>
    <x:t xml:space="preserve">https://www.smwcentral.net/?a=details&amp;id=33431&amp;p=section</x:t>
  </x:si>
  <x:si>
    <x:t xml:space="preserve">https://dl.smwcentral.net/33431/NEW%20Nightmare%20cafe%20v1.0A.zip</x:t>
  </x:si>
  <x:si>
    <x:t xml:space="preserve">NEW Nightmare cafe 2</x:t>
  </x:si>
  <x:si>
    <x:t xml:space="preserve">33555</x:t>
  </x:si>
  <x:si>
    <x:t xml:space="preserve">https://www.smwcentral.net/?a=details&amp;id=33555&amp;p=section</x:t>
  </x:si>
  <x:si>
    <x:t xml:space="preserve">https://dl.smwcentral.net/33555/NEW%20Nightmare%20cafe%202%20V1.0A.zip</x:t>
  </x:si>
  <x:si>
    <x:t xml:space="preserve">NEW Nightmare cafe 3</x:t>
  </x:si>
  <x:si>
    <x:t xml:space="preserve">33638</x:t>
  </x:si>
  <x:si>
    <x:t xml:space="preserve">https://www.smwcentral.net/?a=details&amp;id=33638&amp;p=section</x:t>
  </x:si>
  <x:si>
    <x:t xml:space="preserve">https://dl.smwcentral.net/33638/NEW%20Nightmare%20cafe%203%20V1.0.zip</x:t>
  </x:si>
  <x:si>
    <x:t xml:space="preserve">NEW Nightmare cafe 4</x:t>
  </x:si>
  <x:si>
    <x:t xml:space="preserve">33777</x:t>
  </x:si>
  <x:si>
    <x:t xml:space="preserve">https://www.smwcentral.net/?a=details&amp;id=33777&amp;p=section</x:t>
  </x:si>
  <x:si>
    <x:t xml:space="preserve">https://dl.smwcentral.net/33777/NEW%20Nightmare%20cafe%204%20V1.0.zip</x:t>
  </x:si>
  <x:si>
    <x:t xml:space="preserve">NEW Nightmare cafe 5</x:t>
  </x:si>
  <x:si>
    <x:t xml:space="preserve">35173</x:t>
  </x:si>
  <x:si>
    <x:t xml:space="preserve">https://www.smwcentral.net/?a=details&amp;id=35173&amp;p=section</x:t>
  </x:si>
  <x:si>
    <x:t xml:space="preserve">https://dl.smwcentral.net/35173/New%20Nightmare%20Cafe%205%20V1.zip</x:t>
  </x:si>
  <x:si>
    <x:t xml:space="preserve">New Retro Mario Bros.</x:t>
  </x:si>
  <x:si>
    <x:t xml:space="preserve">Dr. Mahatma</x:t>
  </x:si>
  <x:si>
    <x:t xml:space="preserve">9871</x:t>
  </x:si>
  <x:si>
    <x:t xml:space="preserve">https://www.smwcentral.net/?a=details&amp;id=9871&amp;p=section</x:t>
  </x:si>
  <x:si>
    <x:t xml:space="preserve">https://dl.smwcentral.net/9871/NRMB.zip</x:t>
  </x:si>
  <x:si>
    <x:t xml:space="preserve">New Schlitterbahn Yoshi World 1</x:t>
  </x:si>
  <x:si>
    <x:t xml:space="preserve">22328</x:t>
  </x:si>
  <x:si>
    <x:t xml:space="preserve">https://www.smwcentral.net/?a=details&amp;id=22328&amp;p=section</x:t>
  </x:si>
  <x:si>
    <x:t xml:space="preserve">https://dl.smwcentral.net/22328/New%20Schlitterbahn%20Yoshi%20World%201.zip</x:t>
  </x:si>
  <x:si>
    <x:t xml:space="preserve">New Sonic Generations</x:t>
  </x:si>
  <x:si>
    <x:t xml:space="preserve">35115</x:t>
  </x:si>
  <x:si>
    <x:t xml:space="preserve">https://www.smwcentral.net/?a=details&amp;id=35115&amp;p=section</x:t>
  </x:si>
  <x:si>
    <x:t xml:space="preserve">https://dl.smwcentral.net/35115/New%20Sonic%20Generations.zip</x:t>
  </x:si>
  <x:si>
    <x:t xml:space="preserve">New Super Kaizo Bros.</x:t>
  </x:si>
  <x:si>
    <x:t xml:space="preserve">19180</x:t>
  </x:si>
  <x:si>
    <x:t xml:space="preserve">https://www.smwcentral.net/?a=details&amp;id=19180&amp;p=section</x:t>
  </x:si>
  <x:si>
    <x:t xml:space="preserve">https://dl.smwcentral.net/19180/New%20Super%20Kaizo%20Bros%201.1.zip</x:t>
  </x:si>
  <x:si>
    <x:t xml:space="preserve">New Super Mario Bros.</x:t>
  </x:si>
  <x:si>
    <x:t xml:space="preserve">Juga, icegoom</x:t>
  </x:si>
  <x:si>
    <x:t xml:space="preserve">9663</x:t>
  </x:si>
  <x:si>
    <x:t xml:space="preserve">https://www.smwcentral.net/?a=details&amp;id=9663&amp;p=section</x:t>
  </x:si>
  <x:si>
    <x:t xml:space="preserve">https://dl.smwcentral.net/9663/nsmb.zip</x:t>
  </x:si>
  <x:si>
    <x:t xml:space="preserve">New Super Mario Bros. SNES</x:t>
  </x:si>
  <x:si>
    <x:t xml:space="preserve">Mr. Pixelator</x:t>
  </x:si>
  <x:si>
    <x:t xml:space="preserve">16558</x:t>
  </x:si>
  <x:si>
    <x:t xml:space="preserve">https://www.smwcentral.net/?a=details&amp;id=16558&amp;p=section</x:t>
  </x:si>
  <x:si>
    <x:t xml:space="preserve">https://dl.smwcentral.net/16558/New%20Super%20Mario%20Bros.%20SNES%20%28Demo%202%29.zip</x:t>
  </x:si>
  <x:si>
    <x:t xml:space="preserve">New Super Mario Bros: The Lost Levels</x:t>
  </x:si>
  <x:si>
    <x:t xml:space="preserve">RickyMario</x:t>
  </x:si>
  <x:si>
    <x:t xml:space="preserve">9763</x:t>
  </x:si>
  <x:si>
    <x:t xml:space="preserve">https://www.smwcentral.net/?a=details&amp;id=9763&amp;p=section</x:t>
  </x:si>
  <x:si>
    <x:t xml:space="preserve">https://dl.smwcentral.net/9763/New%20Super%20Mario%20Lost.zip</x:t>
  </x:si>
  <x:si>
    <x:t xml:space="preserve">New Super Mario Illusion</x:t>
  </x:si>
  <x:si>
    <x:t xml:space="preserve">K3Blue64</x:t>
  </x:si>
  <x:si>
    <x:t xml:space="preserve">9979</x:t>
  </x:si>
  <x:si>
    <x:t xml:space="preserve">https://www.smwcentral.net/?a=details&amp;id=9979&amp;p=section</x:t>
  </x:si>
  <x:si>
    <x:t xml:space="preserve">https://dl.smwcentral.net/9979/smi.zip</x:t>
  </x:si>
  <x:si>
    <x:t xml:space="preserve">New Super Mario Land</x:t>
  </x:si>
  <x:si>
    <x:t xml:space="preserve">20885</x:t>
  </x:si>
  <x:si>
    <x:t xml:space="preserve">https://www.smwcentral.net/?a=details&amp;id=20885&amp;p=section</x:t>
  </x:si>
  <x:si>
    <x:t xml:space="preserve">https://dl.smwcentral.net/20885/New%20Super%20Mario%20Land.zip</x:t>
  </x:si>
  <x:si>
    <x:t xml:space="preserve">New Super Mario Pants World</x:t>
  </x:si>
  <x:si>
    <x:t xml:space="preserve">20656</x:t>
  </x:si>
  <x:si>
    <x:t xml:space="preserve">https://www.smwcentral.net/?a=details&amp;id=20656&amp;p=section</x:t>
  </x:si>
  <x:si>
    <x:t xml:space="preserve">https://dl.smwcentral.net/20656/NSMPW.zip</x:t>
  </x:si>
  <x:si>
    <x:t xml:space="preserve">New Super Mario World 1: The Twelve Magic Orbs</x:t>
  </x:si>
  <x:si>
    <x:t xml:space="preserve">Pink Gold Peach</x:t>
  </x:si>
  <x:si>
    <x:t xml:space="preserve">14059</x:t>
  </x:si>
  <x:si>
    <x:t xml:space="preserve">https://www.smwcentral.net/?a=details&amp;id=14059&amp;p=section</x:t>
  </x:si>
  <x:si>
    <x:t xml:space="preserve">https://dl.smwcentral.net/14059/New%20Super%20Mario%20World%201%20The%2012%20Magic%20Orbs%201.4.zip</x:t>
  </x:si>
  <x:si>
    <x:t xml:space="preserve">New Super Mario World 1: The Twelve Magic Orbs Powered-Up</x:t>
  </x:si>
  <x:si>
    <x:t xml:space="preserve">34324</x:t>
  </x:si>
  <x:si>
    <x:t xml:space="preserve">https://www.smwcentral.net/?a=details&amp;id=34324&amp;p=section</x:t>
  </x:si>
  <x:si>
    <x:t xml:space="preserve">https://dl.smwcentral.net/34324/New%20Super%20Mario%20World%201%20The%20Twelve%20Magic%20Orbs%20POWERED-UP%20v1.1.zip</x:t>
  </x:si>
  <x:si>
    <x:t xml:space="preserve">New Super Mario World 2: Around The World</x:t>
  </x:si>
  <x:si>
    <x:t xml:space="preserve">21541</x:t>
  </x:si>
  <x:si>
    <x:t xml:space="preserve">https://www.smwcentral.net/?a=details&amp;id=21541&amp;p=section</x:t>
  </x:si>
  <x:si>
    <x:t xml:space="preserve">https://dl.smwcentral.net/21541/New%20Super%20Mario%20World%202%20Around%20The%20World.zip</x:t>
  </x:si>
  <x:si>
    <x:t xml:space="preserve">New Super Mario World 2: Luigi's Quest</x:t>
  </x:si>
  <x:si>
    <x:t xml:space="preserve">37998</x:t>
  </x:si>
  <x:si>
    <x:t xml:space="preserve">https://www.smwcentral.net/?a=details&amp;id=37998&amp;p=section</x:t>
  </x:si>
  <x:si>
    <x:t xml:space="preserve">https://dl.smwcentral.net/37998/NSMW2%20v2.2.1%20%28update%29.zip</x:t>
  </x:si>
  <x:si>
    <x:t xml:space="preserve">New Super Mario World Edition 2023</x:t>
  </x:si>
  <x:si>
    <x:t xml:space="preserve">Teaser</x:t>
  </x:si>
  <x:si>
    <x:t xml:space="preserve">33614</x:t>
  </x:si>
  <x:si>
    <x:t xml:space="preserve">https://www.smwcentral.net/?a=details&amp;id=33614&amp;p=section</x:t>
  </x:si>
  <x:si>
    <x:t xml:space="preserve">https://dl.smwcentral.net/33614/NSMWE%202023%20Demo%20Pt-Br%20%2B%20Usa%20Ver%201.1.zip</x:t>
  </x:si>
  <x:si>
    <x:t xml:space="preserve">New Super Mario World: The Seven Crystals of Peace</x:t>
  </x:si>
  <x:si>
    <x:t xml:space="preserve">Zamo</x:t>
  </x:si>
  <x:si>
    <x:t xml:space="preserve">5473</x:t>
  </x:si>
  <x:si>
    <x:t xml:space="preserve">https://www.smwcentral.net/?a=details&amp;id=5473&amp;p=section</x:t>
  </x:si>
  <x:si>
    <x:t xml:space="preserve">https://dl.smwcentral.net/5473/hack.zip</x:t>
  </x:si>
  <x:si>
    <x:t xml:space="preserve">New Territory</x:t>
  </x:si>
  <x:si>
    <x:t xml:space="preserve">Starboi's Coffee</x:t>
  </x:si>
  <x:si>
    <x:t xml:space="preserve">17987</x:t>
  </x:si>
  <x:si>
    <x:t xml:space="preserve">https://www.smwcentral.net/?a=details&amp;id=17987&amp;p=section</x:t>
  </x:si>
  <x:si>
    <x:t xml:space="preserve">https://dl.smwcentral.net/17987/NewTerritory%20v1.2%20DEMO.zip</x:t>
  </x:si>
  <x:si>
    <x:t xml:space="preserve">NEW! Super Mario Land returns</x:t>
  </x:si>
  <x:si>
    <x:t xml:space="preserve">13845</x:t>
  </x:si>
  <x:si>
    <x:t xml:space="preserve">https://www.smwcentral.net/?a=details&amp;id=13845&amp;p=section</x:t>
  </x:si>
  <x:si>
    <x:t xml:space="preserve">https://dl.smwcentral.net/13845/NSMLR%20demo.zip</x:t>
  </x:si>
  <x:si>
    <x:t xml:space="preserve">new.sfc</x:t>
  </x:si>
  <x:si>
    <x:t xml:space="preserve">danwaleby</x:t>
  </x:si>
  <x:si>
    <x:t xml:space="preserve">21909</x:t>
  </x:si>
  <x:si>
    <x:t xml:space="preserve">https://www.smwcentral.net/?a=details&amp;id=21909&amp;p=section</x:t>
  </x:si>
  <x:si>
    <x:t xml:space="preserve">https://dl.smwcentral.net/21909/newDOTsfc.zip</x:t>
  </x:si>
  <x:si>
    <x:t xml:space="preserve">29486</x:t>
  </x:si>
  <x:si>
    <x:t xml:space="preserve">https://www.smwcentral.net/?a=details&amp;id=29486&amp;p=section</x:t>
  </x:si>
  <x:si>
    <x:t xml:space="preserve">https://dl.smwcentral.net/29486/Newbie%20Kaizo%20World%20v2.zip</x:t>
  </x:si>
  <x:si>
    <x:t xml:space="preserve">Nextl - Summer Special Demo</x:t>
  </x:si>
  <x:si>
    <x:t xml:space="preserve">Yavooti</x:t>
  </x:si>
  <x:si>
    <x:t xml:space="preserve">31323</x:t>
  </x:si>
  <x:si>
    <x:t xml:space="preserve">https://www.smwcentral.net/?a=details&amp;id=31323&amp;p=section</x:t>
  </x:si>
  <x:si>
    <x:t xml:space="preserve">https://dl.smwcentral.net/31323/Nextl_-_Summer_Special_Demo_Release_10_juli_22.zip</x:t>
  </x:si>
  <x:si>
    <x:t xml:space="preserve">Nextl: Christmas Chronicles - Demo</x:t>
  </x:si>
  <x:si>
    <x:t xml:space="preserve">29066</x:t>
  </x:si>
  <x:si>
    <x:t xml:space="preserve">https://www.smwcentral.net/?a=details&amp;id=29066&amp;p=section</x:t>
  </x:si>
  <x:si>
    <x:t xml:space="preserve">https://dl.smwcentral.net/29066/Nextl_Christmas_Demo_-_1.1_.zip</x:t>
  </x:si>
  <x:si>
    <x:t xml:space="preserve">NH World</x:t>
  </x:si>
  <x:si>
    <x:t xml:space="preserve">l337f00l</x:t>
  </x:si>
  <x:si>
    <x:t xml:space="preserve">41036</x:t>
  </x:si>
  <x:si>
    <x:t xml:space="preserve">https://www.smwcentral.net/?a=details&amp;id=41036&amp;p=section</x:t>
  </x:si>
  <x:si>
    <x:t xml:space="preserve">https://dl.smwcentral.net/41036/NHWorld.v1.3.zip</x:t>
  </x:si>
  <x:si>
    <x:t xml:space="preserve">NH World 2</x:t>
  </x:si>
  <x:si>
    <x:t xml:space="preserve">39731</x:t>
  </x:si>
  <x:si>
    <x:t xml:space="preserve">https://www.smwcentral.net/?a=details&amp;id=39731&amp;p=section</x:t>
  </x:si>
  <x:si>
    <x:t xml:space="preserve">https://dl.smwcentral.net/39731/NH_World_2.zip</x:t>
  </x:si>
  <x:si>
    <x:t xml:space="preserve">Nightmare cafe</x:t>
  </x:si>
  <x:si>
    <x:t xml:space="preserve">27026</x:t>
  </x:si>
  <x:si>
    <x:t xml:space="preserve">https://www.smwcentral.net/?a=details&amp;id=27026&amp;p=section</x:t>
  </x:si>
  <x:si>
    <x:t xml:space="preserve">https://dl.smwcentral.net/27026/Nightmare%20cafe%20v1.1.zip</x:t>
  </x:si>
  <x:si>
    <x:t xml:space="preserve">Nightmare cafe - Ninji's Adventure</x:t>
  </x:si>
  <x:si>
    <x:t xml:space="preserve">38111</x:t>
  </x:si>
  <x:si>
    <x:t xml:space="preserve">https://www.smwcentral.net/?a=details&amp;id=38111&amp;p=section</x:t>
  </x:si>
  <x:si>
    <x:t xml:space="preserve">https://dl.smwcentral.net/38111/Nightmare%20Cafe%20-%20Ninji%27s%20Adventure%20V1.0A.zip</x:t>
  </x:si>
  <x:si>
    <x:t xml:space="preserve">Nightmare cafe II</x:t>
  </x:si>
  <x:si>
    <x:t xml:space="preserve">27739</x:t>
  </x:si>
  <x:si>
    <x:t xml:space="preserve">https://www.smwcentral.net/?a=details&amp;id=27739&amp;p=section</x:t>
  </x:si>
  <x:si>
    <x:t xml:space="preserve">https://dl.smwcentral.net/27739/Nightmare%20cafe%20II%20v1.3.zip</x:t>
  </x:si>
  <x:si>
    <x:t xml:space="preserve">Nightmare cafe III</x:t>
  </x:si>
  <x:si>
    <x:t xml:space="preserve">27737</x:t>
  </x:si>
  <x:si>
    <x:t xml:space="preserve">https://www.smwcentral.net/?a=details&amp;id=27737&amp;p=section</x:t>
  </x:si>
  <x:si>
    <x:t xml:space="preserve">https://dl.smwcentral.net/27737/Nightmare%20cafe%20III%20V1.3.zip</x:t>
  </x:si>
  <x:si>
    <x:t xml:space="preserve">Nightmare cafe IV</x:t>
  </x:si>
  <x:si>
    <x:t xml:space="preserve">27735</x:t>
  </x:si>
  <x:si>
    <x:t xml:space="preserve">https://www.smwcentral.net/?a=details&amp;id=27735&amp;p=section</x:t>
  </x:si>
  <x:si>
    <x:t xml:space="preserve">https://dl.smwcentral.net/27735/Nightmare%20cafe%20IV%20V1.3.zip</x:t>
  </x:si>
  <x:si>
    <x:t xml:space="preserve">Nightmare cafe IX</x:t>
  </x:si>
  <x:si>
    <x:t xml:space="preserve">27776</x:t>
  </x:si>
  <x:si>
    <x:t xml:space="preserve">https://www.smwcentral.net/?a=details&amp;id=27776&amp;p=section</x:t>
  </x:si>
  <x:si>
    <x:t xml:space="preserve">https://dl.smwcentral.net/27776/Nightmare%20cafe%20IX%20v1.0.zip</x:t>
  </x:si>
  <x:si>
    <x:t xml:space="preserve">Nightmare cafe origins</x:t>
  </x:si>
  <x:si>
    <x:t xml:space="preserve">37949</x:t>
  </x:si>
  <x:si>
    <x:t xml:space="preserve">https://www.smwcentral.net/?a=details&amp;id=37949&amp;p=section</x:t>
  </x:si>
  <x:si>
    <x:t xml:space="preserve">https://dl.smwcentral.net/37949/Nightmare%20Cafe%20Origins%20V1.0.zip</x:t>
  </x:si>
  <x:si>
    <x:t xml:space="preserve">Nightmare cafe seasons</x:t>
  </x:si>
  <x:si>
    <x:t xml:space="preserve">38934</x:t>
  </x:si>
  <x:si>
    <x:t xml:space="preserve">https://www.smwcentral.net/?a=details&amp;id=38934&amp;p=section</x:t>
  </x:si>
  <x:si>
    <x:t xml:space="preserve">https://dl.smwcentral.net/38934/Nightmare%20Cafe%20Seasons%20V1.0%20%2B%20Credits.zip</x:t>
  </x:si>
  <x:si>
    <x:t xml:space="preserve">Nightmare cafe V</x:t>
  </x:si>
  <x:si>
    <x:t xml:space="preserve">27732</x:t>
  </x:si>
  <x:si>
    <x:t xml:space="preserve">https://www.smwcentral.net/?a=details&amp;id=27732&amp;p=section</x:t>
  </x:si>
  <x:si>
    <x:t xml:space="preserve">https://dl.smwcentral.net/27732/Nightmare%20cafe%20V%20v1.3.zip</x:t>
  </x:si>
  <x:si>
    <x:t xml:space="preserve">Nightmare cafe VI</x:t>
  </x:si>
  <x:si>
    <x:t xml:space="preserve">27733</x:t>
  </x:si>
  <x:si>
    <x:t xml:space="preserve">https://www.smwcentral.net/?a=details&amp;id=27733&amp;p=section</x:t>
  </x:si>
  <x:si>
    <x:t xml:space="preserve">https://dl.smwcentral.net/27733/Nightmare%20Cafe%20VI%201.3.zip</x:t>
  </x:si>
  <x:si>
    <x:t xml:space="preserve">Nightmare cafe VII</x:t>
  </x:si>
  <x:si>
    <x:t xml:space="preserve">27734</x:t>
  </x:si>
  <x:si>
    <x:t xml:space="preserve">https://www.smwcentral.net/?a=details&amp;id=27734&amp;p=section</x:t>
  </x:si>
  <x:si>
    <x:t xml:space="preserve">https://dl.smwcentral.net/27734/Nightmare%20cafe%20VII%20v1.3.zip</x:t>
  </x:si>
  <x:si>
    <x:t xml:space="preserve">Nightmare cafe VIII</x:t>
  </x:si>
  <x:si>
    <x:t xml:space="preserve">27738</x:t>
  </x:si>
  <x:si>
    <x:t xml:space="preserve">https://www.smwcentral.net/?a=details&amp;id=27738&amp;p=section</x:t>
  </x:si>
  <x:si>
    <x:t xml:space="preserve">https://dl.smwcentral.net/27738/Nightmare%20cafe%20VIII%20v1.3.zip</x:t>
  </x:si>
  <x:si>
    <x:t xml:space="preserve">Nightmare cafe X</x:t>
  </x:si>
  <x:si>
    <x:t xml:space="preserve">27778</x:t>
  </x:si>
  <x:si>
    <x:t xml:space="preserve">https://www.smwcentral.net/?a=details&amp;id=27778&amp;p=section</x:t>
  </x:si>
  <x:si>
    <x:t xml:space="preserve">https://dl.smwcentral.net/27778/Nightmare%20cafe%20X%20v1.0.zip</x:t>
  </x:si>
  <x:si>
    <x:t xml:space="preserve">Nightmares</x:t>
  </x:si>
  <x:si>
    <x:t xml:space="preserve">31053</x:t>
  </x:si>
  <x:si>
    <x:t xml:space="preserve">https://www.smwcentral.net/?a=details&amp;id=31053&amp;p=section</x:t>
  </x:si>
  <x:si>
    <x:t xml:space="preserve">https://dl.smwcentral.net/31053/Nightmares.zip</x:t>
  </x:si>
  <x:si>
    <x:t xml:space="preserve">Ninja World</x:t>
  </x:si>
  <x:si>
    <x:t xml:space="preserve">18284</x:t>
  </x:si>
  <x:si>
    <x:t xml:space="preserve">https://www.smwcentral.net/?a=details&amp;id=18284&amp;p=section</x:t>
  </x:si>
  <x:si>
    <x:t xml:space="preserve">https://dl.smwcentral.net/18284/Ninja%20World%20v1.2.zip</x:t>
  </x:si>
  <x:si>
    <x:t xml:space="preserve">Ninja World 2</x:t>
  </x:si>
  <x:si>
    <x:t xml:space="preserve">20801</x:t>
  </x:si>
  <x:si>
    <x:t xml:space="preserve">https://www.smwcentral.net/?a=details&amp;id=20801&amp;p=section</x:t>
  </x:si>
  <x:si>
    <x:t xml:space="preserve">https://dl.smwcentral.net/20801/Ninja%20World%202.zip</x:t>
  </x:si>
  <x:si>
    <x:t xml:space="preserve">Ninja World 3</x:t>
  </x:si>
  <x:si>
    <x:t xml:space="preserve">22901</x:t>
  </x:si>
  <x:si>
    <x:t xml:space="preserve">https://www.smwcentral.net/?a=details&amp;id=22901&amp;p=section</x:t>
  </x:si>
  <x:si>
    <x:t xml:space="preserve">https://dl.smwcentral.net/22901/Ninja%20World%203.zip</x:t>
  </x:si>
  <x:si>
    <x:t xml:space="preserve">Ninji Burst!</x:t>
  </x:si>
  <x:si>
    <x:t xml:space="preserve">1UPdudes</x:t>
  </x:si>
  <x:si>
    <x:t xml:space="preserve">41388</x:t>
  </x:si>
  <x:si>
    <x:t xml:space="preserve">https://www.smwcentral.net/?a=details&amp;id=41388&amp;p=section</x:t>
  </x:si>
  <x:si>
    <x:t xml:space="preserve">https://dl.smwcentral.net/41388/NinjiBurstV1.5.zip</x:t>
  </x:si>
  <x:si>
    <x:t xml:space="preserve">Ninji Story + Mario mode</x:t>
  </x:si>
  <x:si>
    <x:t xml:space="preserve">27585</x:t>
  </x:si>
  <x:si>
    <x:t xml:space="preserve">https://www.smwcentral.net/?a=details&amp;id=27585&amp;p=section</x:t>
  </x:si>
  <x:si>
    <x:t xml:space="preserve">https://dl.smwcentral.net/27585/Ninji%20story%20v1.1%20%2B%20Mario%20mode.zip</x:t>
  </x:si>
  <x:si>
    <x:t xml:space="preserve">Ninji Story 2</x:t>
  </x:si>
  <x:si>
    <x:t xml:space="preserve">35775</x:t>
  </x:si>
  <x:si>
    <x:t xml:space="preserve">https://www.smwcentral.net/?a=details&amp;id=35775&amp;p=section</x:t>
  </x:si>
  <x:si>
    <x:t xml:space="preserve">https://dl.smwcentral.net/35775/Ninji%20Story%202%20V1.0B.zip</x:t>
  </x:si>
  <x:si>
    <x:t xml:space="preserve">Ninpp World</x:t>
  </x:si>
  <x:si>
    <x:t xml:space="preserve">42653</x:t>
  </x:si>
  <x:si>
    <x:t xml:space="preserve">https://www.smwcentral.net/?a=details&amp;id=42653&amp;p=section</x:t>
  </x:si>
  <x:si>
    <x:t xml:space="preserve">https://dl.smwcentral.net/42653/Ninpp%20World.zip</x:t>
  </x:si>
  <x:si>
    <x:t xml:space="preserve">Nintense</x:t>
  </x:si>
  <x:si>
    <x:t xml:space="preserve">GunmaKuma</x:t>
  </x:si>
  <x:si>
    <x:t xml:space="preserve">28233</x:t>
  </x:si>
  <x:si>
    <x:t xml:space="preserve">https://www.smwcentral.net/?a=details&amp;id=28233&amp;p=section</x:t>
  </x:si>
  <x:si>
    <x:t xml:space="preserve">https://dl.smwcentral.net/28233/Nintense.zip</x:t>
  </x:si>
  <x:si>
    <x:t xml:space="preserve">Nissay's beginning</x:t>
  </x:si>
  <x:si>
    <x:t xml:space="preserve">NissayTheCat, Yagami</x:t>
  </x:si>
  <x:si>
    <x:t xml:space="preserve">26287</x:t>
  </x:si>
  <x:si>
    <x:t xml:space="preserve">https://www.smwcentral.net/?a=details&amp;id=26287&amp;p=section</x:t>
  </x:si>
  <x:si>
    <x:t xml:space="preserve">https://dl.smwcentral.net/26287/NTC_2.0.zip</x:t>
  </x:si>
  <x:si>
    <x:t xml:space="preserve">No Biggie World</x:t>
  </x:si>
  <x:si>
    <x:t xml:space="preserve">Stunyboy</x:t>
  </x:si>
  <x:si>
    <x:t xml:space="preserve">32178</x:t>
  </x:si>
  <x:si>
    <x:t xml:space="preserve">https://www.smwcentral.net/?a=details&amp;id=32178&amp;p=section</x:t>
  </x:si>
  <x:si>
    <x:t xml:space="preserve">https://dl.smwcentral.net/32178/NoBiggieWorld1.1.zip</x:t>
  </x:si>
  <x:si>
    <x:t xml:space="preserve">no name</x:t>
  </x:si>
  <x:si>
    <x:t xml:space="preserve">29572</x:t>
  </x:si>
  <x:si>
    <x:t xml:space="preserve">https://www.smwcentral.net/?a=details&amp;id=29572&amp;p=section</x:t>
  </x:si>
  <x:si>
    <x:t xml:space="preserve">https://dl.smwcentral.net/29572/%5BHack%5D%20no%20name.zip</x:t>
  </x:si>
  <x:si>
    <x:t xml:space="preserve">No Villains</x:t>
  </x:si>
  <x:si>
    <x:t xml:space="preserve">Kaizo, Puzzle, Tool-Assisted</x:t>
  </x:si>
  <x:si>
    <x:t xml:space="preserve">39737</x:t>
  </x:si>
  <x:si>
    <x:t xml:space="preserve">https://www.smwcentral.net/?a=details&amp;id=39737&amp;p=section</x:t>
  </x:si>
  <x:si>
    <x:t xml:space="preserve">https://dl.smwcentral.net/39737/NoVillains.zip</x:t>
  </x:si>
  <x:si>
    <x:t xml:space="preserve">Nobody Asked For This</x:t>
  </x:si>
  <x:si>
    <x:t xml:space="preserve">Spirits</x:t>
  </x:si>
  <x:si>
    <x:t xml:space="preserve">33562</x:t>
  </x:si>
  <x:si>
    <x:t xml:space="preserve">https://www.smwcentral.net/?a=details&amp;id=33562&amp;p=section</x:t>
  </x:si>
  <x:si>
    <x:t xml:space="preserve">https://dl.smwcentral.net/33562/nobodyasked_1.0.zip</x:t>
  </x:si>
  <x:si>
    <x:t xml:space="preserve">Noise's Fault</x:t>
  </x:si>
  <x:si>
    <x:t xml:space="preserve">37560</x:t>
  </x:si>
  <x:si>
    <x:t xml:space="preserve">https://www.smwcentral.net/?a=details&amp;id=37560&amp;p=section</x:t>
  </x:si>
  <x:si>
    <x:t xml:space="preserve">https://dl.smwcentral.net/37560/Noise%27s_Fault_1.1.zip</x:t>
  </x:si>
  <x:si>
    <x:t xml:space="preserve">Nonsense</x:t>
  </x:si>
  <x:si>
    <x:t xml:space="preserve">GbreezeSunset, MiracleWater, Various Authors</x:t>
  </x:si>
  <x:si>
    <x:t xml:space="preserve">37734</x:t>
  </x:si>
  <x:si>
    <x:t xml:space="preserve">https://www.smwcentral.net/?a=details&amp;id=37734&amp;p=section</x:t>
  </x:si>
  <x:si>
    <x:t xml:space="preserve">https://dl.smwcentral.net/37734/Nonsense%201.1.zip</x:t>
  </x:si>
  <x:si>
    <x:t xml:space="preserve">Not Another Puzzle Hack</x:t>
  </x:si>
  <x:si>
    <x:t xml:space="preserve">17088</x:t>
  </x:si>
  <x:si>
    <x:t xml:space="preserve">https://www.smwcentral.net/?a=details&amp;id=17088&amp;p=section</x:t>
  </x:si>
  <x:si>
    <x:t xml:space="preserve">https://dl.smwcentral.net/17088/naph.zip</x:t>
  </x:si>
  <x:si>
    <x:t xml:space="preserve">Not Dracula's Castle</x:t>
  </x:si>
  <x:si>
    <x:t xml:space="preserve">21406</x:t>
  </x:si>
  <x:si>
    <x:t xml:space="preserve">https://www.smwcentral.net/?a=details&amp;id=21406&amp;p=section</x:t>
  </x:si>
  <x:si>
    <x:t xml:space="preserve">https://dl.smwcentral.net/21406/dracula1.021.zip</x:t>
  </x:si>
  <x:si>
    <x:t xml:space="preserve">NOT SO SADISTIC MARIO.</x:t>
  </x:si>
  <x:si>
    <x:t xml:space="preserve">16909</x:t>
  </x:si>
  <x:si>
    <x:t xml:space="preserve">https://www.smwcentral.net/?a=details&amp;id=16909&amp;p=section</x:t>
  </x:si>
  <x:si>
    <x:t xml:space="preserve">https://dl.smwcentral.net/16909/NSSM_v0.2.zip</x:t>
  </x:si>
  <x:si>
    <x:t xml:space="preserve">Nothing Crazy</x:t>
  </x:si>
  <x:si>
    <x:t xml:space="preserve">callmeCMDR</x:t>
  </x:si>
  <x:si>
    <x:t xml:space="preserve">25966</x:t>
  </x:si>
  <x:si>
    <x:t xml:space="preserve">https://www.smwcentral.net/?a=details&amp;id=25966&amp;p=section</x:t>
  </x:si>
  <x:si>
    <x:t xml:space="preserve">https://dl.smwcentral.net/25966/Nothing%20Crazy.zip</x:t>
  </x:si>
  <x:si>
    <x:t xml:space="preserve">Nothing Special</x:t>
  </x:si>
  <x:si>
    <x:t xml:space="preserve">14689</x:t>
  </x:si>
  <x:si>
    <x:t xml:space="preserve">https://www.smwcentral.net/?a=details&amp;id=14689&amp;p=section</x:t>
  </x:si>
  <x:si>
    <x:t xml:space="preserve">https://dl.smwcentral.net/14689/Nothing%20Special%20Version%200.6.zip</x:t>
  </x:si>
  <x:si>
    <x:t xml:space="preserve">Nothing Special (Remastered)</x:t>
  </x:si>
  <x:si>
    <x:t xml:space="preserve">14704</x:t>
  </x:si>
  <x:si>
    <x:t xml:space="preserve">https://www.smwcentral.net/?a=details&amp;id=14704&amp;p=section</x:t>
  </x:si>
  <x:si>
    <x:t xml:space="preserve">https://dl.smwcentral.net/14704/NS%20remastered%20music.zip</x:t>
  </x:si>
  <x:si>
    <x:t xml:space="preserve">Nova Concept - a love letter to SIG</x:t>
  </x:si>
  <x:si>
    <x:t xml:space="preserve">32303</x:t>
  </x:si>
  <x:si>
    <x:t xml:space="preserve">https://www.smwcentral.net/?a=details&amp;id=32303&amp;p=section</x:t>
  </x:si>
  <x:si>
    <x:t xml:space="preserve">https://dl.smwcentral.net/32303/Nova%20Concept%20-%20a%20love%20letter%20to%20SIG.zip</x:t>
  </x:si>
  <x:si>
    <x:t xml:space="preserve">Nuatepra</x:t>
  </x:si>
  <x:si>
    <x:t xml:space="preserve">Aclais, ocked</x:t>
  </x:si>
  <x:si>
    <x:t xml:space="preserve">37634</x:t>
  </x:si>
  <x:si>
    <x:t xml:space="preserve">https://www.smwcentral.net/?a=details&amp;id=37634&amp;p=section</x:t>
  </x:si>
  <x:si>
    <x:t xml:space="preserve">https://dl.smwcentral.net/37634/Nuatepra.zip</x:t>
  </x:si>
  <x:si>
    <x:t xml:space="preserve">O Ninja Negro</x:t>
  </x:si>
  <x:si>
    <x:t xml:space="preserve">14556</x:t>
  </x:si>
  <x:si>
    <x:t xml:space="preserve">https://www.smwcentral.net/?a=details&amp;id=14556&amp;p=section</x:t>
  </x:si>
  <x:si>
    <x:t xml:space="preserve">https://dl.smwcentral.net/14556/ONN.zip</x:t>
  </x:si>
  <x:si>
    <x:t xml:space="preserve">O'Ghim!</x:t>
  </x:si>
  <x:si>
    <x:t xml:space="preserve">microwave_brothr</x:t>
  </x:si>
  <x:si>
    <x:t xml:space="preserve">27992</x:t>
  </x:si>
  <x:si>
    <x:t xml:space="preserve">https://www.smwcentral.net/?a=details&amp;id=27992&amp;p=section</x:t>
  </x:si>
  <x:si>
    <x:t xml:space="preserve">https://dl.smwcentral.net/27992/GhimUpdate.zip</x:t>
  </x:si>
  <x:si>
    <x:t xml:space="preserve">O'Ghim!: Scholar Of The First Ghim</x:t>
  </x:si>
  <x:si>
    <x:t xml:space="preserve">33041</x:t>
  </x:si>
  <x:si>
    <x:t xml:space="preserve">https://www.smwcentral.net/?a=details&amp;id=33041&amp;p=section</x:t>
  </x:si>
  <x:si>
    <x:t xml:space="preserve">https://dl.smwcentral.net/33041/Ghim-Scholar.zip</x:t>
  </x:si>
  <x:si>
    <x:t xml:space="preserve">Oblivion</x:t>
  </x:si>
  <x:si>
    <x:t xml:space="preserve">Bruno_Peixoto</x:t>
  </x:si>
  <x:si>
    <x:t xml:space="preserve">42411</x:t>
  </x:si>
  <x:si>
    <x:t xml:space="preserve">https://www.smwcentral.net/?a=details&amp;id=42411&amp;p=section</x:t>
  </x:si>
  <x:si>
    <x:t xml:space="preserve">https://dl.smwcentral.net/42411/Oblivion.zip</x:t>
  </x:si>
  <x:si>
    <x:t xml:space="preserve">Obscure</x:t>
  </x:si>
  <x:si>
    <x:t xml:space="preserve">29614</x:t>
  </x:si>
  <x:si>
    <x:t xml:space="preserve">https://www.smwcentral.net/?a=details&amp;id=29614&amp;p=section</x:t>
  </x:si>
  <x:si>
    <x:t xml:space="preserve">https://dl.smwcentral.net/29614/Obscure.zip</x:t>
  </x:si>
  <x:si>
    <x:t xml:space="preserve">41331</x:t>
  </x:si>
  <x:si>
    <x:t xml:space="preserve">https://www.smwcentral.net/?a=details&amp;id=41331&amp;p=section</x:t>
  </x:si>
  <x:si>
    <x:t xml:space="preserve">https://dl.smwcentral.net/41331/obstinate%20v1.0.zip</x:t>
  </x:si>
  <x:si>
    <x:t xml:space="preserve">Octopus</x:t>
  </x:si>
  <x:si>
    <x:t xml:space="preserve">Joosh</x:t>
  </x:si>
  <x:si>
    <x:t xml:space="preserve">36658</x:t>
  </x:si>
  <x:si>
    <x:t xml:space="preserve">https://www.smwcentral.net/?a=details&amp;id=36658&amp;p=section</x:t>
  </x:si>
  <x:si>
    <x:t xml:space="preserve">https://dl.smwcentral.net/36658/Octopus_v3.zip</x:t>
  </x:si>
  <x:si>
    <x:t xml:space="preserve">Odd Master Mario</x:t>
  </x:si>
  <x:si>
    <x:t xml:space="preserve">Youmu Konpaku</x:t>
  </x:si>
  <x:si>
    <x:t xml:space="preserve">5060</x:t>
  </x:si>
  <x:si>
    <x:t xml:space="preserve">https://www.smwcentral.net/?a=details&amp;id=5060&amp;p=section</x:t>
  </x:si>
  <x:si>
    <x:t xml:space="preserve">https://dl.smwcentral.net/5060/OMM%20with%20overworld%201.zip</x:t>
  </x:si>
  <x:si>
    <x:t xml:space="preserve">Odd Sands</x:t>
  </x:si>
  <x:si>
    <x:t xml:space="preserve">GbreezeSunset, Lazy, MiracleWater</x:t>
  </x:si>
  <x:si>
    <x:t xml:space="preserve">35139</x:t>
  </x:si>
  <x:si>
    <x:t xml:space="preserve">https://www.smwcentral.net/?a=details&amp;id=35139&amp;p=section</x:t>
  </x:si>
  <x:si>
    <x:t xml:space="preserve">https://dl.smwcentral.net/35139/Odd%20Sands.zip</x:t>
  </x:si>
  <x:si>
    <x:t xml:space="preserve">Ode To The Original Sin</x:t>
  </x:si>
  <x:si>
    <x:t xml:space="preserve">Kaizo Literature Club, Selicre</x:t>
  </x:si>
  <x:si>
    <x:t xml:space="preserve">38848</x:t>
  </x:si>
  <x:si>
    <x:t xml:space="preserve">https://www.smwcentral.net/?a=details&amp;id=38848&amp;p=section</x:t>
  </x:si>
  <x:si>
    <x:t xml:space="preserve">https://dl.smwcentral.net/38848/OdeToTheOriginalSin.zip</x:t>
  </x:si>
  <x:si>
    <x:t xml:space="preserve">Of Heavy Riffs and Awesome Basslines</x:t>
  </x:si>
  <x:si>
    <x:t xml:space="preserve">28027</x:t>
  </x:si>
  <x:si>
    <x:t xml:space="preserve">https://www.smwcentral.net/?a=details&amp;id=28027&amp;p=section</x:t>
  </x:si>
  <x:si>
    <x:t xml:space="preserve">https://dl.smwcentral.net/28027/Of%20Heavy%20Riffs%20and%20Awesome%20Basslines.zip</x:t>
  </x:si>
  <x:si>
    <x:t xml:space="preserve">Of Jumps and Platforms</x:t>
  </x:si>
  <x:si>
    <x:t xml:space="preserve">Darolac</x:t>
  </x:si>
  <x:si>
    <x:t xml:space="preserve">23814</x:t>
  </x:si>
  <x:si>
    <x:t xml:space="preserve">https://www.smwcentral.net/?a=details&amp;id=23814&amp;p=section</x:t>
  </x:si>
  <x:si>
    <x:t xml:space="preserve">https://dl.smwcentral.net/23814/Of_Jumps_and_Platforms.zip</x:t>
  </x:si>
  <x:si>
    <x:t xml:space="preserve">Of Precision &amp; Style</x:t>
  </x:si>
  <x:si>
    <x:t xml:space="preserve">30560</x:t>
  </x:si>
  <x:si>
    <x:t xml:space="preserve">https://www.smwcentral.net/?a=details&amp;id=30560&amp;p=section</x:t>
  </x:si>
  <x:si>
    <x:t xml:space="preserve">https://dl.smwcentral.net/30560/Of%20Style%20and%20Precision.zip</x:t>
  </x:si>
  <x:si>
    <x:t xml:space="preserve">OK Mario</x:t>
  </x:si>
  <x:si>
    <x:t xml:space="preserve">FiveFactor</x:t>
  </x:si>
  <x:si>
    <x:t xml:space="preserve">37764</x:t>
  </x:si>
  <x:si>
    <x:t xml:space="preserve">https://www.smwcentral.net/?a=details&amp;id=37764&amp;p=section</x:t>
  </x:si>
  <x:si>
    <x:t xml:space="preserve">https://dl.smwcentral.net/37764/OKMario_1.2.zip</x:t>
  </x:si>
  <x:si>
    <x:t xml:space="preserve">Olafs Shell Adventure</x:t>
  </x:si>
  <x:si>
    <x:t xml:space="preserve">39508</x:t>
  </x:si>
  <x:si>
    <x:t xml:space="preserve">https://www.smwcentral.net/?a=details&amp;id=39508&amp;p=section</x:t>
  </x:si>
  <x:si>
    <x:t xml:space="preserve">https://dl.smwcentral.net/39508/Olafs%20Shell%20Adventure.zip</x:t>
  </x:si>
  <x:si>
    <x:t xml:space="preserve">Old Marine World</x:t>
  </x:si>
  <x:si>
    <x:t xml:space="preserve">37912</x:t>
  </x:si>
  <x:si>
    <x:t xml:space="preserve">https://www.smwcentral.net/?a=details&amp;id=37912&amp;p=section</x:t>
  </x:si>
  <x:si>
    <x:t xml:space="preserve">https://dl.smwcentral.net/37912/Old%20Marine%20World.zip</x:t>
  </x:si>
  <x:si>
    <x:t xml:space="preserve">On The Edge</x:t>
  </x:si>
  <x:si>
    <x:t xml:space="preserve">naBerada</x:t>
  </x:si>
  <x:si>
    <x:t xml:space="preserve">42110</x:t>
  </x:si>
  <x:si>
    <x:t xml:space="preserve">https://www.smwcentral.net/?a=details&amp;id=42110&amp;p=section</x:t>
  </x:si>
  <x:si>
    <x:t xml:space="preserve">https://dl.smwcentral.net/42110/OnTheEdge.zip</x:t>
  </x:si>
  <x:si>
    <x:t xml:space="preserve">Once Again</x:t>
  </x:si>
  <x:si>
    <x:t xml:space="preserve">Daffoxy</x:t>
  </x:si>
  <x:si>
    <x:t xml:space="preserve">36841</x:t>
  </x:si>
  <x:si>
    <x:t xml:space="preserve">https://www.smwcentral.net/?a=details&amp;id=36841&amp;p=section</x:t>
  </x:si>
  <x:si>
    <x:t xml:space="preserve">https://dl.smwcentral.net/36841/OnceAgain_1.1.zip</x:t>
  </x:si>
  <x:si>
    <x:t xml:space="preserve">ONE</x:t>
  </x:si>
  <x:si>
    <x:t xml:space="preserve">40252</x:t>
  </x:si>
  <x:si>
    <x:t xml:space="preserve">https://www.smwcentral.net/?a=details&amp;id=40252&amp;p=section</x:t>
  </x:si>
  <x:si>
    <x:t xml:space="preserve">https://dl.smwcentral.net/40252/ONE.zip</x:t>
  </x:si>
  <x:si>
    <x:t xml:space="preserve">One Day The Sadness Will End</x:t>
  </x:si>
  <x:si>
    <x:t xml:space="preserve">JUMP Team, Kevin, Koopster</x:t>
  </x:si>
  <x:si>
    <x:t xml:space="preserve">39110</x:t>
  </x:si>
  <x:si>
    <x:t xml:space="preserve">https://www.smwcentral.net/?a=details&amp;id=39110&amp;p=section</x:t>
  </x:si>
  <x:si>
    <x:t xml:space="preserve">https://dl.smwcentral.net/39110/sadness.zip</x:t>
  </x:si>
  <x:si>
    <x:t xml:space="preserve">One screen puzzle N°1</x:t>
  </x:si>
  <x:si>
    <x:t xml:space="preserve">SwagDePaul</x:t>
  </x:si>
  <x:si>
    <x:t xml:space="preserve">16348</x:t>
  </x:si>
  <x:si>
    <x:t xml:space="preserve">https://www.smwcentral.net/?a=details&amp;id=16348&amp;p=section</x:t>
  </x:si>
  <x:si>
    <x:t xml:space="preserve">https://dl.smwcentral.net/16348/One%20screen%20puzzle%201.zip</x:t>
  </x:si>
  <x:si>
    <x:t xml:space="preserve">Onegai My Melody - Detour Land Conquest</x:t>
  </x:si>
  <x:si>
    <x:t xml:space="preserve">38931</x:t>
  </x:si>
  <x:si>
    <x:t xml:space="preserve">https://www.smwcentral.net/?a=details&amp;id=38931&amp;p=section</x:t>
  </x:si>
  <x:si>
    <x:t xml:space="preserve">https://dl.smwcentral.net/38931/Onegai%20My%20Melody%20-%20Detour%20Land%20Conquest%20v1.1.zip</x:t>
  </x:si>
  <x:si>
    <x:t xml:space="preserve">Onegai My Melody - My Melody Adventure</x:t>
  </x:si>
  <x:si>
    <x:t xml:space="preserve">37004</x:t>
  </x:si>
  <x:si>
    <x:t xml:space="preserve">https://www.smwcentral.net/?a=details&amp;id=37004&amp;p=section</x:t>
  </x:si>
  <x:si>
    <x:t xml:space="preserve">https://dl.smwcentral.net/37004/Onegai%20My%20Melody%20Adventure%20v1.1.zip</x:t>
  </x:si>
  <x:si>
    <x:t xml:space="preserve">ONLY UP</x:t>
  </x:si>
  <x:si>
    <x:t xml:space="preserve">34773</x:t>
  </x:si>
  <x:si>
    <x:t xml:space="preserve">https://www.smwcentral.net/?a=details&amp;id=34773&amp;p=section</x:t>
  </x:si>
  <x:si>
    <x:t xml:space="preserve">https://dl.smwcentral.net/34773/only%20up.zip</x:t>
  </x:si>
  <x:si>
    <x:t xml:space="preserve">Oogtar's Quest</x:t>
  </x:si>
  <x:si>
    <x:t xml:space="preserve">Pseudogon</x:t>
  </x:si>
  <x:si>
    <x:t xml:space="preserve">13051</x:t>
  </x:si>
  <x:si>
    <x:t xml:space="preserve">https://www.smwcentral.net/?a=details&amp;id=13051&amp;p=section</x:t>
  </x:si>
  <x:si>
    <x:t xml:space="preserve">https://dl.smwcentral.net/13051/Oogtar%27s_Quest.zip</x:t>
  </x:si>
  <x:si>
    <x:t xml:space="preserve">ooooo</x:t>
  </x:si>
  <x:si>
    <x:t xml:space="preserve">JUMP Team, Kevin</x:t>
  </x:si>
  <x:si>
    <x:t xml:space="preserve">37470</x:t>
  </x:si>
  <x:si>
    <x:t xml:space="preserve">https://www.smwcentral.net/?a=details&amp;id=37470&amp;p=section</x:t>
  </x:si>
  <x:si>
    <x:t xml:space="preserve">https://dl.smwcentral.net/37470/ooooo.zip</x:t>
  </x:si>
  <x:si>
    <x:t xml:space="preserve">Oops all keys</x:t>
  </x:si>
  <x:si>
    <x:t xml:space="preserve">Volpey</x:t>
  </x:si>
  <x:si>
    <x:t xml:space="preserve">18376</x:t>
  </x:si>
  <x:si>
    <x:t xml:space="preserve">https://www.smwcentral.net/?a=details&amp;id=18376&amp;p=section</x:t>
  </x:si>
  <x:si>
    <x:t xml:space="preserve">https://dl.smwcentral.net/18376/Oops%20all%20keys.zip</x:t>
  </x:si>
  <x:si>
    <x:t xml:space="preserve">Oops! All Fortresses</x:t>
  </x:si>
  <x:si>
    <x:t xml:space="preserve">33927</x:t>
  </x:si>
  <x:si>
    <x:t xml:space="preserve">https://www.smwcentral.net/?a=details&amp;id=33927&amp;p=section</x:t>
  </x:si>
  <x:si>
    <x:t xml:space="preserve">https://dl.smwcentral.net/33927/Oops%21%20All%20Fortresses.zip</x:t>
  </x:si>
  <x:si>
    <x:t xml:space="preserve">Oops, All Grasslands</x:t>
  </x:si>
  <x:si>
    <x:t xml:space="preserve">28356</x:t>
  </x:si>
  <x:si>
    <x:t xml:space="preserve">https://www.smwcentral.net/?a=details&amp;id=28356&amp;p=section</x:t>
  </x:si>
  <x:si>
    <x:t xml:space="preserve">https://dl.smwcentral.net/28356/Oops%2C%20All%20Grasslands.zip</x:t>
  </x:si>
  <x:si>
    <x:t xml:space="preserve">Oops,Trials Mario</x:t>
  </x:si>
  <x:si>
    <x:t xml:space="preserve">39798</x:t>
  </x:si>
  <x:si>
    <x:t xml:space="preserve">https://www.smwcentral.net/?a=details&amp;id=39798&amp;p=section</x:t>
  </x:si>
  <x:si>
    <x:t xml:space="preserve">https://dl.smwcentral.net/39798/Oops%2CTrials%20Mario.zip</x:t>
  </x:si>
  <x:si>
    <x:t xml:space="preserve">Oozitgarn</x:t>
  </x:si>
  <x:si>
    <x:t xml:space="preserve">Kamikaizo</x:t>
  </x:si>
  <x:si>
    <x:t xml:space="preserve">34381</x:t>
  </x:si>
  <x:si>
    <x:t xml:space="preserve">https://www.smwcentral.net/?a=details&amp;id=34381&amp;p=section</x:t>
  </x:si>
  <x:si>
    <x:t xml:space="preserve">https://dl.smwcentral.net/34381/Oozitgarn%20v1.0.zip</x:t>
  </x:si>
  <x:si>
    <x:t xml:space="preserve">27800</x:t>
  </x:si>
  <x:si>
    <x:t xml:space="preserve">https://www.smwcentral.net/?a=details&amp;id=27800&amp;p=section</x:t>
  </x:si>
  <x:si>
    <x:t xml:space="preserve">https://dl.smwcentral.net/27800/Orcus%20v1.1.zip</x:t>
  </x:si>
  <x:si>
    <x:t xml:space="preserve">Our Wonderful Planet</x:t>
  </x:si>
  <x:si>
    <x:t xml:space="preserve">ChrisTheAussie</x:t>
  </x:si>
  <x:si>
    <x:t xml:space="preserve">27912</x:t>
  </x:si>
  <x:si>
    <x:t xml:space="preserve">https://www.smwcentral.net/?a=details&amp;id=27912&amp;p=section</x:t>
  </x:si>
  <x:si>
    <x:t xml:space="preserve">https://dl.smwcentral.net/27912/Our%20Wonderful%20Planet.zip</x:t>
  </x:si>
  <x:si>
    <x:t xml:space="preserve">Out of Ideas!</x:t>
  </x:si>
  <x:si>
    <x:t xml:space="preserve">33078</x:t>
  </x:si>
  <x:si>
    <x:t xml:space="preserve">https://www.smwcentral.net/?a=details&amp;id=33078&amp;p=section</x:t>
  </x:si>
  <x:si>
    <x:t xml:space="preserve">https://dl.smwcentral.net/33078/out-of-ideas.zip</x:t>
  </x:si>
  <x:si>
    <x:t xml:space="preserve">Outrageous Mario World</x:t>
  </x:si>
  <x:si>
    <x:t xml:space="preserve">AnybodyAgrees</x:t>
  </x:si>
  <x:si>
    <x:t xml:space="preserve">10283</x:t>
  </x:si>
  <x:si>
    <x:t xml:space="preserve">https://www.smwcentral.net/?a=details&amp;id=10283&amp;p=section</x:t>
  </x:si>
  <x:si>
    <x:t xml:space="preserve">https://dl.smwcentral.net/10283/Outrageous%20Mario%20World%206_2.zip</x:t>
  </x:si>
  <x:si>
    <x:t xml:space="preserve">OWLVABOX</x:t>
  </x:si>
  <x:si>
    <x:t xml:space="preserve">Standard, Puzzle, Tool-Assisted</x:t>
  </x:si>
  <x:si>
    <x:t xml:space="preserve">37926</x:t>
  </x:si>
  <x:si>
    <x:t xml:space="preserve">https://www.smwcentral.net/?a=details&amp;id=37926&amp;p=section</x:t>
  </x:si>
  <x:si>
    <x:t xml:space="preserve">https://dl.smwcentral.net/37926/OWLVABOX.zip</x:t>
  </x:si>
  <x:si>
    <x:t xml:space="preserve">Oxworm</x:t>
  </x:si>
  <x:si>
    <x:t xml:space="preserve">H3nt4ik4m3n, Maw, Twiced_, neidoodle, ocked</x:t>
  </x:si>
  <x:si>
    <x:t xml:space="preserve">33774</x:t>
  </x:si>
  <x:si>
    <x:t xml:space="preserve">https://www.smwcentral.net/?a=details&amp;id=33774&amp;p=section</x:t>
  </x:si>
  <x:si>
    <x:t xml:space="preserve">https://dl.smwcentral.net/33774/Oxworm.zip</x:t>
  </x:si>
  <x:si>
    <x:t xml:space="preserve">Oxworm 2</x:t>
  </x:si>
  <x:si>
    <x:t xml:space="preserve">ocked, thefoxx87</x:t>
  </x:si>
  <x:si>
    <x:t xml:space="preserve">42588</x:t>
  </x:si>
  <x:si>
    <x:t xml:space="preserve">https://www.smwcentral.net/?a=details&amp;id=42588&amp;p=section</x:t>
  </x:si>
  <x:si>
    <x:t xml:space="preserve">https://dl.smwcentral.net/42588/Oxworm2.zip</x:t>
  </x:si>
  <x:si>
    <x:t xml:space="preserve">P-switch... The Legendary P-switch Void</x:t>
  </x:si>
  <x:si>
    <x:t xml:space="preserve">6969</x:t>
  </x:si>
  <x:si>
    <x:t xml:space="preserve">https://www.smwcentral.net/?a=details&amp;id=6969&amp;p=section</x:t>
  </x:si>
  <x:si>
    <x:t xml:space="preserve">https://dl.smwcentral.net/6969/pswitch_v2.0.zip</x:t>
  </x:si>
  <x:si>
    <x:t xml:space="preserve">P.A.U.L. (2022 Polished Edition)</x:t>
  </x:si>
  <x:si>
    <x:t xml:space="preserve">32445</x:t>
  </x:si>
  <x:si>
    <x:t xml:space="preserve">https://www.smwcentral.net/?a=details&amp;id=32445&amp;p=section</x:t>
  </x:si>
  <x:si>
    <x:t xml:space="preserve">https://dl.smwcentral.net/32445/Paul%20Remastered.zip</x:t>
  </x:si>
  <x:si>
    <x:t xml:space="preserve">P1JDS World</x:t>
  </x:si>
  <x:si>
    <x:t xml:space="preserve">30972</x:t>
  </x:si>
  <x:si>
    <x:t xml:space="preserve">https://www.smwcentral.net/?a=details&amp;id=30972&amp;p=section</x:t>
  </x:si>
  <x:si>
    <x:t xml:space="preserve">https://dl.smwcentral.net/30972/P1JDS%20World.zip</x:t>
  </x:si>
  <x:si>
    <x:t xml:space="preserve">Pac's Hac Demo</x:t>
  </x:si>
  <x:si>
    <x:t xml:space="preserve">pacmanboss256</x:t>
  </x:si>
  <x:si>
    <x:t xml:space="preserve">39183</x:t>
  </x:si>
  <x:si>
    <x:t xml:space="preserve">https://www.smwcentral.net/?a=details&amp;id=39183&amp;p=section</x:t>
  </x:si>
  <x:si>
    <x:t xml:space="preserve">https://dl.smwcentral.net/39183/pacshacagain.zip</x:t>
  </x:si>
  <x:si>
    <x:t xml:space="preserve">Pactos</x:t>
  </x:si>
  <x:si>
    <x:t xml:space="preserve">39513</x:t>
  </x:si>
  <x:si>
    <x:t xml:space="preserve">https://www.smwcentral.net/?a=details&amp;id=39513&amp;p=section</x:t>
  </x:si>
  <x:si>
    <x:t xml:space="preserve">https://dl.smwcentral.net/39513/Pactos%20v1.0.zip</x:t>
  </x:si>
  <x:si>
    <x:t xml:space="preserve">Pandarosa</x:t>
  </x:si>
  <x:si>
    <x:t xml:space="preserve">YouTibbles</x:t>
  </x:si>
  <x:si>
    <x:t xml:space="preserve">39148</x:t>
  </x:si>
  <x:si>
    <x:t xml:space="preserve">https://www.smwcentral.net/?a=details&amp;id=39148&amp;p=section</x:t>
  </x:si>
  <x:si>
    <x:t xml:space="preserve">https://dl.smwcentral.net/39148/Pandarosa%20v1.6.zip</x:t>
  </x:si>
  <x:si>
    <x:t xml:space="preserve">Pandemonium Fortress</x:t>
  </x:si>
  <x:si>
    <x:t xml:space="preserve">Caracc</x:t>
  </x:si>
  <x:si>
    <x:t xml:space="preserve">9691</x:t>
  </x:si>
  <x:si>
    <x:t xml:space="preserve">https://www.smwcentral.net/?a=details&amp;id=9691&amp;p=section</x:t>
  </x:si>
  <x:si>
    <x:t xml:space="preserve">https://dl.smwcentral.net/9691/Pandemonium%20Fortress.zip</x:t>
  </x:si>
  <x:si>
    <x:t xml:space="preserve">Pandemonium Fortress 2</x:t>
  </x:si>
  <x:si>
    <x:t xml:space="preserve">9641</x:t>
  </x:si>
  <x:si>
    <x:t xml:space="preserve">https://www.smwcentral.net/?a=details&amp;id=9641&amp;p=section</x:t>
  </x:si>
  <x:si>
    <x:t xml:space="preserve">https://dl.smwcentral.net/9641/Pandemonium%20Fortress%202%20v1.02.zip</x:t>
  </x:si>
  <x:si>
    <x:t xml:space="preserve">Pandora's Box (Legacy)</x:t>
  </x:si>
  <x:si>
    <x:t xml:space="preserve">Samantha</x:t>
  </x:si>
  <x:si>
    <x:t xml:space="preserve">13941</x:t>
  </x:si>
  <x:si>
    <x:t xml:space="preserve">https://www.smwcentral.net/?a=details&amp;id=13941&amp;p=section</x:t>
  </x:si>
  <x:si>
    <x:t xml:space="preserve">https://dl.smwcentral.net/13941/Pandora%27s%20Box%20C3%20Demo.zip</x:t>
  </x:si>
  <x:si>
    <x:t xml:space="preserve">Panga's Kaizo Kindergarten (For Dummies)</x:t>
  </x:si>
  <x:si>
    <x:t xml:space="preserve">20091</x:t>
  </x:si>
  <x:si>
    <x:t xml:space="preserve">https://www.smwcentral.net/?a=details&amp;id=20091&amp;p=section</x:t>
  </x:si>
  <x:si>
    <x:t xml:space="preserve">https://dl.smwcentral.net/20091/Kaizo%20Kindergarten%20v1.09.zip</x:t>
  </x:si>
  <x:si>
    <x:t xml:space="preserve">Panic in the Mushroom Kingdom</x:t>
  </x:si>
  <x:si>
    <x:t xml:space="preserve">ghettoyouth</x:t>
  </x:si>
  <x:si>
    <x:t xml:space="preserve">22045</x:t>
  </x:si>
  <x:si>
    <x:t xml:space="preserve">https://www.smwcentral.net/?a=details&amp;id=22045&amp;p=section</x:t>
  </x:si>
  <x:si>
    <x:t xml:space="preserve">https://dl.smwcentral.net/22045/PITMK-bothversions.zip</x:t>
  </x:si>
  <x:si>
    <x:t xml:space="preserve">Panic in the Mushroom Kingdom 2</x:t>
  </x:si>
  <x:si>
    <x:t xml:space="preserve">27799</x:t>
  </x:si>
  <x:si>
    <x:t xml:space="preserve">https://www.smwcentral.net/?a=details&amp;id=27799&amp;p=section</x:t>
  </x:si>
  <x:si>
    <x:t xml:space="preserve">https://dl.smwcentral.net/27799/Pitmk2v1.03.zip</x:t>
  </x:si>
  <x:si>
    <x:t xml:space="preserve">Papaya Mountain</x:t>
  </x:si>
  <x:si>
    <x:t xml:space="preserve">27854</x:t>
  </x:si>
  <x:si>
    <x:t xml:space="preserve">https://www.smwcentral.net/?a=details&amp;id=27854&amp;p=section</x:t>
  </x:si>
  <x:si>
    <x:t xml:space="preserve">https://dl.smwcentral.net/27854/Papaya%20Mountain.zip</x:t>
  </x:si>
  <x:si>
    <x:t xml:space="preserve">Paper Mario: The Plasma Star</x:t>
  </x:si>
  <x:si>
    <x:t xml:space="preserve">7 up, Andyana Jonseph, TheJullasicFox, TheOrangeToad, tmauri</x:t>
  </x:si>
  <x:si>
    <x:t xml:space="preserve">16891</x:t>
  </x:si>
  <x:si>
    <x:t xml:space="preserve">https://www.smwcentral.net/?a=details&amp;id=16891&amp;p=section</x:t>
  </x:si>
  <x:si>
    <x:t xml:space="preserve">https://dl.smwcentral.net/16891/pmtps.zip</x:t>
  </x:si>
  <x:si>
    <x:t xml:space="preserve">Paralysis</x:t>
  </x:si>
  <x:si>
    <x:t xml:space="preserve">RandomType</x:t>
  </x:si>
  <x:si>
    <x:t xml:space="preserve">34888</x:t>
  </x:si>
  <x:si>
    <x:t xml:space="preserve">https://www.smwcentral.net/?a=details&amp;id=34888&amp;p=section</x:t>
  </x:si>
  <x:si>
    <x:t xml:space="preserve">https://dl.smwcentral.net/34888/Paralysis.zip</x:t>
  </x:si>
  <x:si>
    <x:t xml:space="preserve">Paranormal Saga</x:t>
  </x:si>
  <x:si>
    <x:t xml:space="preserve">40444</x:t>
  </x:si>
  <x:si>
    <x:t xml:space="preserve">https://www.smwcentral.net/?a=details&amp;id=40444&amp;p=section</x:t>
  </x:si>
  <x:si>
    <x:t xml:space="preserve">https://dl.smwcentral.net/40444/pns_official_demo.zip</x:t>
  </x:si>
  <x:si>
    <x:t xml:space="preserve">PATHMAKER</x:t>
  </x:si>
  <x:si>
    <x:t xml:space="preserve">Puzzle</x:t>
  </x:si>
  <x:si>
    <x:t xml:space="preserve">41839</x:t>
  </x:si>
  <x:si>
    <x:t xml:space="preserve">https://www.smwcentral.net/?a=details&amp;id=41839&amp;p=section</x:t>
  </x:si>
  <x:si>
    <x:t xml:space="preserve">https://dl.smwcentral.net/41839/PATHMAKERv1.1.zip</x:t>
  </x:si>
  <x:si>
    <x:t xml:space="preserve">Paths</x:t>
  </x:si>
  <x:si>
    <x:t xml:space="preserve">42230</x:t>
  </x:si>
  <x:si>
    <x:t xml:space="preserve">https://www.smwcentral.net/?a=details&amp;id=42230&amp;p=section</x:t>
  </x:si>
  <x:si>
    <x:t xml:space="preserve">https://dl.smwcentral.net/42230/Paths%201.2.zip</x:t>
  </x:si>
  <x:si>
    <x:t xml:space="preserve">Paul '96</x:t>
  </x:si>
  <x:si>
    <x:t xml:space="preserve">18146</x:t>
  </x:si>
  <x:si>
    <x:t xml:space="preserve">https://www.smwcentral.net/?a=details&amp;id=18146&amp;p=section</x:t>
  </x:si>
  <x:si>
    <x:t xml:space="preserve">https://dl.smwcentral.net/18146/Paul%20%2796%20final%20demo.zip</x:t>
  </x:si>
  <x:si>
    <x:t xml:space="preserve">Peach and Daisy in Luigi's Rescue</x:t>
  </x:si>
  <x:si>
    <x:t xml:space="preserve">Marisa</x:t>
  </x:si>
  <x:si>
    <x:t xml:space="preserve">9961</x:t>
  </x:si>
  <x:si>
    <x:t xml:space="preserve">https://www.smwcentral.net/?a=details&amp;id=9961&amp;p=section</x:t>
  </x:si>
  <x:si>
    <x:t xml:space="preserve">https://dl.smwcentral.net/9961/PADILR.zip</x:t>
  </x:si>
  <x:si>
    <x:t xml:space="preserve">Peach is Missing</x:t>
  </x:si>
  <x:si>
    <x:t xml:space="preserve">15088</x:t>
  </x:si>
  <x:si>
    <x:t xml:space="preserve">https://www.smwcentral.net/?a=details&amp;id=15088&amp;p=section</x:t>
  </x:si>
  <x:si>
    <x:t xml:space="preserve">https://dl.smwcentral.net/15088/PIM%20v1.4.1.zip</x:t>
  </x:si>
  <x:si>
    <x:t xml:space="preserve">Peach Melba</x:t>
  </x:si>
  <x:si>
    <x:t xml:space="preserve">shrine</x:t>
  </x:si>
  <x:si>
    <x:t xml:space="preserve">9766</x:t>
  </x:si>
  <x:si>
    <x:t xml:space="preserve">https://www.smwcentral.net/?a=details&amp;id=9766&amp;p=section</x:t>
  </x:si>
  <x:si>
    <x:t xml:space="preserve">https://dl.smwcentral.net/9766/Peach%20Melba.zip</x:t>
  </x:si>
  <x:si>
    <x:t xml:space="preserve">Peachy Moat World</x:t>
  </x:si>
  <x:si>
    <x:t xml:space="preserve">Dan2point5, Sparkysie</x:t>
  </x:si>
  <x:si>
    <x:t xml:space="preserve">24148</x:t>
  </x:si>
  <x:si>
    <x:t xml:space="preserve">https://www.smwcentral.net/?a=details&amp;id=24148&amp;p=section</x:t>
  </x:si>
  <x:si>
    <x:t xml:space="preserve">https://dl.smwcentral.net/24148/Peachy_Moat_World.zip</x:t>
  </x:si>
  <x:si>
    <x:t xml:space="preserve">Peachy Moat World 2</x:t>
  </x:si>
  <x:si>
    <x:t xml:space="preserve">40112</x:t>
  </x:si>
  <x:si>
    <x:t xml:space="preserve">https://www.smwcentral.net/?a=details&amp;id=40112&amp;p=section</x:t>
  </x:si>
  <x:si>
    <x:t xml:space="preserve">https://dl.smwcentral.net/40112/Peachy%20Moat%20World%202.zip</x:t>
  </x:si>
  <x:si>
    <x:t xml:space="preserve">Perchance</x:t>
  </x:si>
  <x:si>
    <x:t xml:space="preserve">papanug</x:t>
  </x:si>
  <x:si>
    <x:t xml:space="preserve">38173</x:t>
  </x:si>
  <x:si>
    <x:t xml:space="preserve">https://www.smwcentral.net/?a=details&amp;id=38173&amp;p=section</x:t>
  </x:si>
  <x:si>
    <x:t xml:space="preserve">https://dl.smwcentral.net/38173/Perchance.zip</x:t>
  </x:si>
  <x:si>
    <x:t xml:space="preserve">Perfect theorem</x:t>
  </x:si>
  <x:si>
    <x:t xml:space="preserve">28945</x:t>
  </x:si>
  <x:si>
    <x:t xml:space="preserve">https://www.smwcentral.net/?a=details&amp;id=28945&amp;p=section</x:t>
  </x:si>
  <x:si>
    <x:t xml:space="preserve">https://dl.smwcentral.net/28945/perfect%20theorem.zip</x:t>
  </x:si>
  <x:si>
    <x:t xml:space="preserve">Persona Non Grata</x:t>
  </x:si>
  <x:si>
    <x:t xml:space="preserve">18794</x:t>
  </x:si>
  <x:si>
    <x:t xml:space="preserve">https://www.smwcentral.net/?a=details&amp;id=18794&amp;p=section</x:t>
  </x:si>
  <x:si>
    <x:t xml:space="preserve">https://dl.smwcentral.net/18794/Persona%20Non%20Grata.zip</x:t>
  </x:si>
  <x:si>
    <x:t xml:space="preserve">Persus: A Toad Adventure</x:t>
  </x:si>
  <x:si>
    <x:t xml:space="preserve">Fyord</x:t>
  </x:si>
  <x:si>
    <x:t xml:space="preserve">6763</x:t>
  </x:si>
  <x:si>
    <x:t xml:space="preserve">https://www.smwcentral.net/?a=details&amp;id=6763&amp;p=section</x:t>
  </x:si>
  <x:si>
    <x:t xml:space="preserve">https://dl.smwcentral.net/6763/Persus.zip</x:t>
  </x:si>
  <x:si>
    <x:t xml:space="preserve">Phenomenal Mario World</x:t>
  </x:si>
  <x:si>
    <x:t xml:space="preserve">14791</x:t>
  </x:si>
  <x:si>
    <x:t xml:space="preserve">https://www.smwcentral.net/?a=details&amp;id=14791&amp;p=section</x:t>
  </x:si>
  <x:si>
    <x:t xml:space="preserve">https://dl.smwcentral.net/14791/Phenomenal%20Mario%20World%20Demo.zip</x:t>
  </x:si>
  <x:si>
    <x:t xml:space="preserve">Pin's Grand Adventure ; The Real Deal</x:t>
  </x:si>
  <x:si>
    <x:t xml:space="preserve">DougieBomber12</x:t>
  </x:si>
  <x:si>
    <x:t xml:space="preserve">15521</x:t>
  </x:si>
  <x:si>
    <x:t xml:space="preserve">https://www.smwcentral.net/?a=details&amp;id=15521&amp;p=section</x:t>
  </x:si>
  <x:si>
    <x:t xml:space="preserve">https://dl.smwcentral.net/15521/Pin%27s%20Grand%20Adventure.zip</x:t>
  </x:si>
  <x:si>
    <x:t xml:space="preserve">Pineapple Porcupine</x:t>
  </x:si>
  <x:si>
    <x:t xml:space="preserve">33410</x:t>
  </x:si>
  <x:si>
    <x:t xml:space="preserve">https://www.smwcentral.net/?a=details&amp;id=33410&amp;p=section</x:t>
  </x:si>
  <x:si>
    <x:t xml:space="preserve">https://dl.smwcentral.net/33410/Pineapple%20Porcupine%20v1.1.zip</x:t>
  </x:si>
  <x:si>
    <x:t xml:space="preserve">Pineapple Porcupine 2</x:t>
  </x:si>
  <x:si>
    <x:t xml:space="preserve">42291</x:t>
  </x:si>
  <x:si>
    <x:t xml:space="preserve">https://www.smwcentral.net/?a=details&amp;id=42291&amp;p=section</x:t>
  </x:si>
  <x:si>
    <x:t xml:space="preserve">https://dl.smwcentral.net/42291/Pineapple%20Porcupine%202.zip</x:t>
  </x:si>
  <x:si>
    <x:t xml:space="preserve">Pipe City</x:t>
  </x:si>
  <x:si>
    <x:t xml:space="preserve">Graystripe</x:t>
  </x:si>
  <x:si>
    <x:t xml:space="preserve">39132</x:t>
  </x:si>
  <x:si>
    <x:t xml:space="preserve">https://www.smwcentral.net/?a=details&amp;id=39132&amp;p=section</x:t>
  </x:si>
  <x:si>
    <x:t xml:space="preserve">https://dl.smwcentral.net/39132/Pipe_City_v1.1.zip</x:t>
  </x:si>
  <x:si>
    <x:t xml:space="preserve">Pipetastic</x:t>
  </x:si>
  <x:si>
    <x:t xml:space="preserve">41226</x:t>
  </x:si>
  <x:si>
    <x:t xml:space="preserve">https://www.smwcentral.net/?a=details&amp;id=41226&amp;p=section</x:t>
  </x:si>
  <x:si>
    <x:t xml:space="preserve">https://dl.smwcentral.net/41226/Pipetastic1.1.zip</x:t>
  </x:si>
  <x:si>
    <x:t xml:space="preserve">Piranhatopia</x:t>
  </x:si>
  <x:si>
    <x:t xml:space="preserve">15170</x:t>
  </x:si>
  <x:si>
    <x:t xml:space="preserve">https://www.smwcentral.net/?a=details&amp;id=15170&amp;p=section</x:t>
  </x:si>
  <x:si>
    <x:t xml:space="preserve">https://dl.smwcentral.net/15170/Piranhatopia.zip</x:t>
  </x:si>
  <x:si>
    <x:t xml:space="preserve">Pirate Hack (Demo)</x:t>
  </x:si>
  <x:si>
    <x:t xml:space="preserve">Ziz</x:t>
  </x:si>
  <x:si>
    <x:t xml:space="preserve">31373</x:t>
  </x:si>
  <x:si>
    <x:t xml:space="preserve">https://www.smwcentral.net/?a=details&amp;id=31373&amp;p=section</x:t>
  </x:si>
  <x:si>
    <x:t xml:space="preserve">https://dl.smwcentral.net/31373/Pirate%20Hack%20Demo.zip</x:t>
  </x:si>
  <x:si>
    <x:t xml:space="preserve">Pit of Abuse</x:t>
  </x:si>
  <x:si>
    <x:t xml:space="preserve">32328</x:t>
  </x:si>
  <x:si>
    <x:t xml:space="preserve">https://www.smwcentral.net/?a=details&amp;id=32328&amp;p=section</x:t>
  </x:si>
  <x:si>
    <x:t xml:space="preserve">https://dl.smwcentral.net/32328/pit%20of%20abuse.zip</x:t>
  </x:si>
  <x:si>
    <x:t xml:space="preserve">Pit of God</x:t>
  </x:si>
  <x:si>
    <x:t xml:space="preserve">HKSo051</x:t>
  </x:si>
  <x:si>
    <x:t xml:space="preserve">18608</x:t>
  </x:si>
  <x:si>
    <x:t xml:space="preserve">https://www.smwcentral.net/?a=details&amp;id=18608&amp;p=section</x:t>
  </x:si>
  <x:si>
    <x:t xml:space="preserve">https://dl.smwcentral.net/18608/Pit%20Of%20God.zip</x:t>
  </x:si>
  <x:si>
    <x:t xml:space="preserve">Pit of Gui!! (Reformulated Version)</x:t>
  </x:si>
  <x:si>
    <x:t xml:space="preserve">GuilhermeYT</x:t>
  </x:si>
  <x:si>
    <x:t xml:space="preserve">42546</x:t>
  </x:si>
  <x:si>
    <x:t xml:space="preserve">https://www.smwcentral.net/?a=details&amp;id=42546&amp;p=section</x:t>
  </x:si>
  <x:si>
    <x:t xml:space="preserve">https://dl.smwcentral.net/42546/Pit%20of%20Gui%21%21%20V1.4%20%28Reformulated%20Version%29.zip</x:t>
  </x:si>
  <x:si>
    <x:t xml:space="preserve">Pit of Insaneness</x:t>
  </x:si>
  <x:si>
    <x:t xml:space="preserve">NBKevin98</x:t>
  </x:si>
  <x:si>
    <x:t xml:space="preserve">16829</x:t>
  </x:si>
  <x:si>
    <x:t xml:space="preserve">https://www.smwcentral.net/?a=details&amp;id=16829&amp;p=section</x:t>
  </x:si>
  <x:si>
    <x:t xml:space="preserve">https://dl.smwcentral.net/16829/Pit%20of%20Insaneness%20v.1.0.zip</x:t>
  </x:si>
  <x:si>
    <x:t xml:space="preserve">Pit of Insaneness 2</x:t>
  </x:si>
  <x:si>
    <x:t xml:space="preserve">16765</x:t>
  </x:si>
  <x:si>
    <x:t xml:space="preserve">https://www.smwcentral.net/?a=details&amp;id=16765&amp;p=section</x:t>
  </x:si>
  <x:si>
    <x:t xml:space="preserve">https://dl.smwcentral.net/16765/Pit%20of%20Insaneness%202.zip</x:t>
  </x:si>
  <x:si>
    <x:t xml:space="preserve">Pit Of RTA</x:t>
  </x:si>
  <x:si>
    <x:t xml:space="preserve">35328</x:t>
  </x:si>
  <x:si>
    <x:t xml:space="preserve">https://www.smwcentral.net/?a=details&amp;id=35328&amp;p=section</x:t>
  </x:si>
  <x:si>
    <x:t xml:space="preserve">https://dl.smwcentral.net/35328/Pit_Of_RTA.zip</x:t>
  </x:si>
  <x:si>
    <x:t xml:space="preserve">Pizza of challenges</x:t>
  </x:si>
  <x:si>
    <x:t xml:space="preserve">37733</x:t>
  </x:si>
  <x:si>
    <x:t xml:space="preserve">https://www.smwcentral.net/?a=details&amp;id=37733&amp;p=section</x:t>
  </x:si>
  <x:si>
    <x:t xml:space="preserve">https://dl.smwcentral.net/37733/Pizza%20of%20challenges.zip</x:t>
  </x:si>
  <x:si>
    <x:t xml:space="preserve">Plain Cheese Pizza</x:t>
  </x:si>
  <x:si>
    <x:t xml:space="preserve">34061</x:t>
  </x:si>
  <x:si>
    <x:t xml:space="preserve">https://www.smwcentral.net/?a=details&amp;id=34061&amp;p=section</x:t>
  </x:si>
  <x:si>
    <x:t xml:space="preserve">https://dl.smwcentral.net/34061/PlainCheesePizza1.1.zip</x:t>
  </x:si>
  <x:si>
    <x:t xml:space="preserve">planets</x:t>
  </x:si>
  <x:si>
    <x:t xml:space="preserve">32693</x:t>
  </x:si>
  <x:si>
    <x:t xml:space="preserve">https://www.smwcentral.net/?a=details&amp;id=32693&amp;p=section</x:t>
  </x:si>
  <x:si>
    <x:t xml:space="preserve">https://dl.smwcentral.net/32693/Planets.zip</x:t>
  </x:si>
  <x:si>
    <x:t xml:space="preserve">Play To Win</x:t>
  </x:si>
  <x:si>
    <x:t xml:space="preserve">35230</x:t>
  </x:si>
  <x:si>
    <x:t xml:space="preserve">https://www.smwcentral.net/?a=details&amp;id=35230&amp;p=section</x:t>
  </x:si>
  <x:si>
    <x:t xml:space="preserve">https://dl.smwcentral.net/35230/PlayToWin_1_6_0.zip</x:t>
  </x:si>
  <x:si>
    <x:t xml:space="preserve">Playground Kaizo</x:t>
  </x:si>
  <x:si>
    <x:t xml:space="preserve">41584</x:t>
  </x:si>
  <x:si>
    <x:t xml:space="preserve">https://www.smwcentral.net/?a=details&amp;id=41584&amp;p=section</x:t>
  </x:si>
  <x:si>
    <x:t xml:space="preserve">https://dl.smwcentral.net/41584/Playground%20Kaizo.zip</x:t>
  </x:si>
  <x:si>
    <x:t xml:space="preserve">Playground Kaizo 2</x:t>
  </x:si>
  <x:si>
    <x:t xml:space="preserve">42098</x:t>
  </x:si>
  <x:si>
    <x:t xml:space="preserve">https://www.smwcentral.net/?a=details&amp;id=42098&amp;p=section</x:t>
  </x:si>
  <x:si>
    <x:t xml:space="preserve">https://dl.smwcentral.net/42098/Playground%20Kaizo%202.zip</x:t>
  </x:si>
  <x:si>
    <x:t xml:space="preserve">PLAYTIME</x:t>
  </x:si>
  <x:si>
    <x:t xml:space="preserve">42543</x:t>
  </x:si>
  <x:si>
    <x:t xml:space="preserve">https://www.smwcentral.net/?a=details&amp;id=42543&amp;p=section</x:t>
  </x:si>
  <x:si>
    <x:t xml:space="preserve">https://dl.smwcentral.net/42543/playtime_1.11.zip</x:t>
  </x:si>
  <x:si>
    <x:t xml:space="preserve">Plombier du Fromage</x:t>
  </x:si>
  <x:si>
    <x:t xml:space="preserve">Fumu</x:t>
  </x:si>
  <x:si>
    <x:t xml:space="preserve">24373</x:t>
  </x:si>
  <x:si>
    <x:t xml:space="preserve">https://www.smwcentral.net/?a=details&amp;id=24373&amp;p=section</x:t>
  </x:si>
  <x:si>
    <x:t xml:space="preserve">https://dl.smwcentral.net/24373/plombier%20du%20fromage.zip</x:t>
  </x:si>
  <x:si>
    <x:t xml:space="preserve">Po's adventure neko burst</x:t>
  </x:si>
  <x:si>
    <x:t xml:space="preserve">nathanx365</x:t>
  </x:si>
  <x:si>
    <x:t xml:space="preserve">14907</x:t>
  </x:si>
  <x:si>
    <x:t xml:space="preserve">https://www.smwcentral.net/?a=details&amp;id=14907&amp;p=section</x:t>
  </x:si>
  <x:si>
    <x:t xml:space="preserve">https://dl.smwcentral.net/14907/Po%27s%20adventure%20neko%20burst.zip</x:t>
  </x:si>
  <x:si>
    <x:t xml:space="preserve">Pointless</x:t>
  </x:si>
  <x:si>
    <x:t xml:space="preserve">SonofSolaire</x:t>
  </x:si>
  <x:si>
    <x:t xml:space="preserve">42699</x:t>
  </x:si>
  <x:si>
    <x:t xml:space="preserve">https://www.smwcentral.net/?a=details&amp;id=42699&amp;p=section</x:t>
  </x:si>
  <x:si>
    <x:t xml:space="preserve">https://dl.smwcentral.net/42699/Pointless%201.0.zip</x:t>
  </x:si>
  <x:si>
    <x:t xml:space="preserve">Poked</x:t>
  </x:si>
  <x:si>
    <x:t xml:space="preserve">akseliv</x:t>
  </x:si>
  <x:si>
    <x:t xml:space="preserve">39121</x:t>
  </x:si>
  <x:si>
    <x:t xml:space="preserve">https://www.smwcentral.net/?a=details&amp;id=39121&amp;p=section</x:t>
  </x:si>
  <x:si>
    <x:t xml:space="preserve">https://dl.smwcentral.net/39121/Poked.zip</x:t>
  </x:si>
  <x:si>
    <x:t xml:space="preserve">Pokey's Adventure</x:t>
  </x:si>
  <x:si>
    <x:t xml:space="preserve">5131</x:t>
  </x:si>
  <x:si>
    <x:t xml:space="preserve">https://www.smwcentral.net/?a=details&amp;id=5131&amp;p=section</x:t>
  </x:si>
  <x:si>
    <x:t xml:space="preserve">https://dl.smwcentral.net/5131/Pokeys_Adventure_Demo1_v11.zip</x:t>
  </x:si>
  <x:si>
    <x:t xml:space="preserve">Pokémon Darkness</x:t>
  </x:si>
  <x:si>
    <x:t xml:space="preserve">9998</x:t>
  </x:si>
  <x:si>
    <x:t xml:space="preserve">https://www.smwcentral.net/?a=details&amp;id=9998&amp;p=section</x:t>
  </x:si>
  <x:si>
    <x:t xml:space="preserve">https://dl.smwcentral.net/9998/Pok%C3%A9mon%20Darkness%20final%20version.zip</x:t>
  </x:si>
  <x:si>
    <x:t xml:space="preserve">Polyphony</x:t>
  </x:si>
  <x:si>
    <x:t xml:space="preserve">TomatoPhalanges</x:t>
  </x:si>
  <x:si>
    <x:t xml:space="preserve">27893</x:t>
  </x:si>
  <x:si>
    <x:t xml:space="preserve">https://www.smwcentral.net/?a=details&amp;id=27893&amp;p=section</x:t>
  </x:si>
  <x:si>
    <x:t xml:space="preserve">https://dl.smwcentral.net/27893/POLYPHONY_1.1.1.zip</x:t>
  </x:si>
  <x:si>
    <x:t xml:space="preserve">poop jump</x:t>
  </x:si>
  <x:si>
    <x:t xml:space="preserve">Blaagon, Poop Team</x:t>
  </x:si>
  <x:si>
    <x:t xml:space="preserve">37953</x:t>
  </x:si>
  <x:si>
    <x:t xml:space="preserve">https://www.smwcentral.net/?a=details&amp;id=37953&amp;p=section</x:t>
  </x:si>
  <x:si>
    <x:t xml:space="preserve">https://dl.smwcentral.net/37953/pj.zip</x:t>
  </x:si>
  <x:si>
    <x:t xml:space="preserve">poop jump cafe</x:t>
  </x:si>
  <x:si>
    <x:t xml:space="preserve">Blaagon, deported</x:t>
  </x:si>
  <x:si>
    <x:t xml:space="preserve">38118</x:t>
  </x:si>
  <x:si>
    <x:t xml:space="preserve">https://www.smwcentral.net/?a=details&amp;id=38118&amp;p=section</x:t>
  </x:si>
  <x:si>
    <x:t xml:space="preserve">https://dl.smwcentral.net/38118/pjcafe.zip</x:t>
  </x:si>
  <x:si>
    <x:t xml:space="preserve">popi world</x:t>
  </x:si>
  <x:si>
    <x:t xml:space="preserve">30068</x:t>
  </x:si>
  <x:si>
    <x:t xml:space="preserve">https://www.smwcentral.net/?a=details&amp;id=30068&amp;p=section</x:t>
  </x:si>
  <x:si>
    <x:t xml:space="preserve">https://dl.smwcentral.net/30068/popi%20world.zip</x:t>
  </x:si>
  <x:si>
    <x:t xml:space="preserve">popi world 2</x:t>
  </x:si>
  <x:si>
    <x:t xml:space="preserve">30609</x:t>
  </x:si>
  <x:si>
    <x:t xml:space="preserve">https://www.smwcentral.net/?a=details&amp;id=30609&amp;p=section</x:t>
  </x:si>
  <x:si>
    <x:t xml:space="preserve">https://dl.smwcentral.net/30609/popi%20world%202.zip</x:t>
  </x:si>
  <x:si>
    <x:t xml:space="preserve">Post Traumatic Stress Disorder</x:t>
  </x:si>
  <x:si>
    <x:t xml:space="preserve">38956</x:t>
  </x:si>
  <x:si>
    <x:t xml:space="preserve">https://www.smwcentral.net/?a=details&amp;id=38956&amp;p=section</x:t>
  </x:si>
  <x:si>
    <x:t xml:space="preserve">https://dl.smwcentral.net/38956/SMW%20-%20PTSD%20%281.1%29.zip</x:t>
  </x:si>
  <x:si>
    <x:t xml:space="preserve">Power Guy World</x:t>
  </x:si>
  <x:si>
    <x:t xml:space="preserve">34843</x:t>
  </x:si>
  <x:si>
    <x:t xml:space="preserve">https://www.smwcentral.net/?a=details&amp;id=34843&amp;p=section</x:t>
  </x:si>
  <x:si>
    <x:t xml:space="preserve">https://dl.smwcentral.net/34843/PowerGuyWorld.zip</x:t>
  </x:si>
  <x:si>
    <x:t xml:space="preserve">Power Journey</x:t>
  </x:si>
  <x:si>
    <x:t xml:space="preserve">24866</x:t>
  </x:si>
  <x:si>
    <x:t xml:space="preserve">https://www.smwcentral.net/?a=details&amp;id=24866&amp;p=section</x:t>
  </x:si>
  <x:si>
    <x:t xml:space="preserve">https://dl.smwcentral.net/24866/PowerJourney.zip</x:t>
  </x:si>
  <x:si>
    <x:t xml:space="preserve">Powerup Party</x:t>
  </x:si>
  <x:si>
    <x:t xml:space="preserve">Spedinja</x:t>
  </x:si>
  <x:si>
    <x:t xml:space="preserve">37624</x:t>
  </x:si>
  <x:si>
    <x:t xml:space="preserve">https://www.smwcentral.net/?a=details&amp;id=37624&amp;p=section</x:t>
  </x:si>
  <x:si>
    <x:t xml:space="preserve">https://dl.smwcentral.net/37624/PowerupParty.zip</x:t>
  </x:si>
  <x:si>
    <x:t xml:space="preserve">Practice Makes Purrfect</x:t>
  </x:si>
  <x:si>
    <x:t xml:space="preserve">sunwarrior25</x:t>
  </x:si>
  <x:si>
    <x:t xml:space="preserve">9654</x:t>
  </x:si>
  <x:si>
    <x:t xml:space="preserve">https://www.smwcentral.net/?a=details&amp;id=9654&amp;p=section</x:t>
  </x:si>
  <x:si>
    <x:t xml:space="preserve">https://dl.smwcentral.net/9654/PMPc3demo.zip</x:t>
  </x:si>
  <x:si>
    <x:t xml:space="preserve">Precise Perfection</x:t>
  </x:si>
  <x:si>
    <x:t xml:space="preserve">15341</x:t>
  </x:si>
  <x:si>
    <x:t xml:space="preserve">https://www.smwcentral.net/?a=details&amp;id=15341&amp;p=section</x:t>
  </x:si>
  <x:si>
    <x:t xml:space="preserve">https://dl.smwcentral.net/15341/PrecisePerfection.zip</x:t>
  </x:si>
  <x:si>
    <x:t xml:space="preserve">Precision86</x:t>
  </x:si>
  <x:si>
    <x:t xml:space="preserve">22240</x:t>
  </x:si>
  <x:si>
    <x:t xml:space="preserve">https://www.smwcentral.net/?a=details&amp;id=22240&amp;p=section</x:t>
  </x:si>
  <x:si>
    <x:t xml:space="preserve">https://dl.smwcentral.net/22240/Precision86%20Demo.zip</x:t>
  </x:si>
  <x:si>
    <x:t xml:space="preserve">Precision86 Part II : The Forgotten Kingdom (DEMO)</x:t>
  </x:si>
  <x:si>
    <x:t xml:space="preserve">42028</x:t>
  </x:si>
  <x:si>
    <x:t xml:space="preserve">https://www.smwcentral.net/?a=details&amp;id=42028&amp;p=section</x:t>
  </x:si>
  <x:si>
    <x:t xml:space="preserve">https://dl.smwcentral.net/42028/Precision86%20Part%20II%20Demo%20V1_2.zip</x:t>
  </x:si>
  <x:si>
    <x:t xml:space="preserve">Prickly Goo to the Rescue</x:t>
  </x:si>
  <x:si>
    <x:t xml:space="preserve">LashLaRue24</x:t>
  </x:si>
  <x:si>
    <x:t xml:space="preserve">36836</x:t>
  </x:si>
  <x:si>
    <x:t xml:space="preserve">https://www.smwcentral.net/?a=details&amp;id=36836&amp;p=section</x:t>
  </x:si>
  <x:si>
    <x:t xml:space="preserve">https://dl.smwcentral.net/36836/PricklyGoo.zip</x:t>
  </x:si>
  <x:si>
    <x:t xml:space="preserve">Primal Mario World</x:t>
  </x:si>
  <x:si>
    <x:t xml:space="preserve">PineappleProducer</x:t>
  </x:si>
  <x:si>
    <x:t xml:space="preserve">10042</x:t>
  </x:si>
  <x:si>
    <x:t xml:space="preserve">https://www.smwcentral.net/?a=details&amp;id=10042&amp;p=section</x:t>
  </x:si>
  <x:si>
    <x:t xml:space="preserve">https://dl.smwcentral.net/10042/PMW%20%28Demo%202%29.zip</x:t>
  </x:si>
  <x:si>
    <x:t xml:space="preserve">Primal Shells</x:t>
  </x:si>
  <x:si>
    <x:t xml:space="preserve">32472</x:t>
  </x:si>
  <x:si>
    <x:t xml:space="preserve">https://www.smwcentral.net/?a=details&amp;id=32472&amp;p=section</x:t>
  </x:si>
  <x:si>
    <x:t xml:space="preserve">https://dl.smwcentral.net/32472/Primal%20Shells.zip</x:t>
  </x:si>
  <x:si>
    <x:t xml:space="preserve">Princess Kaizo Land</x:t>
  </x:si>
  <x:si>
    <x:t xml:space="preserve">ChaosComposer</x:t>
  </x:si>
  <x:si>
    <x:t xml:space="preserve">17633</x:t>
  </x:si>
  <x:si>
    <x:t xml:space="preserve">https://www.smwcentral.net/?a=details&amp;id=17633&amp;p=section</x:t>
  </x:si>
  <x:si>
    <x:t xml:space="preserve">https://dl.smwcentral.net/17633/PrincessKaizoLand.zip</x:t>
  </x:si>
  <x:si>
    <x:t xml:space="preserve">Project Brutality</x:t>
  </x:si>
  <x:si>
    <x:t xml:space="preserve">21331</x:t>
  </x:si>
  <x:si>
    <x:t xml:space="preserve">https://www.smwcentral.net/?a=details&amp;id=21331&amp;p=section</x:t>
  </x:si>
  <x:si>
    <x:t xml:space="preserve">https://dl.smwcentral.net/21331/Death%20and%20Despair.zip</x:t>
  </x:si>
  <x:si>
    <x:t xml:space="preserve">Project Frick 2019</x:t>
  </x:si>
  <x:si>
    <x:t xml:space="preserve">28751</x:t>
  </x:si>
  <x:si>
    <x:t xml:space="preserve">https://www.smwcentral.net/?a=details&amp;id=28751&amp;p=section</x:t>
  </x:si>
  <x:si>
    <x:t xml:space="preserve">https://dl.smwcentral.net/28751/project%20frick.zip</x:t>
  </x:si>
  <x:si>
    <x:t xml:space="preserve">Project Jonny Hacks 2 - Yoshi´s Journey of Justice</x:t>
  </x:si>
  <x:si>
    <x:t xml:space="preserve">T-Jonny</x:t>
  </x:si>
  <x:si>
    <x:t xml:space="preserve">18695</x:t>
  </x:si>
  <x:si>
    <x:t xml:space="preserve">https://www.smwcentral.net/?a=details&amp;id=18695&amp;p=section</x:t>
  </x:si>
  <x:si>
    <x:t xml:space="preserve">https://dl.smwcentral.net/18695/PJH%202%20-%20YJoJ.zip</x:t>
  </x:si>
  <x:si>
    <x:t xml:space="preserve">Project Jonny Hacks 3 - My Last Mission</x:t>
  </x:si>
  <x:si>
    <x:t xml:space="preserve">17956</x:t>
  </x:si>
  <x:si>
    <x:t xml:space="preserve">https://www.smwcentral.net/?a=details&amp;id=17956&amp;p=section</x:t>
  </x:si>
  <x:si>
    <x:t xml:space="preserve">https://dl.smwcentral.net/17956/PJH%203%20-%20MLM.zip</x:t>
  </x:si>
  <x:si>
    <x:t xml:space="preserve">Project L 1.0B</x:t>
  </x:si>
  <x:si>
    <x:t xml:space="preserve">DanTheCreator</x:t>
  </x:si>
  <x:si>
    <x:t xml:space="preserve">16709</x:t>
  </x:si>
  <x:si>
    <x:t xml:space="preserve">https://www.smwcentral.net/?a=details&amp;id=16709&amp;p=section</x:t>
  </x:si>
  <x:si>
    <x:t xml:space="preserve">https://dl.smwcentral.net/16709/ProjectL.zip</x:t>
  </x:si>
  <x:si>
    <x:t xml:space="preserve">Project Underscore</x:t>
  </x:si>
  <x:si>
    <x:t xml:space="preserve">Teyla</x:t>
  </x:si>
  <x:si>
    <x:t xml:space="preserve">28223</x:t>
  </x:si>
  <x:si>
    <x:t xml:space="preserve">https://www.smwcentral.net/?a=details&amp;id=28223&amp;p=section</x:t>
  </x:si>
  <x:si>
    <x:t xml:space="preserve">https://dl.smwcentral.net/28223/Teyla%20-%20Project%20Underscore.zip</x:t>
  </x:si>
  <x:si>
    <x:t xml:space="preserve">Project_Bonestorm.tar.gz (A Mega Man/X-Styled SMW ROM Hack)</x:t>
  </x:si>
  <x:si>
    <x:t xml:space="preserve">EE_02.tar.gz</x:t>
  </x:si>
  <x:si>
    <x:t xml:space="preserve">38743</x:t>
  </x:si>
  <x:si>
    <x:t xml:space="preserve">https://www.smwcentral.net/?a=details&amp;id=38743&amp;p=section</x:t>
  </x:si>
  <x:si>
    <x:t xml:space="preserve">https://dl.smwcentral.net/38743/Project_Bonestorm.tar.gz_.zip</x:t>
  </x:si>
  <x:si>
    <x:t xml:space="preserve">PropL\R Block</x:t>
  </x:si>
  <x:si>
    <x:t xml:space="preserve">35878</x:t>
  </x:si>
  <x:si>
    <x:t xml:space="preserve">https://www.smwcentral.net/?a=details&amp;id=35878&amp;p=section</x:t>
  </x:si>
  <x:si>
    <x:t xml:space="preserve">https://dl.smwcentral.net/35878/PropL-R%20Block.zip</x:t>
  </x:si>
  <x:si>
    <x:t xml:space="preserve">Pumpkins and Slaughter</x:t>
  </x:si>
  <x:si>
    <x:t xml:space="preserve">18384</x:t>
  </x:si>
  <x:si>
    <x:t xml:space="preserve">https://www.smwcentral.net/?a=details&amp;id=18384&amp;p=section</x:t>
  </x:si>
  <x:si>
    <x:t xml:space="preserve">https://dl.smwcentral.net/18384/P%26S.zip</x:t>
  </x:si>
  <x:si>
    <x:t xml:space="preserve">Punishing Pothole 2</x:t>
  </x:si>
  <x:si>
    <x:t xml:space="preserve">11350</x:t>
  </x:si>
  <x:si>
    <x:t xml:space="preserve">https://www.smwcentral.net/?a=details&amp;id=11350&amp;p=section</x:t>
  </x:si>
  <x:si>
    <x:t xml:space="preserve">https://dl.smwcentral.net/11350/PunishingPothole2.zip</x:t>
  </x:si>
  <x:si>
    <x:t xml:space="preserve">Punishing Pothole 3</x:t>
  </x:si>
  <x:si>
    <x:t xml:space="preserve">34156</x:t>
  </x:si>
  <x:si>
    <x:t xml:space="preserve">https://www.smwcentral.net/?a=details&amp;id=34156&amp;p=section</x:t>
  </x:si>
  <x:si>
    <x:t xml:space="preserve">https://dl.smwcentral.net/34156/PunishingPothole3.zip</x:t>
  </x:si>
  <x:si>
    <x:t xml:space="preserve">Purgatory</x:t>
  </x:si>
  <x:si>
    <x:t xml:space="preserve">28386</x:t>
  </x:si>
  <x:si>
    <x:t xml:space="preserve">https://www.smwcentral.net/?a=details&amp;id=28386&amp;p=section</x:t>
  </x:si>
  <x:si>
    <x:t xml:space="preserve">https://dl.smwcentral.net/28386/Purgatory.zip</x:t>
  </x:si>
  <x:si>
    <x:t xml:space="preserve">Quest for Corgi Butts</x:t>
  </x:si>
  <x:si>
    <x:t xml:space="preserve">TDWarrior</x:t>
  </x:si>
  <x:si>
    <x:t xml:space="preserve">25307</x:t>
  </x:si>
  <x:si>
    <x:t xml:space="preserve">https://www.smwcentral.net/?a=details&amp;id=25307&amp;p=section</x:t>
  </x:si>
  <x:si>
    <x:t xml:space="preserve">https://dl.smwcentral.net/25307/QuestforCorgiButtsv1.1.zip</x:t>
  </x:si>
  <x:si>
    <x:t xml:space="preserve">Quest for milk</x:t>
  </x:si>
  <x:si>
    <x:t xml:space="preserve">32480</x:t>
  </x:si>
  <x:si>
    <x:t xml:space="preserve">https://www.smwcentral.net/?a=details&amp;id=32480&amp;p=section</x:t>
  </x:si>
  <x:si>
    <x:t xml:space="preserve">https://dl.smwcentral.net/32480/QUEST%20FOR%20MILK%20%28v1.2%29.zip</x:t>
  </x:si>
  <x:si>
    <x:t xml:space="preserve">Quest for the Dragon Coins</x:t>
  </x:si>
  <x:si>
    <x:t xml:space="preserve">s4ys</x:t>
  </x:si>
  <x:si>
    <x:t xml:space="preserve">25582</x:t>
  </x:si>
  <x:si>
    <x:t xml:space="preserve">https://www.smwcentral.net/?a=details&amp;id=25582&amp;p=section</x:t>
  </x:si>
  <x:si>
    <x:t xml:space="preserve">https://dl.smwcentral.net/25582/Quest_for_the_Dragon_Coins_%28DEMO%29.zip</x:t>
  </x:si>
  <x:si>
    <x:t xml:space="preserve">Quest in the Mushroom Kingdom</x:t>
  </x:si>
  <x:si>
    <x:t xml:space="preserve">pieguy1372</x:t>
  </x:si>
  <x:si>
    <x:t xml:space="preserve">9795</x:t>
  </x:si>
  <x:si>
    <x:t xml:space="preserve">https://www.smwcentral.net/?a=details&amp;id=9795&amp;p=section</x:t>
  </x:si>
  <x:si>
    <x:t xml:space="preserve">https://dl.smwcentral.net/9795/qimk_demo2.zip</x:t>
  </x:si>
  <x:si>
    <x:t xml:space="preserve">Quest on Full Moon Island</x:t>
  </x:si>
  <x:si>
    <x:t xml:space="preserve">Stormkyleis</x:t>
  </x:si>
  <x:si>
    <x:t xml:space="preserve">5399</x:t>
  </x:si>
  <x:si>
    <x:t xml:space="preserve">https://www.smwcentral.net/?a=details&amp;id=5399&amp;p=section</x:t>
  </x:si>
  <x:si>
    <x:t xml:space="preserve">https://dl.smwcentral.net/5399/Quest%20on%20Full%20Moon%20Island%20v1.2.zip</x:t>
  </x:si>
  <x:si>
    <x:t xml:space="preserve">Quest on Full Moon Island v1.3 ita</x:t>
  </x:si>
  <x:si>
    <x:t xml:space="preserve">Gio Gio, Stormkyleis</x:t>
  </x:si>
  <x:si>
    <x:t xml:space="preserve">34164</x:t>
  </x:si>
  <x:si>
    <x:t xml:space="preserve">https://www.smwcentral.net/?a=details&amp;id=34164&amp;p=section</x:t>
  </x:si>
  <x:si>
    <x:t xml:space="preserve">https://dl.smwcentral.net/34164/Quest%20on%20Full%20Moon%20Island%20v1.3%20ita.zip</x:t>
  </x:si>
  <x:si>
    <x:t xml:space="preserve">Quick Delivery</x:t>
  </x:si>
  <x:si>
    <x:t xml:space="preserve">superman6791</x:t>
  </x:si>
  <x:si>
    <x:t xml:space="preserve">9985</x:t>
  </x:si>
  <x:si>
    <x:t xml:space="preserve">https://www.smwcentral.net/?a=details&amp;id=9985&amp;p=section</x:t>
  </x:si>
  <x:si>
    <x:t xml:space="preserve">https://dl.smwcentral.net/9985/Quick%20Delivery%5BDemo%5D.zip</x:t>
  </x:si>
  <x:si>
    <x:t xml:space="preserve">Valdio</x:t>
  </x:si>
  <x:si>
    <x:t xml:space="preserve">17441</x:t>
  </x:si>
  <x:si>
    <x:t xml:space="preserve">https://www.smwcentral.net/?a=details&amp;id=17441&amp;p=section</x:t>
  </x:si>
  <x:si>
    <x:t xml:space="preserve">https://dl.smwcentral.net/17441/QuickieWorld1.12.zip</x:t>
  </x:si>
  <x:si>
    <x:t xml:space="preserve">19279</x:t>
  </x:si>
  <x:si>
    <x:t xml:space="preserve">https://www.smwcentral.net/?a=details&amp;id=19279&amp;p=section</x:t>
  </x:si>
  <x:si>
    <x:t xml:space="preserve">https://dl.smwcentral.net/19279/Quickie%20World%202.zip</x:t>
  </x:si>
  <x:si>
    <x:t xml:space="preserve">Quickie World: With a Vengeance</x:t>
  </x:si>
  <x:si>
    <x:t xml:space="preserve">29695</x:t>
  </x:si>
  <x:si>
    <x:t xml:space="preserve">https://www.smwcentral.net/?a=details&amp;id=29695&amp;p=section</x:t>
  </x:si>
  <x:si>
    <x:t xml:space="preserve">https://dl.smwcentral.net/29695/QWwav.zip</x:t>
  </x:si>
  <x:si>
    <x:t xml:space="preserve">Qzeq Pls Download Game</x:t>
  </x:si>
  <x:si>
    <x:t xml:space="preserve">PurpleShiny</x:t>
  </x:si>
  <x:si>
    <x:t xml:space="preserve">36598</x:t>
  </x:si>
  <x:si>
    <x:t xml:space="preserve">https://www.smwcentral.net/?a=details&amp;id=36598&amp;p=section</x:t>
  </x:si>
  <x:si>
    <x:t xml:space="preserve">https://dl.smwcentral.net/36598/QZEQ%20PLS%20DOWNLOAD%20GAME%20%28v1.3%29.zip</x:t>
  </x:si>
  <x:si>
    <x:t xml:space="preserve">R-ACK</x:t>
  </x:si>
  <x:si>
    <x:t xml:space="preserve">Daizo Dee Von, Team JANK</x:t>
  </x:si>
  <x:si>
    <x:t xml:space="preserve">27001</x:t>
  </x:si>
  <x:si>
    <x:t xml:space="preserve">https://www.smwcentral.net/?a=details&amp;id=27001&amp;p=section</x:t>
  </x:si>
  <x:si>
    <x:t xml:space="preserve">https://dl.smwcentral.net/27001/R-ACK.zip</x:t>
  </x:si>
  <x:si>
    <x:t xml:space="preserve">Race to the finish</x:t>
  </x:si>
  <x:si>
    <x:t xml:space="preserve">32644</x:t>
  </x:si>
  <x:si>
    <x:t xml:space="preserve">https://www.smwcentral.net/?a=details&amp;id=32644&amp;p=section</x:t>
  </x:si>
  <x:si>
    <x:t xml:space="preserve">https://dl.smwcentral.net/32644/Race%20to%20the%20finish%20V1.0.zip</x:t>
  </x:si>
  <x:si>
    <x:t xml:space="preserve">Rachell's Melin Rescue!</x:t>
  </x:si>
  <x:si>
    <x:t xml:space="preserve">ZG STAFF</x:t>
  </x:si>
  <x:si>
    <x:t xml:space="preserve">10108</x:t>
  </x:si>
  <x:si>
    <x:t xml:space="preserve">https://www.smwcentral.net/?a=details&amp;id=10108&amp;p=section</x:t>
  </x:si>
  <x:si>
    <x:t xml:space="preserve">https://dl.smwcentral.net/10108/MelinRescue.zip</x:t>
  </x:si>
  <x:si>
    <x:t xml:space="preserve">Rakugaki Mario</x:t>
  </x:si>
  <x:si>
    <x:t xml:space="preserve">Various Authors</x:t>
  </x:si>
  <x:si>
    <x:t xml:space="preserve">30623</x:t>
  </x:si>
  <x:si>
    <x:t xml:space="preserve">https://www.smwcentral.net/?a=details&amp;id=30623&amp;p=section</x:t>
  </x:si>
  <x:si>
    <x:t xml:space="preserve">https://dl.smwcentral.net/30623/Rakugaki_Mario_1.11.zip</x:t>
  </x:si>
  <x:si>
    <x:t xml:space="preserve">RamzaNeko</x:t>
  </x:si>
  <x:si>
    <x:t xml:space="preserve">9711</x:t>
  </x:si>
  <x:si>
    <x:t xml:space="preserve">https://www.smwcentral.net/?a=details&amp;id=9711&amp;p=section</x:t>
  </x:si>
  <x:si>
    <x:t xml:space="preserve">https://dl.smwcentral.net/9711/NekoNeko.zip</x:t>
  </x:si>
  <x:si>
    <x:t xml:space="preserve">Random Access Memoby</x:t>
  </x:si>
  <x:si>
    <x:t xml:space="preserve">Alex, Lazy, Mellonpizza, snoruntpyro</x:t>
  </x:si>
  <x:si>
    <x:t xml:space="preserve">37882</x:t>
  </x:si>
  <x:si>
    <x:t xml:space="preserve">https://www.smwcentral.net/?a=details&amp;id=37882&amp;p=section</x:t>
  </x:si>
  <x:si>
    <x:t xml:space="preserve">https://dl.smwcentral.net/37882/Random%20Access%20Memoby.zip</x:t>
  </x:si>
  <x:si>
    <x:t xml:space="preserve">Random BS Go</x:t>
  </x:si>
  <x:si>
    <x:t xml:space="preserve">35284</x:t>
  </x:si>
  <x:si>
    <x:t xml:space="preserve">https://www.smwcentral.net/?a=details&amp;id=35284&amp;p=section</x:t>
  </x:si>
  <x:si>
    <x:t xml:space="preserve">https://dl.smwcentral.net/35284/Random_BS_Go.zip</x:t>
  </x:si>
  <x:si>
    <x:t xml:space="preserve">Raphael's Revenge</x:t>
  </x:si>
  <x:si>
    <x:t xml:space="preserve">Arity, manadream</x:t>
  </x:si>
  <x:si>
    <x:t xml:space="preserve">33916</x:t>
  </x:si>
  <x:si>
    <x:t xml:space="preserve">https://www.smwcentral.net/?a=details&amp;id=33916&amp;p=section</x:t>
  </x:si>
  <x:si>
    <x:t xml:space="preserve">https://dl.smwcentral.net/33916/RaphaelsRevengeV1.1.zip</x:t>
  </x:si>
  <x:si>
    <x:t xml:space="preserve">Really Neat Gimmicks</x:t>
  </x:si>
  <x:si>
    <x:t xml:space="preserve">Jeffw</x:t>
  </x:si>
  <x:si>
    <x:t xml:space="preserve">40631</x:t>
  </x:si>
  <x:si>
    <x:t xml:space="preserve">https://www.smwcentral.net/?a=details&amp;id=40631&amp;p=section</x:t>
  </x:si>
  <x:si>
    <x:t xml:space="preserve">https://dl.smwcentral.net/40631/gimmicks.zip</x:t>
  </x:si>
  <x:si>
    <x:t xml:space="preserve">Red City</x:t>
  </x:si>
  <x:si>
    <x:t xml:space="preserve">35680</x:t>
  </x:si>
  <x:si>
    <x:t xml:space="preserve">https://www.smwcentral.net/?a=details&amp;id=35680&amp;p=section</x:t>
  </x:si>
  <x:si>
    <x:t xml:space="preserve">https://dl.smwcentral.net/35680/RedCity.zip</x:t>
  </x:si>
  <x:si>
    <x:t xml:space="preserve">Red Hero Endgame</x:t>
  </x:si>
  <x:si>
    <x:t xml:space="preserve">36825</x:t>
  </x:si>
  <x:si>
    <x:t xml:space="preserve">https://www.smwcentral.net/?a=details&amp;id=36825&amp;p=section</x:t>
  </x:si>
  <x:si>
    <x:t xml:space="preserve">https://dl.smwcentral.net/36825/Red%20Hero%20Endgame%20V1.1.zip</x:t>
  </x:si>
  <x:si>
    <x:t xml:space="preserve">Red Hero's Journey</x:t>
  </x:si>
  <x:si>
    <x:t xml:space="preserve">33491</x:t>
  </x:si>
  <x:si>
    <x:t xml:space="preserve">https://www.smwcentral.net/?a=details&amp;id=33491&amp;p=section</x:t>
  </x:si>
  <x:si>
    <x:t xml:space="preserve">https://dl.smwcentral.net/33491/Red%20Hero%27s%20Journey.zip</x:t>
  </x:si>
  <x:si>
    <x:t xml:space="preserve">Red Hero's Legacy</x:t>
  </x:si>
  <x:si>
    <x:t xml:space="preserve">34786</x:t>
  </x:si>
  <x:si>
    <x:t xml:space="preserve">https://www.smwcentral.net/?a=details&amp;id=34786&amp;p=section</x:t>
  </x:si>
  <x:si>
    <x:t xml:space="preserve">https://dl.smwcentral.net/34786/redheroslegacy.zip</x:t>
  </x:si>
  <x:si>
    <x:t xml:space="preserve">Red Wario</x:t>
  </x:si>
  <x:si>
    <x:t xml:space="preserve">SMWHackedHACK</x:t>
  </x:si>
  <x:si>
    <x:t xml:space="preserve">12691</x:t>
  </x:si>
  <x:si>
    <x:t xml:space="preserve">https://www.smwcentral.net/?a=details&amp;id=12691&amp;p=section</x:t>
  </x:si>
  <x:si>
    <x:t xml:space="preserve">https://dl.smwcentral.net/12691/rwario.zip</x:t>
  </x:si>
  <x:si>
    <x:t xml:space="preserve">Red's Christmas Party!</x:t>
  </x:si>
  <x:si>
    <x:t xml:space="preserve">35559</x:t>
  </x:si>
  <x:si>
    <x:t xml:space="preserve">https://www.smwcentral.net/?a=details&amp;id=35559&amp;p=section</x:t>
  </x:si>
  <x:si>
    <x:t xml:space="preserve">https://dl.smwcentral.net/35559/Red%27s%20Christmas%20Party_fixed.zip</x:t>
  </x:si>
  <x:si>
    <x:t xml:space="preserve">Redeeming Peach</x:t>
  </x:si>
  <x:si>
    <x:t xml:space="preserve">AntoineG782</x:t>
  </x:si>
  <x:si>
    <x:t xml:space="preserve">10173</x:t>
  </x:si>
  <x:si>
    <x:t xml:space="preserve">https://www.smwcentral.net/?a=details&amp;id=10173&amp;p=section</x:t>
  </x:si>
  <x:si>
    <x:t xml:space="preserve">https://dl.smwcentral.net/10173/Redeeming%20Peach%20%28V.%201.2%29.zip</x:t>
  </x:si>
  <x:si>
    <x:t xml:space="preserve">Remember ALF!?</x:t>
  </x:si>
  <x:si>
    <x:t xml:space="preserve">26873</x:t>
  </x:si>
  <x:si>
    <x:t xml:space="preserve">https://www.smwcentral.net/?a=details&amp;id=26873&amp;p=section</x:t>
  </x:si>
  <x:si>
    <x:t xml:space="preserve">https://dl.smwcentral.net/26873/Remember%20ALF.zip</x:t>
  </x:si>
  <x:si>
    <x:t xml:space="preserve">REMIX</x:t>
  </x:si>
  <x:si>
    <x:t xml:space="preserve">Prestinator13</x:t>
  </x:si>
  <x:si>
    <x:t xml:space="preserve">38314</x:t>
  </x:si>
  <x:si>
    <x:t xml:space="preserve">https://www.smwcentral.net/?a=details&amp;id=38314&amp;p=section</x:t>
  </x:si>
  <x:si>
    <x:t xml:space="preserve">https://dl.smwcentral.net/38314/REMIX_FINAL1.1.zip</x:t>
  </x:si>
  <x:si>
    <x:t xml:space="preserve">Repeat Offender</x:t>
  </x:si>
  <x:si>
    <x:t xml:space="preserve">10233</x:t>
  </x:si>
  <x:si>
    <x:t xml:space="preserve">https://www.smwcentral.net/?a=details&amp;id=10233&amp;p=section</x:t>
  </x:si>
  <x:si>
    <x:t xml:space="preserve">https://dl.smwcentral.net/10233/RepOff%20patch.zip</x:t>
  </x:si>
  <x:si>
    <x:t xml:space="preserve">Replica</x:t>
  </x:si>
  <x:si>
    <x:t xml:space="preserve">41191</x:t>
  </x:si>
  <x:si>
    <x:t xml:space="preserve">https://www.smwcentral.net/?a=details&amp;id=41191&amp;p=section</x:t>
  </x:si>
  <x:si>
    <x:t xml:space="preserve">https://dl.smwcentral.net/41191/Replica.zip</x:t>
  </x:si>
  <x:si>
    <x:t xml:space="preserve">Rescue of Rochie</x:t>
  </x:si>
  <x:si>
    <x:t xml:space="preserve">Alexis</x:t>
  </x:si>
  <x:si>
    <x:t xml:space="preserve">11902</x:t>
  </x:si>
  <x:si>
    <x:t xml:space="preserve">https://www.smwcentral.net/?a=details&amp;id=11902&amp;p=section</x:t>
  </x:si>
  <x:si>
    <x:t xml:space="preserve">https://dl.smwcentral.net/11902/rescue.v1.0.zip</x:t>
  </x:si>
  <x:si>
    <x:t xml:space="preserve">ReSMW</x:t>
  </x:si>
  <x:si>
    <x:t xml:space="preserve">coolhack</x:t>
  </x:si>
  <x:si>
    <x:t xml:space="preserve">10180</x:t>
  </x:si>
  <x:si>
    <x:t xml:space="preserve">https://www.smwcentral.net/?a=details&amp;id=10180&amp;p=section</x:t>
  </x:si>
  <x:si>
    <x:t xml:space="preserve">https://dl.smwcentral.net/10180/RESMW.zip</x:t>
  </x:si>
  <x:si>
    <x:t xml:space="preserve">Retro Mario World - Super Mario Bros.</x:t>
  </x:si>
  <x:si>
    <x:t xml:space="preserve">GameGuy10</x:t>
  </x:si>
  <x:si>
    <x:t xml:space="preserve">13087</x:t>
  </x:si>
  <x:si>
    <x:t xml:space="preserve">https://www.smwcentral.net/?a=details&amp;id=13087&amp;p=section</x:t>
  </x:si>
  <x:si>
    <x:t xml:space="preserve">https://dl.smwcentral.net/13087/SMB%20REMAKE.zip</x:t>
  </x:si>
  <x:si>
    <x:t xml:space="preserve">Retro Marioland</x:t>
  </x:si>
  <x:si>
    <x:t xml:space="preserve">LocoFuzzyPants</x:t>
  </x:si>
  <x:si>
    <x:t xml:space="preserve">38510</x:t>
  </x:si>
  <x:si>
    <x:t xml:space="preserve">https://www.smwcentral.net/?a=details&amp;id=38510&amp;p=section</x:t>
  </x:si>
  <x:si>
    <x:t xml:space="preserve">https://dl.smwcentral.net/38510/Retro%20Marioland%20v1.2.zip</x:t>
  </x:si>
  <x:si>
    <x:t xml:space="preserve">Retrograde Nine</x:t>
  </x:si>
  <x:si>
    <x:t xml:space="preserve">35107</x:t>
  </x:si>
  <x:si>
    <x:t xml:space="preserve">https://www.smwcentral.net/?a=details&amp;id=35107&amp;p=section</x:t>
  </x:si>
  <x:si>
    <x:t xml:space="preserve">https://dl.smwcentral.net/35107/Retrograde%20Nine%201.02.zip</x:t>
  </x:si>
  <x:si>
    <x:t xml:space="preserve">Return Mario World Luner Editon</x:t>
  </x:si>
  <x:si>
    <x:t xml:space="preserve">14000</x:t>
  </x:si>
  <x:si>
    <x:t xml:space="preserve">https://www.smwcentral.net/?a=details&amp;id=14000&amp;p=section</x:t>
  </x:si>
  <x:si>
    <x:t xml:space="preserve">https://dl.smwcentral.net/14000/Hack%20demo%202.zip</x:t>
  </x:si>
  <x:si>
    <x:t xml:space="preserve">Return Of Shadower</x:t>
  </x:si>
  <x:si>
    <x:t xml:space="preserve">14026</x:t>
  </x:si>
  <x:si>
    <x:t xml:space="preserve">https://www.smwcentral.net/?a=details&amp;id=14026&amp;p=section</x:t>
  </x:si>
  <x:si>
    <x:t xml:space="preserve">https://dl.smwcentral.net/14026/ROS.zip</x:t>
  </x:si>
  <x:si>
    <x:t xml:space="preserve">Return Trip</x:t>
  </x:si>
  <x:si>
    <x:t xml:space="preserve">21865</x:t>
  </x:si>
  <x:si>
    <x:t xml:space="preserve">https://www.smwcentral.net/?a=details&amp;id=21865&amp;p=section</x:t>
  </x:si>
  <x:si>
    <x:t xml:space="preserve">https://dl.smwcentral.net/21865/Return_Trip_%283rd%29.zip</x:t>
  </x:si>
  <x:si>
    <x:t xml:space="preserve">Revenge of Bowser - Legend of the Seven Eggs</x:t>
  </x:si>
  <x:si>
    <x:t xml:space="preserve">4964</x:t>
  </x:si>
  <x:si>
    <x:t xml:space="preserve">https://www.smwcentral.net/?a=details&amp;id=4964&amp;p=section</x:t>
  </x:si>
  <x:si>
    <x:t xml:space="preserve">https://dl.smwcentral.net/4964/revenge%20of%20bowser%20and%20the%20legend%20of%20the%20seven%20eggs.zip</x:t>
  </x:si>
  <x:si>
    <x:t xml:space="preserve">REVENGE OF SWITCHES PRESSED</x:t>
  </x:si>
  <x:si>
    <x:t xml:space="preserve">GbreezeSunset, Lazy, MiracleWater, lolyoshi</x:t>
  </x:si>
  <x:si>
    <x:t xml:space="preserve">39161</x:t>
  </x:si>
  <x:si>
    <x:t xml:space="preserve">https://www.smwcentral.net/?a=details&amp;id=39161&amp;p=section</x:t>
  </x:si>
  <x:si>
    <x:t xml:space="preserve">https://dl.smwcentral.net/39161/ROSP.zip</x:t>
  </x:si>
  <x:si>
    <x:t xml:space="preserve">Reverie</x:t>
  </x:si>
  <x:si>
    <x:t xml:space="preserve">Abdu, Fyre150</x:t>
  </x:si>
  <x:si>
    <x:t xml:space="preserve">40108</x:t>
  </x:si>
  <x:si>
    <x:t xml:space="preserve">https://www.smwcentral.net/?a=details&amp;id=40108&amp;p=section</x:t>
  </x:si>
  <x:si>
    <x:t xml:space="preserve">https://dl.smwcentral.net/40108/Reverie.zip</x:t>
  </x:si>
  <x:si>
    <x:t xml:space="preserve">Riff World 2</x:t>
  </x:si>
  <x:si>
    <x:t xml:space="preserve">Freakin_HA</x:t>
  </x:si>
  <x:si>
    <x:t xml:space="preserve">26042</x:t>
  </x:si>
  <x:si>
    <x:t xml:space="preserve">https://www.smwcentral.net/?a=details&amp;id=26042&amp;p=section</x:t>
  </x:si>
  <x:si>
    <x:t xml:space="preserve">https://dl.smwcentral.net/26042/Riff%20World%202.zip</x:t>
  </x:si>
  <x:si>
    <x:t xml:space="preserve">Rikaizo Shells</x:t>
  </x:si>
  <x:si>
    <x:t xml:space="preserve">32290</x:t>
  </x:si>
  <x:si>
    <x:t xml:space="preserve">https://www.smwcentral.net/?a=details&amp;id=32290&amp;p=section</x:t>
  </x:si>
  <x:si>
    <x:t xml:space="preserve">https://dl.smwcentral.net/32290/Rikaizo%20Shells%201.1.zip</x:t>
  </x:si>
  <x:si>
    <x:t xml:space="preserve">Rise of Horst: Baby Park</x:t>
  </x:si>
  <x:si>
    <x:t xml:space="preserve">31374</x:t>
  </x:si>
  <x:si>
    <x:t xml:space="preserve">https://www.smwcentral.net/?a=details&amp;id=31374&amp;p=section</x:t>
  </x:si>
  <x:si>
    <x:t xml:space="preserve">https://dl.smwcentral.net/31374/Rise%20of%20Horst%20BabyPark.zip</x:t>
  </x:si>
  <x:si>
    <x:t xml:space="preserve">Rise to the Challenge</x:t>
  </x:si>
  <x:si>
    <x:t xml:space="preserve">AxemJinx</x:t>
  </x:si>
  <x:si>
    <x:t xml:space="preserve">9029</x:t>
  </x:si>
  <x:si>
    <x:t xml:space="preserve">https://www.smwcentral.net/?a=details&amp;id=9029&amp;p=section</x:t>
  </x:si>
  <x:si>
    <x:t xml:space="preserve">https://dl.smwcentral.net/9029/RttC-1.3.zip</x:t>
  </x:si>
  <x:si>
    <x:t xml:space="preserve">River Song</x:t>
  </x:si>
  <x:si>
    <x:t xml:space="preserve">Monkeyfist</x:t>
  </x:si>
  <x:si>
    <x:t xml:space="preserve">22513</x:t>
  </x:si>
  <x:si>
    <x:t xml:space="preserve">https://www.smwcentral.net/?a=details&amp;id=22513&amp;p=section</x:t>
  </x:si>
  <x:si>
    <x:t xml:space="preserve">https://dl.smwcentral.net/22513/Riversong.zip</x:t>
  </x:si>
  <x:si>
    <x:t xml:space="preserve">Road to New Haven</x:t>
  </x:si>
  <x:si>
    <x:t xml:space="preserve">32137</x:t>
  </x:si>
  <x:si>
    <x:t xml:space="preserve">https://www.smwcentral.net/?a=details&amp;id=32137&amp;p=section</x:t>
  </x:si>
  <x:si>
    <x:t xml:space="preserve">https://dl.smwcentral.net/32137/Road%20to%20New%20Haven.zip</x:t>
  </x:si>
  <x:si>
    <x:t xml:space="preserve">Rob-omb's Quest: Easy</x:t>
  </x:si>
  <x:si>
    <x:t xml:space="preserve">videogamerpat</x:t>
  </x:si>
  <x:si>
    <x:t xml:space="preserve">9736</x:t>
  </x:si>
  <x:si>
    <x:t xml:space="preserve">https://www.smwcentral.net/?a=details&amp;id=9736&amp;p=section</x:t>
  </x:si>
  <x:si>
    <x:t xml:space="preserve">https://dl.smwcentral.net/9736/Rob-omb%27s%20Quest%20Easy.zip</x:t>
  </x:si>
  <x:si>
    <x:t xml:space="preserve">Rob-omb's Quest: Hard</x:t>
  </x:si>
  <x:si>
    <x:t xml:space="preserve">9735</x:t>
  </x:si>
  <x:si>
    <x:t xml:space="preserve">https://www.smwcentral.net/?a=details&amp;id=9735&amp;p=section</x:t>
  </x:si>
  <x:si>
    <x:t xml:space="preserve">https://dl.smwcentral.net/9735/Rob-omb%27s%20Quest%20Hard.zip</x:t>
  </x:si>
  <x:si>
    <x:t xml:space="preserve">Robfather World</x:t>
  </x:si>
  <x:si>
    <x:t xml:space="preserve">DanOfMostTrades</x:t>
  </x:si>
  <x:si>
    <x:t xml:space="preserve">20190</x:t>
  </x:si>
  <x:si>
    <x:t xml:space="preserve">https://www.smwcentral.net/?a=details&amp;id=20190&amp;p=section</x:t>
  </x:si>
  <x:si>
    <x:t xml:space="preserve">https://dl.smwcentral.net/20190/Robfather_World_v1_1.zip</x:t>
  </x:si>
  <x:si>
    <x:t xml:space="preserve">Roger Gang Vol 1</x:t>
  </x:si>
  <x:si>
    <x:t xml:space="preserve">BigDeutsch, BoozeWash, Brakkie, Daffoxy, Fryinb, Ixitxachitl, Jenboo, KatMakes, TDWarrior, TacosTheCasual, The4thBackpack, ViviMeowerson, l337f00l, shaoshao, xamexer</x:t>
  </x:si>
  <x:si>
    <x:t xml:space="preserve">27312</x:t>
  </x:si>
  <x:si>
    <x:t xml:space="preserve">https://www.smwcentral.net/?a=details&amp;id=27312&amp;p=section</x:t>
  </x:si>
  <x:si>
    <x:t xml:space="preserve">https://dl.smwcentral.net/27312/Roger%20Gang%20Vol%201.zip</x:t>
  </x:si>
  <x:si>
    <x:t xml:space="preserve">ROKE HELL</x:t>
  </x:si>
  <x:si>
    <x:t xml:space="preserve">33959</x:t>
  </x:si>
  <x:si>
    <x:t xml:space="preserve">https://www.smwcentral.net/?a=details&amp;id=33959&amp;p=section</x:t>
  </x:si>
  <x:si>
    <x:t xml:space="preserve">https://dl.smwcentral.net/33959/ROKE%20HELL.zip</x:t>
  </x:si>
  <x:si>
    <x:t xml:space="preserve">Roke Shell</x:t>
  </x:si>
  <x:si>
    <x:t xml:space="preserve">36801</x:t>
  </x:si>
  <x:si>
    <x:t xml:space="preserve">https://www.smwcentral.net/?a=details&amp;id=36801&amp;p=section</x:t>
  </x:si>
  <x:si>
    <x:t xml:space="preserve">https://dl.smwcentral.net/36801/roke%20shell.zip</x:t>
  </x:si>
  <x:si>
    <x:t xml:space="preserve">rokeshell 2</x:t>
  </x:si>
  <x:si>
    <x:t xml:space="preserve">42671</x:t>
  </x:si>
  <x:si>
    <x:t xml:space="preserve">https://www.smwcentral.net/?a=details&amp;id=42671&amp;p=section</x:t>
  </x:si>
  <x:si>
    <x:t xml:space="preserve">https://dl.smwcentral.net/42671/rokeshell2.zip</x:t>
  </x:si>
  <x:si>
    <x:t xml:space="preserve">Romhack Races - Season 1 Compilation</x:t>
  </x:si>
  <x:si>
    <x:t xml:space="preserve">Romhack Races Team</x:t>
  </x:si>
  <x:si>
    <x:t xml:space="preserve">19683</x:t>
  </x:si>
  <x:si>
    <x:t xml:space="preserve">https://www.smwcentral.net/?a=details&amp;id=19683&amp;p=section</x:t>
  </x:si>
  <x:si>
    <x:t xml:space="preserve">https://dl.smwcentral.net/19683/RHRS1.zip</x:t>
  </x:si>
  <x:si>
    <x:t xml:space="preserve">Romhack Races - Season 2 Compilation</x:t>
  </x:si>
  <x:si>
    <x:t xml:space="preserve">19684</x:t>
  </x:si>
  <x:si>
    <x:t xml:space="preserve">https://www.smwcentral.net/?a=details&amp;id=19684&amp;p=section</x:t>
  </x:si>
  <x:si>
    <x:t xml:space="preserve">https://dl.smwcentral.net/19684/RHRS2.zip</x:t>
  </x:si>
  <x:si>
    <x:t xml:space="preserve">Romhack Races - Season 3 Compilation</x:t>
  </x:si>
  <x:si>
    <x:t xml:space="preserve">20845</x:t>
  </x:si>
  <x:si>
    <x:t xml:space="preserve">https://www.smwcentral.net/?a=details&amp;id=20845&amp;p=section</x:t>
  </x:si>
  <x:si>
    <x:t xml:space="preserve">https://dl.smwcentral.net/20845/RHR%20Season%203%20Collaboration.zip</x:t>
  </x:si>
  <x:si>
    <x:t xml:space="preserve">Romhack Races - Season 4 Compilation</x:t>
  </x:si>
  <x:si>
    <x:t xml:space="preserve">22112</x:t>
  </x:si>
  <x:si>
    <x:t xml:space="preserve">https://www.smwcentral.net/?a=details&amp;id=22112&amp;p=section</x:t>
  </x:si>
  <x:si>
    <x:t xml:space="preserve">https://dl.smwcentral.net/22112/RHRS4C.zip</x:t>
  </x:si>
  <x:si>
    <x:t xml:space="preserve">Romp of Otters</x:t>
  </x:si>
  <x:si>
    <x:t xml:space="preserve">27140</x:t>
  </x:si>
  <x:si>
    <x:t xml:space="preserve">https://www.smwcentral.net/?a=details&amp;id=27140&amp;p=section</x:t>
  </x:si>
  <x:si>
    <x:t xml:space="preserve">https://dl.smwcentral.net/27140/Romp%20of%20Otters%201.1.zip</x:t>
  </x:si>
  <x:si>
    <x:t xml:space="preserve">Rooms for Kids</x:t>
  </x:si>
  <x:si>
    <x:t xml:space="preserve">41533</x:t>
  </x:si>
  <x:si>
    <x:t xml:space="preserve">https://www.smwcentral.net/?a=details&amp;id=41533&amp;p=section</x:t>
  </x:si>
  <x:si>
    <x:t xml:space="preserve">https://dl.smwcentral.net/41533/Rooms%20for%20Kids.zip</x:t>
  </x:si>
  <x:si>
    <x:t xml:space="preserve">Rooms of Despair</x:t>
  </x:si>
  <x:si>
    <x:t xml:space="preserve">35290</x:t>
  </x:si>
  <x:si>
    <x:t xml:space="preserve">https://www.smwcentral.net/?a=details&amp;id=35290&amp;p=section</x:t>
  </x:si>
  <x:si>
    <x:t xml:space="preserve">https://dl.smwcentral.net/35290/Rooms%20of%20Despair.zip</x:t>
  </x:si>
  <x:si>
    <x:t xml:space="preserve">Rosalina's Gold Saga</x:t>
  </x:si>
  <x:si>
    <x:t xml:space="preserve">Tiozinho</x:t>
  </x:si>
  <x:si>
    <x:t xml:space="preserve">42259</x:t>
  </x:si>
  <x:si>
    <x:t xml:space="preserve">https://www.smwcentral.net/?a=details&amp;id=42259&amp;p=section</x:t>
  </x:si>
  <x:si>
    <x:t xml:space="preserve">https://dl.smwcentral.net/42259/Rosalina%27s%20Gold%20Saga.zip</x:t>
  </x:si>
  <x:si>
    <x:t xml:space="preserve">Rose Tinted Glasses</x:t>
  </x:si>
  <x:si>
    <x:t xml:space="preserve">35251</x:t>
  </x:si>
  <x:si>
    <x:t xml:space="preserve">https://www.smwcentral.net/?a=details&amp;id=35251&amp;p=section</x:t>
  </x:si>
  <x:si>
    <x:t xml:space="preserve">https://dl.smwcentral.net/35251/Rose%20Tinted%20Glasses.zip</x:t>
  </x:si>
  <x:si>
    <x:t xml:space="preserve">Roy's Armada</x:t>
  </x:si>
  <x:si>
    <x:t xml:space="preserve">10119</x:t>
  </x:si>
  <x:si>
    <x:t xml:space="preserve">https://www.smwcentral.net/?a=details&amp;id=10119&amp;p=section</x:t>
  </x:si>
  <x:si>
    <x:t xml:space="preserve">https://dl.smwcentral.net/10119/Armada.zip</x:t>
  </x:si>
  <x:si>
    <x:t xml:space="preserve">Rozen Maiden: The Lapislazuri Travel</x:t>
  </x:si>
  <x:si>
    <x:t xml:space="preserve">BokuNES</x:t>
  </x:si>
  <x:si>
    <x:t xml:space="preserve">10272</x:t>
  </x:si>
  <x:si>
    <x:t xml:space="preserve">https://www.smwcentral.net/?a=details&amp;id=10272&amp;p=section</x:t>
  </x:si>
  <x:si>
    <x:t xml:space="preserve">https://dl.smwcentral.net/10272/Rozen%20Maiden%20%28The%20Lapislazuri%20Travel%29%20%28Demo%29.zip</x:t>
  </x:si>
  <x:si>
    <x:t xml:space="preserve">RTA Abuse</x:t>
  </x:si>
  <x:si>
    <x:t xml:space="preserve">30649</x:t>
  </x:si>
  <x:si>
    <x:t xml:space="preserve">https://www.smwcentral.net/?a=details&amp;id=30649&amp;p=section</x:t>
  </x:si>
  <x:si>
    <x:t xml:space="preserve">https://dl.smwcentral.net/30649/rta%20abuse%201.1.zip</x:t>
  </x:si>
  <x:si>
    <x:t xml:space="preserve">RTA Abuse 2</x:t>
  </x:si>
  <x:si>
    <x:t xml:space="preserve">31185</x:t>
  </x:si>
  <x:si>
    <x:t xml:space="preserve">https://www.smwcentral.net/?a=details&amp;id=31185&amp;p=section</x:t>
  </x:si>
  <x:si>
    <x:t xml:space="preserve">https://dl.smwcentral.net/31185/rta%20abuse%202.zip</x:t>
  </x:si>
  <x:si>
    <x:t xml:space="preserve">RTA Abuse 3</x:t>
  </x:si>
  <x:si>
    <x:t xml:space="preserve">31184</x:t>
  </x:si>
  <x:si>
    <x:t xml:space="preserve">https://www.smwcentral.net/?a=details&amp;id=31184&amp;p=section</x:t>
  </x:si>
  <x:si>
    <x:t xml:space="preserve">https://dl.smwcentral.net/31184/rta%20abuse%203.zip</x:t>
  </x:si>
  <x:si>
    <x:t xml:space="preserve">Run Away from Mario's Past</x:t>
  </x:si>
  <x:si>
    <x:t xml:space="preserve">41900</x:t>
  </x:si>
  <x:si>
    <x:t xml:space="preserve">https://www.smwcentral.net/?a=details&amp;id=41900&amp;p=section</x:t>
  </x:si>
  <x:si>
    <x:t xml:space="preserve">https://dl.smwcentral.net/41900/Run%20Away%20from%20Mario%27s%20Past%20v1.4.zip</x:t>
  </x:si>
  <x:si>
    <x:t xml:space="preserve">Run the Gauntlet</x:t>
  </x:si>
  <x:si>
    <x:t xml:space="preserve">MiracleWater</x:t>
  </x:si>
  <x:si>
    <x:t xml:space="preserve">41539</x:t>
  </x:si>
  <x:si>
    <x:t xml:space="preserve">https://www.smwcentral.net/?a=details&amp;id=41539&amp;p=section</x:t>
  </x:si>
  <x:si>
    <x:t xml:space="preserve">https://dl.smwcentral.net/41539/RTG%201.0.zip</x:t>
  </x:si>
  <x:si>
    <x:t xml:space="preserve">Run!</x:t>
  </x:si>
  <x:si>
    <x:t xml:space="preserve">NaxciS</x:t>
  </x:si>
  <x:si>
    <x:t xml:space="preserve">27430</x:t>
  </x:si>
  <x:si>
    <x:t xml:space="preserve">https://www.smwcentral.net/?a=details&amp;id=27430&amp;p=section</x:t>
  </x:si>
  <x:si>
    <x:t xml:space="preserve">https://dl.smwcentral.net/27430/Run%21.zip</x:t>
  </x:si>
  <x:si>
    <x:t xml:space="preserve">Run! 2 - Don't Stop Running</x:t>
  </x:si>
  <x:si>
    <x:t xml:space="preserve">33634</x:t>
  </x:si>
  <x:si>
    <x:t xml:space="preserve">https://www.smwcentral.net/?a=details&amp;id=33634&amp;p=section</x:t>
  </x:si>
  <x:si>
    <x:t xml:space="preserve">https://dl.smwcentral.net/33634/Run%21%202%20Don%27t%20Stop%20Running.zip</x:t>
  </x:si>
  <x:si>
    <x:t xml:space="preserve">S.O.B mario world</x:t>
  </x:si>
  <x:si>
    <x:t xml:space="preserve">28308</x:t>
  </x:si>
  <x:si>
    <x:t xml:space="preserve">https://www.smwcentral.net/?a=details&amp;id=28308&amp;p=section</x:t>
  </x:si>
  <x:si>
    <x:t xml:space="preserve">https://dl.smwcentral.net/28308/S.O.B.zip</x:t>
  </x:si>
  <x:si>
    <x:t xml:space="preserve">SA-1: Special Adventure - 1</x:t>
  </x:si>
  <x:si>
    <x:t xml:space="preserve">Hayashi Neru</x:t>
  </x:si>
  <x:si>
    <x:t xml:space="preserve">37596</x:t>
  </x:si>
  <x:si>
    <x:t xml:space="preserve">https://www.smwcentral.net/?a=details&amp;id=37596&amp;p=section</x:t>
  </x:si>
  <x:si>
    <x:t xml:space="preserve">https://dl.smwcentral.net/37596/SA-1%EF%BC%9A%20Special%20Adventure%20-%201.zip</x:t>
  </x:si>
  <x:si>
    <x:t xml:space="preserve">Safespace Challenge</x:t>
  </x:si>
  <x:si>
    <x:t xml:space="preserve">38077</x:t>
  </x:si>
  <x:si>
    <x:t xml:space="preserve">https://www.smwcentral.net/?a=details&amp;id=38077&amp;p=section</x:t>
  </x:si>
  <x:si>
    <x:t xml:space="preserve">https://dl.smwcentral.net/38077/Safespace%20Challenge.zip</x:t>
  </x:si>
  <x:si>
    <x:t xml:space="preserve">Sakaya Sanctuary</x:t>
  </x:si>
  <x:si>
    <x:t xml:space="preserve">Jeff2342, JinRokhZenobi, RandomType, Saphros, Spedinja, TheTrueCommonSense, neidoodle, ocked</x:t>
  </x:si>
  <x:si>
    <x:t xml:space="preserve">42274</x:t>
  </x:si>
  <x:si>
    <x:t xml:space="preserve">https://www.smwcentral.net/?a=details&amp;id=42274&amp;p=section</x:t>
  </x:si>
  <x:si>
    <x:t xml:space="preserve">https://dl.smwcentral.net/42274/Sakaya%20Sanctuary%201.2.zip</x:t>
  </x:si>
  <x:si>
    <x:t xml:space="preserve">Salty Sagan World</x:t>
  </x:si>
  <x:si>
    <x:t xml:space="preserve">Oskise</x:t>
  </x:si>
  <x:si>
    <x:t xml:space="preserve">17384</x:t>
  </x:si>
  <x:si>
    <x:t xml:space="preserve">https://www.smwcentral.net/?a=details&amp;id=17384&amp;p=section</x:t>
  </x:si>
  <x:si>
    <x:t xml:space="preserve">https://dl.smwcentral.net/17384/Salty%20Sagan%20World%201.11.zip</x:t>
  </x:si>
  <x:si>
    <x:t xml:space="preserve">Same Sprites, Different Levels</x:t>
  </x:si>
  <x:si>
    <x:t xml:space="preserve">24141</x:t>
  </x:si>
  <x:si>
    <x:t xml:space="preserve">https://www.smwcentral.net/?a=details&amp;id=24141&amp;p=section</x:t>
  </x:si>
  <x:si>
    <x:t xml:space="preserve">https://dl.smwcentral.net/24141/Same%20Sprites%2C%20Different%20Levels.zip</x:t>
  </x:si>
  <x:si>
    <x:t xml:space="preserve">Samsara Mario World</x:t>
  </x:si>
  <x:si>
    <x:t xml:space="preserve">22102</x:t>
  </x:si>
  <x:si>
    <x:t xml:space="preserve">https://www.smwcentral.net/?a=details&amp;id=22102&amp;p=section</x:t>
  </x:si>
  <x:si>
    <x:t xml:space="preserve">https://dl.smwcentral.net/22102/Samsara%20Mario%20World.zip</x:t>
  </x:si>
  <x:si>
    <x:t xml:space="preserve">Saphros Blind Races #1</x:t>
  </x:si>
  <x:si>
    <x:t xml:space="preserve">39086</x:t>
  </x:si>
  <x:si>
    <x:t xml:space="preserve">https://www.smwcentral.net/?a=details&amp;id=39086&amp;p=section</x:t>
  </x:si>
  <x:si>
    <x:t xml:space="preserve">https://dl.smwcentral.net/39086/Saphros_Blindrace_1.zip</x:t>
  </x:si>
  <x:si>
    <x:t xml:space="preserve">Saphros Blindrace #2</x:t>
  </x:si>
  <x:si>
    <x:t xml:space="preserve">39701</x:t>
  </x:si>
  <x:si>
    <x:t xml:space="preserve">https://www.smwcentral.net/?a=details&amp;id=39701&amp;p=section</x:t>
  </x:si>
  <x:si>
    <x:t xml:space="preserve">https://dl.smwcentral.net/39701/Saphros_Blindrace_2.zip</x:t>
  </x:si>
  <x:si>
    <x:t xml:space="preserve">pnaha</x:t>
  </x:si>
  <x:si>
    <x:t xml:space="preserve">36760</x:t>
  </x:si>
  <x:si>
    <x:t xml:space="preserve">https://www.smwcentral.net/?a=details&amp;id=36760&amp;p=section</x:t>
  </x:si>
  <x:si>
    <x:t xml:space="preserve">https://dl.smwcentral.net/36760/Sauna%20Mario%20World%201.5.zip</x:t>
  </x:si>
  <x:si>
    <x:t xml:space="preserve">41690</x:t>
  </x:si>
  <x:si>
    <x:t xml:space="preserve">https://www.smwcentral.net/?a=details&amp;id=41690&amp;p=section</x:t>
  </x:si>
  <x:si>
    <x:t xml:space="preserve">https://dl.smwcentral.net/41690/Sauna%20Mario%20World%202%20v1.31.zip</x:t>
  </x:si>
  <x:si>
    <x:t xml:space="preserve">Save Luigi</x:t>
  </x:si>
  <x:si>
    <x:t xml:space="preserve">26096</x:t>
  </x:si>
  <x:si>
    <x:t xml:space="preserve">https://www.smwcentral.net/?a=details&amp;id=26096&amp;p=section</x:t>
  </x:si>
  <x:si>
    <x:t xml:space="preserve">https://dl.smwcentral.net/26096/SaveLuigiV5.1.zip</x:t>
  </x:si>
  <x:si>
    <x:t xml:space="preserve">Saving Libertys Kaizo Adventure</x:t>
  </x:si>
  <x:si>
    <x:t xml:space="preserve">Savingliberty</x:t>
  </x:si>
  <x:si>
    <x:t xml:space="preserve">34245</x:t>
  </x:si>
  <x:si>
    <x:t xml:space="preserve">https://www.smwcentral.net/?a=details&amp;id=34245&amp;p=section</x:t>
  </x:si>
  <x:si>
    <x:t xml:space="preserve">https://dl.smwcentral.net/34245/Saving_Libertys_Kaizo_Adventure.zip</x:t>
  </x:si>
  <x:si>
    <x:t xml:space="preserve">Sayonara Mario World</x:t>
  </x:si>
  <x:si>
    <x:t xml:space="preserve">24739</x:t>
  </x:si>
  <x:si>
    <x:t xml:space="preserve">https://www.smwcentral.net/?a=details&amp;id=24739&amp;p=section</x:t>
  </x:si>
  <x:si>
    <x:t xml:space="preserve">https://dl.smwcentral.net/24739/Sayonara%201.1.zip</x:t>
  </x:si>
  <x:si>
    <x:t xml:space="preserve">Sayonara Mario World 2</x:t>
  </x:si>
  <x:si>
    <x:t xml:space="preserve">31276</x:t>
  </x:si>
  <x:si>
    <x:t xml:space="preserve">https://www.smwcentral.net/?a=details&amp;id=31276&amp;p=section</x:t>
  </x:si>
  <x:si>
    <x:t xml:space="preserve">https://dl.smwcentral.net/31276/Sayonara%20Mario%20World%202.zip</x:t>
  </x:si>
  <x:si>
    <x:t xml:space="preserve">Scary Bosses and Nice Sprites</x:t>
  </x:si>
  <x:si>
    <x:t xml:space="preserve">29498</x:t>
  </x:si>
  <x:si>
    <x:t xml:space="preserve">https://www.smwcentral.net/?a=details&amp;id=29498&amp;p=section</x:t>
  </x:si>
  <x:si>
    <x:t xml:space="preserve">https://dl.smwcentral.net/29498/Scary_Bosses_and_Nice_Sprites.zip</x:t>
  </x:si>
  <x:si>
    <x:t xml:space="preserve">Scyther Our Savior</x:t>
  </x:si>
  <x:si>
    <x:t xml:space="preserve">38971</x:t>
  </x:si>
  <x:si>
    <x:t xml:space="preserve">https://www.smwcentral.net/?a=details&amp;id=38971&amp;p=section</x:t>
  </x:si>
  <x:si>
    <x:t xml:space="preserve">https://dl.smwcentral.net/38971/AWildScytherAppeared.zip</x:t>
  </x:si>
  <x:si>
    <x:t xml:space="preserve">Season of Ice</x:t>
  </x:si>
  <x:si>
    <x:t xml:space="preserve">9924</x:t>
  </x:si>
  <x:si>
    <x:t xml:space="preserve">https://www.smwcentral.net/?a=details&amp;id=9924&amp;p=section</x:t>
  </x:si>
  <x:si>
    <x:t xml:space="preserve">https://dl.smwcentral.net/9924/Season%20of%20ice.zip</x:t>
  </x:si>
  <x:si>
    <x:t xml:space="preserve">Second Nature</x:t>
  </x:si>
  <x:si>
    <x:t xml:space="preserve">37602</x:t>
  </x:si>
  <x:si>
    <x:t xml:space="preserve">https://www.smwcentral.net/?a=details&amp;id=37602&amp;p=section</x:t>
  </x:si>
  <x:si>
    <x:t xml:space="preserve">https://dl.smwcentral.net/37602/Second%20Nature.zip</x:t>
  </x:si>
  <x:si>
    <x:t xml:space="preserve">Secret of Mario</x:t>
  </x:si>
  <x:si>
    <x:t xml:space="preserve">dtothefourth</x:t>
  </x:si>
  <x:si>
    <x:t xml:space="preserve">20200</x:t>
  </x:si>
  <x:si>
    <x:t xml:space="preserve">https://www.smwcentral.net/?a=details&amp;id=20200&amp;p=section</x:t>
  </x:si>
  <x:si>
    <x:t xml:space="preserve">https://dl.smwcentral.net/20200/Secret_Of_Mario.zip</x:t>
  </x:si>
  <x:si>
    <x:t xml:space="preserve">Seek the Discrepancy</x:t>
  </x:si>
  <x:si>
    <x:t xml:space="preserve">33861</x:t>
  </x:si>
  <x:si>
    <x:t xml:space="preserve">https://www.smwcentral.net/?a=details&amp;id=33861&amp;p=section</x:t>
  </x:si>
  <x:si>
    <x:t xml:space="preserve">https://dl.smwcentral.net/33861/SeekTheDiscrepancy.zip</x:t>
  </x:si>
  <x:si>
    <x:t xml:space="preserve">Send Your Regrets to the Czar</x:t>
  </x:si>
  <x:si>
    <x:t xml:space="preserve">JUMP Team, Koopster</x:t>
  </x:si>
  <x:si>
    <x:t xml:space="preserve">29645</x:t>
  </x:si>
  <x:si>
    <x:t xml:space="preserve">https://www.smwcentral.net/?a=details&amp;id=29645&amp;p=section</x:t>
  </x:si>
  <x:si>
    <x:t xml:space="preserve">https://dl.smwcentral.net/29645/Send%20Your%20Regrets%20to%20the%20Czar%20v1.2.zip</x:t>
  </x:si>
  <x:si>
    <x:t xml:space="preserve">Sendy's World</x:t>
  </x:si>
  <x:si>
    <x:t xml:space="preserve">Sendy</x:t>
  </x:si>
  <x:si>
    <x:t xml:space="preserve">5074</x:t>
  </x:si>
  <x:si>
    <x:t xml:space="preserve">https://www.smwcentral.net/?a=details&amp;id=5074&amp;p=section</x:t>
  </x:si>
  <x:si>
    <x:t xml:space="preserve">https://dl.smwcentral.net/5074/sendysworldv0.3.zip</x:t>
  </x:si>
  <x:si>
    <x:t xml:space="preserve">Separate Ways Remastered</x:t>
  </x:si>
  <x:si>
    <x:t xml:space="preserve">38878</x:t>
  </x:si>
  <x:si>
    <x:t xml:space="preserve">https://www.smwcentral.net/?a=details&amp;id=38878&amp;p=section</x:t>
  </x:si>
  <x:si>
    <x:t xml:space="preserve">https://dl.smwcentral.net/38878/Separate%20Ways%20Remastered.zip</x:t>
  </x:si>
  <x:si>
    <x:t xml:space="preserve">Seven Cursed Eggs</x:t>
  </x:si>
  <x:si>
    <x:t xml:space="preserve">SyStemkraSh</x:t>
  </x:si>
  <x:si>
    <x:t xml:space="preserve">5099</x:t>
  </x:si>
  <x:si>
    <x:t xml:space="preserve">https://www.smwcentral.net/?a=details&amp;id=5099&amp;p=section</x:t>
  </x:si>
  <x:si>
    <x:t xml:space="preserve">https://dl.smwcentral.net/5099/Seven%20Cursed%20Eggs.zip</x:t>
  </x:si>
  <x:si>
    <x:t xml:space="preserve">Seven Vanilla Levels</x:t>
  </x:si>
  <x:si>
    <x:t xml:space="preserve">37146</x:t>
  </x:si>
  <x:si>
    <x:t xml:space="preserve">https://www.smwcentral.net/?a=details&amp;id=37146&amp;p=section</x:t>
  </x:si>
  <x:si>
    <x:t xml:space="preserve">https://dl.smwcentral.net/37146/Seven_Vanilla_Levels.zip</x:t>
  </x:si>
  <x:si>
    <x:t xml:space="preserve">Shadow of the Mountain</x:t>
  </x:si>
  <x:si>
    <x:t xml:space="preserve">40746</x:t>
  </x:si>
  <x:si>
    <x:t xml:space="preserve">https://www.smwcentral.net/?a=details&amp;id=40746&amp;p=section</x:t>
  </x:si>
  <x:si>
    <x:t xml:space="preserve">https://dl.smwcentral.net/40746/SOTM.zip</x:t>
  </x:si>
  <x:si>
    <x:t xml:space="preserve">Shallow and Pedantic</x:t>
  </x:si>
  <x:si>
    <x:t xml:space="preserve">cur, detdu</x:t>
  </x:si>
  <x:si>
    <x:t xml:space="preserve">29143</x:t>
  </x:si>
  <x:si>
    <x:t xml:space="preserve">https://www.smwcentral.net/?a=details&amp;id=29143&amp;p=section</x:t>
  </x:si>
  <x:si>
    <x:t xml:space="preserve">https://dl.smwcentral.net/29143/Shallow%20and%20Pedantic.zip</x:t>
  </x:si>
  <x:si>
    <x:t xml:space="preserve">Shallow Pits</x:t>
  </x:si>
  <x:si>
    <x:t xml:space="preserve">27874</x:t>
  </x:si>
  <x:si>
    <x:t xml:space="preserve">https://www.smwcentral.net/?a=details&amp;id=27874&amp;p=section</x:t>
  </x:si>
  <x:si>
    <x:t xml:space="preserve">https://dl.smwcentral.net/27874/ShallowPits.v1.1.zip</x:t>
  </x:si>
  <x:si>
    <x:t xml:space="preserve">Shallow Pits 2</x:t>
  </x:si>
  <x:si>
    <x:t xml:space="preserve">32256</x:t>
  </x:si>
  <x:si>
    <x:t xml:space="preserve">https://www.smwcentral.net/?a=details&amp;id=32256&amp;p=section</x:t>
  </x:si>
  <x:si>
    <x:t xml:space="preserve">https://dl.smwcentral.net/32256/Pits2_v1.1.zip</x:t>
  </x:si>
  <x:si>
    <x:t xml:space="preserve">Shattered Land</x:t>
  </x:si>
  <x:si>
    <x:t xml:space="preserve">28509</x:t>
  </x:si>
  <x:si>
    <x:t xml:space="preserve">https://www.smwcentral.net/?a=details&amp;id=28509&amp;p=section</x:t>
  </x:si>
  <x:si>
    <x:t xml:space="preserve">https://dl.smwcentral.net/28509/Shattered%20Land%201.3.zip</x:t>
  </x:si>
  <x:si>
    <x:t xml:space="preserve">SHATTERED PLAINS</x:t>
  </x:si>
  <x:si>
    <x:t xml:space="preserve">34840</x:t>
  </x:si>
  <x:si>
    <x:t xml:space="preserve">https://www.smwcentral.net/?a=details&amp;id=34840&amp;p=section</x:t>
  </x:si>
  <x:si>
    <x:t xml:space="preserve">https://dl.smwcentral.net/34840/plains.zip</x:t>
  </x:si>
  <x:si>
    <x:t xml:space="preserve">Sheffy 99</x:t>
  </x:si>
  <x:si>
    <x:t xml:space="preserve">29776</x:t>
  </x:si>
  <x:si>
    <x:t xml:space="preserve">https://www.smwcentral.net/?a=details&amp;id=29776&amp;p=section</x:t>
  </x:si>
  <x:si>
    <x:t xml:space="preserve">https://dl.smwcentral.net/29776/sheffy%2099%20v1.1.zip</x:t>
  </x:si>
  <x:si>
    <x:t xml:space="preserve">Shell is Cool</x:t>
  </x:si>
  <x:si>
    <x:t xml:space="preserve">25999</x:t>
  </x:si>
  <x:si>
    <x:t xml:space="preserve">https://www.smwcentral.net/?a=details&amp;id=25999&amp;p=section</x:t>
  </x:si>
  <x:si>
    <x:t xml:space="preserve">https://dl.smwcentral.net/25999/Shell%20is%20Cool.zip</x:t>
  </x:si>
  <x:si>
    <x:t xml:space="preserve">Shell Motel</x:t>
  </x:si>
  <x:si>
    <x:t xml:space="preserve">Riu_69</x:t>
  </x:si>
  <x:si>
    <x:t xml:space="preserve">41263</x:t>
  </x:si>
  <x:si>
    <x:t xml:space="preserve">https://www.smwcentral.net/?a=details&amp;id=41263&amp;p=section</x:t>
  </x:si>
  <x:si>
    <x:t xml:space="preserve">https://dl.smwcentral.net/41263/Shell%20Motel.zip</x:t>
  </x:si>
  <x:si>
    <x:t xml:space="preserve">Shell Or Die</x:t>
  </x:si>
  <x:si>
    <x:t xml:space="preserve">42160</x:t>
  </x:si>
  <x:si>
    <x:t xml:space="preserve">https://www.smwcentral.net/?a=details&amp;id=42160&amp;p=section</x:t>
  </x:si>
  <x:si>
    <x:t xml:space="preserve">https://dl.smwcentral.net/42160/ShellOrDie.zip</x:t>
  </x:si>
  <x:si>
    <x:t xml:space="preserve">Shell Out</x:t>
  </x:si>
  <x:si>
    <x:t xml:space="preserve">25586</x:t>
  </x:si>
  <x:si>
    <x:t xml:space="preserve">https://www.smwcentral.net/?a=details&amp;id=25586&amp;p=section</x:t>
  </x:si>
  <x:si>
    <x:t xml:space="preserve">https://dl.smwcentral.net/25586/Shell%20Out.zip</x:t>
  </x:si>
  <x:si>
    <x:t xml:space="preserve">Shell Reaper</x:t>
  </x:si>
  <x:si>
    <x:t xml:space="preserve">Ryuoxel, mtheordinarygamer</x:t>
  </x:si>
  <x:si>
    <x:t xml:space="preserve">38108</x:t>
  </x:si>
  <x:si>
    <x:t xml:space="preserve">https://www.smwcentral.net/?a=details&amp;id=38108&amp;p=section</x:t>
  </x:si>
  <x:si>
    <x:t xml:space="preserve">https://dl.smwcentral.net/38108/Shell%20Reaper.zip</x:t>
  </x:si>
  <x:si>
    <x:t xml:space="preserve">Shell'S 4 KidUlt'S</x:t>
  </x:si>
  <x:si>
    <x:t xml:space="preserve">nets</x:t>
  </x:si>
  <x:si>
    <x:t xml:space="preserve">41448</x:t>
  </x:si>
  <x:si>
    <x:t xml:space="preserve">https://www.smwcentral.net/?a=details&amp;id=41448&amp;p=section</x:t>
  </x:si>
  <x:si>
    <x:t xml:space="preserve">https://dl.smwcentral.net/41448/SHELLS%204%20KIDULTS%20BY%20N3TS.zip</x:t>
  </x:si>
  <x:si>
    <x:t xml:space="preserve">Shell's Redeemer</x:t>
  </x:si>
  <x:si>
    <x:t xml:space="preserve">Cartesius</x:t>
  </x:si>
  <x:si>
    <x:t xml:space="preserve">24544</x:t>
  </x:si>
  <x:si>
    <x:t xml:space="preserve">https://www.smwcentral.net/?a=details&amp;id=24544&amp;p=section</x:t>
  </x:si>
  <x:si>
    <x:t xml:space="preserve">https://dl.smwcentral.net/24544/redeemer.zip</x:t>
  </x:si>
  <x:si>
    <x:t xml:space="preserve">Shell's Retriever</x:t>
  </x:si>
  <x:si>
    <x:t xml:space="preserve">18729</x:t>
  </x:si>
  <x:si>
    <x:t xml:space="preserve">https://www.smwcentral.net/?a=details&amp;id=18729&amp;p=section</x:t>
  </x:si>
  <x:si>
    <x:t xml:space="preserve">https://dl.smwcentral.net/18729/shellsretriever.zip</x:t>
  </x:si>
  <x:si>
    <x:t xml:space="preserve">Shella Sick (A Hella Sick Shell Hack)</x:t>
  </x:si>
  <x:si>
    <x:t xml:space="preserve">42489</x:t>
  </x:si>
  <x:si>
    <x:t xml:space="preserve">https://www.smwcentral.net/?a=details&amp;id=42489&amp;p=section</x:t>
  </x:si>
  <x:si>
    <x:t xml:space="preserve">https://dl.smwcentral.net/42489/Shella%20Sick%20%28A%20Hella%20Sick%20Shell%20Hack%29%20v1_1.zip</x:t>
  </x:si>
  <x:si>
    <x:t xml:space="preserve">Shellab</x:t>
  </x:si>
  <x:si>
    <x:t xml:space="preserve">Cracka, Firstnamebutt, Inflagrandy, Saphros, SwiggittyWiggitty, bald_ridge, l337f00l, mtheordinarygamer, neidoodle, xMANGRAVYx</x:t>
  </x:si>
  <x:si>
    <x:t xml:space="preserve">41048</x:t>
  </x:si>
  <x:si>
    <x:t xml:space="preserve">https://www.smwcentral.net/?a=details&amp;id=41048&amp;p=section</x:t>
  </x:si>
  <x:si>
    <x:t xml:space="preserve">https://dl.smwcentral.net/41048/Shellab.zip</x:t>
  </x:si>
  <x:si>
    <x:t xml:space="preserve">Shellax</x:t>
  </x:si>
  <x:si>
    <x:t xml:space="preserve">26886</x:t>
  </x:si>
  <x:si>
    <x:t xml:space="preserve">https://www.smwcentral.net/?a=details&amp;id=26886&amp;p=section</x:t>
  </x:si>
  <x:si>
    <x:t xml:space="preserve">https://dl.smwcentral.net/26886/Shellax1.1.zip</x:t>
  </x:si>
  <x:si>
    <x:t xml:space="preserve">Shellenge</x:t>
  </x:si>
  <x:si>
    <x:t xml:space="preserve">40736</x:t>
  </x:si>
  <x:si>
    <x:t xml:space="preserve">https://www.smwcentral.net/?a=details&amp;id=40736&amp;p=section</x:t>
  </x:si>
  <x:si>
    <x:t xml:space="preserve">https://dl.smwcentral.net/40736/Shellenge.zip</x:t>
  </x:si>
  <x:si>
    <x:t xml:space="preserve">Shello</x:t>
  </x:si>
  <x:si>
    <x:t xml:space="preserve">38203</x:t>
  </x:si>
  <x:si>
    <x:t xml:space="preserve">https://www.smwcentral.net/?a=details&amp;id=38203&amp;p=section</x:t>
  </x:si>
  <x:si>
    <x:t xml:space="preserve">https://dl.smwcentral.net/38203/Shello.zip</x:t>
  </x:si>
  <x:si>
    <x:t xml:space="preserve">Shelloween</x:t>
  </x:si>
  <x:si>
    <x:t xml:space="preserve">Steffi4689Lol</x:t>
  </x:si>
  <x:si>
    <x:t xml:space="preserve">32697</x:t>
  </x:si>
  <x:si>
    <x:t xml:space="preserve">https://www.smwcentral.net/?a=details&amp;id=32697&amp;p=section</x:t>
  </x:si>
  <x:si>
    <x:t xml:space="preserve">https://dl.smwcentral.net/32697/Shelloween.zip</x:t>
  </x:si>
  <x:si>
    <x:t xml:space="preserve">Shells 3 &amp; Knuckles</x:t>
  </x:si>
  <x:si>
    <x:t xml:space="preserve">34009</x:t>
  </x:si>
  <x:si>
    <x:t xml:space="preserve">https://www.smwcentral.net/?a=details&amp;id=34009&amp;p=section</x:t>
  </x:si>
  <x:si>
    <x:t xml:space="preserve">https://dl.smwcentral.net/34009/Shells3AndKnuckles.zip</x:t>
  </x:si>
  <x:si>
    <x:t xml:space="preserve">Shells Delivery Deluxe</x:t>
  </x:si>
  <x:si>
    <x:t xml:space="preserve">25495</x:t>
  </x:si>
  <x:si>
    <x:t xml:space="preserve">https://www.smwcentral.net/?a=details&amp;id=25495&amp;p=section</x:t>
  </x:si>
  <x:si>
    <x:t xml:space="preserve">https://dl.smwcentral.net/25495/ShellsDeliveryDeluxe.zip</x:t>
  </x:si>
  <x:si>
    <x:t xml:space="preserve">Shells Kitchen: Leos Journey</x:t>
  </x:si>
  <x:si>
    <x:t xml:space="preserve">37822</x:t>
  </x:si>
  <x:si>
    <x:t xml:space="preserve">https://www.smwcentral.net/?a=details&amp;id=37822&amp;p=section</x:t>
  </x:si>
  <x:si>
    <x:t xml:space="preserve">https://dl.smwcentral.net/37822/ShellsKitchen_Leos_Journey.zip</x:t>
  </x:si>
  <x:si>
    <x:t xml:space="preserve">Shells Kitchen: Nicos Journey</x:t>
  </x:si>
  <x:si>
    <x:t xml:space="preserve">37792</x:t>
  </x:si>
  <x:si>
    <x:t xml:space="preserve">https://www.smwcentral.net/?a=details&amp;id=37792&amp;p=section</x:t>
  </x:si>
  <x:si>
    <x:t xml:space="preserve">https://dl.smwcentral.net/37792/ShellsKitchen_Nicos_Journey_v1.0.zip</x:t>
  </x:si>
  <x:si>
    <x:t xml:space="preserve">Shellshock</x:t>
  </x:si>
  <x:si>
    <x:t xml:space="preserve">41542</x:t>
  </x:si>
  <x:si>
    <x:t xml:space="preserve">https://www.smwcentral.net/?a=details&amp;id=41542&amp;p=section</x:t>
  </x:si>
  <x:si>
    <x:t xml:space="preserve">https://dl.smwcentral.net/41542/Shellshock%20V%201.3.zip</x:t>
  </x:si>
  <x:si>
    <x:t xml:space="preserve">Shelltopia</x:t>
  </x:si>
  <x:si>
    <x:t xml:space="preserve">Vidli</x:t>
  </x:si>
  <x:si>
    <x:t xml:space="preserve">33434</x:t>
  </x:si>
  <x:si>
    <x:t xml:space="preserve">https://www.smwcentral.net/?a=details&amp;id=33434&amp;p=section</x:t>
  </x:si>
  <x:si>
    <x:t xml:space="preserve">https://dl.smwcentral.net/33434/Shelltopia.zip</x:t>
  </x:si>
  <x:si>
    <x:t xml:space="preserve">Shellventure</x:t>
  </x:si>
  <x:si>
    <x:t xml:space="preserve">mikeeeeee83</x:t>
  </x:si>
  <x:si>
    <x:t xml:space="preserve">39179</x:t>
  </x:si>
  <x:si>
    <x:t xml:space="preserve">https://www.smwcentral.net/?a=details&amp;id=39179&amp;p=section</x:t>
  </x:si>
  <x:si>
    <x:t xml:space="preserve">https://dl.smwcentral.net/39179/shellventure10.zip</x:t>
  </x:si>
  <x:si>
    <x:t xml:space="preserve">Shellz</x:t>
  </x:si>
  <x:si>
    <x:t xml:space="preserve">Bodacious_snail</x:t>
  </x:si>
  <x:si>
    <x:t xml:space="preserve">32877</x:t>
  </x:si>
  <x:si>
    <x:t xml:space="preserve">https://www.smwcentral.net/?a=details&amp;id=32877&amp;p=section</x:t>
  </x:si>
  <x:si>
    <x:t xml:space="preserve">https://dl.smwcentral.net/32877/Shellz.zip</x:t>
  </x:si>
  <x:si>
    <x:t xml:space="preserve">SHINE</x:t>
  </x:si>
  <x:si>
    <x:t xml:space="preserve">Doopu</x:t>
  </x:si>
  <x:si>
    <x:t xml:space="preserve">39649</x:t>
  </x:si>
  <x:si>
    <x:t xml:space="preserve">https://www.smwcentral.net/?a=details&amp;id=39649&amp;p=section</x:t>
  </x:si>
  <x:si>
    <x:t xml:space="preserve">https://dl.smwcentral.net/39649/SHINE%20v1.1.zip</x:t>
  </x:si>
  <x:si>
    <x:t xml:space="preserve">Shipwrecked</x:t>
  </x:si>
  <x:si>
    <x:t xml:space="preserve">GloriousWater</x:t>
  </x:si>
  <x:si>
    <x:t xml:space="preserve">5997</x:t>
  </x:si>
  <x:si>
    <x:t xml:space="preserve">https://www.smwcentral.net/?a=details&amp;id=5997&amp;p=section</x:t>
  </x:si>
  <x:si>
    <x:t xml:space="preserve">https://dl.smwcentral.net/5997/Shipwrecked_V1.21.zip</x:t>
  </x:si>
  <x:si>
    <x:t xml:space="preserve">Shooey</x:t>
  </x:si>
  <x:si>
    <x:t xml:space="preserve">38084</x:t>
  </x:si>
  <x:si>
    <x:t xml:space="preserve">https://www.smwcentral.net/?a=details&amp;id=38084&amp;p=section</x:t>
  </x:si>
  <x:si>
    <x:t xml:space="preserve">https://dl.smwcentral.net/38084/Shooey.zip</x:t>
  </x:si>
  <x:si>
    <x:t xml:space="preserve">Short 'n Sweet</x:t>
  </x:si>
  <x:si>
    <x:t xml:space="preserve">27802</x:t>
  </x:si>
  <x:si>
    <x:t xml:space="preserve">https://www.smwcentral.net/?a=details&amp;id=27802&amp;p=section</x:t>
  </x:si>
  <x:si>
    <x:t xml:space="preserve">https://dl.smwcentral.net/27802/Short%20%27n%20Sweet%20DemoAnon.zip</x:t>
  </x:si>
  <x:si>
    <x:t xml:space="preserve">Short and Hard: A midair Shellhack</x:t>
  </x:si>
  <x:si>
    <x:t xml:space="preserve">32716</x:t>
  </x:si>
  <x:si>
    <x:t xml:space="preserve">https://www.smwcentral.net/?a=details&amp;id=32716&amp;p=section</x:t>
  </x:si>
  <x:si>
    <x:t xml:space="preserve">https://dl.smwcentral.net/32716/ShortnHard%20v1.3.zip</x:t>
  </x:si>
  <x:si>
    <x:t xml:space="preserve">Short and Sweet</x:t>
  </x:si>
  <x:si>
    <x:t xml:space="preserve">28657</x:t>
  </x:si>
  <x:si>
    <x:t xml:space="preserve">https://www.smwcentral.net/?a=details&amp;id=28657&amp;p=section</x:t>
  </x:si>
  <x:si>
    <x:t xml:space="preserve">https://dl.smwcentral.net/28657/short%20and%20sweet%20v1.2.zip</x:t>
  </x:si>
  <x:si>
    <x:t xml:space="preserve">Short but Savage</x:t>
  </x:si>
  <x:si>
    <x:t xml:space="preserve">35462</x:t>
  </x:si>
  <x:si>
    <x:t xml:space="preserve">https://www.smwcentral.net/?a=details&amp;id=35462&amp;p=section</x:t>
  </x:si>
  <x:si>
    <x:t xml:space="preserve">https://dl.smwcentral.net/35462/Short%20but%20Savage.zip</x:t>
  </x:si>
  <x:si>
    <x:t xml:space="preserve">short mario adventure</x:t>
  </x:si>
  <x:si>
    <x:t xml:space="preserve">Verliezer18</x:t>
  </x:si>
  <x:si>
    <x:t xml:space="preserve">17922</x:t>
  </x:si>
  <x:si>
    <x:t xml:space="preserve">https://www.smwcentral.net/?a=details&amp;id=17922&amp;p=section</x:t>
  </x:si>
  <x:si>
    <x:t xml:space="preserve">https://dl.smwcentral.net/17922/ShortMarioAdventure.zip</x:t>
  </x:si>
  <x:si>
    <x:t xml:space="preserve">Showtime</x:t>
  </x:si>
  <x:si>
    <x:t xml:space="preserve">40687</x:t>
  </x:si>
  <x:si>
    <x:t xml:space="preserve">https://www.smwcentral.net/?a=details&amp;id=40687&amp;p=section</x:t>
  </x:si>
  <x:si>
    <x:t xml:space="preserve">https://dl.smwcentral.net/40687/%5B2025%5D%20Showtime%20v1.7%20%28U%29.zip</x:t>
  </x:si>
  <x:si>
    <x:t xml:space="preserve">Shy Guy's Adventure</x:t>
  </x:si>
  <x:si>
    <x:t xml:space="preserve">K3fka</x:t>
  </x:si>
  <x:si>
    <x:t xml:space="preserve">5533</x:t>
  </x:si>
  <x:si>
    <x:t xml:space="preserve">https://www.smwcentral.net/?a=details&amp;id=5533&amp;p=section</x:t>
  </x:si>
  <x:si>
    <x:t xml:space="preserve">https://dl.smwcentral.net/5533/Shy%20Guy%27s%20Adventure%20C3%20Demo.zip</x:t>
  </x:si>
  <x:si>
    <x:t xml:space="preserve">Shy-Guy Quest</x:t>
  </x:si>
  <x:si>
    <x:t xml:space="preserve">DgBarca</x:t>
  </x:si>
  <x:si>
    <x:t xml:space="preserve">9651</x:t>
  </x:si>
  <x:si>
    <x:t xml:space="preserve">https://www.smwcentral.net/?a=details&amp;id=9651&amp;p=section</x:t>
  </x:si>
  <x:si>
    <x:t xml:space="preserve">https://dl.smwcentral.net/9651/Shy-Guy_Quest_C3.zip</x:t>
  </x:si>
  <x:si>
    <x:t xml:space="preserve">ShyGuy Kaizo Dream</x:t>
  </x:si>
  <x:si>
    <x:t xml:space="preserve">P1JDS</x:t>
  </x:si>
  <x:si>
    <x:t xml:space="preserve">25911</x:t>
  </x:si>
  <x:si>
    <x:t xml:space="preserve">https://www.smwcentral.net/?a=details&amp;id=25911&amp;p=section</x:t>
  </x:si>
  <x:si>
    <x:t xml:space="preserve">https://dl.smwcentral.net/25911/ShyGuyKaizoDream1.2.zip</x:t>
  </x:si>
  <x:si>
    <x:t xml:space="preserve">ShyGuy Kaizo Dream 2 - Shy Guy's Awakening</x:t>
  </x:si>
  <x:si>
    <x:t xml:space="preserve">29653</x:t>
  </x:si>
  <x:si>
    <x:t xml:space="preserve">https://www.smwcentral.net/?a=details&amp;id=29653&amp;p=section</x:t>
  </x:si>
  <x:si>
    <x:t xml:space="preserve">https://dl.smwcentral.net/29653/ShyGuy%20Kaizo%20Dream%202%20-%20Shy%20Guy%27s%20Awakening%201.1.zip</x:t>
  </x:si>
  <x:si>
    <x:t xml:space="preserve">Sicari</x:t>
  </x:si>
  <x:si>
    <x:t xml:space="preserve">5950</x:t>
  </x:si>
  <x:si>
    <x:t xml:space="preserve">https://www.smwcentral.net/?a=details&amp;id=5950&amp;p=section</x:t>
  </x:si>
  <x:si>
    <x:t xml:space="preserve">https://dl.smwcentral.net/5950/Sicari.zip</x:t>
  </x:si>
  <x:si>
    <x:t xml:space="preserve">Sicari 2 - The Brink of Time</x:t>
  </x:si>
  <x:si>
    <x:t xml:space="preserve">32095</x:t>
  </x:si>
  <x:si>
    <x:t xml:space="preserve">https://www.smwcentral.net/?a=details&amp;id=32095&amp;p=section</x:t>
  </x:si>
  <x:si>
    <x:t xml:space="preserve">https://dl.smwcentral.net/32095/Sicari2%201.61.zip</x:t>
  </x:si>
  <x:si>
    <x:t xml:space="preserve">Sicari Remastered</x:t>
  </x:si>
  <x:si>
    <x:t xml:space="preserve">25665</x:t>
  </x:si>
  <x:si>
    <x:t xml:space="preserve">https://www.smwcentral.net/?a=details&amp;id=25665&amp;p=section</x:t>
  </x:si>
  <x:si>
    <x:t xml:space="preserve">https://dl.smwcentral.net/25665/SRUpdate.zip</x:t>
  </x:si>
  <x:si>
    <x:t xml:space="preserve">Sif World</x:t>
  </x:si>
  <x:si>
    <x:t xml:space="preserve">Erik_The_Swift</x:t>
  </x:si>
  <x:si>
    <x:t xml:space="preserve">30144</x:t>
  </x:si>
  <x:si>
    <x:t xml:space="preserve">https://www.smwcentral.net/?a=details&amp;id=30144&amp;p=section</x:t>
  </x:si>
  <x:si>
    <x:t xml:space="preserve">https://dl.smwcentral.net/30144/Sif%20World.zip</x:t>
  </x:si>
  <x:si>
    <x:t xml:space="preserve">Signals</x:t>
  </x:si>
  <x:si>
    <x:t xml:space="preserve">38720</x:t>
  </x:si>
  <x:si>
    <x:t xml:space="preserve">https://www.smwcentral.net/?a=details&amp;id=38720&amp;p=section</x:t>
  </x:si>
  <x:si>
    <x:t xml:space="preserve">https://dl.smwcentral.net/38720/Signals.zip</x:t>
  </x:si>
  <x:si>
    <x:t xml:space="preserve">Silencio</x:t>
  </x:si>
  <x:si>
    <x:t xml:space="preserve">27199</x:t>
  </x:si>
  <x:si>
    <x:t xml:space="preserve">https://www.smwcentral.net/?a=details&amp;id=27199&amp;p=section</x:t>
  </x:si>
  <x:si>
    <x:t xml:space="preserve">https://dl.smwcentral.net/27199/Silencio1.1.zip</x:t>
  </x:si>
  <x:si>
    <x:t xml:space="preserve">Silver level pack</x:t>
  </x:si>
  <x:si>
    <x:t xml:space="preserve">31747</x:t>
  </x:si>
  <x:si>
    <x:t xml:space="preserve">https://www.smwcentral.net/?a=details&amp;id=31747&amp;p=section</x:t>
  </x:si>
  <x:si>
    <x:t xml:space="preserve">https://dl.smwcentral.net/31747/Silver%20level%20pack.zip</x:t>
  </x:si>
  <x:si>
    <x:t xml:space="preserve">BigRedBoy, realbchin</x:t>
  </x:si>
  <x:si>
    <x:t xml:space="preserve">38712</x:t>
  </x:si>
  <x:si>
    <x:t xml:space="preserve">https://www.smwcentral.net/?a=details&amp;id=38712&amp;p=section</x:t>
  </x:si>
  <x:si>
    <x:t xml:space="preserve">https://dl.smwcentral.net/38712/simpatico.zip</x:t>
  </x:si>
  <x:si>
    <x:t xml:space="preserve">Simple Symphony</x:t>
  </x:si>
  <x:si>
    <x:t xml:space="preserve">37886</x:t>
  </x:si>
  <x:si>
    <x:t xml:space="preserve">https://www.smwcentral.net/?a=details&amp;id=37886&amp;p=section</x:t>
  </x:si>
  <x:si>
    <x:t xml:space="preserve">https://dl.smwcentral.net/37886/Simple%20Symphony%201.2%20%281%29.zip</x:t>
  </x:si>
  <x:si>
    <x:t xml:space="preserve">Simply Delicious</x:t>
  </x:si>
  <x:si>
    <x:t xml:space="preserve">41660</x:t>
  </x:si>
  <x:si>
    <x:t xml:space="preserve">https://www.smwcentral.net/?a=details&amp;id=41660&amp;p=section</x:t>
  </x:si>
  <x:si>
    <x:t xml:space="preserve">https://dl.smwcentral.net/41660/simplydelicious.zip</x:t>
  </x:si>
  <x:si>
    <x:t xml:space="preserve">Simply Kaizo</x:t>
  </x:si>
  <x:si>
    <x:t xml:space="preserve">42650</x:t>
  </x:si>
  <x:si>
    <x:t xml:space="preserve">https://www.smwcentral.net/?a=details&amp;id=42650&amp;p=section</x:t>
  </x:si>
  <x:si>
    <x:t xml:space="preserve">https://dl.smwcentral.net/42650/Simply%20Kaizo.zip</x:t>
  </x:si>
  <x:si>
    <x:t xml:space="preserve">Simply Mario Shells 'n Bells</x:t>
  </x:si>
  <x:si>
    <x:t xml:space="preserve">24919</x:t>
  </x:si>
  <x:si>
    <x:t xml:space="preserve">https://www.smwcentral.net/?a=details&amp;id=24919&amp;p=section</x:t>
  </x:si>
  <x:si>
    <x:t xml:space="preserve">https://dl.smwcentral.net/24919/Simply%20Mario%20Shells%20%27n%20Bells%20Demo%20V1.1.zip</x:t>
  </x:si>
  <x:si>
    <x:t xml:space="preserve">Single Level Collaboration</x:t>
  </x:si>
  <x:si>
    <x:t xml:space="preserve">34478</x:t>
  </x:si>
  <x:si>
    <x:t xml:space="preserve">https://www.smwcentral.net/?a=details&amp;id=34478&amp;p=section</x:t>
  </x:si>
  <x:si>
    <x:t xml:space="preserve">https://dl.smwcentral.net/34478/singlelevelcollab.zip</x:t>
  </x:si>
  <x:si>
    <x:t xml:space="preserve">Sio's Dino Mayhem</x:t>
  </x:si>
  <x:si>
    <x:t xml:space="preserve">Super_Mike</x:t>
  </x:si>
  <x:si>
    <x:t xml:space="preserve">28512</x:t>
  </x:si>
  <x:si>
    <x:t xml:space="preserve">https://www.smwcentral.net/?a=details&amp;id=28512&amp;p=section</x:t>
  </x:si>
  <x:si>
    <x:t xml:space="preserve">https://dl.smwcentral.net/28512/Sio%27s%20Dino%20Mayhem.zip</x:t>
  </x:si>
  <x:si>
    <x:t xml:space="preserve">SIW Cruel or Cruel Edition</x:t>
  </x:si>
  <x:si>
    <x:t xml:space="preserve">32079</x:t>
  </x:si>
  <x:si>
    <x:t xml:space="preserve">https://www.smwcentral.net/?a=details&amp;id=32079&amp;p=section</x:t>
  </x:si>
  <x:si>
    <x:t xml:space="preserve">https://dl.smwcentral.net/32079/siw%20c%20%26%20c.zip</x:t>
  </x:si>
  <x:si>
    <x:t xml:space="preserve">Six Pack: VLDC Compilation</x:t>
  </x:si>
  <x:si>
    <x:t xml:space="preserve">Ragey, SMW Central</x:t>
  </x:si>
  <x:si>
    <x:t xml:space="preserve">35347</x:t>
  </x:si>
  <x:si>
    <x:t xml:space="preserve">https://www.smwcentral.net/?a=details&amp;id=35347&amp;p=section</x:t>
  </x:si>
  <x:si>
    <x:t xml:space="preserve">https://dl.smwcentral.net/35347/Six%20Pack.zip</x:t>
  </x:si>
  <x:si>
    <x:t xml:space="preserve">Sixth Grade Kaizo</x:t>
  </x:si>
  <x:si>
    <x:t xml:space="preserve">drspork</x:t>
  </x:si>
  <x:si>
    <x:t xml:space="preserve">37314</x:t>
  </x:si>
  <x:si>
    <x:t xml:space="preserve">https://www.smwcentral.net/?a=details&amp;id=37314&amp;p=section</x:t>
  </x:si>
  <x:si>
    <x:t xml:space="preserve">https://dl.smwcentral.net/37314/Sixth%20Grade%20Kaizo.zip</x:t>
  </x:si>
  <x:si>
    <x:t xml:space="preserve">Sleepy World</x:t>
  </x:si>
  <x:si>
    <x:t xml:space="preserve">28702</x:t>
  </x:si>
  <x:si>
    <x:t xml:space="preserve">https://www.smwcentral.net/?a=details&amp;id=28702&amp;p=section</x:t>
  </x:si>
  <x:si>
    <x:t xml:space="preserve">https://dl.smwcentral.net/28702/Sleepy%20World%201.2.zip</x:t>
  </x:si>
  <x:si>
    <x:t xml:space="preserve">Slow and Slower</x:t>
  </x:si>
  <x:si>
    <x:t xml:space="preserve">Captain_Hacko</x:t>
  </x:si>
  <x:si>
    <x:t xml:space="preserve">34912</x:t>
  </x:si>
  <x:si>
    <x:t xml:space="preserve">https://www.smwcentral.net/?a=details&amp;id=34912&amp;p=section</x:t>
  </x:si>
  <x:si>
    <x:t xml:space="preserve">https://dl.smwcentral.net/34912/Slow_and_Slower.zip</x:t>
  </x:si>
  <x:si>
    <x:t xml:space="preserve">slurdgery</x:t>
  </x:si>
  <x:si>
    <x:t xml:space="preserve">21787</x:t>
  </x:si>
  <x:si>
    <x:t xml:space="preserve">https://www.smwcentral.net/?a=details&amp;id=21787&amp;p=section</x:t>
  </x:si>
  <x:si>
    <x:t xml:space="preserve">https://dl.smwcentral.net/21787/slurdgery.zip</x:t>
  </x:si>
  <x:si>
    <x:t xml:space="preserve">Smithereens</x:t>
  </x:si>
  <x:si>
    <x:t xml:space="preserve">28210</x:t>
  </x:si>
  <x:si>
    <x:t xml:space="preserve">https://www.smwcentral.net/?a=details&amp;id=28210&amp;p=section</x:t>
  </x:si>
  <x:si>
    <x:t xml:space="preserve">https://dl.smwcentral.net/28210/smithereens.zip</x:t>
  </x:si>
  <x:si>
    <x:t xml:space="preserve">Smoked Fish and Cabbage</x:t>
  </x:si>
  <x:si>
    <x:t xml:space="preserve">42654</x:t>
  </x:si>
  <x:si>
    <x:t xml:space="preserve">https://www.smwcentral.net/?a=details&amp;id=42654&amp;p=section</x:t>
  </x:si>
  <x:si>
    <x:t xml:space="preserve">https://dl.smwcentral.net/42654/Smoked%20Fish%20and%20Cabbage%20v2.1.zip</x:t>
  </x:si>
  <x:si>
    <x:t xml:space="preserve">Smoked Fish and Cabbage 2</x:t>
  </x:si>
  <x:si>
    <x:t xml:space="preserve">42687</x:t>
  </x:si>
  <x:si>
    <x:t xml:space="preserve">https://www.smwcentral.net/?a=details&amp;id=42687&amp;p=section</x:t>
  </x:si>
  <x:si>
    <x:t xml:space="preserve">https://dl.smwcentral.net/42687/Smoked%20Fish%20and%20Cabbage%202%20v1.1.zip</x:t>
  </x:si>
  <x:si>
    <x:t xml:space="preserve">Smoked Fish and Cabbage 3</x:t>
  </x:si>
  <x:si>
    <x:t xml:space="preserve">37442</x:t>
  </x:si>
  <x:si>
    <x:t xml:space="preserve">https://www.smwcentral.net/?a=details&amp;id=37442&amp;p=section</x:t>
  </x:si>
  <x:si>
    <x:t xml:space="preserve">https://dl.smwcentral.net/37442/Smoked%20Fish%20and%20Cabbage%203.zip</x:t>
  </x:si>
  <x:si>
    <x:t xml:space="preserve">smol</x:t>
  </x:si>
  <x:si>
    <x:t xml:space="preserve">29542</x:t>
  </x:si>
  <x:si>
    <x:t xml:space="preserve">https://www.smwcentral.net/?a=details&amp;id=29542&amp;p=section</x:t>
  </x:si>
  <x:si>
    <x:t xml:space="preserve">https://dl.smwcentral.net/29542/smol%201.1.zip</x:t>
  </x:si>
  <x:si>
    <x:t xml:space="preserve">SMW 2012: Master Hand's Doomsday</x:t>
  </x:si>
  <x:si>
    <x:t xml:space="preserve">10257</x:t>
  </x:si>
  <x:si>
    <x:t xml:space="preserve">https://www.smwcentral.net/?a=details&amp;id=10257&amp;p=section</x:t>
  </x:si>
  <x:si>
    <x:t xml:space="preserve">https://dl.smwcentral.net/10257/2012%20Final%202.0.zip</x:t>
  </x:si>
  <x:si>
    <x:t xml:space="preserve">SMW Christmas special</x:t>
  </x:si>
  <x:si>
    <x:t xml:space="preserve">10107</x:t>
  </x:si>
  <x:si>
    <x:t xml:space="preserve">https://www.smwcentral.net/?a=details&amp;id=10107&amp;p=section</x:t>
  </x:si>
  <x:si>
    <x:t xml:space="preserve">https://dl.smwcentral.net/10107/SMWCS.zip</x:t>
  </x:si>
  <x:si>
    <x:t xml:space="preserve">SMW Coin Chaos</x:t>
  </x:si>
  <x:si>
    <x:t xml:space="preserve">26494</x:t>
  </x:si>
  <x:si>
    <x:t xml:space="preserve">https://www.smwcentral.net/?a=details&amp;id=26494&amp;p=section</x:t>
  </x:si>
  <x:si>
    <x:t xml:space="preserve">https://dl.smwcentral.net/26494/SMW%20coin%20chaos%20v1.4.zip</x:t>
  </x:si>
  <x:si>
    <x:t xml:space="preserve">SMW For Your Kids Only</x:t>
  </x:si>
  <x:si>
    <x:t xml:space="preserve">Clouthhh</x:t>
  </x:si>
  <x:si>
    <x:t xml:space="preserve">32609</x:t>
  </x:si>
  <x:si>
    <x:t xml:space="preserve">https://www.smwcentral.net/?a=details&amp;id=32609&amp;p=section</x:t>
  </x:si>
  <x:si>
    <x:t xml:space="preserve">https://dl.smwcentral.net/32609/SMW_FOR_YOUR_KIDS_ONLY_v2.zip</x:t>
  </x:si>
  <x:si>
    <x:t xml:space="preserve">SMW Friends and Rivalry</x:t>
  </x:si>
  <x:si>
    <x:t xml:space="preserve">41305</x:t>
  </x:si>
  <x:si>
    <x:t xml:space="preserve">https://www.smwcentral.net/?a=details&amp;id=41305&amp;p=section</x:t>
  </x:si>
  <x:si>
    <x:t xml:space="preserve">https://dl.smwcentral.net/41305/SMW%20Friends%20and%20Rivalry%20v1.05b.zip</x:t>
  </x:si>
  <x:si>
    <x:t xml:space="preserve">SMW L'autre bout de Yoshi island</x:t>
  </x:si>
  <x:si>
    <x:t xml:space="preserve">18528</x:t>
  </x:si>
  <x:si>
    <x:t xml:space="preserve">https://www.smwcentral.net/?a=details&amp;id=18528&amp;p=section</x:t>
  </x:si>
  <x:si>
    <x:t xml:space="preserve">https://dl.smwcentral.net/18528/DEMO2.zip</x:t>
  </x:si>
  <x:si>
    <x:t xml:space="preserve">SMW La Nouvelle Vague</x:t>
  </x:si>
  <x:si>
    <x:t xml:space="preserve">drake-68</x:t>
  </x:si>
  <x:si>
    <x:t xml:space="preserve">9440</x:t>
  </x:si>
  <x:si>
    <x:t xml:space="preserve">https://www.smwcentral.net/?a=details&amp;id=9440&amp;p=section</x:t>
  </x:si>
  <x:si>
    <x:t xml:space="preserve">https://dl.smwcentral.net/9440/SMW%20La%20Nouvelle%20Vague.zip</x:t>
  </x:si>
  <x:si>
    <x:t xml:space="preserve">SMW Legends. The Stars Road</x:t>
  </x:si>
  <x:si>
    <x:t xml:space="preserve">Mois3s Cota</x:t>
  </x:si>
  <x:si>
    <x:t xml:space="preserve">11604</x:t>
  </x:si>
  <x:si>
    <x:t xml:space="preserve">https://www.smwcentral.net/?a=details&amp;id=11604&amp;p=section</x:t>
  </x:si>
  <x:si>
    <x:t xml:space="preserve">https://dl.smwcentral.net/11604/SMW%20Legends%20%282nd%20Demo%20version%29.zip</x:t>
  </x:si>
  <x:si>
    <x:t xml:space="preserve">SMW O Sumiço de Íris</x:t>
  </x:si>
  <x:si>
    <x:t xml:space="preserve">31238</x:t>
  </x:si>
  <x:si>
    <x:t xml:space="preserve">https://www.smwcentral.net/?a=details&amp;id=31238&amp;p=section</x:t>
  </x:si>
  <x:si>
    <x:t xml:space="preserve">https://dl.smwcentral.net/31238/Super%20Mario%20o%20Sumi%C3%A7o%20de%20%C3%8Dris%20Demo%20ver%201.2.zip</x:t>
  </x:si>
  <x:si>
    <x:t xml:space="preserve">SMW Piranha Island</x:t>
  </x:si>
  <x:si>
    <x:t xml:space="preserve">PokerFace</x:t>
  </x:si>
  <x:si>
    <x:t xml:space="preserve">11697</x:t>
  </x:si>
  <x:si>
    <x:t xml:space="preserve">https://www.smwcentral.net/?a=details&amp;id=11697&amp;p=section</x:t>
  </x:si>
  <x:si>
    <x:t xml:space="preserve">https://dl.smwcentral.net/11697/SMW%20Piranha%20island%201.1.zip</x:t>
  </x:si>
  <x:si>
    <x:t xml:space="preserve">SMW Quest for Gaming</x:t>
  </x:si>
  <x:si>
    <x:t xml:space="preserve">29090</x:t>
  </x:si>
  <x:si>
    <x:t xml:space="preserve">https://www.smwcentral.net/?a=details&amp;id=29090&amp;p=section</x:t>
  </x:si>
  <x:si>
    <x:t xml:space="preserve">https://dl.smwcentral.net/29090/SMW%20Quest%20for%20Gaming.zip</x:t>
  </x:si>
  <x:si>
    <x:t xml:space="preserve">SMW Remade from Memory</x:t>
  </x:si>
  <x:si>
    <x:t xml:space="preserve">28851</x:t>
  </x:si>
  <x:si>
    <x:t xml:space="preserve">https://www.smwcentral.net/?a=details&amp;id=28851&amp;p=section</x:t>
  </x:si>
  <x:si>
    <x:t xml:space="preserve">https://dl.smwcentral.net/28851/SMW%20Remade%20from%20Memory.zip</x:t>
  </x:si>
  <x:si>
    <x:t xml:space="preserve">SMW Returns</x:t>
  </x:si>
  <x:si>
    <x:t xml:space="preserve">KT.</x:t>
  </x:si>
  <x:si>
    <x:t xml:space="preserve">9686</x:t>
  </x:si>
  <x:si>
    <x:t xml:space="preserve">https://www.smwcentral.net/?a=details&amp;id=9686&amp;p=section</x:t>
  </x:si>
  <x:si>
    <x:t xml:space="preserve">https://dl.smwcentral.net/9686/SMWR.zip</x:t>
  </x:si>
  <x:si>
    <x:t xml:space="preserve">SMW Returns 2</x:t>
  </x:si>
  <x:si>
    <x:t xml:space="preserve">5004</x:t>
  </x:si>
  <x:si>
    <x:t xml:space="preserve">https://www.smwcentral.net/?a=details&amp;id=5004&amp;p=section</x:t>
  </x:si>
  <x:si>
    <x:t xml:space="preserve">https://dl.smwcentral.net/5004/SMWR2.zip</x:t>
  </x:si>
  <x:si>
    <x:t xml:space="preserve">SMW Returns EX</x:t>
  </x:si>
  <x:si>
    <x:t xml:space="preserve">Gaia, KT.</x:t>
  </x:si>
  <x:si>
    <x:t xml:space="preserve">9683</x:t>
  </x:si>
  <x:si>
    <x:t xml:space="preserve">https://www.smwcentral.net/?a=details&amp;id=9683&amp;p=section</x:t>
  </x:si>
  <x:si>
    <x:t xml:space="preserve">https://dl.smwcentral.net/9683/SMWREX.zip</x:t>
  </x:si>
  <x:si>
    <x:t xml:space="preserve">SMW Skill Challenge</x:t>
  </x:si>
  <x:si>
    <x:t xml:space="preserve">19073</x:t>
  </x:si>
  <x:si>
    <x:t xml:space="preserve">https://www.smwcentral.net/?a=details&amp;id=19073&amp;p=section</x:t>
  </x:si>
  <x:si>
    <x:t xml:space="preserve">https://dl.smwcentral.net/19073/Skill%20Challenge.zip</x:t>
  </x:si>
  <x:si>
    <x:t xml:space="preserve">SMW Skill Challenge 2</x:t>
  </x:si>
  <x:si>
    <x:t xml:space="preserve">22627</x:t>
  </x:si>
  <x:si>
    <x:t xml:space="preserve">https://www.smwcentral.net/?a=details&amp;id=22627&amp;p=section</x:t>
  </x:si>
  <x:si>
    <x:t xml:space="preserve">https://dl.smwcentral.net/22627/skill2demo.zip</x:t>
  </x:si>
  <x:si>
    <x:t xml:space="preserve">SMW Stardust Dragon 2011</x:t>
  </x:si>
  <x:si>
    <x:t xml:space="preserve">10143</x:t>
  </x:si>
  <x:si>
    <x:t xml:space="preserve">https://www.smwcentral.net/?a=details&amp;id=10143&amp;p=section</x:t>
  </x:si>
  <x:si>
    <x:t xml:space="preserve">https://dl.smwcentral.net/10143/SMWStardust2011.2.zip</x:t>
  </x:si>
  <x:si>
    <x:t xml:space="preserve">SMW The Crown Tale</x:t>
  </x:si>
  <x:si>
    <x:t xml:space="preserve">28099</x:t>
  </x:si>
  <x:si>
    <x:t xml:space="preserve">https://www.smwcentral.net/?a=details&amp;id=28099&amp;p=section</x:t>
  </x:si>
  <x:si>
    <x:t xml:space="preserve">https://dl.smwcentral.net/28099/SMW%20The%20Crown%20Tale%20v1.3.zip</x:t>
  </x:si>
  <x:si>
    <x:t xml:space="preserve">SMW The Lost Levels</x:t>
  </x:si>
  <x:si>
    <x:t xml:space="preserve">Jamanta</x:t>
  </x:si>
  <x:si>
    <x:t xml:space="preserve">10228</x:t>
  </x:si>
  <x:si>
    <x:t xml:space="preserve">https://www.smwcentral.net/?a=details&amp;id=10228&amp;p=section</x:t>
  </x:si>
  <x:si>
    <x:t xml:space="preserve">https://dl.smwcentral.net/10228/SMW%20The%20Lost%20Levels%20Demo%202.zip</x:t>
  </x:si>
  <x:si>
    <x:t xml:space="preserve">SMW The Princess Rescue</x:t>
  </x:si>
  <x:si>
    <x:t xml:space="preserve">31172</x:t>
  </x:si>
  <x:si>
    <x:t xml:space="preserve">https://www.smwcentral.net/?a=details&amp;id=31172&amp;p=section</x:t>
  </x:si>
  <x:si>
    <x:t xml:space="preserve">https://dl.smwcentral.net/31172/SMW%20The%20Princess%20Rescue%202022%20update.zip</x:t>
  </x:si>
  <x:si>
    <x:t xml:space="preserve">SMW The Princess Rescue 2 - Luigi's Journey!</x:t>
  </x:si>
  <x:si>
    <x:t xml:space="preserve">31145</x:t>
  </x:si>
  <x:si>
    <x:t xml:space="preserve">https://www.smwcentral.net/?a=details&amp;id=31145&amp;p=section</x:t>
  </x:si>
  <x:si>
    <x:t xml:space="preserve">https://dl.smwcentral.net/31145/SMW%20The%20Princess%20Rescue%202.zip</x:t>
  </x:si>
  <x:si>
    <x:t xml:space="preserve">SMW The Princess Rescue 3 - The Turnabout</x:t>
  </x:si>
  <x:si>
    <x:t xml:space="preserve">35294</x:t>
  </x:si>
  <x:si>
    <x:t xml:space="preserve">https://www.smwcentral.net/?a=details&amp;id=35294&amp;p=section</x:t>
  </x:si>
  <x:si>
    <x:t xml:space="preserve">https://dl.smwcentral.net/35294/SMWTPR3%20v1.20.zip</x:t>
  </x:si>
  <x:si>
    <x:t xml:space="preserve">SMW The Untold Story</x:t>
  </x:si>
  <x:si>
    <x:t xml:space="preserve">Capt'n Caramel</x:t>
  </x:si>
  <x:si>
    <x:t xml:space="preserve">22919</x:t>
  </x:si>
  <x:si>
    <x:t xml:space="preserve">https://www.smwcentral.net/?a=details&amp;id=22919&amp;p=section</x:t>
  </x:si>
  <x:si>
    <x:t xml:space="preserve">https://dl.smwcentral.net/22919/TUS%20DEMO%20V0.2.zip</x:t>
  </x:si>
  <x:si>
    <x:t xml:space="preserve">SMW Translations</x:t>
  </x:si>
  <x:si>
    <x:t xml:space="preserve">Various</x:t>
  </x:si>
  <x:si>
    <x:t xml:space="preserve">15677</x:t>
  </x:si>
  <x:si>
    <x:t xml:space="preserve">https://www.smwcentral.net/?a=details&amp;id=15677&amp;p=section</x:t>
  </x:si>
  <x:si>
    <x:t xml:space="preserve">https://dl.smwcentral.net/15677/Translations.zip</x:t>
  </x:si>
  <x:si>
    <x:t xml:space="preserve">Smw Uma Aventura Chaotica (Chaotic Adventure)</x:t>
  </x:si>
  <x:si>
    <x:t xml:space="preserve">32461</x:t>
  </x:si>
  <x:si>
    <x:t xml:space="preserve">https://www.smwcentral.net/?a=details&amp;id=32461&amp;p=section</x:t>
  </x:si>
  <x:si>
    <x:t xml:space="preserve">https://dl.smwcentral.net/32461/Chaotic%20Adventure%201.1.zip</x:t>
  </x:si>
  <x:si>
    <x:t xml:space="preserve">SMW with Levels from NSMB</x:t>
  </x:si>
  <x:si>
    <x:t xml:space="preserve">Foxy_9000_</x:t>
  </x:si>
  <x:si>
    <x:t xml:space="preserve">32487</x:t>
  </x:si>
  <x:si>
    <x:t xml:space="preserve">https://www.smwcentral.net/?a=details&amp;id=32487&amp;p=section</x:t>
  </x:si>
  <x:si>
    <x:t xml:space="preserve">https://dl.smwcentral.net/32487/SMW%20with%20Levels%20from%20NSMB.zip</x:t>
  </x:si>
  <x:si>
    <x:t xml:space="preserve">SMW with Levels from SMB 3</x:t>
  </x:si>
  <x:si>
    <x:t xml:space="preserve">33649</x:t>
  </x:si>
  <x:si>
    <x:t xml:space="preserve">https://www.smwcentral.net/?a=details&amp;id=33649&amp;p=section</x:t>
  </x:si>
  <x:si>
    <x:t xml:space="preserve">https://dl.smwcentral.net/33649/SMW%20with%20Levels%20from%20SMB%203.zip</x:t>
  </x:si>
  <x:si>
    <x:t xml:space="preserve">SMW with Levels from Super Boy 3</x:t>
  </x:si>
  <x:si>
    <x:t xml:space="preserve">LilacTubaGaming</x:t>
  </x:si>
  <x:si>
    <x:t xml:space="preserve">32335</x:t>
  </x:si>
  <x:si>
    <x:t xml:space="preserve">https://www.smwcentral.net/?a=details&amp;id=32335&amp;p=section</x:t>
  </x:si>
  <x:si>
    <x:t xml:space="preserve">https://dl.smwcentral.net/32335/SMW%20with%20Levels%20from%20Super%20Boy%203.zip</x:t>
  </x:si>
  <x:si>
    <x:t xml:space="preserve">SMW-R</x:t>
  </x:si>
  <x:si>
    <x:t xml:space="preserve">UltiMario</x:t>
  </x:si>
  <x:si>
    <x:t xml:space="preserve">17462</x:t>
  </x:si>
  <x:si>
    <x:t xml:space="preserve">https://www.smwcentral.net/?a=details&amp;id=17462&amp;p=section</x:t>
  </x:si>
  <x:si>
    <x:t xml:space="preserve">https://dl.smwcentral.net/17462/SMW-R.zip</x:t>
  </x:si>
  <x:si>
    <x:t xml:space="preserve">Smw2 the unknown threats F.I.X.E.D</x:t>
  </x:si>
  <x:si>
    <x:t xml:space="preserve">Dman</x:t>
  </x:si>
  <x:si>
    <x:t xml:space="preserve">10234</x:t>
  </x:si>
  <x:si>
    <x:t xml:space="preserve">https://www.smwcentral.net/?a=details&amp;id=10234&amp;p=section</x:t>
  </x:si>
  <x:si>
    <x:t xml:space="preserve">https://dl.smwcentral.net/10234/Smw2%20The%20unkown%20threats%20F.I.X.E.D.zip</x:t>
  </x:si>
  <x:si>
    <x:t xml:space="preserve">SMW2+3: The Essence Star</x:t>
  </x:si>
  <x:si>
    <x:t xml:space="preserve">25235</x:t>
  </x:si>
  <x:si>
    <x:t xml:space="preserve">https://www.smwcentral.net/?a=details&amp;id=25235&amp;p=section</x:t>
  </x:si>
  <x:si>
    <x:t xml:space="preserve">https://dl.smwcentral.net/25235/SMW2%2B3-TheEssenceStar.zip</x:t>
  </x:si>
  <x:si>
    <x:t xml:space="preserve">SMW: Gaiden</x:t>
  </x:si>
  <x:si>
    <x:t xml:space="preserve">Adam, Truxton, lolyoshi, rextep</x:t>
  </x:si>
  <x:si>
    <x:t xml:space="preserve">26307</x:t>
  </x:si>
  <x:si>
    <x:t xml:space="preserve">https://www.smwcentral.net/?a=details&amp;id=26307&amp;p=section</x:t>
  </x:si>
  <x:si>
    <x:t xml:space="preserve">https://dl.smwcentral.net/26307/GAIDEN_v1.13.zip</x:t>
  </x:si>
  <x:si>
    <x:t xml:space="preserve">SMW: Luigi's Mystic Saga</x:t>
  </x:si>
  <x:si>
    <x:t xml:space="preserve">41378</x:t>
  </x:si>
  <x:si>
    <x:t xml:space="preserve">https://www.smwcentral.net/?a=details&amp;id=41378&amp;p=section</x:t>
  </x:si>
  <x:si>
    <x:t xml:space="preserve">https://dl.smwcentral.net/41378/Luigi%27s%20Mystic%20Saga.zip</x:t>
  </x:si>
  <x:si>
    <x:t xml:space="preserve">SMW: Remix</x:t>
  </x:si>
  <x:si>
    <x:t xml:space="preserve">Lexi</x:t>
  </x:si>
  <x:si>
    <x:t xml:space="preserve">10118</x:t>
  </x:si>
  <x:si>
    <x:t xml:space="preserve">https://www.smwcentral.net/?a=details&amp;id=10118&amp;p=section</x:t>
  </x:si>
  <x:si>
    <x:t xml:space="preserve">https://dl.smwcentral.net/10118/SMWRemixD1.1.zip</x:t>
  </x:si>
  <x:si>
    <x:t xml:space="preserve">SMW: The Creator</x:t>
  </x:si>
  <x:si>
    <x:t xml:space="preserve">8843</x:t>
  </x:si>
  <x:si>
    <x:t xml:space="preserve">https://www.smwcentral.net/?a=details&amp;id=8843&amp;p=section</x:t>
  </x:si>
  <x:si>
    <x:t xml:space="preserve">https://dl.smwcentral.net/8843/The%20Creator%20%5Bv1.1%5D.zip</x:t>
  </x:si>
  <x:si>
    <x:t xml:space="preserve">SMW: Yoshi's Super Adventure</x:t>
  </x:si>
  <x:si>
    <x:t xml:space="preserve">aroohwahoou</x:t>
  </x:si>
  <x:si>
    <x:t xml:space="preserve">39103</x:t>
  </x:si>
  <x:si>
    <x:t xml:space="preserve">https://www.smwcentral.net/?a=details&amp;id=39103&amp;p=section</x:t>
  </x:si>
  <x:si>
    <x:t xml:space="preserve">https://dl.smwcentral.net/39103/SMW%20Yoshis%20Super%20Adventure%20v1.0.1.zip</x:t>
  </x:si>
  <x:si>
    <x:t xml:space="preserve">SMWHacking.de Collab</x:t>
  </x:si>
  <x:si>
    <x:t xml:space="preserve">EliteBellic, LP-Err0r, Reggiamoto, Robju, ShUriK KiD, Shog, kooooopa, wye</x:t>
  </x:si>
  <x:si>
    <x:t xml:space="preserve">10336</x:t>
  </x:si>
  <x:si>
    <x:t xml:space="preserve">https://www.smwcentral.net/?a=details&amp;id=10336&amp;p=section</x:t>
  </x:si>
  <x:si>
    <x:t xml:space="preserve">https://dl.smwcentral.net/10336/SMWHcollab.zip</x:t>
  </x:si>
  <x:si>
    <x:t xml:space="preserve">SMWHacking.de Collab ½</x:t>
  </x:si>
  <x:si>
    <x:t xml:space="preserve">Luks, RedAstaire, ShUriK KiD, Wysey, neidoodle, wye</x:t>
  </x:si>
  <x:si>
    <x:t xml:space="preserve">14465</x:t>
  </x:si>
  <x:si>
    <x:t xml:space="preserve">https://www.smwcentral.net/?a=details&amp;id=14465&amp;p=section</x:t>
  </x:si>
  <x:si>
    <x:t xml:space="preserve">https://dl.smwcentral.net/14465/SMWHcollab_1_2.zip</x:t>
  </x:si>
  <x:si>
    <x:t xml:space="preserve">SMWLV</x:t>
  </x:si>
  <x:si>
    <x:t xml:space="preserve">Gabriel12102673</x:t>
  </x:si>
  <x:si>
    <x:t xml:space="preserve">24783</x:t>
  </x:si>
  <x:si>
    <x:t xml:space="preserve">https://www.smwcentral.net/?a=details&amp;id=24783&amp;p=section</x:t>
  </x:si>
  <x:si>
    <x:t xml:space="preserve">https://dl.smwcentral.net/24783/SMWLV%20%28DEMO%29.zip</x:t>
  </x:si>
  <x:si>
    <x:t xml:space="preserve">Sniggerbobble's Nightmare: Randor's Inside Story</x:t>
  </x:si>
  <x:si>
    <x:t xml:space="preserve">Chikane</x:t>
  </x:si>
  <x:si>
    <x:t xml:space="preserve">5275</x:t>
  </x:si>
  <x:si>
    <x:t xml:space="preserve">https://www.smwcentral.net/?a=details&amp;id=5275&amp;p=section</x:t>
  </x:si>
  <x:si>
    <x:t xml:space="preserve">https://dl.smwcentral.net/5275/RiS%20Demo%201.zip</x:t>
  </x:si>
  <x:si>
    <x:t xml:space="preserve">Snoman's Land</x:t>
  </x:si>
  <x:si>
    <x:t xml:space="preserve">23383</x:t>
  </x:si>
  <x:si>
    <x:t xml:space="preserve">https://www.smwcentral.net/?a=details&amp;id=23383&amp;p=section</x:t>
  </x:si>
  <x:si>
    <x:t xml:space="preserve">https://dl.smwcentral.net/23383/Snoman%27s%20Land%20v1.2.zip</x:t>
  </x:si>
  <x:si>
    <x:t xml:space="preserve">Solar Eclipse World</x:t>
  </x:si>
  <x:si>
    <x:t xml:space="preserve">16084</x:t>
  </x:si>
  <x:si>
    <x:t xml:space="preserve">https://www.smwcentral.net/?a=details&amp;id=16084&amp;p=section</x:t>
  </x:si>
  <x:si>
    <x:t xml:space="preserve">https://dl.smwcentral.net/16084/Solar%20Eclipse%20World.zip</x:t>
  </x:si>
  <x:si>
    <x:t xml:space="preserve">Some Assembly Required</x:t>
  </x:si>
  <x:si>
    <x:t xml:space="preserve">Shuttles</x:t>
  </x:si>
  <x:si>
    <x:t xml:space="preserve">22030</x:t>
  </x:si>
  <x:si>
    <x:t xml:space="preserve">https://www.smwcentral.net/?a=details&amp;id=22030&amp;p=section</x:t>
  </x:si>
  <x:si>
    <x:t xml:space="preserve">https://dl.smwcentral.net/22030/SAR_v1.1.zip</x:t>
  </x:si>
  <x:si>
    <x:t xml:space="preserve">Something</x:t>
  </x:si>
  <x:si>
    <x:t xml:space="preserve">yogui</x:t>
  </x:si>
  <x:si>
    <x:t xml:space="preserve">29548</x:t>
  </x:si>
  <x:si>
    <x:t xml:space="preserve">https://www.smwcentral.net/?a=details&amp;id=29548&amp;p=section</x:t>
  </x:si>
  <x:si>
    <x:t xml:space="preserve">https://dl.smwcentral.net/29548/Something.zip</x:t>
  </x:si>
  <x:si>
    <x:t xml:space="preserve">Something Else</x:t>
  </x:si>
  <x:si>
    <x:t xml:space="preserve">6304</x:t>
  </x:si>
  <x:si>
    <x:t xml:space="preserve">https://www.smwcentral.net/?a=details&amp;id=6304&amp;p=section</x:t>
  </x:si>
  <x:si>
    <x:t xml:space="preserve">https://dl.smwcentral.net/6304/Something%20else%20.zip</x:t>
  </x:si>
  <x:si>
    <x:t xml:space="preserve">Song's to Die to</x:t>
  </x:si>
  <x:si>
    <x:t xml:space="preserve">YukiHidden</x:t>
  </x:si>
  <x:si>
    <x:t xml:space="preserve">41656</x:t>
  </x:si>
  <x:si>
    <x:t xml:space="preserve">https://www.smwcentral.net/?a=details&amp;id=41656&amp;p=section</x:t>
  </x:si>
  <x:si>
    <x:t xml:space="preserve">https://dl.smwcentral.net/41656/Song%27s%20to%20die%20to.zip</x:t>
  </x:si>
  <x:si>
    <x:t xml:space="preserve">Sonic Epic World</x:t>
  </x:si>
  <x:si>
    <x:t xml:space="preserve">37784</x:t>
  </x:si>
  <x:si>
    <x:t xml:space="preserve">https://www.smwcentral.net/?a=details&amp;id=37784&amp;p=section</x:t>
  </x:si>
  <x:si>
    <x:t xml:space="preserve">https://dl.smwcentral.net/37784/Sonic%20Epic%20World.zip</x:t>
  </x:si>
  <x:si>
    <x:t xml:space="preserve">Sonic Kaizo World</x:t>
  </x:si>
  <x:si>
    <x:t xml:space="preserve">42582</x:t>
  </x:si>
  <x:si>
    <x:t xml:space="preserve">https://www.smwcentral.net/?a=details&amp;id=42582&amp;p=section</x:t>
  </x:si>
  <x:si>
    <x:t xml:space="preserve">https://dl.smwcentral.net/42582/Sonic%20Kaizo%20World.zip</x:t>
  </x:si>
  <x:si>
    <x:t xml:space="preserve">Sonic the Hedgehog 2 Kaizo Version</x:t>
  </x:si>
  <x:si>
    <x:t xml:space="preserve">37804</x:t>
  </x:si>
  <x:si>
    <x:t xml:space="preserve">https://www.smwcentral.net/?a=details&amp;id=37804&amp;p=section</x:t>
  </x:si>
  <x:si>
    <x:t xml:space="preserve">https://dl.smwcentral.net/37804/Sonic%202%20But%20Kaizo.zip</x:t>
  </x:si>
  <x:si>
    <x:t xml:space="preserve">Sonic the Hedgehog Kaizo Version</x:t>
  </x:si>
  <x:si>
    <x:t xml:space="preserve">39188</x:t>
  </x:si>
  <x:si>
    <x:t xml:space="preserve">https://www.smwcentral.net/?a=details&amp;id=39188&amp;p=section</x:t>
  </x:si>
  <x:si>
    <x:t xml:space="preserve">https://dl.smwcentral.net/39188/Sonic%20in%20a%20Kaizo%20World.zip</x:t>
  </x:si>
  <x:si>
    <x:t xml:space="preserve">Sonic's Adventure in Mushroom Kingdom</x:t>
  </x:si>
  <x:si>
    <x:t xml:space="preserve">MidniteMilo82</x:t>
  </x:si>
  <x:si>
    <x:t xml:space="preserve">28598</x:t>
  </x:si>
  <x:si>
    <x:t xml:space="preserve">https://www.smwcentral.net/?a=details&amp;id=28598&amp;p=section</x:t>
  </x:si>
  <x:si>
    <x:t xml:space="preserve">https://dl.smwcentral.net/28598/SAiMK.zip</x:t>
  </x:si>
  <x:si>
    <x:t xml:space="preserve">Sophies Crown</x:t>
  </x:si>
  <x:si>
    <x:t xml:space="preserve">ScatmanJones49</x:t>
  </x:si>
  <x:si>
    <x:t xml:space="preserve">27342</x:t>
  </x:si>
  <x:si>
    <x:t xml:space="preserve">https://www.smwcentral.net/?a=details&amp;id=27342&amp;p=section</x:t>
  </x:si>
  <x:si>
    <x:t xml:space="preserve">https://dl.smwcentral.net/27342/sophiescrown.zip</x:t>
  </x:si>
  <x:si>
    <x:t xml:space="preserve">Sorrow &amp; Misery</x:t>
  </x:si>
  <x:si>
    <x:t xml:space="preserve">JokerGamerOk</x:t>
  </x:si>
  <x:si>
    <x:t xml:space="preserve">31450</x:t>
  </x:si>
  <x:si>
    <x:t xml:space="preserve">https://www.smwcentral.net/?a=details&amp;id=31450&amp;p=section</x:t>
  </x:si>
  <x:si>
    <x:t xml:space="preserve">https://dl.smwcentral.net/31450/Sorrow_and_Misery.zip</x:t>
  </x:si>
  <x:si>
    <x:t xml:space="preserve">Sortes Biblicae</x:t>
  </x:si>
  <x:si>
    <x:t xml:space="preserve">31961</x:t>
  </x:si>
  <x:si>
    <x:t xml:space="preserve">https://www.smwcentral.net/?a=details&amp;id=31961&amp;p=section</x:t>
  </x:si>
  <x:si>
    <x:t xml:space="preserve">https://dl.smwcentral.net/31961/sortesbiblicae1.666.zip</x:t>
  </x:si>
  <x:si>
    <x:t xml:space="preserve">Soup or Solstng World</x:t>
  </x:si>
  <x:si>
    <x:t xml:space="preserve">21740</x:t>
  </x:si>
  <x:si>
    <x:t xml:space="preserve">https://www.smwcentral.net/?a=details&amp;id=21740&amp;p=section</x:t>
  </x:si>
  <x:si>
    <x:t xml:space="preserve">https://dl.smwcentral.net/21740/Soup%20or%20Solstng%20World%201.1.zip</x:t>
  </x:si>
  <x:si>
    <x:t xml:space="preserve">South Point Hotel</x:t>
  </x:si>
  <x:si>
    <x:t xml:space="preserve">29721</x:t>
  </x:si>
  <x:si>
    <x:t xml:space="preserve">https://www.smwcentral.net/?a=details&amp;id=29721&amp;p=section</x:t>
  </x:si>
  <x:si>
    <x:t xml:space="preserve">https://dl.smwcentral.net/29721/South%20Point%20Hotel.zip</x:t>
  </x:si>
  <x:si>
    <x:t xml:space="preserve">SpaceDeluxe</x:t>
  </x:si>
  <x:si>
    <x:t xml:space="preserve">Breno Henrique</x:t>
  </x:si>
  <x:si>
    <x:t xml:space="preserve">41266</x:t>
  </x:si>
  <x:si>
    <x:t xml:space="preserve">https://www.smwcentral.net/?a=details&amp;id=41266&amp;p=section</x:t>
  </x:si>
  <x:si>
    <x:t xml:space="preserve">https://dl.smwcentral.net/41266/SpaceDeluxe.zip</x:t>
  </x:si>
  <x:si>
    <x:t xml:space="preserve">Spatial Whirl</x:t>
  </x:si>
  <x:si>
    <x:t xml:space="preserve">37876</x:t>
  </x:si>
  <x:si>
    <x:t xml:space="preserve">https://www.smwcentral.net/?a=details&amp;id=37876&amp;p=section</x:t>
  </x:si>
  <x:si>
    <x:t xml:space="preserve">https://dl.smwcentral.net/37876/Spatial%20Whirl.zip</x:t>
  </x:si>
  <x:si>
    <x:t xml:space="preserve">Special Moves</x:t>
  </x:si>
  <x:si>
    <x:t xml:space="preserve">marvisjj</x:t>
  </x:si>
  <x:si>
    <x:t xml:space="preserve">41529</x:t>
  </x:si>
  <x:si>
    <x:t xml:space="preserve">https://www.smwcentral.net/?a=details&amp;id=41529&amp;p=section</x:t>
  </x:si>
  <x:si>
    <x:t xml:space="preserve">https://dl.smwcentral.net/41529/Special%20Moves.zip</x:t>
  </x:si>
  <x:si>
    <x:t xml:space="preserve">Special World Escape</x:t>
  </x:si>
  <x:si>
    <x:t xml:space="preserve">41361</x:t>
  </x:si>
  <x:si>
    <x:t xml:space="preserve">https://www.smwcentral.net/?a=details&amp;id=41361&amp;p=section</x:t>
  </x:si>
  <x:si>
    <x:t xml:space="preserve">https://dl.smwcentral.net/41361/Special%20World%20Escape.zip</x:t>
  </x:si>
  <x:si>
    <x:t xml:space="preserve">Special World Overtakes</x:t>
  </x:si>
  <x:si>
    <x:t xml:space="preserve">10219</x:t>
  </x:si>
  <x:si>
    <x:t xml:space="preserve">https://www.smwcentral.net/?a=details&amp;id=10219&amp;p=section</x:t>
  </x:si>
  <x:si>
    <x:t xml:space="preserve">https://dl.smwcentral.net/10219/Special%20World%20Overtakes%20V1.3.zip</x:t>
  </x:si>
  <x:si>
    <x:t xml:space="preserve">Special World?</x:t>
  </x:si>
  <x:si>
    <x:t xml:space="preserve">6760</x:t>
  </x:si>
  <x:si>
    <x:t xml:space="preserve">https://www.smwcentral.net/?a=details&amp;id=6760&amp;p=section</x:t>
  </x:si>
  <x:si>
    <x:t xml:space="preserve">https://dl.smwcentral.net/6760/Special%20World%20Demo%200.1.3.zip</x:t>
  </x:si>
  <x:si>
    <x:t xml:space="preserve">Speed Shell</x:t>
  </x:si>
  <x:si>
    <x:t xml:space="preserve">26381</x:t>
  </x:si>
  <x:si>
    <x:t xml:space="preserve">https://www.smwcentral.net/?a=details&amp;id=26381&amp;p=section</x:t>
  </x:si>
  <x:si>
    <x:t xml:space="preserve">https://dl.smwcentral.net/26381/SpeedShell.zip</x:t>
  </x:si>
  <x:si>
    <x:t xml:space="preserve">Spesh Planet</x:t>
  </x:si>
  <x:si>
    <x:t xml:space="preserve">31344</x:t>
  </x:si>
  <x:si>
    <x:t xml:space="preserve">https://www.smwcentral.net/?a=details&amp;id=31344&amp;p=section</x:t>
  </x:si>
  <x:si>
    <x:t xml:space="preserve">https://dl.smwcentral.net/31344/Spesh%20Planet.zip</x:t>
  </x:si>
  <x:si>
    <x:t xml:space="preserve">Spesh Planet 2</x:t>
  </x:si>
  <x:si>
    <x:t xml:space="preserve">40229</x:t>
  </x:si>
  <x:si>
    <x:t xml:space="preserve">https://www.smwcentral.net/?a=details&amp;id=40229&amp;p=section</x:t>
  </x:si>
  <x:si>
    <x:t xml:space="preserve">https://dl.smwcentral.net/40229/Spesh%20Planet%202.zip</x:t>
  </x:si>
  <x:si>
    <x:t xml:space="preserve">Spiral Quiral</x:t>
  </x:si>
  <x:si>
    <x:t xml:space="preserve">Airbourne Bubblun</x:t>
  </x:si>
  <x:si>
    <x:t xml:space="preserve">5466</x:t>
  </x:si>
  <x:si>
    <x:t xml:space="preserve">https://www.smwcentral.net/?a=details&amp;id=5466&amp;p=section</x:t>
  </x:si>
  <x:si>
    <x:t xml:space="preserve">https://dl.smwcentral.net/5466/Spiral%20Quiral%20V2.2.zip</x:t>
  </x:si>
  <x:si>
    <x:t xml:space="preserve">Spiral Quiral Downgrade</x:t>
  </x:si>
  <x:si>
    <x:t xml:space="preserve">14631</x:t>
  </x:si>
  <x:si>
    <x:t xml:space="preserve">https://www.smwcentral.net/?a=details&amp;id=14631&amp;p=section</x:t>
  </x:si>
  <x:si>
    <x:t xml:space="preserve">https://dl.smwcentral.net/14631/Spiral%20Quiral%20Downgrade.zip</x:t>
  </x:si>
  <x:si>
    <x:t xml:space="preserve">Spiteful Mario</x:t>
  </x:si>
  <x:si>
    <x:t xml:space="preserve">38128</x:t>
  </x:si>
  <x:si>
    <x:t xml:space="preserve">https://www.smwcentral.net/?a=details&amp;id=38128&amp;p=section</x:t>
  </x:si>
  <x:si>
    <x:t xml:space="preserve">https://dl.smwcentral.net/38128/Spitefulmarioupdate.zip</x:t>
  </x:si>
  <x:si>
    <x:t xml:space="preserve">Sponge World</x:t>
  </x:si>
  <x:si>
    <x:t xml:space="preserve">iraxviii</x:t>
  </x:si>
  <x:si>
    <x:t xml:space="preserve">38195</x:t>
  </x:si>
  <x:si>
    <x:t xml:space="preserve">https://www.smwcentral.net/?a=details&amp;id=38195&amp;p=section</x:t>
  </x:si>
  <x:si>
    <x:t xml:space="preserve">https://dl.smwcentral.net/38195/Sponge%20World.zip</x:t>
  </x:si>
  <x:si>
    <x:t xml:space="preserve">SPOT</x:t>
  </x:si>
  <x:si>
    <x:t xml:space="preserve">37136</x:t>
  </x:si>
  <x:si>
    <x:t xml:space="preserve">https://www.smwcentral.net/?a=details&amp;id=37136&amp;p=section</x:t>
  </x:si>
  <x:si>
    <x:t xml:space="preserve">https://dl.smwcentral.net/37136/SPOT%20%28demo%29.zip</x:t>
  </x:si>
  <x:si>
    <x:t xml:space="preserve">Sprites Are 1derful</x:t>
  </x:si>
  <x:si>
    <x:t xml:space="preserve">37616</x:t>
  </x:si>
  <x:si>
    <x:t xml:space="preserve">https://www.smwcentral.net/?a=details&amp;id=37616&amp;p=section</x:t>
  </x:si>
  <x:si>
    <x:t xml:space="preserve">https://dl.smwcentral.net/37616/SpritesAre1derful1_1.zip</x:t>
  </x:si>
  <x:si>
    <x:t xml:space="preserve">Square</x:t>
  </x:si>
  <x:si>
    <x:t xml:space="preserve">22530</x:t>
  </x:si>
  <x:si>
    <x:t xml:space="preserve">https://www.smwcentral.net/?a=details&amp;id=22530&amp;p=section</x:t>
  </x:si>
  <x:si>
    <x:t xml:space="preserve">https://dl.smwcentral.net/22530/Square.zip</x:t>
  </x:si>
  <x:si>
    <x:t xml:space="preserve">SRE X - Kaizo Race</x:t>
  </x:si>
  <x:si>
    <x:t xml:space="preserve">38560</x:t>
  </x:si>
  <x:si>
    <x:t xml:space="preserve">https://www.smwcentral.net/?a=details&amp;id=38560&amp;p=section</x:t>
  </x:si>
  <x:si>
    <x:t xml:space="preserve">https://dl.smwcentral.net/38560/SRE%20X.zip</x:t>
  </x:si>
  <x:si>
    <x:t xml:space="preserve">Staccato</x:t>
  </x:si>
  <x:si>
    <x:t xml:space="preserve">28370</x:t>
  </x:si>
  <x:si>
    <x:t xml:space="preserve">https://www.smwcentral.net/?a=details&amp;id=28370&amp;p=section</x:t>
  </x:si>
  <x:si>
    <x:t xml:space="preserve">https://dl.smwcentral.net/28370/Staccato.zip</x:t>
  </x:si>
  <x:si>
    <x:t xml:space="preserve">Stacks cafe</x:t>
  </x:si>
  <x:si>
    <x:t xml:space="preserve">39517</x:t>
  </x:si>
  <x:si>
    <x:t xml:space="preserve">https://www.smwcentral.net/?a=details&amp;id=39517&amp;p=section</x:t>
  </x:si>
  <x:si>
    <x:t xml:space="preserve">https://dl.smwcentral.net/39517/Stacks%20Cafe%20V1.0%20by%20Lush_50.zip</x:t>
  </x:si>
  <x:si>
    <x:t xml:space="preserve">Stackup (Demo #0)</x:t>
  </x:si>
  <x:si>
    <x:t xml:space="preserve">Katrina</x:t>
  </x:si>
  <x:si>
    <x:t xml:space="preserve">41326</x:t>
  </x:si>
  <x:si>
    <x:t xml:space="preserve">https://www.smwcentral.net/?a=details&amp;id=41326&amp;p=section</x:t>
  </x:si>
  <x:si>
    <x:t xml:space="preserve">https://dl.smwcentral.net/41326/stackup.zip</x:t>
  </x:si>
  <x:si>
    <x:t xml:space="preserve">Stand Tall and Shake the Heavens</x:t>
  </x:si>
  <x:si>
    <x:t xml:space="preserve">24320</x:t>
  </x:si>
  <x:si>
    <x:t xml:space="preserve">https://www.smwcentral.net/?a=details&amp;id=24320&amp;p=section</x:t>
  </x:si>
  <x:si>
    <x:t xml:space="preserve">https://dl.smwcentral.net/24320/Stand%20Tall%20v1.2.zip</x:t>
  </x:si>
  <x:si>
    <x:t xml:space="preserve">Standard SMW ROM Hack</x:t>
  </x:si>
  <x:si>
    <x:t xml:space="preserve">Denicentek</x:t>
  </x:si>
  <x:si>
    <x:t xml:space="preserve">23490</x:t>
  </x:si>
  <x:si>
    <x:t xml:space="preserve">https://www.smwcentral.net/?a=details&amp;id=23490&amp;p=section</x:t>
  </x:si>
  <x:si>
    <x:t xml:space="preserve">https://dl.smwcentral.net/23490/Standard%20SMW%20ROM%20Hack%20%28Fixed%20Demo%29.bps.zip</x:t>
  </x:si>
  <x:si>
    <x:t xml:space="preserve">Stardust</x:t>
  </x:si>
  <x:si>
    <x:t xml:space="preserve">26923</x:t>
  </x:si>
  <x:si>
    <x:t xml:space="preserve">https://www.smwcentral.net/?a=details&amp;id=26923&amp;p=section</x:t>
  </x:si>
  <x:si>
    <x:t xml:space="preserve">https://dl.smwcentral.net/26923/Stardust1.1.zip</x:t>
  </x:si>
  <x:si>
    <x:t xml:space="preserve">Starting with Kaizo</x:t>
  </x:si>
  <x:si>
    <x:t xml:space="preserve">40438</x:t>
  </x:si>
  <x:si>
    <x:t xml:space="preserve">https://www.smwcentral.net/?a=details&amp;id=40438&amp;p=section</x:t>
  </x:si>
  <x:si>
    <x:t xml:space="preserve">https://dl.smwcentral.net/40438/Starting%20with%20Kaizo.zip</x:t>
  </x:si>
  <x:si>
    <x:t xml:space="preserve">Starting with Kaizo 2</x:t>
  </x:si>
  <x:si>
    <x:t xml:space="preserve">42496</x:t>
  </x:si>
  <x:si>
    <x:t xml:space="preserve">https://www.smwcentral.net/?a=details&amp;id=42496&amp;p=section</x:t>
  </x:si>
  <x:si>
    <x:t xml:space="preserve">https://dl.smwcentral.net/42496/Starting%20with%20Kaizo%202%20-%201.0.1.zip</x:t>
  </x:si>
  <x:si>
    <x:t xml:space="preserve">HousemeisterHD</x:t>
  </x:si>
  <x:si>
    <x:t xml:space="preserve">41376</x:t>
  </x:si>
  <x:si>
    <x:t xml:space="preserve">https://www.smwcentral.net/?a=details&amp;id=41376&amp;p=section</x:t>
  </x:si>
  <x:si>
    <x:t xml:space="preserve">https://dl.smwcentral.net/41376/Staycation.zip</x:t>
  </x:si>
  <x:si>
    <x:t xml:space="preserve">Steamboat Mario</x:t>
  </x:si>
  <x:si>
    <x:t xml:space="preserve">31286</x:t>
  </x:si>
  <x:si>
    <x:t xml:space="preserve">https://www.smwcentral.net/?a=details&amp;id=31286&amp;p=section</x:t>
  </x:si>
  <x:si>
    <x:t xml:space="preserve">https://dl.smwcentral.net/31286/Steamboat%20Mario.zip</x:t>
  </x:si>
  <x:si>
    <x:t xml:space="preserve">Steid's Hack</x:t>
  </x:si>
  <x:si>
    <x:t xml:space="preserve">Steid</x:t>
  </x:si>
  <x:si>
    <x:t xml:space="preserve">33561</x:t>
  </x:si>
  <x:si>
    <x:t xml:space="preserve">https://www.smwcentral.net/?a=details&amp;id=33561&amp;p=section</x:t>
  </x:si>
  <x:si>
    <x:t xml:space="preserve">https://dl.smwcentral.net/33561/Steid%27s%20Hack.zip</x:t>
  </x:si>
  <x:si>
    <x:t xml:space="preserve">Steven's Strangest Day</x:t>
  </x:si>
  <x:si>
    <x:t xml:space="preserve">35213</x:t>
  </x:si>
  <x:si>
    <x:t xml:space="preserve">https://www.smwcentral.net/?a=details&amp;id=35213&amp;p=section</x:t>
  </x:si>
  <x:si>
    <x:t xml:space="preserve">https://dl.smwcentral.net/35213/Steven%20BPS.zip</x:t>
  </x:si>
  <x:si>
    <x:t xml:space="preserve">stick mice in my head and then beat my head in with a hammer and let them back out</x:t>
  </x:si>
  <x:si>
    <x:t xml:space="preserve">Christina Hendricks, JUMP Team</x:t>
  </x:si>
  <x:si>
    <x:t xml:space="preserve">17105</x:t>
  </x:si>
  <x:si>
    <x:t xml:space="preserve">https://www.smwcentral.net/?a=details&amp;id=17105&amp;p=section</x:t>
  </x:si>
  <x:si>
    <x:t xml:space="preserve">https://dl.smwcentral.net/17105/mice.zip</x:t>
  </x:si>
  <x:si>
    <x:t xml:space="preserve">Stick This Up Your Pipe!</x:t>
  </x:si>
  <x:si>
    <x:t xml:space="preserve">33781</x:t>
  </x:si>
  <x:si>
    <x:t xml:space="preserve">https://www.smwcentral.net/?a=details&amp;id=33781&amp;p=section</x:t>
  </x:si>
  <x:si>
    <x:t xml:space="preserve">https://dl.smwcentral.net/33781/Stick%20This%20Up%20Your%20Pipe%21.zip</x:t>
  </x:si>
  <x:si>
    <x:t xml:space="preserve">Storks and Apes and Crocodiles</x:t>
  </x:si>
  <x:si>
    <x:t xml:space="preserve">27282</x:t>
  </x:si>
  <x:si>
    <x:t xml:space="preserve">https://www.smwcentral.net/?a=details&amp;id=27282&amp;p=section</x:t>
  </x:si>
  <x:si>
    <x:t xml:space="preserve">https://dl.smwcentral.net/27282/apes1.14.zip</x:t>
  </x:si>
  <x:si>
    <x:t xml:space="preserve">Story of Peiton</x:t>
  </x:si>
  <x:si>
    <x:t xml:space="preserve">12718</x:t>
  </x:si>
  <x:si>
    <x:t xml:space="preserve">https://www.smwcentral.net/?a=details&amp;id=12718&amp;p=section</x:t>
  </x:si>
  <x:si>
    <x:t xml:space="preserve">https://dl.smwcentral.net/12718/StoryOfPeitonDEMO4.zip</x:t>
  </x:si>
  <x:si>
    <x:t xml:space="preserve">Straight Shellin'</x:t>
  </x:si>
  <x:si>
    <x:t xml:space="preserve">RedPandaa_</x:t>
  </x:si>
  <x:si>
    <x:t xml:space="preserve">41092</x:t>
  </x:si>
  <x:si>
    <x:t xml:space="preserve">https://www.smwcentral.net/?a=details&amp;id=41092&amp;p=section</x:t>
  </x:si>
  <x:si>
    <x:t xml:space="preserve">https://dl.smwcentral.net/41092/Straight%20Shellin%27.zip</x:t>
  </x:si>
  <x:si>
    <x:t xml:space="preserve">Stranded</x:t>
  </x:si>
  <x:si>
    <x:t xml:space="preserve">4975</x:t>
  </x:si>
  <x:si>
    <x:t xml:space="preserve">https://www.smwcentral.net/?a=details&amp;id=4975&amp;p=section</x:t>
  </x:si>
  <x:si>
    <x:t xml:space="preserve">https://dl.smwcentral.net/4975/stranded.zip</x:t>
  </x:si>
  <x:si>
    <x:t xml:space="preserve">Strange Mario World</x:t>
  </x:si>
  <x:si>
    <x:t xml:space="preserve">Acmlm</x:t>
  </x:si>
  <x:si>
    <x:t xml:space="preserve">9758</x:t>
  </x:si>
  <x:si>
    <x:t xml:space="preserve">https://www.smwcentral.net/?a=details&amp;id=9758&amp;p=section</x:t>
  </x:si>
  <x:si>
    <x:t xml:space="preserve">https://dl.smwcentral.net/9758/Strange%20Mario%20World.zip</x:t>
  </x:si>
  <x:si>
    <x:t xml:space="preserve">Stratfinder</x:t>
  </x:si>
  <x:si>
    <x:t xml:space="preserve">28333</x:t>
  </x:si>
  <x:si>
    <x:t xml:space="preserve">https://www.smwcentral.net/?a=details&amp;id=28333&amp;p=section</x:t>
  </x:si>
  <x:si>
    <x:t xml:space="preserve">https://dl.smwcentral.net/28333/stratfinder.zip</x:t>
  </x:si>
  <x:si>
    <x:t xml:space="preserve">Streak of Tigers</x:t>
  </x:si>
  <x:si>
    <x:t xml:space="preserve">26815</x:t>
  </x:si>
  <x:si>
    <x:t xml:space="preserve">https://www.smwcentral.net/?a=details&amp;id=26815&amp;p=section</x:t>
  </x:si>
  <x:si>
    <x:t xml:space="preserve">https://dl.smwcentral.net/26815/Streak%20of%20Tigers%201.1.zip</x:t>
  </x:si>
  <x:si>
    <x:t xml:space="preserve">Streak of Tigers 2</x:t>
  </x:si>
  <x:si>
    <x:t xml:space="preserve">27331</x:t>
  </x:si>
  <x:si>
    <x:t xml:space="preserve">https://www.smwcentral.net/?a=details&amp;id=27331&amp;p=section</x:t>
  </x:si>
  <x:si>
    <x:t xml:space="preserve">https://dl.smwcentral.net/27331/Streak%20of%20Tigers%202.zip</x:t>
  </x:si>
  <x:si>
    <x:t xml:space="preserve">Studies of a broken engine</x:t>
  </x:si>
  <x:si>
    <x:t xml:space="preserve">28464</x:t>
  </x:si>
  <x:si>
    <x:t xml:space="preserve">https://www.smwcentral.net/?a=details&amp;id=28464&amp;p=section</x:t>
  </x:si>
  <x:si>
    <x:t xml:space="preserve">https://dl.smwcentral.net/28464/Studies_of_a_broken_engine.zip</x:t>
  </x:si>
  <x:si>
    <x:t xml:space="preserve">Subpar Mario World</x:t>
  </x:si>
  <x:si>
    <x:t xml:space="preserve">19914</x:t>
  </x:si>
  <x:si>
    <x:t xml:space="preserve">https://www.smwcentral.net/?a=details&amp;id=19914&amp;p=section</x:t>
  </x:si>
  <x:si>
    <x:t xml:space="preserve">https://dl.smwcentral.net/19914/Subpar_Mario_World_v1.0.zip</x:t>
  </x:si>
  <x:si>
    <x:t xml:space="preserve">Summer</x:t>
  </x:si>
  <x:si>
    <x:t xml:space="preserve">35655</x:t>
  </x:si>
  <x:si>
    <x:t xml:space="preserve">https://www.smwcentral.net/?a=details&amp;id=35655&amp;p=section</x:t>
  </x:si>
  <x:si>
    <x:t xml:space="preserve">https://dl.smwcentral.net/35655/Summer.zip</x:t>
  </x:si>
  <x:si>
    <x:t xml:space="preserve">Summer Season</x:t>
  </x:si>
  <x:si>
    <x:t xml:space="preserve">14202</x:t>
  </x:si>
  <x:si>
    <x:t xml:space="preserve">https://www.smwcentral.net/?a=details&amp;id=14202&amp;p=section</x:t>
  </x:si>
  <x:si>
    <x:t xml:space="preserve">https://dl.smwcentral.net/14202/Summer%20Season%20V.1.05.zip</x:t>
  </x:si>
  <x:si>
    <x:t xml:space="preserve">Sunny Side World</x:t>
  </x:si>
  <x:si>
    <x:t xml:space="preserve">cwiarl</x:t>
  </x:si>
  <x:si>
    <x:t xml:space="preserve">5024</x:t>
  </x:si>
  <x:si>
    <x:t xml:space="preserve">https://www.smwcentral.net/?a=details&amp;id=5024&amp;p=section</x:t>
  </x:si>
  <x:si>
    <x:t xml:space="preserve">https://dl.smwcentral.net/5024/ssworld.zip</x:t>
  </x:si>
  <x:si>
    <x:t xml:space="preserve">Super "Mario" World</x:t>
  </x:si>
  <x:si>
    <x:t xml:space="preserve">5443</x:t>
  </x:si>
  <x:si>
    <x:t xml:space="preserve">https://www.smwcentral.net/?a=details&amp;id=5443&amp;p=section</x:t>
  </x:si>
  <x:si>
    <x:t xml:space="preserve">https://dl.smwcentral.net/5443/1UPSuperMarioWorld.zip</x:t>
  </x:si>
  <x:si>
    <x:t xml:space="preserve">Super "Mario" World 2</x:t>
  </x:si>
  <x:si>
    <x:t xml:space="preserve">10252</x:t>
  </x:si>
  <x:si>
    <x:t xml:space="preserve">https://www.smwcentral.net/?a=details&amp;id=10252&amp;p=section</x:t>
  </x:si>
  <x:si>
    <x:t xml:space="preserve">https://dl.smwcentral.net/10252/SuperMWV4.zip</x:t>
  </x:si>
  <x:si>
    <x:t xml:space="preserve">Super "Sonic Saves the World" World</x:t>
  </x:si>
  <x:si>
    <x:t xml:space="preserve">32893</x:t>
  </x:si>
  <x:si>
    <x:t xml:space="preserve">https://www.smwcentral.net/?a=details&amp;id=32893&amp;p=section</x:t>
  </x:si>
  <x:si>
    <x:t xml:space="preserve">https://dl.smwcentral.net/32893/Super%20%27Sonic%20Saves%20the%20World%27%20World.zip</x:t>
  </x:si>
  <x:si>
    <x:t xml:space="preserve">Super Adam World</x:t>
  </x:si>
  <x:si>
    <x:t xml:space="preserve">kellykelster</x:t>
  </x:si>
  <x:si>
    <x:t xml:space="preserve">24931</x:t>
  </x:si>
  <x:si>
    <x:t xml:space="preserve">https://www.smwcentral.net/?a=details&amp;id=24931&amp;p=section</x:t>
  </x:si>
  <x:si>
    <x:t xml:space="preserve">https://dl.smwcentral.net/24931/adamworld.zip</x:t>
  </x:si>
  <x:si>
    <x:t xml:space="preserve">Super Alabama Beach Mouse</x:t>
  </x:si>
  <x:si>
    <x:t xml:space="preserve">37478</x:t>
  </x:si>
  <x:si>
    <x:t xml:space="preserve">https://www.smwcentral.net/?a=details&amp;id=37478&amp;p=section</x:t>
  </x:si>
  <x:si>
    <x:t xml:space="preserve">https://dl.smwcentral.net/37478/Super%20Alabama%20Beach%20Mouse.zip</x:t>
  </x:si>
  <x:si>
    <x:t xml:space="preserve">Super Alex Demo</x:t>
  </x:si>
  <x:si>
    <x:t xml:space="preserve">Ding_Dong</x:t>
  </x:si>
  <x:si>
    <x:t xml:space="preserve">42415</x:t>
  </x:si>
  <x:si>
    <x:t xml:space="preserve">https://www.smwcentral.net/?a=details&amp;id=42415&amp;p=section</x:t>
  </x:si>
  <x:si>
    <x:t xml:space="preserve">https://dl.smwcentral.net/42415/Super%20Alex%20Demo.zip</x:t>
  </x:si>
  <x:si>
    <x:t xml:space="preserve">Super Alicorn Sisters: Return of the Tantabus (A My Little Pony hack)</x:t>
  </x:si>
  <x:si>
    <x:t xml:space="preserve">DPBOX</x:t>
  </x:si>
  <x:si>
    <x:t xml:space="preserve">19706</x:t>
  </x:si>
  <x:si>
    <x:t xml:space="preserve">https://www.smwcentral.net/?a=details&amp;id=19706&amp;p=section</x:t>
  </x:si>
  <x:si>
    <x:t xml:space="preserve">https://dl.smwcentral.net/19706/Super%20Alicorn%20Sisters%20Return%20of%20the%20Tantabus%20DEMO%200.05.2.zip</x:t>
  </x:si>
  <x:si>
    <x:t xml:space="preserve">Super Amazing World</x:t>
  </x:si>
  <x:si>
    <x:t xml:space="preserve">uyuyuy99</x:t>
  </x:si>
  <x:si>
    <x:t xml:space="preserve">9945</x:t>
  </x:si>
  <x:si>
    <x:t xml:space="preserve">https://www.smwcentral.net/?a=details&amp;id=9945&amp;p=section</x:t>
  </x:si>
  <x:si>
    <x:t xml:space="preserve">https://dl.smwcentral.net/9945/super_amazing_world4.zip</x:t>
  </x:si>
  <x:si>
    <x:t xml:space="preserve">Super Amethyst Rocks</x:t>
  </x:si>
  <x:si>
    <x:t xml:space="preserve">28818</x:t>
  </x:si>
  <x:si>
    <x:t xml:space="preserve">https://www.smwcentral.net/?a=details&amp;id=28818&amp;p=section</x:t>
  </x:si>
  <x:si>
    <x:t xml:space="preserve">https://dl.smwcentral.net/28818/Super%20Amethyst%20Rocks.zip</x:t>
  </x:si>
  <x:si>
    <x:t xml:space="preserve">Super Ario World</x:t>
  </x:si>
  <x:si>
    <x:t xml:space="preserve">seintiago</x:t>
  </x:si>
  <x:si>
    <x:t xml:space="preserve">34508</x:t>
  </x:si>
  <x:si>
    <x:t xml:space="preserve">https://www.smwcentral.net/?a=details&amp;id=34508&amp;p=section</x:t>
  </x:si>
  <x:si>
    <x:t xml:space="preserve">https://dl.smwcentral.net/34508/Super%20Ario%20World.zip</x:t>
  </x:si>
  <x:si>
    <x:t xml:space="preserve">Super BanzaiChuck World</x:t>
  </x:si>
  <x:si>
    <x:t xml:space="preserve">DoktorGroove</x:t>
  </x:si>
  <x:si>
    <x:t xml:space="preserve">41691</x:t>
  </x:si>
  <x:si>
    <x:t xml:space="preserve">https://www.smwcentral.net/?a=details&amp;id=41691&amp;p=section</x:t>
  </x:si>
  <x:si>
    <x:t xml:space="preserve">https://dl.smwcentral.net/41691/SBCW_V1_1.zip</x:t>
  </x:si>
  <x:si>
    <x:t xml:space="preserve">Super Beast World</x:t>
  </x:si>
  <x:si>
    <x:t xml:space="preserve">SuperBeastGN</x:t>
  </x:si>
  <x:si>
    <x:t xml:space="preserve">22519</x:t>
  </x:si>
  <x:si>
    <x:t xml:space="preserve">https://www.smwcentral.net/?a=details&amp;id=22519&amp;p=section</x:t>
  </x:si>
  <x:si>
    <x:t xml:space="preserve">https://dl.smwcentral.net/22519/Super%20Beast%20World%20v1.1.bps.zip</x:t>
  </x:si>
  <x:si>
    <x:t xml:space="preserve">Super Beco World</x:t>
  </x:si>
  <x:si>
    <x:t xml:space="preserve">SKAW Adri</x:t>
  </x:si>
  <x:si>
    <x:t xml:space="preserve">26187</x:t>
  </x:si>
  <x:si>
    <x:t xml:space="preserve">https://www.smwcentral.net/?a=details&amp;id=26187&amp;p=section</x:t>
  </x:si>
  <x:si>
    <x:t xml:space="preserve">https://dl.smwcentral.net/26187/Super%20Beco%20World.zip</x:t>
  </x:si>
  <x:si>
    <x:t xml:space="preserve">Super Beco World 2</x:t>
  </x:si>
  <x:si>
    <x:t xml:space="preserve">25055</x:t>
  </x:si>
  <x:si>
    <x:t xml:space="preserve">https://www.smwcentral.net/?a=details&amp;id=25055&amp;p=section</x:t>
  </x:si>
  <x:si>
    <x:t xml:space="preserve">https://dl.smwcentral.net/25055/Super%20Beco%20World%202.zip</x:t>
  </x:si>
  <x:si>
    <x:t xml:space="preserve">Super Beco World 3</x:t>
  </x:si>
  <x:si>
    <x:t xml:space="preserve">30305</x:t>
  </x:si>
  <x:si>
    <x:t xml:space="preserve">https://www.smwcentral.net/?a=details&amp;id=30305&amp;p=section</x:t>
  </x:si>
  <x:si>
    <x:t xml:space="preserve">https://dl.smwcentral.net/30305/Super%20Beco%20World%203%20v1.1.zip</x:t>
  </x:si>
  <x:si>
    <x:t xml:space="preserve">Super Big Super Shy World</x:t>
  </x:si>
  <x:si>
    <x:t xml:space="preserve">TaddyMason74</x:t>
  </x:si>
  <x:si>
    <x:t xml:space="preserve">30199</x:t>
  </x:si>
  <x:si>
    <x:t xml:space="preserve">https://www.smwcentral.net/?a=details&amp;id=30199&amp;p=section</x:t>
  </x:si>
  <x:si>
    <x:t xml:space="preserve">https://dl.smwcentral.net/30199/SBSSW1.31.zip</x:t>
  </x:si>
  <x:si>
    <x:t xml:space="preserve">Super Blooper</x:t>
  </x:si>
  <x:si>
    <x:t xml:space="preserve">Sonikku</x:t>
  </x:si>
  <x:si>
    <x:t xml:space="preserve">9642</x:t>
  </x:si>
  <x:si>
    <x:t xml:space="preserve">https://www.smwcentral.net/?a=details&amp;id=9642&amp;p=section</x:t>
  </x:si>
  <x:si>
    <x:t xml:space="preserve">https://dl.smwcentral.net/9642/SuperBlooperDemo1.zip</x:t>
  </x:si>
  <x:si>
    <x:t xml:space="preserve">Super Boonie World</x:t>
  </x:si>
  <x:si>
    <x:t xml:space="preserve">dubiousdinobot</x:t>
  </x:si>
  <x:si>
    <x:t xml:space="preserve">38415</x:t>
  </x:si>
  <x:si>
    <x:t xml:space="preserve">https://www.smwcentral.net/?a=details&amp;id=38415&amp;p=section</x:t>
  </x:si>
  <x:si>
    <x:t xml:space="preserve">https://dl.smwcentral.net/38415/Super%20Boonie%20World%20V1.2.zip</x:t>
  </x:si>
  <x:si>
    <x:t xml:space="preserve">Super Breh World</x:t>
  </x:si>
  <x:si>
    <x:t xml:space="preserve">MagikNinja, xDropTheHammer</x:t>
  </x:si>
  <x:si>
    <x:t xml:space="preserve">35008</x:t>
  </x:si>
  <x:si>
    <x:t xml:space="preserve">https://www.smwcentral.net/?a=details&amp;id=35008&amp;p=section</x:t>
  </x:si>
  <x:si>
    <x:t xml:space="preserve">https://dl.smwcentral.net/35008/SuperBrehWorldV.2.zip</x:t>
  </x:si>
  <x:si>
    <x:t xml:space="preserve">Super Broke World</x:t>
  </x:si>
  <x:si>
    <x:t xml:space="preserve">31821</x:t>
  </x:si>
  <x:si>
    <x:t xml:space="preserve">https://www.smwcentral.net/?a=details&amp;id=31821&amp;p=section</x:t>
  </x:si>
  <x:si>
    <x:t xml:space="preserve">https://dl.smwcentral.net/31821/Broke%20Fixed.zip</x:t>
  </x:si>
  <x:si>
    <x:t xml:space="preserve">Super Bulti World</x:t>
  </x:si>
  <x:si>
    <x:t xml:space="preserve">37921</x:t>
  </x:si>
  <x:si>
    <x:t xml:space="preserve">https://www.smwcentral.net/?a=details&amp;id=37921&amp;p=section</x:t>
  </x:si>
  <x:si>
    <x:t xml:space="preserve">https://dl.smwcentral.net/37921/Super%20Bulti%20World.zip</x:t>
  </x:si>
  <x:si>
    <x:t xml:space="preserve">Super Butt World 2</x:t>
  </x:si>
  <x:si>
    <x:t xml:space="preserve">17898</x:t>
  </x:si>
  <x:si>
    <x:t xml:space="preserve">https://www.smwcentral.net/?a=details&amp;id=17898&amp;p=section</x:t>
  </x:si>
  <x:si>
    <x:t xml:space="preserve">https://dl.smwcentral.net/17898/butt2.zip</x:t>
  </x:si>
  <x:si>
    <x:t xml:space="preserve">Super Challenge World</x:t>
  </x:si>
  <x:si>
    <x:t xml:space="preserve">Nigel K.</x:t>
  </x:si>
  <x:si>
    <x:t xml:space="preserve">9914</x:t>
  </x:si>
  <x:si>
    <x:t xml:space="preserve">https://www.smwcentral.net/?a=details&amp;id=9914&amp;p=section</x:t>
  </x:si>
  <x:si>
    <x:t xml:space="preserve">https://dl.smwcentral.net/9914/scw.zip</x:t>
  </x:si>
  <x:si>
    <x:t xml:space="preserve">Super Chambo World</x:t>
  </x:si>
  <x:si>
    <x:t xml:space="preserve">chester_fields</x:t>
  </x:si>
  <x:si>
    <x:t xml:space="preserve">30424</x:t>
  </x:si>
  <x:si>
    <x:t xml:space="preserve">https://www.smwcentral.net/?a=details&amp;id=30424&amp;p=section</x:t>
  </x:si>
  <x:si>
    <x:t xml:space="preserve">https://dl.smwcentral.net/30424/Super%20Chambo%20World%201.1.zip</x:t>
  </x:si>
  <x:si>
    <x:t xml:space="preserve">Super Cheer World</x:t>
  </x:si>
  <x:si>
    <x:t xml:space="preserve">19007</x:t>
  </x:si>
  <x:si>
    <x:t xml:space="preserve">https://www.smwcentral.net/?a=details&amp;id=19007&amp;p=section</x:t>
  </x:si>
  <x:si>
    <x:t xml:space="preserve">https://dl.smwcentral.net/19007/Super%20Cheer%20World.zip</x:t>
  </x:si>
  <x:si>
    <x:t xml:space="preserve">Super Chill World</x:t>
  </x:si>
  <x:si>
    <x:t xml:space="preserve">MellowYouth</x:t>
  </x:si>
  <x:si>
    <x:t xml:space="preserve">25008</x:t>
  </x:si>
  <x:si>
    <x:t xml:space="preserve">https://www.smwcentral.net/?a=details&amp;id=25008&amp;p=section</x:t>
  </x:si>
  <x:si>
    <x:t xml:space="preserve">https://dl.smwcentral.net/25008/Super%20Chill%20World%20v2.zip</x:t>
  </x:si>
  <x:si>
    <x:t xml:space="preserve">Super Chocolate: The Insane Islands</x:t>
  </x:si>
  <x:si>
    <x:t xml:space="preserve">Pozeal</x:t>
  </x:si>
  <x:si>
    <x:t xml:space="preserve">9727</x:t>
  </x:si>
  <x:si>
    <x:t xml:space="preserve">https://www.smwcentral.net/?a=details&amp;id=9727&amp;p=section</x:t>
  </x:si>
  <x:si>
    <x:t xml:space="preserve">https://dl.smwcentral.net/9727/Super%20Choco-The%20Insane%20Islands.zip</x:t>
  </x:si>
  <x:si>
    <x:t xml:space="preserve">Super Cindy World</x:t>
  </x:si>
  <x:si>
    <x:t xml:space="preserve">26197</x:t>
  </x:si>
  <x:si>
    <x:t xml:space="preserve">https://www.smwcentral.net/?a=details&amp;id=26197&amp;p=section</x:t>
  </x:si>
  <x:si>
    <x:t xml:space="preserve">https://dl.smwcentral.net/26197/SuperCindyWorld.zip</x:t>
  </x:si>
  <x:si>
    <x:t xml:space="preserve">Super Cindy World 2</x:t>
  </x:si>
  <x:si>
    <x:t xml:space="preserve">27116</x:t>
  </x:si>
  <x:si>
    <x:t xml:space="preserve">https://www.smwcentral.net/?a=details&amp;id=27116&amp;p=section</x:t>
  </x:si>
  <x:si>
    <x:t xml:space="preserve">https://dl.smwcentral.net/27116/Super%20Cindy%20World%202%20v1.03.zip</x:t>
  </x:si>
  <x:si>
    <x:t xml:space="preserve">Super Cindy World 3</x:t>
  </x:si>
  <x:si>
    <x:t xml:space="preserve">29715</x:t>
  </x:si>
  <x:si>
    <x:t xml:space="preserve">https://www.smwcentral.net/?a=details&amp;id=29715&amp;p=section</x:t>
  </x:si>
  <x:si>
    <x:t xml:space="preserve">https://dl.smwcentral.net/29715/SuperCindyWorld3.zip</x:t>
  </x:si>
  <x:si>
    <x:t xml:space="preserve">Super Compact World</x:t>
  </x:si>
  <x:si>
    <x:t xml:space="preserve">21323</x:t>
  </x:si>
  <x:si>
    <x:t xml:space="preserve">https://www.smwcentral.net/?a=details&amp;id=21323&amp;p=section</x:t>
  </x:si>
  <x:si>
    <x:t xml:space="preserve">https://dl.smwcentral.net/21323/Super%20Compact%20World%20Submission.zip</x:t>
  </x:si>
  <x:si>
    <x:t xml:space="preserve">Super Conan Land</x:t>
  </x:si>
  <x:si>
    <x:t xml:space="preserve">13833</x:t>
  </x:si>
  <x:si>
    <x:t xml:space="preserve">https://www.smwcentral.net/?a=details&amp;id=13833&amp;p=section</x:t>
  </x:si>
  <x:si>
    <x:t xml:space="preserve">https://dl.smwcentral.net/13833/SuperConanLand.zip</x:t>
  </x:si>
  <x:si>
    <x:t xml:space="preserve">Super Conan World</x:t>
  </x:si>
  <x:si>
    <x:t xml:space="preserve">18067</x:t>
  </x:si>
  <x:si>
    <x:t xml:space="preserve">https://www.smwcentral.net/?a=details&amp;id=18067&amp;p=section</x:t>
  </x:si>
  <x:si>
    <x:t xml:space="preserve">https://dl.smwcentral.net/18067/SCW.zip</x:t>
  </x:si>
  <x:si>
    <x:t xml:space="preserve">Super Cool World</x:t>
  </x:si>
  <x:si>
    <x:t xml:space="preserve">FerpyMcFrosting</x:t>
  </x:si>
  <x:si>
    <x:t xml:space="preserve">18738</x:t>
  </x:si>
  <x:si>
    <x:t xml:space="preserve">https://www.smwcentral.net/?a=details&amp;id=18738&amp;p=section</x:t>
  </x:si>
  <x:si>
    <x:t xml:space="preserve">https://dl.smwcentral.net/18738/Super%20Cool%20World%20v1.0.zip</x:t>
  </x:si>
  <x:si>
    <x:t xml:space="preserve">Super Corn World</x:t>
  </x:si>
  <x:si>
    <x:t xml:space="preserve">39453</x:t>
  </x:si>
  <x:si>
    <x:t xml:space="preserve">https://www.smwcentral.net/?a=details&amp;id=39453&amp;p=section</x:t>
  </x:si>
  <x:si>
    <x:t xml:space="preserve">https://dl.smwcentral.net/39453/Super%20Corn%20World.zip</x:t>
  </x:si>
  <x:si>
    <x:t xml:space="preserve">Super Corn World II</x:t>
  </x:si>
  <x:si>
    <x:t xml:space="preserve">39684</x:t>
  </x:si>
  <x:si>
    <x:t xml:space="preserve">https://www.smwcentral.net/?a=details&amp;id=39684&amp;p=section</x:t>
  </x:si>
  <x:si>
    <x:t xml:space="preserve">https://dl.smwcentral.net/39684/Super%20Corn%20World%20II.zip</x:t>
  </x:si>
  <x:si>
    <x:t xml:space="preserve">Super Corn World III</x:t>
  </x:si>
  <x:si>
    <x:t xml:space="preserve">39936</x:t>
  </x:si>
  <x:si>
    <x:t xml:space="preserve">https://www.smwcentral.net/?a=details&amp;id=39936&amp;p=section</x:t>
  </x:si>
  <x:si>
    <x:t xml:space="preserve">https://dl.smwcentral.net/39936/scw3.zip</x:t>
  </x:si>
  <x:si>
    <x:t xml:space="preserve">Super Corruptendo World: The Mini HAX</x:t>
  </x:si>
  <x:si>
    <x:t xml:space="preserve">Illusiyellow</x:t>
  </x:si>
  <x:si>
    <x:t xml:space="preserve">9637</x:t>
  </x:si>
  <x:si>
    <x:t xml:space="preserve">https://www.smwcentral.net/?a=details&amp;id=9637&amp;p=section</x:t>
  </x:si>
  <x:si>
    <x:t xml:space="preserve">https://dl.smwcentral.net/9637/SCW_The_Mini_Hacks.zip</x:t>
  </x:si>
  <x:si>
    <x:t xml:space="preserve">Super cRazy world</x:t>
  </x:si>
  <x:si>
    <x:t xml:space="preserve">TheTim_aka_Timmifutz</x:t>
  </x:si>
  <x:si>
    <x:t xml:space="preserve">10105</x:t>
  </x:si>
  <x:si>
    <x:t xml:space="preserve">https://www.smwcentral.net/?a=details&amp;id=10105&amp;p=section</x:t>
  </x:si>
  <x:si>
    <x:t xml:space="preserve">https://dl.smwcentral.net/10105/super%20cRazy%20world.zip</x:t>
  </x:si>
  <x:si>
    <x:t xml:space="preserve">Super Creme World</x:t>
  </x:si>
  <x:si>
    <x:t xml:space="preserve">22171</x:t>
  </x:si>
  <x:si>
    <x:t xml:space="preserve">https://www.smwcentral.net/?a=details&amp;id=22171&amp;p=section</x:t>
  </x:si>
  <x:si>
    <x:t xml:space="preserve">https://dl.smwcentral.net/22171/Super%20Creme%20World.zip</x:t>
  </x:si>
  <x:si>
    <x:t xml:space="preserve">Super Curious World</x:t>
  </x:si>
  <x:si>
    <x:t xml:space="preserve">team_love</x:t>
  </x:si>
  <x:si>
    <x:t xml:space="preserve">37951</x:t>
  </x:si>
  <x:si>
    <x:t xml:space="preserve">https://www.smwcentral.net/?a=details&amp;id=37951&amp;p=section</x:t>
  </x:si>
  <x:si>
    <x:t xml:space="preserve">https://dl.smwcentral.net/37951/Super%20Curious%20World%201.2.zip</x:t>
  </x:si>
  <x:si>
    <x:t xml:space="preserve">Super Daisy World</x:t>
  </x:si>
  <x:si>
    <x:t xml:space="preserve">MarioIsTheBest1234</x:t>
  </x:si>
  <x:si>
    <x:t xml:space="preserve">40498</x:t>
  </x:si>
  <x:si>
    <x:t xml:space="preserve">https://www.smwcentral.net/?a=details&amp;id=40498&amp;p=section</x:t>
  </x:si>
  <x:si>
    <x:t xml:space="preserve">https://dl.smwcentral.net/40498/Super%20%20Daisy%20World.zip</x:t>
  </x:si>
  <x:si>
    <x:t xml:space="preserve">Super Dank World</x:t>
  </x:si>
  <x:si>
    <x:t xml:space="preserve">34970</x:t>
  </x:si>
  <x:si>
    <x:t xml:space="preserve">https://www.smwcentral.net/?a=details&amp;id=34970&amp;p=section</x:t>
  </x:si>
  <x:si>
    <x:t xml:space="preserve">https://dl.smwcentral.net/34970/Super_Dank_World.zip</x:t>
  </x:si>
  <x:si>
    <x:t xml:space="preserve">Super Dazran World</x:t>
  </x:si>
  <x:si>
    <x:t xml:space="preserve">MatthewGamingLive</x:t>
  </x:si>
  <x:si>
    <x:t xml:space="preserve">17266</x:t>
  </x:si>
  <x:si>
    <x:t xml:space="preserve">https://www.smwcentral.net/?a=details&amp;id=17266&amp;p=section</x:t>
  </x:si>
  <x:si>
    <x:t xml:space="preserve">https://dl.smwcentral.net/17266/Super%20Dazran%20World%20Demo%202.zip</x:t>
  </x:si>
  <x:si>
    <x:t xml:space="preserve">Super DB World</x:t>
  </x:si>
  <x:si>
    <x:t xml:space="preserve">26319</x:t>
  </x:si>
  <x:si>
    <x:t xml:space="preserve">https://www.smwcentral.net/?a=details&amp;id=26319&amp;p=section</x:t>
  </x:si>
  <x:si>
    <x:t xml:space="preserve">https://dl.smwcentral.net/26319/Super%20DB%20World.zip</x:t>
  </x:si>
  <x:si>
    <x:t xml:space="preserve">Super Deboche World</x:t>
  </x:si>
  <x:si>
    <x:t xml:space="preserve">AleGames</x:t>
  </x:si>
  <x:si>
    <x:t xml:space="preserve">32346</x:t>
  </x:si>
  <x:si>
    <x:t xml:space="preserve">https://www.smwcentral.net/?a=details&amp;id=32346&amp;p=section</x:t>
  </x:si>
  <x:si>
    <x:t xml:space="preserve">https://dl.smwcentral.net/32346/Super%20Deboche%20World.zip</x:t>
  </x:si>
  <x:si>
    <x:t xml:space="preserve">Super Demo World</x:t>
  </x:si>
  <x:si>
    <x:t xml:space="preserve">FuSoYa</x:t>
  </x:si>
  <x:si>
    <x:t xml:space="preserve">9679</x:t>
  </x:si>
  <x:si>
    <x:t xml:space="preserve">https://www.smwcentral.net/?a=details&amp;id=9679&amp;p=section</x:t>
  </x:si>
  <x:si>
    <x:t xml:space="preserve">https://dl.smwcentral.net/9679/demoworld.zip</x:t>
  </x:si>
  <x:si>
    <x:t xml:space="preserve">Super Demo World 3</x:t>
  </x:si>
  <x:si>
    <x:t xml:space="preserve">DJ Bouche, FuSoYa</x:t>
  </x:si>
  <x:si>
    <x:t xml:space="preserve">9825</x:t>
  </x:si>
  <x:si>
    <x:t xml:space="preserve">https://www.smwcentral.net/?a=details&amp;id=9825&amp;p=section</x:t>
  </x:si>
  <x:si>
    <x:t xml:space="preserve">https://dl.smwcentral.net/9825/Super%20Demo%20World%203.zip</x:t>
  </x:si>
  <x:si>
    <x:t xml:space="preserve">Super Demo World: The Legend Continues</x:t>
  </x:si>
  <x:si>
    <x:t xml:space="preserve">FuSoYa, Zero-G</x:t>
  </x:si>
  <x:si>
    <x:t xml:space="preserve">9678</x:t>
  </x:si>
  <x:si>
    <x:t xml:space="preserve">https://www.smwcentral.net/?a=details&amp;id=9678&amp;p=section</x:t>
  </x:si>
  <x:si>
    <x:t xml:space="preserve">https://dl.smwcentral.net/9678/downlaod.zip</x:t>
  </x:si>
  <x:si>
    <x:t xml:space="preserve">Super Denis World</x:t>
  </x:si>
  <x:si>
    <x:t xml:space="preserve">Tony.Metcalfe</x:t>
  </x:si>
  <x:si>
    <x:t xml:space="preserve">18286</x:t>
  </x:si>
  <x:si>
    <x:t xml:space="preserve">https://www.smwcentral.net/?a=details&amp;id=18286&amp;p=section</x:t>
  </x:si>
  <x:si>
    <x:t xml:space="preserve">https://dl.smwcentral.net/18286/SuperDenisWorld_VF5.zip</x:t>
  </x:si>
  <x:si>
    <x:t xml:space="preserve">Super Destructive World</x:t>
  </x:si>
  <x:si>
    <x:t xml:space="preserve">29568</x:t>
  </x:si>
  <x:si>
    <x:t xml:space="preserve">https://www.smwcentral.net/?a=details&amp;id=29568&amp;p=section</x:t>
  </x:si>
  <x:si>
    <x:t xml:space="preserve">https://dl.smwcentral.net/29568/SuperDestructiveWorldV1.1.bps.zip</x:t>
  </x:si>
  <x:si>
    <x:t xml:space="preserve">Super DGR World</x:t>
  </x:si>
  <x:si>
    <x:t xml:space="preserve">18131</x:t>
  </x:si>
  <x:si>
    <x:t xml:space="preserve">https://www.smwcentral.net/?a=details&amp;id=18131&amp;p=section</x:t>
  </x:si>
  <x:si>
    <x:t xml:space="preserve">https://dl.smwcentral.net/18131/Super%20DGR%20World1.6.zip</x:t>
  </x:si>
  <x:si>
    <x:t xml:space="preserve">Super Dram World</x:t>
  </x:si>
  <x:si>
    <x:t xml:space="preserve">40663</x:t>
  </x:si>
  <x:si>
    <x:t xml:space="preserve">https://www.smwcentral.net/?a=details&amp;id=40663&amp;p=section</x:t>
  </x:si>
  <x:si>
    <x:t xml:space="preserve">https://dl.smwcentral.net/40663/Super%20Dram%20World%20v1.3.zip</x:t>
  </x:si>
  <x:si>
    <x:t xml:space="preserve">Super Dram World 2</x:t>
  </x:si>
  <x:si>
    <x:t xml:space="preserve">40662</x:t>
  </x:si>
  <x:si>
    <x:t xml:space="preserve">https://www.smwcentral.net/?a=details&amp;id=40662&amp;p=section</x:t>
  </x:si>
  <x:si>
    <x:t xml:space="preserve">https://dl.smwcentral.net/40662/Super%20Dram%20World%202%20v1.3.zip</x:t>
  </x:si>
  <x:si>
    <x:t xml:space="preserve">Super Dram World 3</x:t>
  </x:si>
  <x:si>
    <x:t xml:space="preserve">41022</x:t>
  </x:si>
  <x:si>
    <x:t xml:space="preserve">https://www.smwcentral.net/?a=details&amp;id=41022&amp;p=section</x:t>
  </x:si>
  <x:si>
    <x:t xml:space="preserve">https://dl.smwcentral.net/41022/Super%20Dram%20World%203%20v1.3.zip</x:t>
  </x:si>
  <x:si>
    <x:t xml:space="preserve">Super Dream World</x:t>
  </x:si>
  <x:si>
    <x:t xml:space="preserve">Shingo</x:t>
  </x:si>
  <x:si>
    <x:t xml:space="preserve">23193</x:t>
  </x:si>
  <x:si>
    <x:t xml:space="preserve">https://www.smwcentral.net/?a=details&amp;id=23193&amp;p=section</x:t>
  </x:si>
  <x:si>
    <x:t xml:space="preserve">https://dl.smwcentral.net/23193/SuperDreamWorld.zip</x:t>
  </x:si>
  <x:si>
    <x:t xml:space="preserve">Super Duper Mario World W1 DEMO</x:t>
  </x:si>
  <x:si>
    <x:t xml:space="preserve">SuperWaluigiBro</x:t>
  </x:si>
  <x:si>
    <x:t xml:space="preserve">41566</x:t>
  </x:si>
  <x:si>
    <x:t xml:space="preserve">https://www.smwcentral.net/?a=details&amp;id=41566&amp;p=section</x:t>
  </x:si>
  <x:si>
    <x:t xml:space="preserve">https://dl.smwcentral.net/41566/SDMW%20DEMOv02c.zip</x:t>
  </x:si>
  <x:si>
    <x:t xml:space="preserve">Super Duper World</x:t>
  </x:si>
  <x:si>
    <x:t xml:space="preserve">Partly Marble</x:t>
  </x:si>
  <x:si>
    <x:t xml:space="preserve">17625</x:t>
  </x:si>
  <x:si>
    <x:t xml:space="preserve">https://www.smwcentral.net/?a=details&amp;id=17625&amp;p=section</x:t>
  </x:si>
  <x:si>
    <x:t xml:space="preserve">https://dl.smwcentral.net/17625/Super%20Duper%20World.zip</x:t>
  </x:si>
  <x:si>
    <x:t xml:space="preserve">Super Empty Land</x:t>
  </x:si>
  <x:si>
    <x:t xml:space="preserve">39264</x:t>
  </x:si>
  <x:si>
    <x:t xml:space="preserve">https://www.smwcentral.net/?a=details&amp;id=39264&amp;p=section</x:t>
  </x:si>
  <x:si>
    <x:t xml:space="preserve">https://dl.smwcentral.net/39264/SuperEmptyLand.zip</x:t>
  </x:si>
  <x:si>
    <x:t xml:space="preserve">Super Enan World</x:t>
  </x:si>
  <x:si>
    <x:t xml:space="preserve">Enan63, Green Jerry</x:t>
  </x:si>
  <x:si>
    <x:t xml:space="preserve">23960</x:t>
  </x:si>
  <x:si>
    <x:t xml:space="preserve">https://www.smwcentral.net/?a=details&amp;id=23960&amp;p=section</x:t>
  </x:si>
  <x:si>
    <x:t xml:space="preserve">https://dl.smwcentral.net/23960/Super%20Enan%20World%20-%20Demo%203.2.4.zip</x:t>
  </x:si>
  <x:si>
    <x:t xml:space="preserve">Super Endoplasm World</x:t>
  </x:si>
  <x:si>
    <x:t xml:space="preserve">5519</x:t>
  </x:si>
  <x:si>
    <x:t xml:space="preserve">https://www.smwcentral.net/?a=details&amp;id=5519&amp;p=section</x:t>
  </x:si>
  <x:si>
    <x:t xml:space="preserve">https://dl.smwcentral.net/5519/SEW.zip</x:t>
  </x:si>
  <x:si>
    <x:t xml:space="preserve">Super Enemy World</x:t>
  </x:si>
  <x:si>
    <x:t xml:space="preserve">Yoshiboy</x:t>
  </x:si>
  <x:si>
    <x:t xml:space="preserve">9836</x:t>
  </x:si>
  <x:si>
    <x:t xml:space="preserve">https://www.smwcentral.net/?a=details&amp;id=9836&amp;p=section</x:t>
  </x:si>
  <x:si>
    <x:t xml:space="preserve">https://dl.smwcentral.net/9836/Super%20Enemy%20World.zip</x:t>
  </x:si>
  <x:si>
    <x:t xml:space="preserve">Super Fail World</x:t>
  </x:si>
  <x:si>
    <x:t xml:space="preserve">dubefest</x:t>
  </x:si>
  <x:si>
    <x:t xml:space="preserve">10067</x:t>
  </x:si>
  <x:si>
    <x:t xml:space="preserve">https://www.smwcentral.net/?a=details&amp;id=10067&amp;p=section</x:t>
  </x:si>
  <x:si>
    <x:t xml:space="preserve">https://dl.smwcentral.net/10067/SuperFailWorld.zip</x:t>
  </x:si>
  <x:si>
    <x:t xml:space="preserve">Super Fart World</x:t>
  </x:si>
  <x:si>
    <x:t xml:space="preserve">19571</x:t>
  </x:si>
  <x:si>
    <x:t xml:space="preserve">https://www.smwcentral.net/?a=details&amp;id=19571&amp;p=section</x:t>
  </x:si>
  <x:si>
    <x:t xml:space="preserve">https://dl.smwcentral.net/19571/SuperFartWorld.zip</x:t>
  </x:si>
  <x:si>
    <x:t xml:space="preserve">Super Fast World</x:t>
  </x:si>
  <x:si>
    <x:t xml:space="preserve">the_pilger</x:t>
  </x:si>
  <x:si>
    <x:t xml:space="preserve">26267</x:t>
  </x:si>
  <x:si>
    <x:t xml:space="preserve">https://www.smwcentral.net/?a=details&amp;id=26267&amp;p=section</x:t>
  </x:si>
  <x:si>
    <x:t xml:space="preserve">https://dl.smwcentral.net/26267/Super%20Fast%20World.zip</x:t>
  </x:si>
  <x:si>
    <x:t xml:space="preserve">Super Fedora World</x:t>
  </x:si>
  <x:si>
    <x:t xml:space="preserve">16099</x:t>
  </x:si>
  <x:si>
    <x:t xml:space="preserve">https://www.smwcentral.net/?a=details&amp;id=16099&amp;p=section</x:t>
  </x:si>
  <x:si>
    <x:t xml:space="preserve">https://dl.smwcentral.net/16099/Super%20Fedora%20World.zip</x:t>
  </x:si>
  <x:si>
    <x:t xml:space="preserve">Super Fish World</x:t>
  </x:si>
  <x:si>
    <x:t xml:space="preserve">Perkward</x:t>
  </x:si>
  <x:si>
    <x:t xml:space="preserve">41357</x:t>
  </x:si>
  <x:si>
    <x:t xml:space="preserve">https://www.smwcentral.net/?a=details&amp;id=41357&amp;p=section</x:t>
  </x:si>
  <x:si>
    <x:t xml:space="preserve">https://dl.smwcentral.net/41357/Follow%20the%20Fish.zip</x:t>
  </x:si>
  <x:si>
    <x:t xml:space="preserve">Super Flash World</x:t>
  </x:si>
  <x:si>
    <x:t xml:space="preserve">Scags</x:t>
  </x:si>
  <x:si>
    <x:t xml:space="preserve">31454</x:t>
  </x:si>
  <x:si>
    <x:t xml:space="preserve">https://www.smwcentral.net/?a=details&amp;id=31454&amp;p=section</x:t>
  </x:si>
  <x:si>
    <x:t xml:space="preserve">https://dl.smwcentral.net/31454/FlashWorld.zip</x:t>
  </x:si>
  <x:si>
    <x:t xml:space="preserve">Super Flash World 2</x:t>
  </x:si>
  <x:si>
    <x:t xml:space="preserve">41538</x:t>
  </x:si>
  <x:si>
    <x:t xml:space="preserve">https://www.smwcentral.net/?a=details&amp;id=41538&amp;p=section</x:t>
  </x:si>
  <x:si>
    <x:t xml:space="preserve">https://dl.smwcentral.net/41538/FlashWorld2.zip</x:t>
  </x:si>
  <x:si>
    <x:t xml:space="preserve">Super Focused World</x:t>
  </x:si>
  <x:si>
    <x:t xml:space="preserve">DigitalSine</x:t>
  </x:si>
  <x:si>
    <x:t xml:space="preserve">18172</x:t>
  </x:si>
  <x:si>
    <x:t xml:space="preserve">https://www.smwcentral.net/?a=details&amp;id=18172&amp;p=section</x:t>
  </x:si>
  <x:si>
    <x:t xml:space="preserve">https://dl.smwcentral.net/18172/Super%20Focused%20World.zip</x:t>
  </x:si>
  <x:si>
    <x:t xml:space="preserve">Super Foo World</x:t>
  </x:si>
  <x:si>
    <x:t xml:space="preserve">31166</x:t>
  </x:si>
  <x:si>
    <x:t xml:space="preserve">https://www.smwcentral.net/?a=details&amp;id=31166&amp;p=section</x:t>
  </x:si>
  <x:si>
    <x:t xml:space="preserve">https://dl.smwcentral.net/31166/Super%20Foo%20World%201.1.zip</x:t>
  </x:si>
  <x:si>
    <x:t xml:space="preserve">Super Foo World -1</x:t>
  </x:si>
  <x:si>
    <x:t xml:space="preserve">39471</x:t>
  </x:si>
  <x:si>
    <x:t xml:space="preserve">https://www.smwcentral.net/?a=details&amp;id=39471&amp;p=section</x:t>
  </x:si>
  <x:si>
    <x:t xml:space="preserve">https://dl.smwcentral.net/39471/Super%20Foo%20World%20-1.zip</x:t>
  </x:si>
  <x:si>
    <x:t xml:space="preserve">Super Foo World 0</x:t>
  </x:si>
  <x:si>
    <x:t xml:space="preserve">34929</x:t>
  </x:si>
  <x:si>
    <x:t xml:space="preserve">https://www.smwcentral.net/?a=details&amp;id=34929&amp;p=section</x:t>
  </x:si>
  <x:si>
    <x:t xml:space="preserve">https://dl.smwcentral.net/34929/Super%20Foo%20World%200.zip</x:t>
  </x:si>
  <x:si>
    <x:t xml:space="preserve">Super Foo World 2</x:t>
  </x:si>
  <x:si>
    <x:t xml:space="preserve">34184</x:t>
  </x:si>
  <x:si>
    <x:t xml:space="preserve">https://www.smwcentral.net/?a=details&amp;id=34184&amp;p=section</x:t>
  </x:si>
  <x:si>
    <x:t xml:space="preserve">https://dl.smwcentral.net/34184/Super%20Foo%20World%202%20v1.1.zip</x:t>
  </x:si>
  <x:si>
    <x:t xml:space="preserve">Super Foo World 3</x:t>
  </x:si>
  <x:si>
    <x:t xml:space="preserve">38458</x:t>
  </x:si>
  <x:si>
    <x:t xml:space="preserve">https://www.smwcentral.net/?a=details&amp;id=38458&amp;p=section</x:t>
  </x:si>
  <x:si>
    <x:t xml:space="preserve">https://dl.smwcentral.net/38458/Super%20Foo%20World%203%20v1.1.zip</x:t>
  </x:si>
  <x:si>
    <x:t xml:space="preserve">Super Foo World Lite</x:t>
  </x:si>
  <x:si>
    <x:t xml:space="preserve">31123</x:t>
  </x:si>
  <x:si>
    <x:t xml:space="preserve">https://www.smwcentral.net/?a=details&amp;id=31123&amp;p=section</x:t>
  </x:si>
  <x:si>
    <x:t xml:space="preserve">https://dl.smwcentral.net/31123/Super%20Foo%20World%20Lite.zip</x:t>
  </x:si>
  <x:si>
    <x:t xml:space="preserve">Super Foss World</x:t>
  </x:si>
  <x:si>
    <x:t xml:space="preserve">11932</x:t>
  </x:si>
  <x:si>
    <x:t xml:space="preserve">https://www.smwcentral.net/?a=details&amp;id=11932&amp;p=section</x:t>
  </x:si>
  <x:si>
    <x:t xml:space="preserve">https://dl.smwcentral.net/11932/Super%20Foss%20World%20v1.31.zip</x:t>
  </x:si>
  <x:si>
    <x:t xml:space="preserve">Super Fruits 'n Veggies World</x:t>
  </x:si>
  <x:si>
    <x:t xml:space="preserve">34846</x:t>
  </x:si>
  <x:si>
    <x:t xml:space="preserve">https://www.smwcentral.net/?a=details&amp;id=34846&amp;p=section</x:t>
  </x:si>
  <x:si>
    <x:t xml:space="preserve">https://dl.smwcentral.net/34846/Super%20Fruits%20%27n%20Veggies%20World.zip</x:t>
  </x:si>
  <x:si>
    <x:t xml:space="preserve">Super Galega World</x:t>
  </x:si>
  <x:si>
    <x:t xml:space="preserve">Rapha2k</x:t>
  </x:si>
  <x:si>
    <x:t xml:space="preserve">36828</x:t>
  </x:si>
  <x:si>
    <x:t xml:space="preserve">https://www.smwcentral.net/?a=details&amp;id=36828&amp;p=section</x:t>
  </x:si>
  <x:si>
    <x:t xml:space="preserve">https://dl.smwcentral.net/36828/Super%20Galega%20World%201.1.zip</x:t>
  </x:si>
  <x:si>
    <x:t xml:space="preserve">Super germdove World</x:t>
  </x:si>
  <x:si>
    <x:t xml:space="preserve">dobbsworks</x:t>
  </x:si>
  <x:si>
    <x:t xml:space="preserve">29056</x:t>
  </x:si>
  <x:si>
    <x:t xml:space="preserve">https://www.smwcentral.net/?a=details&amp;id=29056&amp;p=section</x:t>
  </x:si>
  <x:si>
    <x:t xml:space="preserve">https://dl.smwcentral.net/29056/Super%20germdove%20World.zip</x:t>
  </x:si>
  <x:si>
    <x:t xml:space="preserve">Super Ghetto World</x:t>
  </x:si>
  <x:si>
    <x:t xml:space="preserve">9664</x:t>
  </x:si>
  <x:si>
    <x:t xml:space="preserve">https://www.smwcentral.net/?a=details&amp;id=9664&amp;p=section</x:t>
  </x:si>
  <x:si>
    <x:t xml:space="preserve">https://dl.smwcentral.net/9664/Super_Ghettoworld_final.zip</x:t>
  </x:si>
  <x:si>
    <x:t xml:space="preserve">Super Glitchcat World</x:t>
  </x:si>
  <x:si>
    <x:t xml:space="preserve">15216</x:t>
  </x:si>
  <x:si>
    <x:t xml:space="preserve">https://www.smwcentral.net/?a=details&amp;id=15216&amp;p=section</x:t>
  </x:si>
  <x:si>
    <x:t xml:space="preserve">https://dl.smwcentral.net/15216/Super%20Glitchcat%20World.zip</x:t>
  </x:si>
  <x:si>
    <x:t xml:space="preserve">SUPER Glumper WORLD</x:t>
  </x:si>
  <x:si>
    <x:t xml:space="preserve">34189</x:t>
  </x:si>
  <x:si>
    <x:t xml:space="preserve">https://www.smwcentral.net/?a=details&amp;id=34189&amp;p=section</x:t>
  </x:si>
  <x:si>
    <x:t xml:space="preserve">https://dl.smwcentral.net/34189/glump.zip</x:t>
  </x:si>
  <x:si>
    <x:t xml:space="preserve">Super Godly Worl 69</x:t>
  </x:si>
  <x:si>
    <x:t xml:space="preserve">Godly</x:t>
  </x:si>
  <x:si>
    <x:t xml:space="preserve">23156</x:t>
  </x:si>
  <x:si>
    <x:t xml:space="preserve">https://www.smwcentral.net/?a=details&amp;id=23156&amp;p=section</x:t>
  </x:si>
  <x:si>
    <x:t xml:space="preserve">https://dl.smwcentral.net/23156/Super%20Godly%20Worl%2069.zip</x:t>
  </x:si>
  <x:si>
    <x:t xml:space="preserve">Super Goober World</x:t>
  </x:si>
  <x:si>
    <x:t xml:space="preserve">Gumby</x:t>
  </x:si>
  <x:si>
    <x:t xml:space="preserve">40585</x:t>
  </x:si>
  <x:si>
    <x:t xml:space="preserve">https://www.smwcentral.net/?a=details&amp;id=40585&amp;p=section</x:t>
  </x:si>
  <x:si>
    <x:t xml:space="preserve">https://dl.smwcentral.net/40585/SuperGooberWorld.zip</x:t>
  </x:si>
  <x:si>
    <x:t xml:space="preserve">Super Gracie World</x:t>
  </x:si>
  <x:si>
    <x:t xml:space="preserve">white_moth</x:t>
  </x:si>
  <x:si>
    <x:t xml:space="preserve">17395</x:t>
  </x:si>
  <x:si>
    <x:t xml:space="preserve">https://www.smwcentral.net/?a=details&amp;id=17395&amp;p=section</x:t>
  </x:si>
  <x:si>
    <x:t xml:space="preserve">https://dl.smwcentral.net/17395/Super%20Gracie%20World%20v1.3.bps.zip</x:t>
  </x:si>
  <x:si>
    <x:t xml:space="preserve">Super Hacked World</x:t>
  </x:si>
  <x:si>
    <x:t xml:space="preserve">videolegoboy123</x:t>
  </x:si>
  <x:si>
    <x:t xml:space="preserve">9964</x:t>
  </x:si>
  <x:si>
    <x:t xml:space="preserve">https://www.smwcentral.net/?a=details&amp;id=9964&amp;p=section</x:t>
  </x:si>
  <x:si>
    <x:t xml:space="preserve">https://dl.smwcentral.net/9964/Super%20Hacked%20World%20%28V1.1%29%20%5BDemo%20Release%201%5D.zip</x:t>
  </x:si>
  <x:si>
    <x:t xml:space="preserve">17304</x:t>
  </x:si>
  <x:si>
    <x:t xml:space="preserve">https://www.smwcentral.net/?a=details&amp;id=17304&amp;p=section</x:t>
  </x:si>
  <x:si>
    <x:t xml:space="preserve">https://dl.smwcentral.net/17304/Super%20Hark%20Bros%201.21.zip</x:t>
  </x:si>
  <x:si>
    <x:t xml:space="preserve">35698</x:t>
  </x:si>
  <x:si>
    <x:t xml:space="preserve">https://www.smwcentral.net/?a=details&amp;id=35698&amp;p=section</x:t>
  </x:si>
  <x:si>
    <x:t xml:space="preserve">https://dl.smwcentral.net/35698/Super%20Hark%20Bros%202.zip</x:t>
  </x:si>
  <x:si>
    <x:t xml:space="preserve">Super Herbihalt World</x:t>
  </x:si>
  <x:si>
    <x:t xml:space="preserve">19280</x:t>
  </x:si>
  <x:si>
    <x:t xml:space="preserve">https://www.smwcentral.net/?a=details&amp;id=19280&amp;p=section</x:t>
  </x:si>
  <x:si>
    <x:t xml:space="preserve">https://dl.smwcentral.net/19280/Super%20Herbihalt%20World.zip</x:t>
  </x:si>
  <x:si>
    <x:t xml:space="preserve">Super Herbihalt World 2</x:t>
  </x:si>
  <x:si>
    <x:t xml:space="preserve">19661</x:t>
  </x:si>
  <x:si>
    <x:t xml:space="preserve">https://www.smwcentral.net/?a=details&amp;id=19661&amp;p=section</x:t>
  </x:si>
  <x:si>
    <x:t xml:space="preserve">https://dl.smwcentral.net/19661/Super%20Herbihalt%20World%202.zip</x:t>
  </x:si>
  <x:si>
    <x:t xml:space="preserve">Super Herbihalt World 3</x:t>
  </x:si>
  <x:si>
    <x:t xml:space="preserve">21337</x:t>
  </x:si>
  <x:si>
    <x:t xml:space="preserve">https://www.smwcentral.net/?a=details&amp;id=21337&amp;p=section</x:t>
  </x:si>
  <x:si>
    <x:t xml:space="preserve">https://dl.smwcentral.net/21337/Super%20Herbihalt%20World%203%20%2820102019%29.zip</x:t>
  </x:si>
  <x:si>
    <x:t xml:space="preserve">Super Huh World</x:t>
  </x:si>
  <x:si>
    <x:t xml:space="preserve">34151</x:t>
  </x:si>
  <x:si>
    <x:t xml:space="preserve">https://www.smwcentral.net/?a=details&amp;id=34151&amp;p=section</x:t>
  </x:si>
  <x:si>
    <x:t xml:space="preserve">https://dl.smwcentral.net/34151/superHuhWorld.zip</x:t>
  </x:si>
  <x:si>
    <x:t xml:space="preserve">Super Husky World</x:t>
  </x:si>
  <x:si>
    <x:t xml:space="preserve">28570</x:t>
  </x:si>
  <x:si>
    <x:t xml:space="preserve">https://www.smwcentral.net/?a=details&amp;id=28570&amp;p=section</x:t>
  </x:si>
  <x:si>
    <x:t xml:space="preserve">https://dl.smwcentral.net/28570/Super_Husky_World_1.1.zip</x:t>
  </x:si>
  <x:si>
    <x:t xml:space="preserve">Super Husky World 2</x:t>
  </x:si>
  <x:si>
    <x:t xml:space="preserve">32933</x:t>
  </x:si>
  <x:si>
    <x:t xml:space="preserve">https://www.smwcentral.net/?a=details&amp;id=32933&amp;p=section</x:t>
  </x:si>
  <x:si>
    <x:t xml:space="preserve">https://dl.smwcentral.net/32933/Super_Husky_World2v1.2.zip</x:t>
  </x:si>
  <x:si>
    <x:t xml:space="preserve">Super I Will Make One Level a Day Until Doopu Publishes SHINE World</x:t>
  </x:si>
  <x:si>
    <x:t xml:space="preserve">39366</x:t>
  </x:si>
  <x:si>
    <x:t xml:space="preserve">https://www.smwcentral.net/?a=details&amp;id=39366&amp;p=section</x:t>
  </x:si>
  <x:si>
    <x:t xml:space="preserve">https://dl.smwcentral.net/39366/super-iwmoladudps-world_v0.0.6.zip</x:t>
  </x:si>
  <x:si>
    <x:t xml:space="preserve">Super Impressive World</x:t>
  </x:si>
  <x:si>
    <x:t xml:space="preserve">Jack Levin</x:t>
  </x:si>
  <x:si>
    <x:t xml:space="preserve">9881</x:t>
  </x:si>
  <x:si>
    <x:t xml:space="preserve">https://www.smwcentral.net/?a=details&amp;id=9881&amp;p=section</x:t>
  </x:si>
  <x:si>
    <x:t xml:space="preserve">https://dl.smwcentral.net/9881/Super%20impressive%20world.zip</x:t>
  </x:si>
  <x:si>
    <x:t xml:space="preserve">Super Insecure World</x:t>
  </x:si>
  <x:si>
    <x:t xml:space="preserve">34138</x:t>
  </x:si>
  <x:si>
    <x:t xml:space="preserve">https://www.smwcentral.net/?a=details&amp;id=34138&amp;p=section</x:t>
  </x:si>
  <x:si>
    <x:t xml:space="preserve">https://dl.smwcentral.net/34138/Super%20Insecure%20World.zip</x:t>
  </x:si>
  <x:si>
    <x:t xml:space="preserve">Super interdimensional crossroad world</x:t>
  </x:si>
  <x:si>
    <x:t xml:space="preserve">24299</x:t>
  </x:si>
  <x:si>
    <x:t xml:space="preserve">https://www.smwcentral.net/?a=details&amp;id=24299&amp;p=section</x:t>
  </x:si>
  <x:si>
    <x:t xml:space="preserve">https://dl.smwcentral.net/24299/crossroad.zip</x:t>
  </x:si>
  <x:si>
    <x:t xml:space="preserve">Super Irresponsible World</x:t>
  </x:si>
  <x:si>
    <x:t xml:space="preserve">28880</x:t>
  </x:si>
  <x:si>
    <x:t xml:space="preserve">https://www.smwcentral.net/?a=details&amp;id=28880&amp;p=section</x:t>
  </x:si>
  <x:si>
    <x:t xml:space="preserve">https://dl.smwcentral.net/28880/siw_1.1.zip</x:t>
  </x:si>
  <x:si>
    <x:t xml:space="preserve">Super IsCamden World</x:t>
  </x:si>
  <x:si>
    <x:t xml:space="preserve">fancypanda98</x:t>
  </x:si>
  <x:si>
    <x:t xml:space="preserve">14819</x:t>
  </x:si>
  <x:si>
    <x:t xml:space="preserve">https://www.smwcentral.net/?a=details&amp;id=14819&amp;p=section</x:t>
  </x:si>
  <x:si>
    <x:t xml:space="preserve">https://dl.smwcentral.net/14819/Super%20IsCamden%20World%20v%201.6.zip</x:t>
  </x:si>
  <x:si>
    <x:t xml:space="preserve">Super Isikoro Mario World</x:t>
  </x:si>
  <x:si>
    <x:t xml:space="preserve">Isikoro</x:t>
  </x:si>
  <x:si>
    <x:t xml:space="preserve">33988</x:t>
  </x:si>
  <x:si>
    <x:t xml:space="preserve">https://www.smwcentral.net/?a=details&amp;id=33988&amp;p=section</x:t>
  </x:si>
  <x:si>
    <x:t xml:space="preserve">https://dl.smwcentral.net/33988/IsikoroMario.zip</x:t>
  </x:si>
  <x:si>
    <x:t xml:space="preserve">Super IzToat World</x:t>
  </x:si>
  <x:si>
    <x:t xml:space="preserve">41099</x:t>
  </x:si>
  <x:si>
    <x:t xml:space="preserve">https://www.smwcentral.net/?a=details&amp;id=41099&amp;p=section</x:t>
  </x:si>
  <x:si>
    <x:t xml:space="preserve">https://dl.smwcentral.net/41099/IzToat%20World.zip</x:t>
  </x:si>
  <x:si>
    <x:t xml:space="preserve">Super Jars World</x:t>
  </x:si>
  <x:si>
    <x:t xml:space="preserve">Hwailaluta, JCSII, Mithrillionaire, SpaceGlam, Stucat, djEnby</x:t>
  </x:si>
  <x:si>
    <x:t xml:space="preserve">42097</x:t>
  </x:si>
  <x:si>
    <x:t xml:space="preserve">https://www.smwcentral.net/?a=details&amp;id=42097&amp;p=section</x:t>
  </x:si>
  <x:si>
    <x:t xml:space="preserve">https://dl.smwcentral.net/42097/Super%20Jars%20World.zip</x:t>
  </x:si>
  <x:si>
    <x:t xml:space="preserve">NBSpider, Resnov23, The Voipah, Wolfguy423</x:t>
  </x:si>
  <x:si>
    <x:t xml:space="preserve">35025</x:t>
  </x:si>
  <x:si>
    <x:t xml:space="preserve">https://www.smwcentral.net/?a=details&amp;id=35025&amp;p=section</x:t>
  </x:si>
  <x:si>
    <x:t xml:space="preserve">https://dl.smwcentral.net/35025/Super%20Joe%20Bros%203%20V1.1.zip</x:t>
  </x:si>
  <x:si>
    <x:t xml:space="preserve">26882</x:t>
  </x:si>
  <x:si>
    <x:t xml:space="preserve">https://www.smwcentral.net/?a=details&amp;id=26882&amp;p=section</x:t>
  </x:si>
  <x:si>
    <x:t xml:space="preserve">https://dl.smwcentral.net/26882/Super%20Joe%20Bros%20V3.0.zip</x:t>
  </x:si>
  <x:si>
    <x:t xml:space="preserve">31836</x:t>
  </x:si>
  <x:si>
    <x:t xml:space="preserve">https://www.smwcentral.net/?a=details&amp;id=31836&amp;p=section</x:t>
  </x:si>
  <x:si>
    <x:t xml:space="preserve">https://dl.smwcentral.net/31836/Joe%20Bros%202%20V1.5.zip</x:t>
  </x:si>
  <x:si>
    <x:t xml:space="preserve">Super Kaizo Nightmare</x:t>
  </x:si>
  <x:si>
    <x:t xml:space="preserve">39039</x:t>
  </x:si>
  <x:si>
    <x:t xml:space="preserve">https://www.smwcentral.net/?a=details&amp;id=39039&amp;p=section</x:t>
  </x:si>
  <x:si>
    <x:t xml:space="preserve">https://dl.smwcentral.net/39039/SKN.zip</x:t>
  </x:si>
  <x:si>
    <x:t xml:space="preserve">Super Kamek World</x:t>
  </x:si>
  <x:si>
    <x:t xml:space="preserve">Zoreo</x:t>
  </x:si>
  <x:si>
    <x:t xml:space="preserve">35498</x:t>
  </x:si>
  <x:si>
    <x:t xml:space="preserve">https://www.smwcentral.net/?a=details&amp;id=35498&amp;p=section</x:t>
  </x:si>
  <x:si>
    <x:t xml:space="preserve">https://dl.smwcentral.net/35498/Kamek%20World.zip</x:t>
  </x:si>
  <x:si>
    <x:t xml:space="preserve">Super Kekcroc World 2 - A Croc Throughout Time</x:t>
  </x:si>
  <x:si>
    <x:t xml:space="preserve">20773</x:t>
  </x:si>
  <x:si>
    <x:t xml:space="preserve">https://www.smwcentral.net/?a=details&amp;id=20773&amp;p=section</x:t>
  </x:si>
  <x:si>
    <x:t xml:space="preserve">https://dl.smwcentral.net/20773/Super%20Kekcroc%20World%202%20A%20Croc%20Throughout%20Time%20Minor%20Update2.zip</x:t>
  </x:si>
  <x:si>
    <x:t xml:space="preserve">Super Kekcroc World 3</x:t>
  </x:si>
  <x:si>
    <x:t xml:space="preserve">25202</x:t>
  </x:si>
  <x:si>
    <x:t xml:space="preserve">https://www.smwcentral.net/?a=details&amp;id=25202&amp;p=section</x:t>
  </x:si>
  <x:si>
    <x:t xml:space="preserve">https://dl.smwcentral.net/25202/Super%20Kekcroc%20World%203%20Ver%201.6.zip</x:t>
  </x:si>
  <x:si>
    <x:t xml:space="preserve">Super Kekcroc World: Kekcroc in Space</x:t>
  </x:si>
  <x:si>
    <x:t xml:space="preserve">17909</x:t>
  </x:si>
  <x:si>
    <x:t xml:space="preserve">https://www.smwcentral.net/?a=details&amp;id=17909&amp;p=section</x:t>
  </x:si>
  <x:si>
    <x:t xml:space="preserve">https://dl.smwcentral.net/17909/Super%20Kekcroc%20World%20Official%20Release.zip</x:t>
  </x:si>
  <x:si>
    <x:t xml:space="preserve">Super Kentucky Bros</x:t>
  </x:si>
  <x:si>
    <x:t xml:space="preserve">KBF</x:t>
  </x:si>
  <x:si>
    <x:t xml:space="preserve">19910</x:t>
  </x:si>
  <x:si>
    <x:t xml:space="preserve">https://www.smwcentral.net/?a=details&amp;id=19910&amp;p=section</x:t>
  </x:si>
  <x:si>
    <x:t xml:space="preserve">https://dl.smwcentral.net/19910/SKB1.1.zip</x:t>
  </x:si>
  <x:si>
    <x:t xml:space="preserve">Super Kilik World</x:t>
  </x:si>
  <x:si>
    <x:t xml:space="preserve">Kilik</x:t>
  </x:si>
  <x:si>
    <x:t xml:space="preserve">9989</x:t>
  </x:si>
  <x:si>
    <x:t xml:space="preserve">https://www.smwcentral.net/?a=details&amp;id=9989&amp;p=section</x:t>
  </x:si>
  <x:si>
    <x:t xml:space="preserve">https://dl.smwcentral.net/9989/Super%20Kilik%20World.zip</x:t>
  </x:si>
  <x:si>
    <x:t xml:space="preserve">Super Killer World</x:t>
  </x:si>
  <x:si>
    <x:t xml:space="preserve">16725</x:t>
  </x:si>
  <x:si>
    <x:t xml:space="preserve">https://www.smwcentral.net/?a=details&amp;id=16725&amp;p=section</x:t>
  </x:si>
  <x:si>
    <x:t xml:space="preserve">https://dl.smwcentral.net/16725/Super%20Killer%20World%201.3.zip</x:t>
  </x:si>
  <x:si>
    <x:t xml:space="preserve">Super King Jay World</x:t>
  </x:si>
  <x:si>
    <x:t xml:space="preserve">34039</x:t>
  </x:si>
  <x:si>
    <x:t xml:space="preserve">https://www.smwcentral.net/?a=details&amp;id=34039&amp;p=section</x:t>
  </x:si>
  <x:si>
    <x:t xml:space="preserve">https://dl.smwcentral.net/34039/SKJWv1.1.zip</x:t>
  </x:si>
  <x:si>
    <x:t xml:space="preserve">Super Kroeti Kaizo World</x:t>
  </x:si>
  <x:si>
    <x:t xml:space="preserve">Steffi4689</x:t>
  </x:si>
  <x:si>
    <x:t xml:space="preserve">28658</x:t>
  </x:si>
  <x:si>
    <x:t xml:space="preserve">https://www.smwcentral.net/?a=details&amp;id=28658&amp;p=section</x:t>
  </x:si>
  <x:si>
    <x:t xml:space="preserve">https://dl.smwcentral.net/28658/SuperKroetiKaizoWorld.zip</x:t>
  </x:si>
  <x:si>
    <x:t xml:space="preserve">Super Kuso World</x:t>
  </x:si>
  <x:si>
    <x:t xml:space="preserve">16700</x:t>
  </x:si>
  <x:si>
    <x:t xml:space="preserve">https://www.smwcentral.net/?a=details&amp;id=16700&amp;p=section</x:t>
  </x:si>
  <x:si>
    <x:t xml:space="preserve">https://dl.smwcentral.net/16700/Super%20Kuso%20World.zip</x:t>
  </x:si>
  <x:si>
    <x:t xml:space="preserve">Super LAME World</x:t>
  </x:si>
  <x:si>
    <x:t xml:space="preserve">39964</x:t>
  </x:si>
  <x:si>
    <x:t xml:space="preserve">https://www.smwcentral.net/?a=details&amp;id=39964&amp;p=section</x:t>
  </x:si>
  <x:si>
    <x:t xml:space="preserve">https://dl.smwcentral.net/39964/LAME%201.1.zip</x:t>
  </x:si>
  <x:si>
    <x:t xml:space="preserve">Super Lani World (Remastered)</x:t>
  </x:si>
  <x:si>
    <x:t xml:space="preserve">26877</x:t>
  </x:si>
  <x:si>
    <x:t xml:space="preserve">https://www.smwcentral.net/?a=details&amp;id=26877&amp;p=section</x:t>
  </x:si>
  <x:si>
    <x:t xml:space="preserve">https://dl.smwcentral.net/26877/Super%20Lani%20World.zip</x:t>
  </x:si>
  <x:si>
    <x:t xml:space="preserve">Super Lani World 2 (Remastered)</x:t>
  </x:si>
  <x:si>
    <x:t xml:space="preserve">27103</x:t>
  </x:si>
  <x:si>
    <x:t xml:space="preserve">https://www.smwcentral.net/?a=details&amp;id=27103&amp;p=section</x:t>
  </x:si>
  <x:si>
    <x:t xml:space="preserve">https://dl.smwcentral.net/27103/Super%20Lani%20World%202%20%28Remastered%29.zip</x:t>
  </x:si>
  <x:si>
    <x:t xml:space="preserve">Super Lani World 3</x:t>
  </x:si>
  <x:si>
    <x:t xml:space="preserve">38590</x:t>
  </x:si>
  <x:si>
    <x:t xml:space="preserve">https://www.smwcentral.net/?a=details&amp;id=38590&amp;p=section</x:t>
  </x:si>
  <x:si>
    <x:t xml:space="preserve">https://dl.smwcentral.net/38590/Super%20Lani%20World%203%20v1.1.zip</x:t>
  </x:si>
  <x:si>
    <x:t xml:space="preserve">Super Linkdead World</x:t>
  </x:si>
  <x:si>
    <x:t xml:space="preserve">12923</x:t>
  </x:si>
  <x:si>
    <x:t xml:space="preserve">https://www.smwcentral.net/?a=details&amp;id=12923&amp;p=section</x:t>
  </x:si>
  <x:si>
    <x:t xml:space="preserve">https://dl.smwcentral.net/12923/Super%20Linkdead%20World.zip</x:t>
  </x:si>
  <x:si>
    <x:t xml:space="preserve">Super Linkdeadx Dream</x:t>
  </x:si>
  <x:si>
    <x:t xml:space="preserve">40178</x:t>
  </x:si>
  <x:si>
    <x:t xml:space="preserve">https://www.smwcentral.net/?a=details&amp;id=40178&amp;p=section</x:t>
  </x:si>
  <x:si>
    <x:t xml:space="preserve">https://dl.smwcentral.net/40178/Super%20Linkdeadx%20Dream.zip</x:t>
  </x:si>
  <x:si>
    <x:t xml:space="preserve">Super Little Miss A.D.D. World</x:t>
  </x:si>
  <x:si>
    <x:t xml:space="preserve">AttentionDeficitDad</x:t>
  </x:si>
  <x:si>
    <x:t xml:space="preserve">32714</x:t>
  </x:si>
  <x:si>
    <x:t xml:space="preserve">https://www.smwcentral.net/?a=details&amp;id=32714&amp;p=section</x:t>
  </x:si>
  <x:si>
    <x:t xml:space="preserve">https://dl.smwcentral.net/32714/Super_Little_Miss_ADD_World_v1_0.zip</x:t>
  </x:si>
  <x:si>
    <x:t xml:space="preserve">Super Little Miss ADD World DEMO</x:t>
  </x:si>
  <x:si>
    <x:t xml:space="preserve">29719</x:t>
  </x:si>
  <x:si>
    <x:t xml:space="preserve">https://www.smwcentral.net/?a=details&amp;id=29719&amp;p=section</x:t>
  </x:si>
  <x:si>
    <x:t xml:space="preserve">https://dl.smwcentral.net/29719/Super%20Little%20Miss%20ADD%20World%20DEMO%20V1_0.zip</x:t>
  </x:si>
  <x:si>
    <x:t xml:space="preserve">Super Logic World 1</x:t>
  </x:si>
  <x:si>
    <x:t xml:space="preserve">AKKA</x:t>
  </x:si>
  <x:si>
    <x:t xml:space="preserve">34469</x:t>
  </x:si>
  <x:si>
    <x:t xml:space="preserve">https://www.smwcentral.net/?a=details&amp;id=34469&amp;p=section</x:t>
  </x:si>
  <x:si>
    <x:t xml:space="preserve">https://dl.smwcentral.net/34469/Super%20Logic%20World%201.zip</x:t>
  </x:si>
  <x:si>
    <x:t xml:space="preserve">Super LouisDoucet World</x:t>
  </x:si>
  <x:si>
    <x:t xml:space="preserve">30838</x:t>
  </x:si>
  <x:si>
    <x:t xml:space="preserve">https://www.smwcentral.net/?a=details&amp;id=30838&amp;p=section</x:t>
  </x:si>
  <x:si>
    <x:t xml:space="preserve">https://dl.smwcentral.net/30838/LOUISFINALE.zip</x:t>
  </x:si>
  <x:si>
    <x:t xml:space="preserve">Super LouisDoucet World 2</x:t>
  </x:si>
  <x:si>
    <x:t xml:space="preserve">33563</x:t>
  </x:si>
  <x:si>
    <x:t xml:space="preserve">https://www.smwcentral.net/?a=details&amp;id=33563&amp;p=section</x:t>
  </x:si>
  <x:si>
    <x:t xml:space="preserve">https://dl.smwcentral.net/33563/Super%20LouisDoucet%20World%202%20%28v1.1%29.zip</x:t>
  </x:si>
  <x:si>
    <x:t xml:space="preserve">Super LSG World</x:t>
  </x:si>
  <x:si>
    <x:t xml:space="preserve">26130</x:t>
  </x:si>
  <x:si>
    <x:t xml:space="preserve">https://www.smwcentral.net/?a=details&amp;id=26130&amp;p=section</x:t>
  </x:si>
  <x:si>
    <x:t xml:space="preserve">https://dl.smwcentral.net/26130/Super%20LSG%20World%201.2.zip</x:t>
  </x:si>
  <x:si>
    <x:t xml:space="preserve">Super LSG World (B-Side)</x:t>
  </x:si>
  <x:si>
    <x:t xml:space="preserve">33322</x:t>
  </x:si>
  <x:si>
    <x:t xml:space="preserve">https://www.smwcentral.net/?a=details&amp;id=33322&amp;p=section</x:t>
  </x:si>
  <x:si>
    <x:t xml:space="preserve">https://dl.smwcentral.net/33322/LSGB-Side1.03.zip</x:t>
  </x:si>
  <x:si>
    <x:t xml:space="preserve">Super Luigi Arcade</x:t>
  </x:si>
  <x:si>
    <x:t xml:space="preserve">15639</x:t>
  </x:si>
  <x:si>
    <x:t xml:space="preserve">https://www.smwcentral.net/?a=details&amp;id=15639&amp;p=section</x:t>
  </x:si>
  <x:si>
    <x:t xml:space="preserve">https://dl.smwcentral.net/15639/SLA.zip</x:t>
  </x:si>
  <x:si>
    <x:t xml:space="preserve">Super Luigi Bros: Mystery Of the 7 Jewels</x:t>
  </x:si>
  <x:si>
    <x:t xml:space="preserve">5594</x:t>
  </x:si>
  <x:si>
    <x:t xml:space="preserve">https://www.smwcentral.net/?a=details&amp;id=5594&amp;p=section</x:t>
  </x:si>
  <x:si>
    <x:t xml:space="preserve">https://dl.smwcentral.net/5594/Super%20Luigi%20Bros%20m7j%20demo2%20%28fixed%29.zip</x:t>
  </x:si>
  <x:si>
    <x:t xml:space="preserve">Super Luigi Land</x:t>
  </x:si>
  <x:si>
    <x:t xml:space="preserve">21515</x:t>
  </x:si>
  <x:si>
    <x:t xml:space="preserve">https://www.smwcentral.net/?a=details&amp;id=21515&amp;p=section</x:t>
  </x:si>
  <x:si>
    <x:t xml:space="preserve">https://dl.smwcentral.net/21515/Super%20Luigi%20Land%20Rev.%2011-20-2019.zip</x:t>
  </x:si>
  <x:si>
    <x:t xml:space="preserve">Super Luigi Land 2</x:t>
  </x:si>
  <x:si>
    <x:t xml:space="preserve">41555</x:t>
  </x:si>
  <x:si>
    <x:t xml:space="preserve">https://www.smwcentral.net/?a=details&amp;id=41555&amp;p=section</x:t>
  </x:si>
  <x:si>
    <x:t xml:space="preserve">https://dl.smwcentral.net/41555/SLL2%20NewIntro.zip</x:t>
  </x:si>
  <x:si>
    <x:t xml:space="preserve">Super Luigi RPG World</x:t>
  </x:si>
  <x:si>
    <x:t xml:space="preserve">Luigi</x:t>
  </x:si>
  <x:si>
    <x:t xml:space="preserve">9753</x:t>
  </x:si>
  <x:si>
    <x:t xml:space="preserve">https://www.smwcentral.net/?a=details&amp;id=9753&amp;p=section</x:t>
  </x:si>
  <x:si>
    <x:t xml:space="preserve">https://dl.smwcentral.net/9753/SLRPGW%20%28Demo%201%29.zip</x:t>
  </x:si>
  <x:si>
    <x:t xml:space="preserve">Super Luigi World 0.5</x:t>
  </x:si>
  <x:si>
    <x:t xml:space="preserve">Dark Prince, Gamma V, The Cursed Goomba, h.carrell</x:t>
  </x:si>
  <x:si>
    <x:t xml:space="preserve">35747</x:t>
  </x:si>
  <x:si>
    <x:t xml:space="preserve">https://www.smwcentral.net/?a=details&amp;id=35747&amp;p=section</x:t>
  </x:si>
  <x:si>
    <x:t xml:space="preserve">https://dl.smwcentral.net/35747/slw0.5_w2_demo%20v0.5.zip</x:t>
  </x:si>
  <x:si>
    <x:t xml:space="preserve">Super Luigi World DELUXE</x:t>
  </x:si>
  <x:si>
    <x:t xml:space="preserve">SMW Miguelix</x:t>
  </x:si>
  <x:si>
    <x:t xml:space="preserve">40430</x:t>
  </x:si>
  <x:si>
    <x:t xml:space="preserve">https://www.smwcentral.net/?a=details&amp;id=40430&amp;p=section</x:t>
  </x:si>
  <x:si>
    <x:t xml:space="preserve">https://dl.smwcentral.net/40430/SuperLuigiWorldDeluxe.zip</x:t>
  </x:si>
  <x:si>
    <x:t xml:space="preserve">Super Luigi World: Luigi's Fantastic Dream</x:t>
  </x:si>
  <x:si>
    <x:t xml:space="preserve">Magi</x:t>
  </x:si>
  <x:si>
    <x:t xml:space="preserve">10049</x:t>
  </x:si>
  <x:si>
    <x:t xml:space="preserve">https://www.smwcentral.net/?a=details&amp;id=10049&amp;p=section</x:t>
  </x:si>
  <x:si>
    <x:t xml:space="preserve">https://dl.smwcentral.net/10049/SLWLFD%20demo.zip</x:t>
  </x:si>
  <x:si>
    <x:t xml:space="preserve">Super Luigi World: Luigi's Quest!</x:t>
  </x:si>
  <x:si>
    <x:t xml:space="preserve">Yashum</x:t>
  </x:si>
  <x:si>
    <x:t xml:space="preserve">9717</x:t>
  </x:si>
  <x:si>
    <x:t xml:space="preserve">https://www.smwcentral.net/?a=details&amp;id=9717&amp;p=section</x:t>
  </x:si>
  <x:si>
    <x:t xml:space="preserve">https://dl.smwcentral.net/9717/Super%20Luigi%20World%20-%20Luigi%27s%20Quest%21.zip</x:t>
  </x:si>
  <x:si>
    <x:t xml:space="preserve">Super Luigi: King Koopa and the PU</x:t>
  </x:si>
  <x:si>
    <x:t xml:space="preserve">edgar</x:t>
  </x:si>
  <x:si>
    <x:t xml:space="preserve">29309</x:t>
  </x:si>
  <x:si>
    <x:t xml:space="preserve">https://www.smwcentral.net/?a=details&amp;id=29309&amp;p=section</x:t>
  </x:si>
  <x:si>
    <x:t xml:space="preserve">https://dl.smwcentral.net/29309/Super%20Luigi%20King%20Koopa%20and%20the%20PU.zip</x:t>
  </x:si>
  <x:si>
    <x:t xml:space="preserve">Super Luigi: The Regular Quest</x:t>
  </x:si>
  <x:si>
    <x:t xml:space="preserve">Blittle McNilsen</x:t>
  </x:si>
  <x:si>
    <x:t xml:space="preserve">12758</x:t>
  </x:si>
  <x:si>
    <x:t xml:space="preserve">https://www.smwcentral.net/?a=details&amp;id=12758&amp;p=section</x:t>
  </x:si>
  <x:si>
    <x:t xml:space="preserve">https://dl.smwcentral.net/12758/Super%20Luigi%20-%20The%20Regular%20Quest%20DEMO%201.2.zip</x:t>
  </x:si>
  <x:si>
    <x:t xml:space="preserve">Super Machok World</x:t>
  </x:si>
  <x:si>
    <x:t xml:space="preserve">Kurukururin</x:t>
  </x:si>
  <x:si>
    <x:t xml:space="preserve">17936</x:t>
  </x:si>
  <x:si>
    <x:t xml:space="preserve">https://www.smwcentral.net/?a=details&amp;id=17936&amp;p=section</x:t>
  </x:si>
  <x:si>
    <x:t xml:space="preserve">https://dl.smwcentral.net/17936/Super_Machok_World_1.0.zip</x:t>
  </x:si>
  <x:si>
    <x:t xml:space="preserve">Super Macron World</x:t>
  </x:si>
  <x:si>
    <x:t xml:space="preserve">39777</x:t>
  </x:si>
  <x:si>
    <x:t xml:space="preserve">https://www.smwcentral.net/?a=details&amp;id=39777&amp;p=section</x:t>
  </x:si>
  <x:si>
    <x:t xml:space="preserve">https://dl.smwcentral.net/39777/Super%20Macron%20World%20%28Fixed%29.zip</x:t>
  </x:si>
  <x:si>
    <x:t xml:space="preserve">Super Macron World: Ultra Lite</x:t>
  </x:si>
  <x:si>
    <x:t xml:space="preserve">40742</x:t>
  </x:si>
  <x:si>
    <x:t xml:space="preserve">https://www.smwcentral.net/?a=details&amp;id=40742&amp;p=section</x:t>
  </x:si>
  <x:si>
    <x:t xml:space="preserve">https://dl.smwcentral.net/40742/Super%20Macron%20World%20Ultra%20Lite.zip</x:t>
  </x:si>
  <x:si>
    <x:t xml:space="preserve">Super MADE World</x:t>
  </x:si>
  <x:si>
    <x:t xml:space="preserve">detroitkoza</x:t>
  </x:si>
  <x:si>
    <x:t xml:space="preserve">42519</x:t>
  </x:si>
  <x:si>
    <x:t xml:space="preserve">https://www.smwcentral.net/?a=details&amp;id=42519&amp;p=section</x:t>
  </x:si>
  <x:si>
    <x:t xml:space="preserve">https://dl.smwcentral.net/42519/Super%20MADE%20World.zip</x:t>
  </x:si>
  <x:si>
    <x:t xml:space="preserve">Super Mallow World</x:t>
  </x:si>
  <x:si>
    <x:t xml:space="preserve">Deakula, FerpyMcFrosting, Flabort, FridayFables, FuryfulFawful, IanBoy, Joe Smo, MarkAlarm, Uzerro, frost_heart</x:t>
  </x:si>
  <x:si>
    <x:t xml:space="preserve">17104</x:t>
  </x:si>
  <x:si>
    <x:t xml:space="preserve">https://www.smwcentral.net/?a=details&amp;id=17104&amp;p=section</x:t>
  </x:si>
  <x:si>
    <x:t xml:space="preserve">https://dl.smwcentral.net/17104/SuperMallowWorld.zip</x:t>
  </x:si>
  <x:si>
    <x:t xml:space="preserve">Super Mallow World - Master Quest</x:t>
  </x:si>
  <x:si>
    <x:t xml:space="preserve">16893</x:t>
  </x:si>
  <x:si>
    <x:t xml:space="preserve">https://www.smwcentral.net/?a=details&amp;id=16893&amp;p=section</x:t>
  </x:si>
  <x:si>
    <x:t xml:space="preserve">https://dl.smwcentral.net/16893/Super_Mallow_World_Master_Quest.zip</x:t>
  </x:si>
  <x:si>
    <x:t xml:space="preserve">Super Maple World</x:t>
  </x:si>
  <x:si>
    <x:t xml:space="preserve">Letsmangle</x:t>
  </x:si>
  <x:si>
    <x:t xml:space="preserve">21953</x:t>
  </x:si>
  <x:si>
    <x:t xml:space="preserve">https://www.smwcentral.net/?a=details&amp;id=21953&amp;p=section</x:t>
  </x:si>
  <x:si>
    <x:t xml:space="preserve">https://dl.smwcentral.net/21953/Super%20Maple%20World%20v1.1.zip</x:t>
  </x:si>
  <x:si>
    <x:t xml:space="preserve">Super Marina World</x:t>
  </x:si>
  <x:si>
    <x:t xml:space="preserve">kona</x:t>
  </x:si>
  <x:si>
    <x:t xml:space="preserve">21832</x:t>
  </x:si>
  <x:si>
    <x:t xml:space="preserve">https://www.smwcentral.net/?a=details&amp;id=21832&amp;p=section</x:t>
  </x:si>
  <x:si>
    <x:t xml:space="preserve">https://dl.smwcentral.net/21832/SuperMarinaWorldv2.2.zip</x:t>
  </x:si>
  <x:si>
    <x:t xml:space="preserve">Super Mario (Tentative Title)</x:t>
  </x:si>
  <x:si>
    <x:t xml:space="preserve">LunarDrake</x:t>
  </x:si>
  <x:si>
    <x:t xml:space="preserve">5150</x:t>
  </x:si>
  <x:si>
    <x:t xml:space="preserve">https://www.smwcentral.net/?a=details&amp;id=5150&amp;p=section</x:t>
  </x:si>
  <x:si>
    <x:t xml:space="preserve">https://dl.smwcentral.net/5150/supermario.zip</x:t>
  </x:si>
  <x:si>
    <x:t xml:space="preserve">Super Mario - Bowser's Secret Weapon</x:t>
  </x:si>
  <x:si>
    <x:t xml:space="preserve">Zerio</x:t>
  </x:si>
  <x:si>
    <x:t xml:space="preserve">9910</x:t>
  </x:si>
  <x:si>
    <x:t xml:space="preserve">https://www.smwcentral.net/?a=details&amp;id=9910&amp;p=section</x:t>
  </x:si>
  <x:si>
    <x:t xml:space="preserve">https://dl.smwcentral.net/9910/Super%20Mario%20-%20Bowser%27s%20Secret%20Weapon%20Demo%201%20By%20Zerio.zip</x:t>
  </x:si>
  <x:si>
    <x:t xml:space="preserve">Super Mario - Modo Competitivo (Competitive Mode)</x:t>
  </x:si>
  <x:si>
    <x:t xml:space="preserve">Leozoppi</x:t>
  </x:si>
  <x:si>
    <x:t xml:space="preserve">27968</x:t>
  </x:si>
  <x:si>
    <x:t xml:space="preserve">https://www.smwcentral.net/?a=details&amp;id=27968&amp;p=section</x:t>
  </x:si>
  <x:si>
    <x:t xml:space="preserve">https://dl.smwcentral.net/27968/Super%20Mario%20-%20Modo%20Competitivo.zip</x:t>
  </x:si>
  <x:si>
    <x:t xml:space="preserve">Super Mario - The Ultimate Challenge</x:t>
  </x:si>
  <x:si>
    <x:t xml:space="preserve">UltimateMeh</x:t>
  </x:si>
  <x:si>
    <x:t xml:space="preserve">10053</x:t>
  </x:si>
  <x:si>
    <x:t xml:space="preserve">https://www.smwcentral.net/?a=details&amp;id=10053&amp;p=section</x:t>
  </x:si>
  <x:si>
    <x:t xml:space="preserve">https://dl.smwcentral.net/10053/Super%20Mario%20-%20The%20Ultimate%20Challenge%20-%20Demo.zip</x:t>
  </x:si>
  <x:si>
    <x:t xml:space="preserve">Super Mario 16: The Fall of Yoshi</x:t>
  </x:si>
  <x:si>
    <x:t xml:space="preserve">Alex No</x:t>
  </x:si>
  <x:si>
    <x:t xml:space="preserve">39344</x:t>
  </x:si>
  <x:si>
    <x:t xml:space="preserve">https://www.smwcentral.net/?a=details&amp;id=39344&amp;p=section</x:t>
  </x:si>
  <x:si>
    <x:t xml:space="preserve">https://dl.smwcentral.net/39344/Super%20Mario%2016%20The%20Fall%20of%20Yoshi%20v1.54.zip</x:t>
  </x:si>
  <x:si>
    <x:t xml:space="preserve">Super Mario 2D Land</x:t>
  </x:si>
  <x:si>
    <x:t xml:space="preserve">6068</x:t>
  </x:si>
  <x:si>
    <x:t xml:space="preserve">https://www.smwcentral.net/?a=details&amp;id=6068&amp;p=section</x:t>
  </x:si>
  <x:si>
    <x:t xml:space="preserve">https://dl.smwcentral.net/6068/Super%20Mario%202D%20Land%20fix%20Desember%202013.zip</x:t>
  </x:si>
  <x:si>
    <x:t xml:space="preserve">Super Mario 32 Levels</x:t>
  </x:si>
  <x:si>
    <x:t xml:space="preserve">23339</x:t>
  </x:si>
  <x:si>
    <x:t xml:space="preserve">https://www.smwcentral.net/?a=details&amp;id=23339&amp;p=section</x:t>
  </x:si>
  <x:si>
    <x:t xml:space="preserve">https://dl.smwcentral.net/23339/Super%20Mario%2032%20Levels.zip</x:t>
  </x:si>
  <x:si>
    <x:t xml:space="preserve">Super Mario 32 Levels (R4.0)</x:t>
  </x:si>
  <x:si>
    <x:t xml:space="preserve">24103</x:t>
  </x:si>
  <x:si>
    <x:t xml:space="preserve">https://www.smwcentral.net/?a=details&amp;id=24103&amp;p=section</x:t>
  </x:si>
  <x:si>
    <x:t xml:space="preserve">https://dl.smwcentral.net/24103/Super%20Mario%2032%20Levels%20%28R4.0%29.zip</x:t>
  </x:si>
  <x:si>
    <x:t xml:space="preserve">Super Mario 64/4</x:t>
  </x:si>
  <x:si>
    <x:t xml:space="preserve">Jagfillit</x:t>
  </x:si>
  <x:si>
    <x:t xml:space="preserve">5267</x:t>
  </x:si>
  <x:si>
    <x:t xml:space="preserve">https://www.smwcentral.net/?a=details&amp;id=5267&amp;p=section</x:t>
  </x:si>
  <x:si>
    <x:t xml:space="preserve">https://dl.smwcentral.net/5267/Mario64over4.zip</x:t>
  </x:si>
  <x:si>
    <x:t xml:space="preserve">Super Mario 96: Adventures in Parallel Land</x:t>
  </x:si>
  <x:si>
    <x:t xml:space="preserve">6070</x:t>
  </x:si>
  <x:si>
    <x:t xml:space="preserve">https://www.smwcentral.net/?a=details&amp;id=6070&amp;p=section</x:t>
  </x:si>
  <x:si>
    <x:t xml:space="preserve">https://dl.smwcentral.net/6070/sm96.zip</x:t>
  </x:si>
  <x:si>
    <x:t xml:space="preserve">Super Mario Adventure [SMWC #5248]</x:t>
  </x:si>
  <x:si>
    <x:t xml:space="preserve">Super Mario Adventure</x:t>
  </x:si>
  <x:si>
    <x:t xml:space="preserve">BlackMageMario</x:t>
  </x:si>
  <x:si>
    <x:t xml:space="preserve">5248</x:t>
  </x:si>
  <x:si>
    <x:t xml:space="preserve">https://www.smwcentral.net/?a=details&amp;id=5248&amp;p=section</x:t>
  </x:si>
  <x:si>
    <x:t xml:space="preserve">https://dl.smwcentral.net/5248/SMA%20Demo%201.zip</x:t>
  </x:si>
  <x:si>
    <x:t xml:space="preserve">Super Mario Adventure [SMWC #10103]</x:t>
  </x:si>
  <x:si>
    <x:t xml:space="preserve">JVyrn</x:t>
  </x:si>
  <x:si>
    <x:t xml:space="preserve">10103</x:t>
  </x:si>
  <x:si>
    <x:t xml:space="preserve">https://www.smwcentral.net/?a=details&amp;id=10103&amp;p=section</x:t>
  </x:si>
  <x:si>
    <x:t xml:space="preserve">https://dl.smwcentral.net/10103/Super%20Mario%20Adventure%20C3%20Fall%202010%20v1.2.zip</x:t>
  </x:si>
  <x:si>
    <x:t xml:space="preserve">Super Mario Adventures</x:t>
  </x:si>
  <x:si>
    <x:t xml:space="preserve">xAsianjay</x:t>
  </x:si>
  <x:si>
    <x:t xml:space="preserve">6207</x:t>
  </x:si>
  <x:si>
    <x:t xml:space="preserve">https://www.smwcentral.net/?a=details&amp;id=6207&amp;p=section</x:t>
  </x:si>
  <x:si>
    <x:t xml:space="preserve">https://dl.smwcentral.net/6207/Mario%27s%20adventure.zip</x:t>
  </x:si>
  <x:si>
    <x:t xml:space="preserve">Super Mario and Luigi World: Brotherhood</x:t>
  </x:si>
  <x:si>
    <x:t xml:space="preserve">42669</x:t>
  </x:si>
  <x:si>
    <x:t xml:space="preserve">https://www.smwcentral.net/?a=details&amp;id=42669&amp;p=section</x:t>
  </x:si>
  <x:si>
    <x:t xml:space="preserve">https://dl.smwcentral.net/42669/brotherhood.zip</x:t>
  </x:si>
  <x:si>
    <x:t xml:space="preserve">Super Mario And Super Alli World</x:t>
  </x:si>
  <x:si>
    <x:t xml:space="preserve">RealMarioGamer</x:t>
  </x:si>
  <x:si>
    <x:t xml:space="preserve">9702</x:t>
  </x:si>
  <x:si>
    <x:t xml:space="preserve">https://www.smwcentral.net/?a=details&amp;id=9702&amp;p=section</x:t>
  </x:si>
  <x:si>
    <x:t xml:space="preserve">https://dl.smwcentral.net/9702/Super%20Mario%20and%20Super%20Alli%20World.zip</x:t>
  </x:si>
  <x:si>
    <x:t xml:space="preserve">Super Mario and the Cretaceous Castle</x:t>
  </x:si>
  <x:si>
    <x:t xml:space="preserve">TheStellarstrix</x:t>
  </x:si>
  <x:si>
    <x:t xml:space="preserve">20201</x:t>
  </x:si>
  <x:si>
    <x:t xml:space="preserve">https://www.smwcentral.net/?a=details&amp;id=20201&amp;p=section</x:t>
  </x:si>
  <x:si>
    <x:t xml:space="preserve">https://dl.smwcentral.net/20201/Super%20Mario%20and%20the%20Cretaceous%20Castle.zip</x:t>
  </x:si>
  <x:si>
    <x:t xml:space="preserve">Super Mario and the Missing Mushroom Coins</x:t>
  </x:si>
  <x:si>
    <x:t xml:space="preserve">5034</x:t>
  </x:si>
  <x:si>
    <x:t xml:space="preserve">https://www.smwcentral.net/?a=details&amp;id=5034&amp;p=section</x:t>
  </x:si>
  <x:si>
    <x:t xml:space="preserve">https://dl.smwcentral.net/5034/Super%20Mario%20and%20the%20missing%20Mushroom%20Coins%20Demo%201.zip</x:t>
  </x:si>
  <x:si>
    <x:t xml:space="preserve">Super Mario and the Undersea Lab</x:t>
  </x:si>
  <x:si>
    <x:t xml:space="preserve">Yonowaaru</x:t>
  </x:si>
  <x:si>
    <x:t xml:space="preserve">10130</x:t>
  </x:si>
  <x:si>
    <x:t xml:space="preserve">https://www.smwcentral.net/?a=details&amp;id=10130&amp;p=section</x:t>
  </x:si>
  <x:si>
    <x:t xml:space="preserve">https://dl.smwcentral.net/10130/Super%20Mario%20and%20the%20Underwater%20Lab.zip</x:t>
  </x:si>
  <x:si>
    <x:t xml:space="preserve">Super Mario Another Retro</x:t>
  </x:si>
  <x:si>
    <x:t xml:space="preserve">22012</x:t>
  </x:si>
  <x:si>
    <x:t xml:space="preserve">https://www.smwcentral.net/?a=details&amp;id=22012&amp;p=section</x:t>
  </x:si>
  <x:si>
    <x:t xml:space="preserve">https://dl.smwcentral.net/22012/Super%20Mario%20Another%20Retro%20%28Full-version%29.zip</x:t>
  </x:si>
  <x:si>
    <x:t xml:space="preserve">Super Mario Another Retro 2 (Demo)</x:t>
  </x:si>
  <x:si>
    <x:t xml:space="preserve">41602</x:t>
  </x:si>
  <x:si>
    <x:t xml:space="preserve">https://www.smwcentral.net/?a=details&amp;id=41602&amp;p=section</x:t>
  </x:si>
  <x:si>
    <x:t xml:space="preserve">https://dl.smwcentral.net/41602/SMAR2%20%28Demo%29.zip</x:t>
  </x:si>
  <x:si>
    <x:t xml:space="preserve">Super Mario Arbitrium - Demo 2</x:t>
  </x:si>
  <x:si>
    <x:t xml:space="preserve">Evernn</x:t>
  </x:si>
  <x:si>
    <x:t xml:space="preserve">34256</x:t>
  </x:si>
  <x:si>
    <x:t xml:space="preserve">https://www.smwcentral.net/?a=details&amp;id=34256&amp;p=section</x:t>
  </x:si>
  <x:si>
    <x:t xml:space="preserve">https://dl.smwcentral.net/34256/Super_Mario_Arbitrium_Demo_2.zip</x:t>
  </x:si>
  <x:si>
    <x:t xml:space="preserve">Super Mario Arcade</x:t>
  </x:si>
  <x:si>
    <x:t xml:space="preserve">15456</x:t>
  </x:si>
  <x:si>
    <x:t xml:space="preserve">https://www.smwcentral.net/?a=details&amp;id=15456&amp;p=section</x:t>
  </x:si>
  <x:si>
    <x:t xml:space="preserve">https://dl.smwcentral.net/15456/SMAv1.6.zip</x:t>
  </x:si>
  <x:si>
    <x:t xml:space="preserve">Super Mario Archipelago</x:t>
  </x:si>
  <x:si>
    <x:t xml:space="preserve">PROMETHEUS</x:t>
  </x:si>
  <x:si>
    <x:t xml:space="preserve">21493</x:t>
  </x:si>
  <x:si>
    <x:t xml:space="preserve">https://www.smwcentral.net/?a=details&amp;id=21493&amp;p=section</x:t>
  </x:si>
  <x:si>
    <x:t xml:space="preserve">https://dl.smwcentral.net/21493/Super%20Mario%20Archipelago.zip</x:t>
  </x:si>
  <x:si>
    <x:t xml:space="preserve">Super Mario Aways - Redrawn</x:t>
  </x:si>
  <x:si>
    <x:t xml:space="preserve">17086</x:t>
  </x:si>
  <x:si>
    <x:t xml:space="preserve">https://www.smwcentral.net/?a=details&amp;id=17086&amp;p=section</x:t>
  </x:si>
  <x:si>
    <x:t xml:space="preserve">https://dl.smwcentral.net/17086/Super%20Mario%20Aways%20-%20Redrawn.zip</x:t>
  </x:si>
  <x:si>
    <x:t xml:space="preserve">Super Mario Balloon World</x:t>
  </x:si>
  <x:si>
    <x:t xml:space="preserve">25840</x:t>
  </x:si>
  <x:si>
    <x:t xml:space="preserve">https://www.smwcentral.net/?a=details&amp;id=25840&amp;p=section</x:t>
  </x:si>
  <x:si>
    <x:t xml:space="preserve">https://dl.smwcentral.net/25840/SuperMarioBalloonWorld.zip</x:t>
  </x:si>
  <x:si>
    <x:t xml:space="preserve">Super Mario Blooper World</x:t>
  </x:si>
  <x:si>
    <x:t xml:space="preserve">Megaman765</x:t>
  </x:si>
  <x:si>
    <x:t xml:space="preserve">9692</x:t>
  </x:si>
  <x:si>
    <x:t xml:space="preserve">https://www.smwcentral.net/?a=details&amp;id=9692&amp;p=section</x:t>
  </x:si>
  <x:si>
    <x:t xml:space="preserve">https://dl.smwcentral.net/9692/Hack.zip</x:t>
  </x:si>
  <x:si>
    <x:t xml:space="preserve">Super Mario Brain Dead</x:t>
  </x:si>
  <x:si>
    <x:t xml:space="preserve">Rock</x:t>
  </x:si>
  <x:si>
    <x:t xml:space="preserve">9830</x:t>
  </x:si>
  <x:si>
    <x:t xml:space="preserve">https://www.smwcentral.net/?a=details&amp;id=9830&amp;p=section</x:t>
  </x:si>
  <x:si>
    <x:t xml:space="preserve">https://dl.smwcentral.net/9830/Brain%20Dead.zip</x:t>
  </x:si>
  <x:si>
    <x:t xml:space="preserve">Super Mario Broken Anomaly: Prototype version</x:t>
  </x:si>
  <x:si>
    <x:t xml:space="preserve">5333</x:t>
  </x:si>
  <x:si>
    <x:t xml:space="preserve">https://www.smwcentral.net/?a=details&amp;id=5333&amp;p=section</x:t>
  </x:si>
  <x:si>
    <x:t xml:space="preserve">https://dl.smwcentral.net/5333/Super%20Mario%20Broken%20Anomaly.zip</x:t>
  </x:si>
  <x:si>
    <x:t xml:space="preserve">Super Mario Bros - Merry Mountain Christmas Adventure</x:t>
  </x:si>
  <x:si>
    <x:t xml:space="preserve">Bensalot, Nowieso</x:t>
  </x:si>
  <x:si>
    <x:t xml:space="preserve">35786</x:t>
  </x:si>
  <x:si>
    <x:t xml:space="preserve">https://www.smwcentral.net/?a=details&amp;id=35786&amp;p=section</x:t>
  </x:si>
  <x:si>
    <x:t xml:space="preserve">https://dl.smwcentral.net/35786/Super%20Mario%20Bros%20-%20Merry%20Moutaint%20Christmas%20Adventure%20-%20SMW%20Christmas%20Edition%20V3.2.zip</x:t>
  </x:si>
  <x:si>
    <x:t xml:space="preserve">Super Mario Bros 2 Dream Courses</x:t>
  </x:si>
  <x:si>
    <x:t xml:space="preserve">5400</x:t>
  </x:si>
  <x:si>
    <x:t xml:space="preserve">https://www.smwcentral.net/?a=details&amp;id=5400&amp;p=section</x:t>
  </x:si>
  <x:si>
    <x:t xml:space="preserve">https://dl.smwcentral.net/5400/Super%20Mario%20Bros%202%20Dream%20Courses.zip</x:t>
  </x:si>
  <x:si>
    <x:t xml:space="preserve">Super Mario Bros 2: Mega Mario X</x:t>
  </x:si>
  <x:si>
    <x:t xml:space="preserve">17554</x:t>
  </x:si>
  <x:si>
    <x:t xml:space="preserve">https://www.smwcentral.net/?a=details&amp;id=17554&amp;p=section</x:t>
  </x:si>
  <x:si>
    <x:t xml:space="preserve">https://dl.smwcentral.net/17554/Super%20Mario%20Bros%202%20Mega%20Mario%20X%20version%201.2.zip</x:t>
  </x:si>
  <x:si>
    <x:t xml:space="preserve">Super Mario Bros 3 as Dinosaur Land</x:t>
  </x:si>
  <x:si>
    <x:t xml:space="preserve">Fento34</x:t>
  </x:si>
  <x:si>
    <x:t xml:space="preserve">42366</x:t>
  </x:si>
  <x:si>
    <x:t xml:space="preserve">https://www.smwcentral.net/?a=details&amp;id=42366&amp;p=section</x:t>
  </x:si>
  <x:si>
    <x:t xml:space="preserve">https://dl.smwcentral.net/42366/SMB3%20as%20Dinosaur%20Land%20v3.4.zip</x:t>
  </x:si>
  <x:si>
    <x:t xml:space="preserve">Super Mario Bros. - The Castle</x:t>
  </x:si>
  <x:si>
    <x:t xml:space="preserve">Lightvayne</x:t>
  </x:si>
  <x:si>
    <x:t xml:space="preserve">9696</x:t>
  </x:si>
  <x:si>
    <x:t xml:space="preserve">https://www.smwcentral.net/?a=details&amp;id=9696&amp;p=section</x:t>
  </x:si>
  <x:si>
    <x:t xml:space="preserve">https://dl.smwcentral.net/9696/smbthecastle.zip</x:t>
  </x:si>
  <x:si>
    <x:t xml:space="preserve">Super Mario Bros. - The Key Of Nightmares</x:t>
  </x:si>
  <x:si>
    <x:t xml:space="preserve">9749</x:t>
  </x:si>
  <x:si>
    <x:t xml:space="preserve">https://www.smwcentral.net/?a=details&amp;id=9749&amp;p=section</x:t>
  </x:si>
  <x:si>
    <x:t xml:space="preserve">https://dl.smwcentral.net/9749/Super%20Mario%20Bros.%20-%20The%20Key%20Of%20Nightmares.zip</x:t>
  </x:si>
  <x:si>
    <x:t xml:space="preserve">Super Mario Bros. - The Lost Mario Quest</x:t>
  </x:si>
  <x:si>
    <x:t xml:space="preserve">37334</x:t>
  </x:si>
  <x:si>
    <x:t xml:space="preserve">https://www.smwcentral.net/?a=details&amp;id=37334&amp;p=section</x:t>
  </x:si>
  <x:si>
    <x:t xml:space="preserve">https://dl.smwcentral.net/37334/SMBTLMQ%20v2.2.zip</x:t>
  </x:si>
  <x:si>
    <x:t xml:space="preserve">Super Mario Bros. - The Seven Wands</x:t>
  </x:si>
  <x:si>
    <x:t xml:space="preserve">Dark Bob-Omb</x:t>
  </x:si>
  <x:si>
    <x:t xml:space="preserve">9762</x:t>
  </x:si>
  <x:si>
    <x:t xml:space="preserve">https://www.smwcentral.net/?a=details&amp;id=9762&amp;p=section</x:t>
  </x:si>
  <x:si>
    <x:t xml:space="preserve">https://dl.smwcentral.net/9762/Super%20Mario%20Bros.%20-%20The%20Seven%20Wands.zip</x:t>
  </x:si>
  <x:si>
    <x:t xml:space="preserve">Super Mario Bros. 1X</x:t>
  </x:si>
  <x:si>
    <x:t xml:space="preserve">Koyuki</x:t>
  </x:si>
  <x:si>
    <x:t xml:space="preserve">18086</x:t>
  </x:si>
  <x:si>
    <x:t xml:space="preserve">https://www.smwcentral.net/?a=details&amp;id=18086&amp;p=section</x:t>
  </x:si>
  <x:si>
    <x:t xml:space="preserve">https://dl.smwcentral.net/18086/SMB1X%20v1.6.zip</x:t>
  </x:si>
  <x:si>
    <x:t xml:space="preserve">Super Mario Bros. 2 DX</x:t>
  </x:si>
  <x:si>
    <x:t xml:space="preserve">SSM</x:t>
  </x:si>
  <x:si>
    <x:t xml:space="preserve">9682</x:t>
  </x:si>
  <x:si>
    <x:t xml:space="preserve">https://www.smwcentral.net/?a=details&amp;id=9682&amp;p=section</x:t>
  </x:si>
  <x:si>
    <x:t xml:space="preserve">https://dl.smwcentral.net/9682/Super%20Mario%20Bros.%202%20DX.zip</x:t>
  </x:si>
  <x:si>
    <x:t xml:space="preserve">Super Mario Bros. 3 Redrawn</x:t>
  </x:si>
  <x:si>
    <x:t xml:space="preserve">9670</x:t>
  </x:si>
  <x:si>
    <x:t xml:space="preserve">https://www.smwcentral.net/?a=details&amp;id=9670&amp;p=section</x:t>
  </x:si>
  <x:si>
    <x:t xml:space="preserve">https://dl.smwcentral.net/9670/SMB3r.zip</x:t>
  </x:si>
  <x:si>
    <x:t xml:space="preserve">Super Mario Bros. 3 X</x:t>
  </x:si>
  <x:si>
    <x:t xml:space="preserve">6764</x:t>
  </x:si>
  <x:si>
    <x:t xml:space="preserve">https://www.smwcentral.net/?a=details&amp;id=6764&amp;p=section</x:t>
  </x:si>
  <x:si>
    <x:t xml:space="preserve">https://dl.smwcentral.net/6764/SMB3X%20Final%202.6.zip</x:t>
  </x:si>
  <x:si>
    <x:t xml:space="preserve">Super Mario Bros. 3: Golden</x:t>
  </x:si>
  <x:si>
    <x:t xml:space="preserve">9786</x:t>
  </x:si>
  <x:si>
    <x:t xml:space="preserve">https://www.smwcentral.net/?a=details&amp;id=9786&amp;p=section</x:t>
  </x:si>
  <x:si>
    <x:t xml:space="preserve">https://dl.smwcentral.net/9786/smb3.zip</x:t>
  </x:si>
  <x:si>
    <x:t xml:space="preserve">Super Mario Bros. 3: The Secret Place</x:t>
  </x:si>
  <x:si>
    <x:t xml:space="preserve">Hinalyte</x:t>
  </x:si>
  <x:si>
    <x:t xml:space="preserve">6195</x:t>
  </x:si>
  <x:si>
    <x:t xml:space="preserve">https://www.smwcentral.net/?a=details&amp;id=6195&amp;p=section</x:t>
  </x:si>
  <x:si>
    <x:t xml:space="preserve">https://dl.smwcentral.net/6195/SMB3TSP%200.5.zip</x:t>
  </x:si>
  <x:si>
    <x:t xml:space="preserve">Super Mario Bros. 4 - The Mystery Of The Five Stones</x:t>
  </x:si>
  <x:si>
    <x:t xml:space="preserve">10047</x:t>
  </x:si>
  <x:si>
    <x:t xml:space="preserve">https://www.smwcentral.net/?a=details&amp;id=10047&amp;p=section</x:t>
  </x:si>
  <x:si>
    <x:t xml:space="preserve">https://dl.smwcentral.net/10047/smb4.zip.zip</x:t>
  </x:si>
  <x:si>
    <x:t xml:space="preserve">Super Mario Bros. 4: Super Mario World | Mario and Luigi's Return to The Plains</x:t>
  </x:si>
  <x:si>
    <x:t xml:space="preserve">MomentBruh</x:t>
  </x:si>
  <x:si>
    <x:t xml:space="preserve">31151</x:t>
  </x:si>
  <x:si>
    <x:t xml:space="preserve">https://www.smwcentral.net/?a=details&amp;id=31151&amp;p=section</x:t>
  </x:si>
  <x:si>
    <x:t xml:space="preserve">https://dl.smwcentral.net/31151/hac.zip</x:t>
  </x:si>
  <x:si>
    <x:t xml:space="preserve">Super Mario Bros. 5 Reborn</x:t>
  </x:si>
  <x:si>
    <x:t xml:space="preserve">10171</x:t>
  </x:si>
  <x:si>
    <x:t xml:space="preserve">https://www.smwcentral.net/?a=details&amp;id=10171&amp;p=section</x:t>
  </x:si>
  <x:si>
    <x:t xml:space="preserve">https://dl.smwcentral.net/10171/SMB5Rv5.zip</x:t>
  </x:si>
  <x:si>
    <x:t xml:space="preserve">Super Mario Bros. Advance 2 : Super Mario Bros. 3</x:t>
  </x:si>
  <x:si>
    <x:t xml:space="preserve">25236</x:t>
  </x:si>
  <x:si>
    <x:t xml:space="preserve">https://www.smwcentral.net/?a=details&amp;id=25236&amp;p=section</x:t>
  </x:si>
  <x:si>
    <x:t xml:space="preserve">https://dl.smwcentral.net/25236/SMBA2%20V1.0.zip</x:t>
  </x:si>
  <x:si>
    <x:t xml:space="preserve">Super Mario Bros. Chaos</x:t>
  </x:si>
  <x:si>
    <x:t xml:space="preserve">5151</x:t>
  </x:si>
  <x:si>
    <x:t xml:space="preserve">https://www.smwcentral.net/?a=details&amp;id=5151&amp;p=section</x:t>
  </x:si>
  <x:si>
    <x:t xml:space="preserve">https://dl.smwcentral.net/5151/SMB%20Chaos%20Demo.zip</x:t>
  </x:si>
  <x:si>
    <x:t xml:space="preserve">Super Mario Bros. Easter Adventure</x:t>
  </x:si>
  <x:si>
    <x:t xml:space="preserve">9894</x:t>
  </x:si>
  <x:si>
    <x:t xml:space="preserve">https://www.smwcentral.net/?a=details&amp;id=9894&amp;p=section</x:t>
  </x:si>
  <x:si>
    <x:t xml:space="preserve">https://dl.smwcentral.net/9894/Easter.zip</x:t>
  </x:si>
  <x:si>
    <x:t xml:space="preserve">Super Mario Bros. Enhanced</x:t>
  </x:si>
  <x:si>
    <x:t xml:space="preserve">Pac</x:t>
  </x:si>
  <x:si>
    <x:t xml:space="preserve">10223</x:t>
  </x:si>
  <x:si>
    <x:t xml:space="preserve">https://www.smwcentral.net/?a=details&amp;id=10223&amp;p=section</x:t>
  </x:si>
  <x:si>
    <x:t xml:space="preserve">https://dl.smwcentral.net/10223/smbe.zip</x:t>
  </x:si>
  <x:si>
    <x:t xml:space="preserve">Super Mario Bros. For Lost Players</x:t>
  </x:si>
  <x:si>
    <x:t xml:space="preserve">Adam, Truxton, beasteye89, lolyoshi, rextep</x:t>
  </x:si>
  <x:si>
    <x:t xml:space="preserve">29052</x:t>
  </x:si>
  <x:si>
    <x:t xml:space="preserve">https://www.smwcentral.net/?a=details&amp;id=29052&amp;p=section</x:t>
  </x:si>
  <x:si>
    <x:t xml:space="preserve">https://dl.smwcentral.net/29052/JAM_ALERT.zip</x:t>
  </x:si>
  <x:si>
    <x:t xml:space="preserve">Super Mario Bros. Peach's Adventure</x:t>
  </x:si>
  <x:si>
    <x:t xml:space="preserve">Rosicom</x:t>
  </x:si>
  <x:si>
    <x:t xml:space="preserve">25738</x:t>
  </x:si>
  <x:si>
    <x:t xml:space="preserve">https://www.smwcentral.net/?a=details&amp;id=25738&amp;p=section</x:t>
  </x:si>
  <x:si>
    <x:t xml:space="preserve">https://dl.smwcentral.net/25738/Super%20Mario%20Bros.%20Peach%27s%20Adventure.zip</x:t>
  </x:si>
  <x:si>
    <x:t xml:space="preserve">Super Mario Bros. Remix</x:t>
  </x:si>
  <x:si>
    <x:t xml:space="preserve">Phantom Kid</x:t>
  </x:si>
  <x:si>
    <x:t xml:space="preserve">10036</x:t>
  </x:si>
  <x:si>
    <x:t xml:space="preserve">https://www.smwcentral.net/?a=details&amp;id=10036&amp;p=section</x:t>
  </x:si>
  <x:si>
    <x:t xml:space="preserve">https://dl.smwcentral.net/10036/Super%20Mario%20Bros.%20Remix.zip</x:t>
  </x:si>
  <x:si>
    <x:t xml:space="preserve">Super Mario Bros. The Hunt For The Magical Key</x:t>
  </x:si>
  <x:si>
    <x:t xml:space="preserve">9535</x:t>
  </x:si>
  <x:si>
    <x:t xml:space="preserve">https://www.smwcentral.net/?a=details&amp;id=9535&amp;p=section</x:t>
  </x:si>
  <x:si>
    <x:t xml:space="preserve">https://dl.smwcentral.net/9535/Super%20Mario%20Bros.%20The%20Hunt%20For%20The%20Magical%20Key.zip</x:t>
  </x:si>
  <x:si>
    <x:t xml:space="preserve">Super Mario Bros. The Invaders of Mushroom Kingdom</x:t>
  </x:si>
  <x:si>
    <x:t xml:space="preserve">11063</x:t>
  </x:si>
  <x:si>
    <x:t xml:space="preserve">https://www.smwcentral.net/?a=details&amp;id=11063&amp;p=section</x:t>
  </x:si>
  <x:si>
    <x:t xml:space="preserve">https://dl.smwcentral.net/11063/Super%20Mario%20Bros.%20The%20Invaders%20of%20Mushroom%20Kingdom%201.22.zip</x:t>
  </x:si>
  <x:si>
    <x:t xml:space="preserve">Super Mario Bros. The Search for Bowser</x:t>
  </x:si>
  <x:si>
    <x:t xml:space="preserve">10095</x:t>
  </x:si>
  <x:si>
    <x:t xml:space="preserve">https://www.smwcentral.net/?a=details&amp;id=10095&amp;p=section</x:t>
  </x:si>
  <x:si>
    <x:t xml:space="preserve">https://dl.smwcentral.net/10095/Super%20Mario%20Bros.%20the%20search%20for%20bowser%20demo%201.zip</x:t>
  </x:si>
  <x:si>
    <x:t xml:space="preserve">Super Mario Bros.: Peach's Challenge</x:t>
  </x:si>
  <x:si>
    <x:t xml:space="preserve">9793</x:t>
  </x:si>
  <x:si>
    <x:t xml:space="preserve">https://www.smwcentral.net/?a=details&amp;id=9793&amp;p=section</x:t>
  </x:si>
  <x:si>
    <x:t xml:space="preserve">https://dl.smwcentral.net/9793/SMB%20PC.zip</x:t>
  </x:si>
  <x:si>
    <x:t xml:space="preserve">Super Mario Bros.: The Last Showdown</x:t>
  </x:si>
  <x:si>
    <x:t xml:space="preserve">9729</x:t>
  </x:si>
  <x:si>
    <x:t xml:space="preserve">https://www.smwcentral.net/?a=details&amp;id=9729&amp;p=section</x:t>
  </x:si>
  <x:si>
    <x:t xml:space="preserve">https://dl.smwcentral.net/9729/Super%20Mario%20Bros.%20-%20The%20Last%20Showdown.zip</x:t>
  </x:si>
  <x:si>
    <x:t xml:space="preserve">Super Mario Bros.: The Lost Levels 2</x:t>
  </x:si>
  <x:si>
    <x:t xml:space="preserve">Pete3k</x:t>
  </x:si>
  <x:si>
    <x:t xml:space="preserve">10156</x:t>
  </x:si>
  <x:si>
    <x:t xml:space="preserve">https://www.smwcentral.net/?a=details&amp;id=10156&amp;p=section</x:t>
  </x:si>
  <x:si>
    <x:t xml:space="preserve">https://dl.smwcentral.net/10156/Lost%20Levels%202.zip</x:t>
  </x:si>
  <x:si>
    <x:t xml:space="preserve">Super Mario Bros.: The Minus World</x:t>
  </x:si>
  <x:si>
    <x:t xml:space="preserve">10139</x:t>
  </x:si>
  <x:si>
    <x:t xml:space="preserve">https://www.smwcentral.net/?a=details&amp;id=10139&amp;p=section</x:t>
  </x:si>
  <x:si>
    <x:t xml:space="preserve">https://dl.smwcentral.net/10139/SMB-TMW0.1.zip</x:t>
  </x:si>
  <x:si>
    <x:t xml:space="preserve">Super Mario Bros: Bowser Chaos</x:t>
  </x:si>
  <x:si>
    <x:t xml:space="preserve">5452</x:t>
  </x:si>
  <x:si>
    <x:t xml:space="preserve">https://www.smwcentral.net/?a=details&amp;id=5452&amp;p=section</x:t>
  </x:si>
  <x:si>
    <x:t xml:space="preserve">https://dl.smwcentral.net/5452/smbbc%20%28demo4%29.zip</x:t>
  </x:si>
  <x:si>
    <x:t xml:space="preserve">Super Mario Bros: The Castle 2</x:t>
  </x:si>
  <x:si>
    <x:t xml:space="preserve">9712</x:t>
  </x:si>
  <x:si>
    <x:t xml:space="preserve">https://www.smwcentral.net/?a=details&amp;id=9712&amp;p=section</x:t>
  </x:si>
  <x:si>
    <x:t xml:space="preserve">https://dl.smwcentral.net/9712/SMBTheCastle2Demo.zip</x:t>
  </x:si>
  <x:si>
    <x:t xml:space="preserve">Super Mario Bros: The Early Years</x:t>
  </x:si>
  <x:si>
    <x:t xml:space="preserve">15943</x:t>
  </x:si>
  <x:si>
    <x:t xml:space="preserve">https://www.smwcentral.net/?a=details&amp;id=15943&amp;p=section</x:t>
  </x:si>
  <x:si>
    <x:t xml:space="preserve">https://dl.smwcentral.net/15943/SMBTEY%20Fixed%20Forever.zip</x:t>
  </x:si>
  <x:si>
    <x:t xml:space="preserve">Super Mario Bros: The Search for Oreo Cakesters</x:t>
  </x:si>
  <x:si>
    <x:t xml:space="preserve">30202</x:t>
  </x:si>
  <x:si>
    <x:t xml:space="preserve">https://www.smwcentral.net/?a=details&amp;id=30202&amp;p=section</x:t>
  </x:si>
  <x:si>
    <x:t xml:space="preserve">https://dl.smwcentral.net/30202/Super%20Mario%20Bros.%20The%20Search%20for%20Oreo%20Cakesters.zip</x:t>
  </x:si>
  <x:si>
    <x:t xml:space="preserve">Super Mario Bros: Vanilla Islands</x:t>
  </x:si>
  <x:si>
    <x:t xml:space="preserve">26960</x:t>
  </x:si>
  <x:si>
    <x:t xml:space="preserve">https://www.smwcentral.net/?a=details&amp;id=26960&amp;p=section</x:t>
  </x:si>
  <x:si>
    <x:t xml:space="preserve">https://dl.smwcentral.net/26960/Super%20Mario%20Bros%20Vanilla%20Islands%201.1.zip</x:t>
  </x:si>
  <x:si>
    <x:t xml:space="preserve">Super Mario Brothers and the Giant Omelette</x:t>
  </x:si>
  <x:si>
    <x:t xml:space="preserve">BloodyToothBrush, TimothyBor</x:t>
  </x:si>
  <x:si>
    <x:t xml:space="preserve">9892</x:t>
  </x:si>
  <x:si>
    <x:t xml:space="preserve">https://www.smwcentral.net/?a=details&amp;id=9892&amp;p=section</x:t>
  </x:si>
  <x:si>
    <x:t xml:space="preserve">https://dl.smwcentral.net/9892/SMB%26TGO.zip</x:t>
  </x:si>
  <x:si>
    <x:t xml:space="preserve">Super Mario Challenge</x:t>
  </x:si>
  <x:si>
    <x:t xml:space="preserve">Awesomeman</x:t>
  </x:si>
  <x:si>
    <x:t xml:space="preserve">27363</x:t>
  </x:si>
  <x:si>
    <x:t xml:space="preserve">https://www.smwcentral.net/?a=details&amp;id=27363&amp;p=section</x:t>
  </x:si>
  <x:si>
    <x:t xml:space="preserve">https://dl.smwcentral.net/27363/Super%20Mario%20Challenge_FIXED.zip</x:t>
  </x:si>
  <x:si>
    <x:t xml:space="preserve">Super Mario Classic'd</x:t>
  </x:si>
  <x:si>
    <x:t xml:space="preserve">blocc</x:t>
  </x:si>
  <x:si>
    <x:t xml:space="preserve">20166</x:t>
  </x:si>
  <x:si>
    <x:t xml:space="preserve">https://www.smwcentral.net/?a=details&amp;id=20166&amp;p=section</x:t>
  </x:si>
  <x:si>
    <x:t xml:space="preserve">https://dl.smwcentral.net/20166/Super%20Mario%20Classic%27d%20v2.zip</x:t>
  </x:si>
  <x:si>
    <x:t xml:space="preserve">Super Mario Cosmos</x:t>
  </x:si>
  <x:si>
    <x:t xml:space="preserve">Xeruss</x:t>
  </x:si>
  <x:si>
    <x:t xml:space="preserve">9822</x:t>
  </x:si>
  <x:si>
    <x:t xml:space="preserve">https://www.smwcentral.net/?a=details&amp;id=9822&amp;p=section</x:t>
  </x:si>
  <x:si>
    <x:t xml:space="preserve">https://dl.smwcentral.net/9822/Super%20Mario%20Cosmos.zip</x:t>
  </x:si>
  <x:si>
    <x:t xml:space="preserve">Super Mario Del Lago</x:t>
  </x:si>
  <x:si>
    <x:t xml:space="preserve">Slash Man</x:t>
  </x:si>
  <x:si>
    <x:t xml:space="preserve">9888</x:t>
  </x:si>
  <x:si>
    <x:t xml:space="preserve">https://www.smwcentral.net/?a=details&amp;id=9888&amp;p=section</x:t>
  </x:si>
  <x:si>
    <x:t xml:space="preserve">https://dl.smwcentral.net/9888/Super%20Mario%20Del%20Lago.zip</x:t>
  </x:si>
  <x:si>
    <x:t xml:space="preserve">Super Mario Denied World</x:t>
  </x:si>
  <x:si>
    <x:t xml:space="preserve">10010</x:t>
  </x:si>
  <x:si>
    <x:t xml:space="preserve">https://www.smwcentral.net/?a=details&amp;id=10010&amp;p=section</x:t>
  </x:si>
  <x:si>
    <x:t xml:space="preserve">https://dl.smwcentral.net/10010/Denied.zip</x:t>
  </x:si>
  <x:si>
    <x:t xml:space="preserve">Super Mario Dream World</x:t>
  </x:si>
  <x:si>
    <x:t xml:space="preserve">14786</x:t>
  </x:si>
  <x:si>
    <x:t xml:space="preserve">https://www.smwcentral.net/?a=details&amp;id=14786&amp;p=section</x:t>
  </x:si>
  <x:si>
    <x:t xml:space="preserve">https://dl.smwcentral.net/14786/Super%20Mario%20Dream%20World.zip</x:t>
  </x:si>
  <x:si>
    <x:t xml:space="preserve">Super Mario DX</x:t>
  </x:si>
  <x:si>
    <x:t xml:space="preserve">41188</x:t>
  </x:si>
  <x:si>
    <x:t xml:space="preserve">https://www.smwcentral.net/?a=details&amp;id=41188&amp;p=section</x:t>
  </x:si>
  <x:si>
    <x:t xml:space="preserve">https://dl.smwcentral.net/41188/Super%20Mario%20DX.zip</x:t>
  </x:si>
  <x:si>
    <x:t xml:space="preserve">Super Mario Element Worlds</x:t>
  </x:si>
  <x:si>
    <x:t xml:space="preserve">New Skyon</x:t>
  </x:si>
  <x:si>
    <x:t xml:space="preserve">15576</x:t>
  </x:si>
  <x:si>
    <x:t xml:space="preserve">https://www.smwcentral.net/?a=details&amp;id=15576&amp;p=section</x:t>
  </x:si>
  <x:si>
    <x:t xml:space="preserve">https://dl.smwcentral.net/15576/Super%20Mario%20Element%20Worlds%20FIXED.zip</x:t>
  </x:si>
  <x:si>
    <x:t xml:space="preserve">Super Mario Emulator (PTB)</x:t>
  </x:si>
  <x:si>
    <x:t xml:space="preserve">noname</x:t>
  </x:si>
  <x:si>
    <x:t xml:space="preserve">10022</x:t>
  </x:si>
  <x:si>
    <x:t xml:space="preserve">https://www.smwcentral.net/?a=details&amp;id=10022&amp;p=section</x:t>
  </x:si>
  <x:si>
    <x:t xml:space="preserve">https://dl.smwcentral.net/10022/SME%20patch.zip</x:t>
  </x:si>
  <x:si>
    <x:t xml:space="preserve">Super Mario Endless World</x:t>
  </x:si>
  <x:si>
    <x:t xml:space="preserve">Haithius</x:t>
  </x:si>
  <x:si>
    <x:t xml:space="preserve">21176</x:t>
  </x:si>
  <x:si>
    <x:t xml:space="preserve">https://www.smwcentral.net/?a=details&amp;id=21176&amp;p=section</x:t>
  </x:si>
  <x:si>
    <x:t xml:space="preserve">https://dl.smwcentral.net/21176/Super%20Mario%20Endless%20World%20DEMO.zip</x:t>
  </x:si>
  <x:si>
    <x:t xml:space="preserve">Super Mario Escapades</x:t>
  </x:si>
  <x:si>
    <x:t xml:space="preserve">GammaSlap</x:t>
  </x:si>
  <x:si>
    <x:t xml:space="preserve">13342</x:t>
  </x:si>
  <x:si>
    <x:t xml:space="preserve">https://www.smwcentral.net/?a=details&amp;id=13342&amp;p=section</x:t>
  </x:si>
  <x:si>
    <x:t xml:space="preserve">https://dl.smwcentral.net/13342/Super%20Mario%20Escapades%20DEMO.zip</x:t>
  </x:si>
  <x:si>
    <x:t xml:space="preserve">Super Mario Expedition</x:t>
  </x:si>
  <x:si>
    <x:t xml:space="preserve">10184</x:t>
  </x:si>
  <x:si>
    <x:t xml:space="preserve">https://www.smwcentral.net/?a=details&amp;id=10184&amp;p=section</x:t>
  </x:si>
  <x:si>
    <x:t xml:space="preserve">https://dl.smwcentral.net/10184/Super%20Mario%20Expedition.zip</x:t>
  </x:si>
  <x:si>
    <x:t xml:space="preserve">Super Mario Fiwerland</x:t>
  </x:si>
  <x:si>
    <x:t xml:space="preserve">Cristian Cardoso</x:t>
  </x:si>
  <x:si>
    <x:t xml:space="preserve">32985</x:t>
  </x:si>
  <x:si>
    <x:t xml:space="preserve">https://www.smwcentral.net/?a=details&amp;id=32985&amp;p=section</x:t>
  </x:si>
  <x:si>
    <x:t xml:space="preserve">https://dl.smwcentral.net/32985/Super%20Mario%20Fiwerland.zip</x:t>
  </x:si>
  <x:si>
    <x:t xml:space="preserve">Super Mario Flash 2: SMW Remake</x:t>
  </x:si>
  <x:si>
    <x:t xml:space="preserve">Apple Boy, Dark Prince, Donut, Segment1Zone2, Stivi</x:t>
  </x:si>
  <x:si>
    <x:t xml:space="preserve">27400</x:t>
  </x:si>
  <x:si>
    <x:t xml:space="preserve">https://www.smwcentral.net/?a=details&amp;id=27400&amp;p=section</x:t>
  </x:si>
  <x:si>
    <x:t xml:space="preserve">https://dl.smwcentral.net/27400/Super%20Mario%20Flash%202%20-%20SMW%20Remake%201.3.zip</x:t>
  </x:si>
  <x:si>
    <x:t xml:space="preserve">Super Mario Flash: Super Mario World Remake</x:t>
  </x:si>
  <x:si>
    <x:t xml:space="preserve">Dark Prince</x:t>
  </x:si>
  <x:si>
    <x:t xml:space="preserve">34419</x:t>
  </x:si>
  <x:si>
    <x:t xml:space="preserve">https://www.smwcentral.net/?a=details&amp;id=34419&amp;p=section</x:t>
  </x:si>
  <x:si>
    <x:t xml:space="preserve">https://dl.smwcentral.net/34419/Super%20Mario%20Flash.zip</x:t>
  </x:si>
  <x:si>
    <x:t xml:space="preserve">Super Mario Fooland</x:t>
  </x:si>
  <x:si>
    <x:t xml:space="preserve">Fullcannon</x:t>
  </x:si>
  <x:si>
    <x:t xml:space="preserve">19560</x:t>
  </x:si>
  <x:si>
    <x:t xml:space="preserve">https://www.smwcentral.net/?a=details&amp;id=19560&amp;p=section</x:t>
  </x:si>
  <x:si>
    <x:t xml:space="preserve">https://dl.smwcentral.net/19560/smfooland34.zip</x:t>
  </x:si>
  <x:si>
    <x:t xml:space="preserve">Super Mario Gaia</x:t>
  </x:si>
  <x:si>
    <x:t xml:space="preserve">31243</x:t>
  </x:si>
  <x:si>
    <x:t xml:space="preserve">https://www.smwcentral.net/?a=details&amp;id=31243&amp;p=section</x:t>
  </x:si>
  <x:si>
    <x:t xml:space="preserve">https://dl.smwcentral.net/31243/Super%20Mario%20Gaia%201.1.zip</x:t>
  </x:si>
  <x:si>
    <x:t xml:space="preserve">Super Mario Hack</x:t>
  </x:si>
  <x:si>
    <x:t xml:space="preserve">15487</x:t>
  </x:si>
  <x:si>
    <x:t xml:space="preserve">https://www.smwcentral.net/?a=details&amp;id=15487&amp;p=section</x:t>
  </x:si>
  <x:si>
    <x:t xml:space="preserve">https://dl.smwcentral.net/15487/Super%20Mario%20Hack%20v1.7.zip</x:t>
  </x:si>
  <x:si>
    <x:t xml:space="preserve">Super Mario Hack - Uma Nova Aventura - A New Adventure (Lite Version)</x:t>
  </x:si>
  <x:si>
    <x:t xml:space="preserve">28153</x:t>
  </x:si>
  <x:si>
    <x:t xml:space="preserve">https://www.smwcentral.net/?a=details&amp;id=28153&amp;p=section</x:t>
  </x:si>
  <x:si>
    <x:t xml:space="preserve">https://dl.smwcentral.net/28153/Super%20Mario%20Hack%20-%20Uma%20Nova%20Aventura%20-%20A%20New%20Adventure.zip</x:t>
  </x:si>
  <x:si>
    <x:t xml:space="preserve">Super Mario Heroes</x:t>
  </x:si>
  <x:si>
    <x:t xml:space="preserve">543</x:t>
  </x:si>
  <x:si>
    <x:t xml:space="preserve">9854</x:t>
  </x:si>
  <x:si>
    <x:t xml:space="preserve">https://www.smwcentral.net/?a=details&amp;id=9854&amp;p=section</x:t>
  </x:si>
  <x:si>
    <x:t xml:space="preserve">https://dl.smwcentral.net/9854/smheroes2.zip</x:t>
  </x:si>
  <x:si>
    <x:t xml:space="preserve">Super Mario Horizons 1.0b</x:t>
  </x:si>
  <x:si>
    <x:t xml:space="preserve">MegacesarCG</x:t>
  </x:si>
  <x:si>
    <x:t xml:space="preserve">35232</x:t>
  </x:si>
  <x:si>
    <x:t xml:space="preserve">https://www.smwcentral.net/?a=details&amp;id=35232&amp;p=section</x:t>
  </x:si>
  <x:si>
    <x:t xml:space="preserve">https://dl.smwcentral.net/35232/SMH1.0b.zip</x:t>
  </x:si>
  <x:si>
    <x:t xml:space="preserve">Super Mario Iggy's Revenge</x:t>
  </x:si>
  <x:si>
    <x:t xml:space="preserve">Doseianasan</x:t>
  </x:si>
  <x:si>
    <x:t xml:space="preserve">10076</x:t>
  </x:si>
  <x:si>
    <x:t xml:space="preserve">https://www.smwcentral.net/?a=details&amp;id=10076&amp;p=section</x:t>
  </x:si>
  <x:si>
    <x:t xml:space="preserve">https://dl.smwcentral.net/10076/Super%20Mario%20Iggy%27s%20Revenge.zip</x:t>
  </x:si>
  <x:si>
    <x:t xml:space="preserve">Super Mario In Element World</x:t>
  </x:si>
  <x:si>
    <x:t xml:space="preserve">6745</x:t>
  </x:si>
  <x:si>
    <x:t xml:space="preserve">https://www.smwcentral.net/?a=details&amp;id=6745&amp;p=section</x:t>
  </x:si>
  <x:si>
    <x:t xml:space="preserve">https://dl.smwcentral.net/6745/SMW%20patch.zip</x:t>
  </x:si>
  <x:si>
    <x:t xml:space="preserve">Super Mario In Element World 2: The Master Hand Revenge</x:t>
  </x:si>
  <x:si>
    <x:t xml:space="preserve">6794</x:t>
  </x:si>
  <x:si>
    <x:t xml:space="preserve">https://www.smwcentral.net/?a=details&amp;id=6794&amp;p=section</x:t>
  </x:si>
  <x:si>
    <x:t xml:space="preserve">https://dl.smwcentral.net/6794/smw%20patch.zip</x:t>
  </x:si>
  <x:si>
    <x:t xml:space="preserve">Super Mario in Miscland 2: GrisBoo's Switches!</x:t>
  </x:si>
  <x:si>
    <x:t xml:space="preserve">10070</x:t>
  </x:si>
  <x:si>
    <x:t xml:space="preserve">https://www.smwcentral.net/?a=details&amp;id=10070&amp;p=section</x:t>
  </x:si>
  <x:si>
    <x:t xml:space="preserve">https://dl.smwcentral.net/10070/Miscland2.zip</x:t>
  </x:si>
  <x:si>
    <x:t xml:space="preserve">Super Mario in the Health Advocacy Project</x:t>
  </x:si>
  <x:si>
    <x:t xml:space="preserve">Herobrine81902</x:t>
  </x:si>
  <x:si>
    <x:t xml:space="preserve">17022</x:t>
  </x:si>
  <x:si>
    <x:t xml:space="preserve">https://www.smwcentral.net/?a=details&amp;id=17022&amp;p=section</x:t>
  </x:si>
  <x:si>
    <x:t xml:space="preserve">https://dl.smwcentral.net/17022/Super%20Mario%20in%20the%20Health%20Advocacy%20Project.zip</x:t>
  </x:si>
  <x:si>
    <x:t xml:space="preserve">Super Mario in the Vanilla Forest</x:t>
  </x:si>
  <x:si>
    <x:t xml:space="preserve">DatLeon</x:t>
  </x:si>
  <x:si>
    <x:t xml:space="preserve">10205</x:t>
  </x:si>
  <x:si>
    <x:t xml:space="preserve">https://www.smwcentral.net/?a=details&amp;id=10205&amp;p=section</x:t>
  </x:si>
  <x:si>
    <x:t xml:space="preserve">https://dl.smwcentral.net/10205/Vanilla%20Land%20%28EN%29.zip</x:t>
  </x:si>
  <x:si>
    <x:t xml:space="preserve">Super Mario in Yoshi Heaven</x:t>
  </x:si>
  <x:si>
    <x:t xml:space="preserve">wtfweb</x:t>
  </x:si>
  <x:si>
    <x:t xml:space="preserve">5000</x:t>
  </x:si>
  <x:si>
    <x:t xml:space="preserve">https://www.smwcentral.net/?a=details&amp;id=5000&amp;p=section</x:t>
  </x:si>
  <x:si>
    <x:t xml:space="preserve">https://dl.smwcentral.net/5000/yoshi_heaven.zip</x:t>
  </x:si>
  <x:si>
    <x:t xml:space="preserve">Super Mario in: Yoshi's Revenge</x:t>
  </x:si>
  <x:si>
    <x:t xml:space="preserve">10187</x:t>
  </x:si>
  <x:si>
    <x:t xml:space="preserve">https://www.smwcentral.net/?a=details&amp;id=10187&amp;p=section</x:t>
  </x:si>
  <x:si>
    <x:t xml:space="preserve">https://dl.smwcentral.net/10187/YRV1-4.zip</x:t>
  </x:si>
  <x:si>
    <x:t xml:space="preserve">Super Mario Infinity 2: The Cursed Gem</x:t>
  </x:si>
  <x:si>
    <x:t xml:space="preserve">Reading</x:t>
  </x:si>
  <x:si>
    <x:t xml:space="preserve">20859</x:t>
  </x:si>
  <x:si>
    <x:t xml:space="preserve">https://www.smwcentral.net/?a=details&amp;id=20859&amp;p=section</x:t>
  </x:si>
  <x:si>
    <x:t xml:space="preserve">https://dl.smwcentral.net/20859/smi2.zip</x:t>
  </x:si>
  <x:si>
    <x:t xml:space="preserve">Super Mario Infinity: Mystery of the Magic Wand</x:t>
  </x:si>
  <x:si>
    <x:t xml:space="preserve">19547</x:t>
  </x:si>
  <x:si>
    <x:t xml:space="preserve">https://www.smwcentral.net/?a=details&amp;id=19547&amp;p=section</x:t>
  </x:si>
  <x:si>
    <x:t xml:space="preserve">https://dl.smwcentral.net/19547/smi.zip</x:t>
  </x:si>
  <x:si>
    <x:t xml:space="preserve">Super Mario Islands</x:t>
  </x:si>
  <x:si>
    <x:t xml:space="preserve">bkbusters</x:t>
  </x:si>
  <x:si>
    <x:t xml:space="preserve">9804</x:t>
  </x:si>
  <x:si>
    <x:t xml:space="preserve">https://www.smwcentral.net/?a=details&amp;id=9804&amp;p=section</x:t>
  </x:si>
  <x:si>
    <x:t xml:space="preserve">https://dl.smwcentral.net/9804/Super%20Mario%20Islands%20Demo%202.zip</x:t>
  </x:si>
  <x:si>
    <x:t xml:space="preserve">Super Mario Justice</x:t>
  </x:si>
  <x:si>
    <x:t xml:space="preserve">RpGaming</x:t>
  </x:si>
  <x:si>
    <x:t xml:space="preserve">8983</x:t>
  </x:si>
  <x:si>
    <x:t xml:space="preserve">https://www.smwcentral.net/?a=details&amp;id=8983&amp;p=section</x:t>
  </x:si>
  <x:si>
    <x:t xml:space="preserve">https://dl.smwcentral.net/8983/Super%20Mario%20Justice%20-%20Demo%20I.zip</x:t>
  </x:si>
  <x:si>
    <x:t xml:space="preserve">Super Mario Land 2.5</x:t>
  </x:si>
  <x:si>
    <x:t xml:space="preserve">14243</x:t>
  </x:si>
  <x:si>
    <x:t xml:space="preserve">https://www.smwcentral.net/?a=details&amp;id=14243&amp;p=section</x:t>
  </x:si>
  <x:si>
    <x:t xml:space="preserve">https://dl.smwcentral.net/14243/sml%20demo2.zip</x:t>
  </x:si>
  <x:si>
    <x:t xml:space="preserve">Super Mario Land 3: Tatanga's Return</x:t>
  </x:si>
  <x:si>
    <x:t xml:space="preserve">13608</x:t>
  </x:si>
  <x:si>
    <x:t xml:space="preserve">https://www.smwcentral.net/?a=details&amp;id=13608&amp;p=section</x:t>
  </x:si>
  <x:si>
    <x:t xml:space="preserve">https://dl.smwcentral.net/13608/TatangasReturn2.1.zip</x:t>
  </x:si>
  <x:si>
    <x:t xml:space="preserve">Super Mario Land 4</x:t>
  </x:si>
  <x:si>
    <x:t xml:space="preserve">9963</x:t>
  </x:si>
  <x:si>
    <x:t xml:space="preserve">https://www.smwcentral.net/?a=details&amp;id=9963&amp;p=section</x:t>
  </x:si>
  <x:si>
    <x:t xml:space="preserve">https://dl.smwcentral.net/9963/SML4_C3%20demo%5Bfr%5D.zip</x:t>
  </x:si>
  <x:si>
    <x:t xml:space="preserve">Super Mario Land Arcade!</x:t>
  </x:si>
  <x:si>
    <x:t xml:space="preserve">DonnyKD</x:t>
  </x:si>
  <x:si>
    <x:t xml:space="preserve">10260</x:t>
  </x:si>
  <x:si>
    <x:t xml:space="preserve">https://www.smwcentral.net/?a=details&amp;id=10260&amp;p=section</x:t>
  </x:si>
  <x:si>
    <x:t xml:space="preserve">https://dl.smwcentral.net/10260/SMLA%20demo%201.zip</x:t>
  </x:si>
  <x:si>
    <x:t xml:space="preserve">Super Mario Land World</x:t>
  </x:si>
  <x:si>
    <x:t xml:space="preserve">38127</x:t>
  </x:si>
  <x:si>
    <x:t xml:space="preserve">https://www.smwcentral.net/?a=details&amp;id=38127&amp;p=section</x:t>
  </x:si>
  <x:si>
    <x:t xml:space="preserve">https://dl.smwcentral.net/38127/Super%20Mario%20Land%20World%20V1.1%20%28%202024%20%29.zip</x:t>
  </x:si>
  <x:si>
    <x:t xml:space="preserve">Super Mario Legacy</x:t>
  </x:si>
  <x:si>
    <x:t xml:space="preserve">Ragey</x:t>
  </x:si>
  <x:si>
    <x:t xml:space="preserve">17478</x:t>
  </x:si>
  <x:si>
    <x:t xml:space="preserve">https://www.smwcentral.net/?a=details&amp;id=17478&amp;p=section</x:t>
  </x:si>
  <x:si>
    <x:t xml:space="preserve">https://dl.smwcentral.net/17478/Super%20Mario%20Legacy.zip</x:t>
  </x:si>
  <x:si>
    <x:t xml:space="preserve">Super Mario Logic</x:t>
  </x:si>
  <x:si>
    <x:t xml:space="preserve">Final Theory</x:t>
  </x:si>
  <x:si>
    <x:t xml:space="preserve">17005</x:t>
  </x:si>
  <x:si>
    <x:t xml:space="preserve">https://www.smwcentral.net/?a=details&amp;id=17005&amp;p=section</x:t>
  </x:si>
  <x:si>
    <x:t xml:space="preserve">https://dl.smwcentral.net/17005/Super%20Mario%20Logic.zip</x:t>
  </x:si>
  <x:si>
    <x:t xml:space="preserve">Super Mario Lost in Monochrome</x:t>
  </x:si>
  <x:si>
    <x:t xml:space="preserve">EL santo</x:t>
  </x:si>
  <x:si>
    <x:t xml:space="preserve">10191</x:t>
  </x:si>
  <x:si>
    <x:t xml:space="preserve">https://www.smwcentral.net/?a=details&amp;id=10191&amp;p=section</x:t>
  </x:si>
  <x:si>
    <x:t xml:space="preserve">https://dl.smwcentral.net/10191/Super%20Mario%20Lost%20in%20Monochrome%20%28v1.4v%29.zip</x:t>
  </x:si>
  <x:si>
    <x:t xml:space="preserve">Super Mario Lost World</x:t>
  </x:si>
  <x:si>
    <x:t xml:space="preserve">Andyana Jonseph, RussianMan, darken, niko</x:t>
  </x:si>
  <x:si>
    <x:t xml:space="preserve">16048</x:t>
  </x:si>
  <x:si>
    <x:t xml:space="preserve">https://www.smwcentral.net/?a=details&amp;id=16048&amp;p=section</x:t>
  </x:si>
  <x:si>
    <x:t xml:space="preserve">https://dl.smwcentral.net/16048/Super%20Mario%20Lost%20World%20Demo.zip</x:t>
  </x:si>
  <x:si>
    <x:t xml:space="preserve">Super Mario Makers' Holiday Extravaganza</x:t>
  </x:si>
  <x:si>
    <x:t xml:space="preserve">Brakkie, Buflen, Donkeymint, JeepySol, NewPointless, Scags, mmmdoggy, revolug</x:t>
  </x:si>
  <x:si>
    <x:t xml:space="preserve">41494</x:t>
  </x:si>
  <x:si>
    <x:t xml:space="preserve">https://www.smwcentral.net/?a=details&amp;id=41494&amp;p=section</x:t>
  </x:si>
  <x:si>
    <x:t xml:space="preserve">https://dl.smwcentral.net/41494/SuperMarioMakersHolidayExtravaganza1_1.zip</x:t>
  </x:si>
  <x:si>
    <x:t xml:space="preserve">Super Mario Mania</x:t>
  </x:si>
  <x:si>
    <x:t xml:space="preserve">OiMuka</x:t>
  </x:si>
  <x:si>
    <x:t xml:space="preserve">42235</x:t>
  </x:si>
  <x:si>
    <x:t xml:space="preserve">https://www.smwcentral.net/?a=details&amp;id=42235&amp;p=section</x:t>
  </x:si>
  <x:si>
    <x:t xml:space="preserve">https://dl.smwcentral.net/42235/SMM%20-%20Demo%20V1.1.zip</x:t>
  </x:si>
  <x:si>
    <x:t xml:space="preserve">Super Mario New Life!</x:t>
  </x:si>
  <x:si>
    <x:t xml:space="preserve">FamilyTeamProductions</x:t>
  </x:si>
  <x:si>
    <x:t xml:space="preserve">10168</x:t>
  </x:si>
  <x:si>
    <x:t xml:space="preserve">https://www.smwcentral.net/?a=details&amp;id=10168&amp;p=section</x:t>
  </x:si>
  <x:si>
    <x:t xml:space="preserve">https://dl.smwcentral.net/10168/SMNL.zip</x:t>
  </x:si>
  <x:si>
    <x:t xml:space="preserve">Super Mario Ocean</x:t>
  </x:si>
  <x:si>
    <x:t xml:space="preserve">9761</x:t>
  </x:si>
  <x:si>
    <x:t xml:space="preserve">https://www.smwcentral.net/?a=details&amp;id=9761&amp;p=section</x:t>
  </x:si>
  <x:si>
    <x:t xml:space="preserve">https://dl.smwcentral.net/9761/SuperMarioOcean.zip</x:t>
  </x:si>
  <x:si>
    <x:t xml:space="preserve">Super Mario Odyssey</x:t>
  </x:si>
  <x:si>
    <x:t xml:space="preserve">Rachel Mae</x:t>
  </x:si>
  <x:si>
    <x:t xml:space="preserve">4987</x:t>
  </x:si>
  <x:si>
    <x:t xml:space="preserve">https://www.smwcentral.net/?a=details&amp;id=4987&amp;p=section</x:t>
  </x:si>
  <x:si>
    <x:t xml:space="preserve">https://dl.smwcentral.net/4987/odyssey_v02.zip</x:t>
  </x:si>
  <x:si>
    <x:t xml:space="preserve">Super Mario Omega</x:t>
  </x:si>
  <x:si>
    <x:t xml:space="preserve">Higsby</x:t>
  </x:si>
  <x:si>
    <x:t xml:space="preserve">5252</x:t>
  </x:si>
  <x:si>
    <x:t xml:space="preserve">https://www.smwcentral.net/?a=details&amp;id=5252&amp;p=section</x:t>
  </x:si>
  <x:si>
    <x:t xml:space="preserve">https://dl.smwcentral.net/5252/Super%20Mario%20Omega%20V1.07.zip</x:t>
  </x:si>
  <x:si>
    <x:t xml:space="preserve">Super Mario Outbreak</x:t>
  </x:si>
  <x:si>
    <x:t xml:space="preserve">22929</x:t>
  </x:si>
  <x:si>
    <x:t xml:space="preserve">https://www.smwcentral.net/?a=details&amp;id=22929&amp;p=section</x:t>
  </x:si>
  <x:si>
    <x:t xml:space="preserve">https://dl.smwcentral.net/22929/Outbreak%20Demo%20-%20Fixed.zip</x:t>
  </x:si>
  <x:si>
    <x:t xml:space="preserve">Super Mario OWMS</x:t>
  </x:si>
  <x:si>
    <x:t xml:space="preserve">BanzaiChuck</x:t>
  </x:si>
  <x:si>
    <x:t xml:space="preserve">17584</x:t>
  </x:si>
  <x:si>
    <x:t xml:space="preserve">https://www.smwcentral.net/?a=details&amp;id=17584&amp;p=section</x:t>
  </x:si>
  <x:si>
    <x:t xml:space="preserve">https://dl.smwcentral.net/17584/Super%20Mario%20OWMS.zip</x:t>
  </x:si>
  <x:si>
    <x:t xml:space="preserve">Super Mario Pants World</x:t>
  </x:si>
  <x:si>
    <x:t xml:space="preserve">16416</x:t>
  </x:si>
  <x:si>
    <x:t xml:space="preserve">https://www.smwcentral.net/?a=details&amp;id=16416&amp;p=section</x:t>
  </x:si>
  <x:si>
    <x:t xml:space="preserve">https://dl.smwcentral.net/16416/SMPWv2.zip</x:t>
  </x:si>
  <x:si>
    <x:t xml:space="preserve">Super Mario Place</x:t>
  </x:si>
  <x:si>
    <x:t xml:space="preserve">Angel Astronaut</x:t>
  </x:si>
  <x:si>
    <x:t xml:space="preserve">5175</x:t>
  </x:si>
  <x:si>
    <x:t xml:space="preserve">https://www.smwcentral.net/?a=details&amp;id=5175&amp;p=section</x:t>
  </x:si>
  <x:si>
    <x:t xml:space="preserve">https://dl.smwcentral.net/5175/Super%20Mario%20Place.zip</x:t>
  </x:si>
  <x:si>
    <x:t xml:space="preserve">Super Mario Planet</x:t>
  </x:si>
  <x:si>
    <x:t xml:space="preserve">Merthacks</x:t>
  </x:si>
  <x:si>
    <x:t xml:space="preserve">5520</x:t>
  </x:si>
  <x:si>
    <x:t xml:space="preserve">https://www.smwcentral.net/?a=details&amp;id=5520&amp;p=section</x:t>
  </x:si>
  <x:si>
    <x:t xml:space="preserve">https://dl.smwcentral.net/5520/Super%20Mario%20Planet.zip</x:t>
  </x:si>
  <x:si>
    <x:t xml:space="preserve">Super Mario Quest</x:t>
  </x:si>
  <x:si>
    <x:t xml:space="preserve">11428</x:t>
  </x:si>
  <x:si>
    <x:t xml:space="preserve">https://www.smwcentral.net/?a=details&amp;id=11428&amp;p=section</x:t>
  </x:si>
  <x:si>
    <x:t xml:space="preserve">https://dl.smwcentral.net/11428/Super%20Mario%20Quest.zip</x:t>
  </x:si>
  <x:si>
    <x:t xml:space="preserve">Super Mario Radish Kingdom Adventure</x:t>
  </x:si>
  <x:si>
    <x:t xml:space="preserve">autisticsceptile1993</x:t>
  </x:si>
  <x:si>
    <x:t xml:space="preserve">25875</x:t>
  </x:si>
  <x:si>
    <x:t xml:space="preserve">https://www.smwcentral.net/?a=details&amp;id=25875&amp;p=section</x:t>
  </x:si>
  <x:si>
    <x:t xml:space="preserve">https://dl.smwcentral.net/25875/Super%20Mario%20Radish%20Kingdom%20Adventure%20V3.1.zip</x:t>
  </x:si>
  <x:si>
    <x:t xml:space="preserve">Super Mario Redux</x:t>
  </x:si>
  <x:si>
    <x:t xml:space="preserve">10100</x:t>
  </x:si>
  <x:si>
    <x:t xml:space="preserve">https://www.smwcentral.net/?a=details&amp;id=10100&amp;p=section</x:t>
  </x:si>
  <x:si>
    <x:t xml:space="preserve">https://dl.smwcentral.net/10100/Redux.zip</x:t>
  </x:si>
  <x:si>
    <x:t xml:space="preserve">Super Mario Revelations</x:t>
  </x:si>
  <x:si>
    <x:t xml:space="preserve">ItsSnowyTime</x:t>
  </x:si>
  <x:si>
    <x:t xml:space="preserve">9750</x:t>
  </x:si>
  <x:si>
    <x:t xml:space="preserve">https://www.smwcentral.net/?a=details&amp;id=9750&amp;p=section</x:t>
  </x:si>
  <x:si>
    <x:t xml:space="preserve">https://dl.smwcentral.net/9750/Super_Mario_Revelations.zip</x:t>
  </x:si>
  <x:si>
    <x:t xml:space="preserve">Super Mario Robotical Trouble</x:t>
  </x:si>
  <x:si>
    <x:t xml:space="preserve">Dark Yoshi</x:t>
  </x:si>
  <x:si>
    <x:t xml:space="preserve">5464</x:t>
  </x:si>
  <x:si>
    <x:t xml:space="preserve">https://www.smwcentral.net/?a=details&amp;id=5464&amp;p=section</x:t>
  </x:si>
  <x:si>
    <x:t xml:space="preserve">https://dl.smwcentral.net/5464/Super%20Mario%20Robotical%20Trouble.zip</x:t>
  </x:si>
  <x:si>
    <x:t xml:space="preserve">Super Mario SS2 - Bowser is Back</x:t>
  </x:si>
  <x:si>
    <x:t xml:space="preserve">EmuGamer</x:t>
  </x:si>
  <x:si>
    <x:t xml:space="preserve">17597</x:t>
  </x:si>
  <x:si>
    <x:t xml:space="preserve">https://www.smwcentral.net/?a=details&amp;id=17597&amp;p=section</x:t>
  </x:si>
  <x:si>
    <x:t xml:space="preserve">https://dl.smwcentral.net/17597/Super%20Mario%20SS2%20-%20Bowser%20is%20Back.zip</x:t>
  </x:si>
  <x:si>
    <x:t xml:space="preserve">Super Mario SS3 - PU</x:t>
  </x:si>
  <x:si>
    <x:t xml:space="preserve">26132</x:t>
  </x:si>
  <x:si>
    <x:t xml:space="preserve">https://www.smwcentral.net/?a=details&amp;id=26132&amp;p=section</x:t>
  </x:si>
  <x:si>
    <x:t xml:space="preserve">https://dl.smwcentral.net/26132/Super%20Mario%20SS3.zip</x:t>
  </x:si>
  <x:si>
    <x:t xml:space="preserve">Super Mario Starlight</x:t>
  </x:si>
  <x:si>
    <x:t xml:space="preserve">35049</x:t>
  </x:si>
  <x:si>
    <x:t xml:space="preserve">https://www.smwcentral.net/?a=details&amp;id=35049&amp;p=section</x:t>
  </x:si>
  <x:si>
    <x:t xml:space="preserve">https://dl.smwcentral.net/35049/SuperMarioStarlight.zip</x:t>
  </x:si>
  <x:si>
    <x:t xml:space="preserve">Super Mario Starlight Remix</x:t>
  </x:si>
  <x:si>
    <x:t xml:space="preserve">10060</x:t>
  </x:si>
  <x:si>
    <x:t xml:space="preserve">https://www.smwcentral.net/?a=details&amp;id=10060&amp;p=section</x:t>
  </x:si>
  <x:si>
    <x:t xml:space="preserve">https://dl.smwcentral.net/10060/SM%20Starlight%20Remix%20Version%202.1.zip</x:t>
  </x:si>
  <x:si>
    <x:t xml:space="preserve">Super Mario Stole the Souls of the Innocent and Now Must Climb a Tower to Reclaim his Humanity World</x:t>
  </x:si>
  <x:si>
    <x:t xml:space="preserve">38051</x:t>
  </x:si>
  <x:si>
    <x:t xml:space="preserve">https://www.smwcentral.net/?a=details&amp;id=38051&amp;p=section</x:t>
  </x:si>
  <x:si>
    <x:t xml:space="preserve">https://dl.smwcentral.net/38051/Mario%20Climbs%20A%20Tower.zip</x:t>
  </x:si>
  <x:si>
    <x:t xml:space="preserve">Super Mario Super Quest (demo)</x:t>
  </x:si>
  <x:si>
    <x:t xml:space="preserve">Greeeen</x:t>
  </x:si>
  <x:si>
    <x:t xml:space="preserve">41047</x:t>
  </x:si>
  <x:si>
    <x:t xml:space="preserve">https://www.smwcentral.net/?a=details&amp;id=41047&amp;p=section</x:t>
  </x:si>
  <x:si>
    <x:t xml:space="preserve">https://dl.smwcentral.net/41047/SMSQ%20demo.zip</x:t>
  </x:si>
  <x:si>
    <x:t xml:space="preserve">Super Mario SuperStar</x:t>
  </x:si>
  <x:si>
    <x:t xml:space="preserve">Super Mario 64</x:t>
  </x:si>
  <x:si>
    <x:t xml:space="preserve">9791</x:t>
  </x:si>
  <x:si>
    <x:t xml:space="preserve">https://www.smwcentral.net/?a=details&amp;id=9791&amp;p=section</x:t>
  </x:si>
  <x:si>
    <x:t xml:space="preserve">https://dl.smwcentral.net/9791/SMSSW1.zip</x:t>
  </x:si>
  <x:si>
    <x:t xml:space="preserve">Super Mario Tales!</x:t>
  </x:si>
  <x:si>
    <x:t xml:space="preserve">Kobrah</x:t>
  </x:si>
  <x:si>
    <x:t xml:space="preserve">5581</x:t>
  </x:si>
  <x:si>
    <x:t xml:space="preserve">https://www.smwcentral.net/?a=details&amp;id=5581&amp;p=section</x:t>
  </x:si>
  <x:si>
    <x:t xml:space="preserve">https://dl.smwcentral.net/5581/Super%20Mario%20Tales%20DEMO.zip</x:t>
  </x:si>
  <x:si>
    <x:t xml:space="preserve">Super Mario The Trip</x:t>
  </x:si>
  <x:si>
    <x:t xml:space="preserve">Sig_AM</x:t>
  </x:si>
  <x:si>
    <x:t xml:space="preserve">30265</x:t>
  </x:si>
  <x:si>
    <x:t xml:space="preserve">https://www.smwcentral.net/?a=details&amp;id=30265&amp;p=section</x:t>
  </x:si>
  <x:si>
    <x:t xml:space="preserve">https://dl.smwcentral.net/30265/Super%20Mario%20The%20Trip.zip</x:t>
  </x:si>
  <x:si>
    <x:t xml:space="preserve">Super Mario Thousand Islands</x:t>
  </x:si>
  <x:si>
    <x:t xml:space="preserve">blueyosh</x:t>
  </x:si>
  <x:si>
    <x:t xml:space="preserve">9841</x:t>
  </x:si>
  <x:si>
    <x:t xml:space="preserve">https://www.smwcentral.net/?a=details&amp;id=9841&amp;p=section</x:t>
  </x:si>
  <x:si>
    <x:t xml:space="preserve">https://dl.smwcentral.net/9841/SMTI2.zip</x:t>
  </x:si>
  <x:si>
    <x:t xml:space="preserve">Super Mario TKO</x:t>
  </x:si>
  <x:si>
    <x:t xml:space="preserve">Dispari Scuro, Heisanevilgenius</x:t>
  </x:si>
  <x:si>
    <x:t xml:space="preserve">5038</x:t>
  </x:si>
  <x:si>
    <x:t xml:space="preserve">https://www.smwcentral.net/?a=details&amp;id=5038&amp;p=section</x:t>
  </x:si>
  <x:si>
    <x:t xml:space="preserve">https://dl.smwcentral.net/5038/smtko_demo_1.zip</x:t>
  </x:si>
  <x:si>
    <x:t xml:space="preserve">Super Mario Ubs</x:t>
  </x:si>
  <x:si>
    <x:t xml:space="preserve">Ubsje</x:t>
  </x:si>
  <x:si>
    <x:t xml:space="preserve">16490</x:t>
  </x:si>
  <x:si>
    <x:t xml:space="preserve">https://www.smwcentral.net/?a=details&amp;id=16490&amp;p=section</x:t>
  </x:si>
  <x:si>
    <x:t xml:space="preserve">https://dl.smwcentral.net/16490/Super%20mario%20Ubs.zip</x:t>
  </x:si>
  <x:si>
    <x:t xml:space="preserve">Super Mario Ultima</x:t>
  </x:si>
  <x:si>
    <x:t xml:space="preserve">Time Traveler</x:t>
  </x:si>
  <x:si>
    <x:t xml:space="preserve">9808</x:t>
  </x:si>
  <x:si>
    <x:t xml:space="preserve">https://www.smwcentral.net/?a=details&amp;id=9808&amp;p=section</x:t>
  </x:si>
  <x:si>
    <x:t xml:space="preserve">https://dl.smwcentral.net/9808/Ultima%20World.zip</x:t>
  </x:si>
  <x:si>
    <x:t xml:space="preserve">Super Mario Ultra World</x:t>
  </x:si>
  <x:si>
    <x:t xml:space="preserve">Andrew Ultra Gamer</x:t>
  </x:si>
  <x:si>
    <x:t xml:space="preserve">28587</x:t>
  </x:si>
  <x:si>
    <x:t xml:space="preserve">https://www.smwcentral.net/?a=details&amp;id=28587&amp;p=section</x:t>
  </x:si>
  <x:si>
    <x:t xml:space="preserve">https://dl.smwcentral.net/28587/Super%20Mario%20Ultra%20World%20Demo.zip</x:t>
  </x:si>
  <x:si>
    <x:t xml:space="preserve">Super Mario Underworld</x:t>
  </x:si>
  <x:si>
    <x:t xml:space="preserve">Golden Yoshi, Uhrix</x:t>
  </x:si>
  <x:si>
    <x:t xml:space="preserve">5356</x:t>
  </x:si>
  <x:si>
    <x:t xml:space="preserve">https://www.smwcentral.net/?a=details&amp;id=5356&amp;p=section</x:t>
  </x:si>
  <x:si>
    <x:t xml:space="preserve">https://dl.smwcentral.net/5356/Super%20Mario%20Underworld-%20Final%20Version.zip</x:t>
  </x:si>
  <x:si>
    <x:t xml:space="preserve">Super Mario Universe [SMWC #9855]</x:t>
  </x:si>
  <x:si>
    <x:t xml:space="preserve">Super Mario Universe</x:t>
  </x:si>
  <x:si>
    <x:t xml:space="preserve">Black Crystal Wisher</x:t>
  </x:si>
  <x:si>
    <x:t xml:space="preserve">9855</x:t>
  </x:si>
  <x:si>
    <x:t xml:space="preserve">https://www.smwcentral.net/?a=details&amp;id=9855&amp;p=section</x:t>
  </x:si>
  <x:si>
    <x:t xml:space="preserve">https://dl.smwcentral.net/9855/smu.zip</x:t>
  </x:si>
  <x:si>
    <x:t xml:space="preserve">Super Mario Universe [SMWC #25489]</x:t>
  </x:si>
  <x:si>
    <x:t xml:space="preserve">25489</x:t>
  </x:si>
  <x:si>
    <x:t xml:space="preserve">https://www.smwcentral.net/?a=details&amp;id=25489&amp;p=section</x:t>
  </x:si>
  <x:si>
    <x:t xml:space="preserve">https://dl.smwcentral.net/25489/Super%20Mario%20Universe.zip</x:t>
  </x:si>
  <x:si>
    <x:t xml:space="preserve">Super Mario Universe 2: The Adventure Resumes</x:t>
  </x:si>
  <x:si>
    <x:t xml:space="preserve">Black Crystal Wisher, Marino.EXE</x:t>
  </x:si>
  <x:si>
    <x:t xml:space="preserve">9817</x:t>
  </x:si>
  <x:si>
    <x:t xml:space="preserve">https://www.smwcentral.net/?a=details&amp;id=9817&amp;p=section</x:t>
  </x:si>
  <x:si>
    <x:t xml:space="preserve">https://dl.smwcentral.net/9817/Super%20Mario%20Universe%20II%20-%20The%20Adventure%20Resumes.zip</x:t>
  </x:si>
  <x:si>
    <x:t xml:space="preserve">Super Mario Universe Deluxe</x:t>
  </x:si>
  <x:si>
    <x:t xml:space="preserve">29968</x:t>
  </x:si>
  <x:si>
    <x:t xml:space="preserve">https://www.smwcentral.net/?a=details&amp;id=29968&amp;p=section</x:t>
  </x:si>
  <x:si>
    <x:t xml:space="preserve">https://dl.smwcentral.net/29968/SuperMarioUniverseDELUXE.zip</x:t>
  </x:si>
  <x:si>
    <x:t xml:space="preserve">Super Mario Versus Bowser's New Army</x:t>
  </x:si>
  <x:si>
    <x:t xml:space="preserve">5198</x:t>
  </x:si>
  <x:si>
    <x:t xml:space="preserve">https://www.smwcentral.net/?a=details&amp;id=5198&amp;p=section</x:t>
  </x:si>
  <x:si>
    <x:t xml:space="preserve">https://dl.smwcentral.net/5198/SuperMarioVersusBowsersNewArmy.zip</x:t>
  </x:si>
  <x:si>
    <x:t xml:space="preserve">Super Mario World (Super Mario Bros. 4) : A Trip Full Of Fun!</x:t>
  </x:si>
  <x:si>
    <x:t xml:space="preserve">19293</x:t>
  </x:si>
  <x:si>
    <x:t xml:space="preserve">https://www.smwcentral.net/?a=details&amp;id=19293&amp;p=section</x:t>
  </x:si>
  <x:si>
    <x:t xml:space="preserve">https://dl.smwcentral.net/19293/smw%20smb4%20a%20trip%20full%20of%20fun%20fixed%2Cagain%2Cyes.zip</x:t>
  </x:si>
  <x:si>
    <x:t xml:space="preserve">Super Mario World + Land</x:t>
  </x:si>
  <x:si>
    <x:t xml:space="preserve">15300</x:t>
  </x:si>
  <x:si>
    <x:t xml:space="preserve">https://www.smwcentral.net/?a=details&amp;id=15300&amp;p=section</x:t>
  </x:si>
  <x:si>
    <x:t xml:space="preserve">https://dl.smwcentral.net/15300/SMWL.zip</x:t>
  </x:si>
  <x:si>
    <x:t xml:space="preserve">Super Mario World - Bowser's Last Revenge</x:t>
  </x:si>
  <x:si>
    <x:t xml:space="preserve">BLR_Team, Systrem Studios</x:t>
  </x:si>
  <x:si>
    <x:t xml:space="preserve">16452</x:t>
  </x:si>
  <x:si>
    <x:t xml:space="preserve">https://www.smwcentral.net/?a=details&amp;id=16452&amp;p=section</x:t>
  </x:si>
  <x:si>
    <x:t xml:space="preserve">https://dl.smwcentral.net/16452/SMW%20-%20Bowser%27s%20Last%20Revenge%20DEMO%202.0.zip</x:t>
  </x:si>
  <x:si>
    <x:t xml:space="preserve">Super Mario World - Bowser's Return</x:t>
  </x:si>
  <x:si>
    <x:t xml:space="preserve">Ice Man, ghettoyouth</x:t>
  </x:si>
  <x:si>
    <x:t xml:space="preserve">42676</x:t>
  </x:si>
  <x:si>
    <x:t xml:space="preserve">https://www.smwcentral.net/?a=details&amp;id=42676&amp;p=section</x:t>
  </x:si>
  <x:si>
    <x:t xml:space="preserve">https://dl.smwcentral.net/42676/Super%20Mario%20World%20-%20Bowser%27s%20Return%20%282026%20Version%20-%20Update%202%29.zip</x:t>
  </x:si>
  <x:si>
    <x:t xml:space="preserve">Super Mario World - Bowser's Return Redux</x:t>
  </x:si>
  <x:si>
    <x:t xml:space="preserve">42380</x:t>
  </x:si>
  <x:si>
    <x:t xml:space="preserve">https://www.smwcentral.net/?a=details&amp;id=42380&amp;p=section</x:t>
  </x:si>
  <x:si>
    <x:t xml:space="preserve">https://dl.smwcentral.net/42380/Super%20Mario%20World%20-%20Bowser%27s%20Return%20Redux.zip</x:t>
  </x:si>
  <x:si>
    <x:t xml:space="preserve">Super Mario World - Bulgarian Translation</x:t>
  </x:si>
  <x:si>
    <x:t xml:space="preserve">Azzara, DKL, KaptainAlexander</x:t>
  </x:si>
  <x:si>
    <x:t xml:space="preserve">33731</x:t>
  </x:si>
  <x:si>
    <x:t xml:space="preserve">https://www.smwcentral.net/?a=details&amp;id=33731&amp;p=section</x:t>
  </x:si>
  <x:si>
    <x:t xml:space="preserve">https://dl.smwcentral.net/33731/mario-world-bg-v3.1.zip</x:t>
  </x:si>
  <x:si>
    <x:t xml:space="preserve">Super Mario World - Final Mysterious Quest</x:t>
  </x:si>
  <x:si>
    <x:t xml:space="preserve">23494</x:t>
  </x:si>
  <x:si>
    <x:t xml:space="preserve">https://www.smwcentral.net/?a=details&amp;id=23494&amp;p=section</x:t>
  </x:si>
  <x:si>
    <x:t xml:space="preserve">https://dl.smwcentral.net/23494/SMWFMQ.zip</x:t>
  </x:si>
  <x:si>
    <x:t xml:space="preserve">Super Mario World - Gamergull's Version</x:t>
  </x:si>
  <x:si>
    <x:t xml:space="preserve">Gamergull</x:t>
  </x:si>
  <x:si>
    <x:t xml:space="preserve">10192</x:t>
  </x:si>
  <x:si>
    <x:t xml:space="preserve">https://www.smwcentral.net/?a=details&amp;id=10192&amp;p=section</x:t>
  </x:si>
  <x:si>
    <x:t xml:space="preserve">https://dl.smwcentral.net/10192/SMWGGV.zip</x:t>
  </x:si>
  <x:si>
    <x:t xml:space="preserve">Super Mario World - Hack Project</x:t>
  </x:si>
  <x:si>
    <x:t xml:space="preserve">EvilGames</x:t>
  </x:si>
  <x:si>
    <x:t xml:space="preserve">10166</x:t>
  </x:si>
  <x:si>
    <x:t xml:space="preserve">https://www.smwcentral.net/?a=details&amp;id=10166&amp;p=section</x:t>
  </x:si>
  <x:si>
    <x:t xml:space="preserve">https://dl.smwcentral.net/10166/SMW-HC_Demo2_069a.zip</x:t>
  </x:si>
  <x:si>
    <x:t xml:space="preserve">Super Mario World - Koopa Revenge</x:t>
  </x:si>
  <x:si>
    <x:t xml:space="preserve">Maxderdachs</x:t>
  </x:si>
  <x:si>
    <x:t xml:space="preserve">9787</x:t>
  </x:si>
  <x:si>
    <x:t xml:space="preserve">https://www.smwcentral.net/?a=details&amp;id=9787&amp;p=section</x:t>
  </x:si>
  <x:si>
    <x:t xml:space="preserve">https://dl.smwcentral.net/9787/SMW%20Koopa%20revenge.zip</x:t>
  </x:si>
  <x:si>
    <x:t xml:space="preserve">Super Mario World - Leaving Dinosaur Island</x:t>
  </x:si>
  <x:si>
    <x:t xml:space="preserve">9962</x:t>
  </x:si>
  <x:si>
    <x:t xml:space="preserve">https://www.smwcentral.net/?a=details&amp;id=9962&amp;p=section</x:t>
  </x:si>
  <x:si>
    <x:t xml:space="preserve">https://dl.smwcentral.net/9962/SMW-LDI.zip</x:t>
  </x:si>
  <x:si>
    <x:t xml:space="preserve">Super Mario World - Luigi's World Edition</x:t>
  </x:si>
  <x:si>
    <x:t xml:space="preserve">Random_Josh</x:t>
  </x:si>
  <x:si>
    <x:t xml:space="preserve">15266</x:t>
  </x:si>
  <x:si>
    <x:t xml:space="preserve">https://www.smwcentral.net/?a=details&amp;id=15266&amp;p=section</x:t>
  </x:si>
  <x:si>
    <x:t xml:space="preserve">https://dl.smwcentral.net/15266/SMW%20LWE.zip</x:t>
  </x:si>
  <x:si>
    <x:t xml:space="preserve">Super Mario World - Mario's Expedition</x:t>
  </x:si>
  <x:si>
    <x:t xml:space="preserve">Domokun007</x:t>
  </x:si>
  <x:si>
    <x:t xml:space="preserve">38649</x:t>
  </x:si>
  <x:si>
    <x:t xml:space="preserve">https://www.smwcentral.net/?a=details&amp;id=38649&amp;p=section</x:t>
  </x:si>
  <x:si>
    <x:t xml:space="preserve">https://dl.smwcentral.net/38649/Super%20Mario%20World%20-%20Mario%27s%20Expedition%20v1.4.zip</x:t>
  </x:si>
  <x:si>
    <x:t xml:space="preserve">Super Mario World - Mushroom Revolution</x:t>
  </x:si>
  <x:si>
    <x:t xml:space="preserve">36862</x:t>
  </x:si>
  <x:si>
    <x:t xml:space="preserve">https://www.smwcentral.net/?a=details&amp;id=36862&amp;p=section</x:t>
  </x:si>
  <x:si>
    <x:t xml:space="preserve">https://dl.smwcentral.net/36862/SMW%20Mushroom%20Revolution%20%28Demo%202.5%29.zip</x:t>
  </x:si>
  <x:si>
    <x:t xml:space="preserve">Super Mario World - Neeberz's Hack</x:t>
  </x:si>
  <x:si>
    <x:t xml:space="preserve">Neeberz</x:t>
  </x:si>
  <x:si>
    <x:t xml:space="preserve">25462</x:t>
  </x:si>
  <x:si>
    <x:t xml:space="preserve">https://www.smwcentral.net/?a=details&amp;id=25462&amp;p=section</x:t>
  </x:si>
  <x:si>
    <x:t xml:space="preserve">https://dl.smwcentral.net/25462/Super%20Mario%20World%20-%20Neeberz%27s%20Hack.zip</x:t>
  </x:si>
  <x:si>
    <x:t xml:space="preserve">Super Mario World - Parodian Art Edition</x:t>
  </x:si>
  <x:si>
    <x:t xml:space="preserve">Parodian Dark</x:t>
  </x:si>
  <x:si>
    <x:t xml:space="preserve">32917</x:t>
  </x:si>
  <x:si>
    <x:t xml:space="preserve">https://www.smwcentral.net/?a=details&amp;id=32917&amp;p=section</x:t>
  </x:si>
  <x:si>
    <x:t xml:space="preserve">https://dl.smwcentral.net/32917/SMWPAE.zip</x:t>
  </x:si>
  <x:si>
    <x:t xml:space="preserve">Super Mario World - Some Random Adventure</x:t>
  </x:si>
  <x:si>
    <x:t xml:space="preserve">TheSpeedyJay</x:t>
  </x:si>
  <x:si>
    <x:t xml:space="preserve">19535</x:t>
  </x:si>
  <x:si>
    <x:t xml:space="preserve">https://www.smwcentral.net/?a=details&amp;id=19535&amp;p=section</x:t>
  </x:si>
  <x:si>
    <x:t xml:space="preserve">https://dl.smwcentral.net/19535/Super%20Mario%20World%20-%20Some%20Random%20Adventure%20%28Demo%202%29.zip</x:t>
  </x:si>
  <x:si>
    <x:t xml:space="preserve">Super Mario World - The 4 Elemental Jewels</x:t>
  </x:si>
  <x:si>
    <x:t xml:space="preserve">SacredSilverYoshi</x:t>
  </x:si>
  <x:si>
    <x:t xml:space="preserve">10085</x:t>
  </x:si>
  <x:si>
    <x:t xml:space="preserve">https://www.smwcentral.net/?a=details&amp;id=10085&amp;p=section</x:t>
  </x:si>
  <x:si>
    <x:t xml:space="preserve">https://dl.smwcentral.net/10085/T4J6-23-2010.zip</x:t>
  </x:si>
  <x:si>
    <x:t xml:space="preserve">Super Mario World - The search of Luigi</x:t>
  </x:si>
  <x:si>
    <x:t xml:space="preserve">tmauri</x:t>
  </x:si>
  <x:si>
    <x:t xml:space="preserve">16522</x:t>
  </x:si>
  <x:si>
    <x:t xml:space="preserve">https://www.smwcentral.net/?a=details&amp;id=16522&amp;p=section</x:t>
  </x:si>
  <x:si>
    <x:t xml:space="preserve">https://dl.smwcentral.net/16522/SMWTSOL.zip</x:t>
  </x:si>
  <x:si>
    <x:t xml:space="preserve">Super Mario World - The Secret Levels</x:t>
  </x:si>
  <x:si>
    <x:t xml:space="preserve">JOSHUAPLAYER2002</x:t>
  </x:si>
  <x:si>
    <x:t xml:space="preserve">15187</x:t>
  </x:si>
  <x:si>
    <x:t xml:space="preserve">https://www.smwcentral.net/?a=details&amp;id=15187&amp;p=section</x:t>
  </x:si>
  <x:si>
    <x:t xml:space="preserve">https://dl.smwcentral.net/15187/Super%20Mario%20World.The%20Secret%20Levels.zip</x:t>
  </x:si>
  <x:si>
    <x:t xml:space="preserve">Super Mario World 1.5</x:t>
  </x:si>
  <x:si>
    <x:t xml:space="preserve">edit1754</x:t>
  </x:si>
  <x:si>
    <x:t xml:space="preserve">9853</x:t>
  </x:si>
  <x:si>
    <x:t xml:space="preserve">https://www.smwcentral.net/?a=details&amp;id=9853&amp;p=section</x:t>
  </x:si>
  <x:si>
    <x:t xml:space="preserve">https://dl.smwcentral.net/9853/SMW1.5.zip</x:t>
  </x:si>
  <x:si>
    <x:t xml:space="preserve">Super Mario World 2</x:t>
  </x:si>
  <x:si>
    <x:t xml:space="preserve">Adam</x:t>
  </x:si>
  <x:si>
    <x:t xml:space="preserve">5237</x:t>
  </x:si>
  <x:si>
    <x:t xml:space="preserve">https://www.smwcentral.net/?a=details&amp;id=5237&amp;p=section</x:t>
  </x:si>
  <x:si>
    <x:t xml:space="preserve">https://dl.smwcentral.net/5237/SMW2%20Demo.zip</x:t>
  </x:si>
  <x:si>
    <x:t xml:space="preserve">Super Mario World 2021 (PT-BR) + (USA)</x:t>
  </x:si>
  <x:si>
    <x:t xml:space="preserve">edu_dyck</x:t>
  </x:si>
  <x:si>
    <x:t xml:space="preserve">26444</x:t>
  </x:si>
  <x:si>
    <x:t xml:space="preserve">https://www.smwcentral.net/?a=details&amp;id=26444&amp;p=section</x:t>
  </x:si>
  <x:si>
    <x:t xml:space="preserve">https://dl.smwcentral.net/26444/Super%20Mario%20World%202021.zip</x:t>
  </x:si>
  <x:si>
    <x:t xml:space="preserve">Super Mario World 2025</x:t>
  </x:si>
  <x:si>
    <x:t xml:space="preserve">Hamilton64</x:t>
  </x:si>
  <x:si>
    <x:t xml:space="preserve">39482</x:t>
  </x:si>
  <x:si>
    <x:t xml:space="preserve">https://www.smwcentral.net/?a=details&amp;id=39482&amp;p=section</x:t>
  </x:si>
  <x:si>
    <x:t xml:space="preserve">https://dl.smwcentral.net/39482/Super%20Mario%20World%202025.zip</x:t>
  </x:si>
  <x:si>
    <x:t xml:space="preserve">Super Mario World 3 - A whole new world</x:t>
  </x:si>
  <x:si>
    <x:t xml:space="preserve">28563</x:t>
  </x:si>
  <x:si>
    <x:t xml:space="preserve">https://www.smwcentral.net/?a=details&amp;id=28563&amp;p=section</x:t>
  </x:si>
  <x:si>
    <x:t xml:space="preserve">https://dl.smwcentral.net/28563/SMW3.zip</x:t>
  </x:si>
  <x:si>
    <x:t xml:space="preserve">Super Mario World 3 - Bowser's Revenge</x:t>
  </x:si>
  <x:si>
    <x:t xml:space="preserve">10138</x:t>
  </x:si>
  <x:si>
    <x:t xml:space="preserve">https://www.smwcentral.net/?a=details&amp;id=10138&amp;p=section</x:t>
  </x:si>
  <x:si>
    <x:t xml:space="preserve">https://dl.smwcentral.net/10138/Super%20Mario%20World%20patch.zip</x:t>
  </x:si>
  <x:si>
    <x:t xml:space="preserve">Super Mario World 3: The Koopas Strike Back</x:t>
  </x:si>
  <x:si>
    <x:t xml:space="preserve">RZ1</x:t>
  </x:si>
  <x:si>
    <x:t xml:space="preserve">30565</x:t>
  </x:si>
  <x:si>
    <x:t xml:space="preserve">https://www.smwcentral.net/?a=details&amp;id=30565&amp;p=section</x:t>
  </x:si>
  <x:si>
    <x:t xml:space="preserve">https://dl.smwcentral.net/30565/SMW3%20-%20TKSB%20v1.06.zip</x:t>
  </x:si>
  <x:si>
    <x:t xml:space="preserve">Super Mario World 3: The Universe's Star!</x:t>
  </x:si>
  <x:si>
    <x:t xml:space="preserve">mariocool1999</x:t>
  </x:si>
  <x:si>
    <x:t xml:space="preserve">5245</x:t>
  </x:si>
  <x:si>
    <x:t xml:space="preserve">https://www.smwcentral.net/?a=details&amp;id=5245&amp;p=section</x:t>
  </x:si>
  <x:si>
    <x:t xml:space="preserve">https://dl.smwcentral.net/5245/Hack.zip</x:t>
  </x:si>
  <x:si>
    <x:t xml:space="preserve">Super Mario World 4: The Shining Super Star</x:t>
  </x:si>
  <x:si>
    <x:t xml:space="preserve">Super Buzzy Yoshi</x:t>
  </x:si>
  <x:si>
    <x:t xml:space="preserve">20259</x:t>
  </x:si>
  <x:si>
    <x:t xml:space="preserve">https://www.smwcentral.net/?a=details&amp;id=20259&amp;p=section</x:t>
  </x:si>
  <x:si>
    <x:t xml:space="preserve">https://dl.smwcentral.net/20259/SMW4.zip</x:t>
  </x:si>
  <x:si>
    <x:t xml:space="preserve">Super Mario World 64</x:t>
  </x:si>
  <x:si>
    <x:t xml:space="preserve">XLer8</x:t>
  </x:si>
  <x:si>
    <x:t xml:space="preserve">32569</x:t>
  </x:si>
  <x:si>
    <x:t xml:space="preserve">https://www.smwcentral.net/?a=details&amp;id=32569&amp;p=section</x:t>
  </x:si>
  <x:si>
    <x:t xml:space="preserve">https://dl.smwcentral.net/32569/SuperMarioWorld64-DEMO.zip</x:t>
  </x:si>
  <x:si>
    <x:t xml:space="preserve">Super Mario World Adventure</x:t>
  </x:si>
  <x:si>
    <x:t xml:space="preserve">16483</x:t>
  </x:si>
  <x:si>
    <x:t xml:space="preserve">https://www.smwcentral.net/?a=details&amp;id=16483&amp;p=section</x:t>
  </x:si>
  <x:si>
    <x:t xml:space="preserve">https://dl.smwcentral.net/16483/smwa.zip</x:t>
  </x:si>
  <x:si>
    <x:t xml:space="preserve">Super Mario World ALPHA 2</x:t>
  </x:si>
  <x:si>
    <x:t xml:space="preserve">tunest</x:t>
  </x:si>
  <x:si>
    <x:t xml:space="preserve">10056</x:t>
  </x:si>
  <x:si>
    <x:t xml:space="preserve">https://www.smwcentral.net/?a=details&amp;id=10056&amp;p=section</x:t>
  </x:si>
  <x:si>
    <x:t xml:space="preserve">https://dl.smwcentral.net/10056/SMWAlpha%202demo3.zip</x:t>
  </x:si>
  <x:si>
    <x:t xml:space="preserve">Super Mario World and Beyond</x:t>
  </x:si>
  <x:si>
    <x:t xml:space="preserve">Tox</x:t>
  </x:si>
  <x:si>
    <x:t xml:space="preserve">15465</x:t>
  </x:si>
  <x:si>
    <x:t xml:space="preserve">https://www.smwcentral.net/?a=details&amp;id=15465&amp;p=section</x:t>
  </x:si>
  <x:si>
    <x:t xml:space="preserve">https://dl.smwcentral.net/15465/Super%20Mario%20World%20and%20Beyond.zip</x:t>
  </x:si>
  <x:si>
    <x:t xml:space="preserve">Super Mario World And the 8 jars</x:t>
  </x:si>
  <x:si>
    <x:t xml:space="preserve">Mario is the best</x:t>
  </x:si>
  <x:si>
    <x:t xml:space="preserve">24029</x:t>
  </x:si>
  <x:si>
    <x:t xml:space="preserve">https://www.smwcentral.net/?a=details&amp;id=24029&amp;p=section</x:t>
  </x:si>
  <x:si>
    <x:t xml:space="preserve">https://dl.smwcentral.net/24029/7jars_new.zip</x:t>
  </x:si>
  <x:si>
    <x:t xml:space="preserve">Super Mario World and the Bois!</x:t>
  </x:si>
  <x:si>
    <x:t xml:space="preserve">SubconYoshi, The Bois</x:t>
  </x:si>
  <x:si>
    <x:t xml:space="preserve">23276</x:t>
  </x:si>
  <x:si>
    <x:t xml:space="preserve">https://www.smwcentral.net/?a=details&amp;id=23276&amp;p=section</x:t>
  </x:si>
  <x:si>
    <x:t xml:space="preserve">https://dl.smwcentral.net/23276/Super%20Mario%20World%20and%20the%20Bois%21.zip</x:t>
  </x:si>
  <x:si>
    <x:t xml:space="preserve">Super Mario World Arrangement</x:t>
  </x:si>
  <x:si>
    <x:t xml:space="preserve">15568</x:t>
  </x:si>
  <x:si>
    <x:t xml:space="preserve">https://www.smwcentral.net/?a=details&amp;id=15568&amp;p=section</x:t>
  </x:si>
  <x:si>
    <x:t xml:space="preserve">https://dl.smwcentral.net/15568/Super%20Mario%20World%20Arrangement.zip</x:t>
  </x:si>
  <x:si>
    <x:t xml:space="preserve">Super Mario World Beta</x:t>
  </x:si>
  <x:si>
    <x:t xml:space="preserve">Yoshi Master</x:t>
  </x:si>
  <x:si>
    <x:t xml:space="preserve">6267</x:t>
  </x:si>
  <x:si>
    <x:t xml:space="preserve">https://www.smwcentral.net/?a=details&amp;id=6267&amp;p=section</x:t>
  </x:si>
  <x:si>
    <x:t xml:space="preserve">https://dl.smwcentral.net/6267/Super%20Mario%20World%20Beta.zip</x:t>
  </x:si>
  <x:si>
    <x:t xml:space="preserve">Super Mario World Bowser's Vacation (JPN)</x:t>
  </x:si>
  <x:si>
    <x:t xml:space="preserve">Esc</x:t>
  </x:si>
  <x:si>
    <x:t xml:space="preserve">32929</x:t>
  </x:si>
  <x:si>
    <x:t xml:space="preserve">https://www.smwcentral.net/?a=details&amp;id=32929&amp;p=section</x:t>
  </x:si>
  <x:si>
    <x:t xml:space="preserve">https://dl.smwcentral.net/32929/SMW_ver.0.5.zip</x:t>
  </x:si>
  <x:si>
    <x:t xml:space="preserve">Super Mario World Central Production 2</x:t>
  </x:si>
  <x:si>
    <x:t xml:space="preserve">30718</x:t>
  </x:si>
  <x:si>
    <x:t xml:space="preserve">https://www.smwcentral.net/?a=details&amp;id=30718&amp;p=section</x:t>
  </x:si>
  <x:si>
    <x:t xml:space="preserve">https://dl.smwcentral.net/30718/SMWCP2.zip</x:t>
  </x:si>
  <x:si>
    <x:t xml:space="preserve">Super Mario World Challenges</x:t>
  </x:si>
  <x:si>
    <x:t xml:space="preserve">28581</x:t>
  </x:si>
  <x:si>
    <x:t xml:space="preserve">https://www.smwcentral.net/?a=details&amp;id=28581&amp;p=section</x:t>
  </x:si>
  <x:si>
    <x:t xml:space="preserve">https://dl.smwcentral.net/28581/Super%20Mario%20World%20Challenges.zip</x:t>
  </x:si>
  <x:si>
    <x:t xml:space="preserve">Super Mario World Challenges 2</x:t>
  </x:si>
  <x:si>
    <x:t xml:space="preserve">42545</x:t>
  </x:si>
  <x:si>
    <x:t xml:space="preserve">https://www.smwcentral.net/?a=details&amp;id=42545&amp;p=section</x:t>
  </x:si>
  <x:si>
    <x:t xml:space="preserve">https://dl.smwcentral.net/42545/%5BHack%5D%20Super%20Mario%20World%20Challenges%202%20v1.0.2..zip</x:t>
  </x:si>
  <x:si>
    <x:t xml:space="preserve">Super Mario World Classic Comebacks</x:t>
  </x:si>
  <x:si>
    <x:t xml:space="preserve">reghrhre</x:t>
  </x:si>
  <x:si>
    <x:t xml:space="preserve">6843</x:t>
  </x:si>
  <x:si>
    <x:t xml:space="preserve">https://www.smwcentral.net/?a=details&amp;id=6843&amp;p=section</x:t>
  </x:si>
  <x:si>
    <x:t xml:space="preserve">https://dl.smwcentral.net/6843/Super%20Mario%20World%20Classic%20Comebacks.zip</x:t>
  </x:si>
  <x:si>
    <x:t xml:space="preserve">Super Mario World Competition Cartridge</x:t>
  </x:si>
  <x:si>
    <x:t xml:space="preserve">arnpoly</x:t>
  </x:si>
  <x:si>
    <x:t xml:space="preserve">5521</x:t>
  </x:si>
  <x:si>
    <x:t xml:space="preserve">https://www.smwcentral.net/?a=details&amp;id=5521&amp;p=section</x:t>
  </x:si>
  <x:si>
    <x:t xml:space="preserve">https://dl.smwcentral.net/5521/SMW%20Competition%20Cartridge.zip</x:t>
  </x:si>
  <x:si>
    <x:t xml:space="preserve">Super Mario World feat. Marisa Kirisame</x:t>
  </x:si>
  <x:si>
    <x:t xml:space="preserve">FailSandwich</x:t>
  </x:si>
  <x:si>
    <x:t xml:space="preserve">21996</x:t>
  </x:si>
  <x:si>
    <x:t xml:space="preserve">https://www.smwcentral.net/?a=details&amp;id=21996&amp;p=section</x:t>
  </x:si>
  <x:si>
    <x:t xml:space="preserve">https://dl.smwcentral.net/21996/smw_ft_marisa.zip</x:t>
  </x:si>
  <x:si>
    <x:t xml:space="preserve">Super Mario World Future The Shadow Queen Returns 2021</x:t>
  </x:si>
  <x:si>
    <x:t xml:space="preserve">26093</x:t>
  </x:si>
  <x:si>
    <x:t xml:space="preserve">https://www.smwcentral.net/?a=details&amp;id=26093&amp;p=section</x:t>
  </x:si>
  <x:si>
    <x:t xml:space="preserve">https://dl.smwcentral.net/26093/SMW%20Future%202021%20Demo.zip</x:t>
  </x:si>
  <x:si>
    <x:t xml:space="preserve">Super Mario World Hacks 101</x:t>
  </x:si>
  <x:si>
    <x:t xml:space="preserve">Tails_155</x:t>
  </x:si>
  <x:si>
    <x:t xml:space="preserve">19884</x:t>
  </x:si>
  <x:si>
    <x:t xml:space="preserve">https://www.smwcentral.net/?a=details&amp;id=19884&amp;p=section</x:t>
  </x:si>
  <x:si>
    <x:t xml:space="preserve">https://dl.smwcentral.net/19884/SMW_Hacks_101_Fixed.zip</x:t>
  </x:si>
  <x:si>
    <x:t xml:space="preserve">Super Mario World II</x:t>
  </x:si>
  <x:si>
    <x:t xml:space="preserve">42555</x:t>
  </x:si>
  <x:si>
    <x:t xml:space="preserve">https://www.smwcentral.net/?a=details&amp;id=42555&amp;p=section</x:t>
  </x:si>
  <x:si>
    <x:t xml:space="preserve">https://dl.smwcentral.net/42555/Super%20Mario%20World%20II.zip</x:t>
  </x:si>
  <x:si>
    <x:t xml:space="preserve">Super Mario World Master Quest 1</x:t>
  </x:si>
  <x:si>
    <x:t xml:space="preserve">9832</x:t>
  </x:si>
  <x:si>
    <x:t xml:space="preserve">https://www.smwcentral.net/?a=details&amp;id=9832&amp;p=section</x:t>
  </x:si>
  <x:si>
    <x:t xml:space="preserve">https://dl.smwcentral.net/9832/Super%20Mario%20World%20Master%20Quest%201.zip</x:t>
  </x:si>
  <x:si>
    <x:t xml:space="preserve">Super Mario World Master Quest 2</x:t>
  </x:si>
  <x:si>
    <x:t xml:space="preserve">9690</x:t>
  </x:si>
  <x:si>
    <x:t xml:space="preserve">https://www.smwcentral.net/?a=details&amp;id=9690&amp;p=section</x:t>
  </x:si>
  <x:si>
    <x:t xml:space="preserve">https://dl.smwcentral.net/9690/Super%20Mario%20World%20Master%20Quest%202%20%28Update%201.3%29.zip</x:t>
  </x:si>
  <x:si>
    <x:t xml:space="preserve">Super Mario World Master Quest 3: The Adventure Of Mario</x:t>
  </x:si>
  <x:si>
    <x:t xml:space="preserve">6315</x:t>
  </x:si>
  <x:si>
    <x:t xml:space="preserve">https://www.smwcentral.net/?a=details&amp;id=6315&amp;p=section</x:t>
  </x:si>
  <x:si>
    <x:t xml:space="preserve">https://dl.smwcentral.net/6315/Super%20Mario%20World%20Master%20Quest%206%20%2CUPDATE%201%2C3.zip</x:t>
  </x:si>
  <x:si>
    <x:t xml:space="preserve">Super Mario World Master Quest 4: Redrawn</x:t>
  </x:si>
  <x:si>
    <x:t xml:space="preserve">9901</x:t>
  </x:si>
  <x:si>
    <x:t xml:space="preserve">https://www.smwcentral.net/?a=details&amp;id=9901&amp;p=section</x:t>
  </x:si>
  <x:si>
    <x:t xml:space="preserve">https://dl.smwcentral.net/9901/Super%20Mario%20World%20Master%20Quest%204%20Redrawn%20Update%201.2.zip</x:t>
  </x:si>
  <x:si>
    <x:t xml:space="preserve">Super Mario World Master Quest 8: The Final Quest</x:t>
  </x:si>
  <x:si>
    <x:t xml:space="preserve">10186</x:t>
  </x:si>
  <x:si>
    <x:t xml:space="preserve">https://www.smwcentral.net/?a=details&amp;id=10186&amp;p=section</x:t>
  </x:si>
  <x:si>
    <x:t xml:space="preserve">https://dl.smwcentral.net/10186/Super%20Mario%20World%20Master%20Quest%208%20The%20Final%20Quest%201%2C3.zip</x:t>
  </x:si>
  <x:si>
    <x:t xml:space="preserve">Super Mario World Master Quest Reborn</x:t>
  </x:si>
  <x:si>
    <x:t xml:space="preserve">29698</x:t>
  </x:si>
  <x:si>
    <x:t xml:space="preserve">https://www.smwcentral.net/?a=details&amp;id=29698&amp;p=section</x:t>
  </x:si>
  <x:si>
    <x:t xml:space="preserve">https://dl.smwcentral.net/29698/Super_Mario_World_Master_Quest_Reborn_2.3.zip</x:t>
  </x:si>
  <x:si>
    <x:t xml:space="preserve">Super Mario World Mix</x:t>
  </x:si>
  <x:si>
    <x:t xml:space="preserve">Steven Atauchi C.</x:t>
  </x:si>
  <x:si>
    <x:t xml:space="preserve">40597</x:t>
  </x:si>
  <x:si>
    <x:t xml:space="preserve">https://www.smwcentral.net/?a=details&amp;id=40597&amp;p=section</x:t>
  </x:si>
  <x:si>
    <x:t xml:space="preserve">https://dl.smwcentral.net/40597/SMW_MIX_BETA2.zip</x:t>
  </x:si>
  <x:si>
    <x:t xml:space="preserve">Super Mario World Random Revolution X</x:t>
  </x:si>
  <x:si>
    <x:t xml:space="preserve">SMWRR Team</x:t>
  </x:si>
  <x:si>
    <x:t xml:space="preserve">37161</x:t>
  </x:si>
  <x:si>
    <x:t xml:space="preserve">https://www.smwcentral.net/?a=details&amp;id=37161&amp;p=section</x:t>
  </x:si>
  <x:si>
    <x:t xml:space="preserve">https://dl.smwcentral.net/37161/Super%20Mario%20World%20Random%20Revolution%20X%20V1.0.zip</x:t>
  </x:si>
  <x:si>
    <x:t xml:space="preserve">Super Mario World Reloaded</x:t>
  </x:si>
  <x:si>
    <x:t xml:space="preserve">AltheronX</x:t>
  </x:si>
  <x:si>
    <x:t xml:space="preserve">10289</x:t>
  </x:si>
  <x:si>
    <x:t xml:space="preserve">https://www.smwcentral.net/?a=details&amp;id=10289&amp;p=section</x:t>
  </x:si>
  <x:si>
    <x:t xml:space="preserve">https://dl.smwcentral.net/10289/AltheronX.zip</x:t>
  </x:si>
  <x:si>
    <x:t xml:space="preserve">Super Mario World Remix</x:t>
  </x:si>
  <x:si>
    <x:t xml:space="preserve">25540</x:t>
  </x:si>
  <x:si>
    <x:t xml:space="preserve">https://www.smwcentral.net/?a=details&amp;id=25540&amp;p=section</x:t>
  </x:si>
  <x:si>
    <x:t xml:space="preserve">https://dl.smwcentral.net/25540/SuperMarioWorldRemix.zip</x:t>
  </x:si>
  <x:si>
    <x:t xml:space="preserve">Super Mario World Revamped</x:t>
  </x:si>
  <x:si>
    <x:t xml:space="preserve">msi810</x:t>
  </x:si>
  <x:si>
    <x:t xml:space="preserve">13364</x:t>
  </x:si>
  <x:si>
    <x:t xml:space="preserve">https://www.smwcentral.net/?a=details&amp;id=13364&amp;p=section</x:t>
  </x:si>
  <x:si>
    <x:t xml:space="preserve">https://dl.smwcentral.net/13364/Super%20Mario%20World%20Revamped.zip</x:t>
  </x:si>
  <x:si>
    <x:t xml:space="preserve">Super Mario World Ridley X Hack</x:t>
  </x:si>
  <x:si>
    <x:t xml:space="preserve">Ridley X</x:t>
  </x:si>
  <x:si>
    <x:t xml:space="preserve">41928</x:t>
  </x:si>
  <x:si>
    <x:t xml:space="preserve">https://www.smwcentral.net/?a=details&amp;id=41928&amp;p=section</x:t>
  </x:si>
  <x:si>
    <x:t xml:space="preserve">https://dl.smwcentral.net/41928/smw%20ridleyx%20hack%20v1.0.zip</x:t>
  </x:si>
  <x:si>
    <x:t xml:space="preserve">Super Mario World The Forest  Adventure</x:t>
  </x:si>
  <x:si>
    <x:t xml:space="preserve">jesus angel</x:t>
  </x:si>
  <x:si>
    <x:t xml:space="preserve">26478</x:t>
  </x:si>
  <x:si>
    <x:t xml:space="preserve">https://www.smwcentral.net/?a=details&amp;id=26478&amp;p=section</x:t>
  </x:si>
  <x:si>
    <x:t xml:space="preserve">https://dl.smwcentral.net/26478/Super%20Mario%20World%20The%20Forest%20Adventure.zip</x:t>
  </x:si>
  <x:si>
    <x:t xml:space="preserve">Super Mario World The Garden</x:t>
  </x:si>
  <x:si>
    <x:t xml:space="preserve">27237</x:t>
  </x:si>
  <x:si>
    <x:t xml:space="preserve">https://www.smwcentral.net/?a=details&amp;id=27237&amp;p=section</x:t>
  </x:si>
  <x:si>
    <x:t xml:space="preserve">https://dl.smwcentral.net/27237/Super%20Mario%20World%20The%20Garden.zip</x:t>
  </x:si>
  <x:si>
    <x:t xml:space="preserve">Super Mario World The Pit Version</x:t>
  </x:si>
  <x:si>
    <x:t xml:space="preserve">18631</x:t>
  </x:si>
  <x:si>
    <x:t xml:space="preserve">https://www.smwcentral.net/?a=details&amp;id=18631&amp;p=section</x:t>
  </x:si>
  <x:si>
    <x:t xml:space="preserve">https://dl.smwcentral.net/18631/SMWTPV.zip</x:t>
  </x:si>
  <x:si>
    <x:t xml:space="preserve">Super Mario World the Reture</x:t>
  </x:si>
  <x:si>
    <x:t xml:space="preserve">Hellsingrunner, Redbone112, ShodanWii, TheRealNinjaBoy, Userofdoom, uNkNowN7642</x:t>
  </x:si>
  <x:si>
    <x:t xml:space="preserve">9777</x:t>
  </x:si>
  <x:si>
    <x:t xml:space="preserve">https://www.smwcentral.net/?a=details&amp;id=9777&amp;p=section</x:t>
  </x:si>
  <x:si>
    <x:t xml:space="preserve">https://dl.smwcentral.net/9777/SMW%20the%20Reture%201st%20World%20Demo.zip</x:t>
  </x:si>
  <x:si>
    <x:t xml:space="preserve">Super Mario World Ultra</x:t>
  </x:si>
  <x:si>
    <x:t xml:space="preserve">13341</x:t>
  </x:si>
  <x:si>
    <x:t xml:space="preserve">https://www.smwcentral.net/?a=details&amp;id=13341&amp;p=section</x:t>
  </x:si>
  <x:si>
    <x:t xml:space="preserve">https://dl.smwcentral.net/13341/Super%20Mario%20World%20Ultra.zip</x:t>
  </x:si>
  <x:si>
    <x:t xml:space="preserve">Super Mario World-2</x:t>
  </x:si>
  <x:si>
    <x:t xml:space="preserve">37830</x:t>
  </x:si>
  <x:si>
    <x:t xml:space="preserve">https://www.smwcentral.net/?a=details&amp;id=37830&amp;p=section</x:t>
  </x:si>
  <x:si>
    <x:t xml:space="preserve">https://dl.smwcentral.net/37830/SMW-2.zip</x:t>
  </x:si>
  <x:si>
    <x:t xml:space="preserve">Super Mario World-3</x:t>
  </x:si>
  <x:si>
    <x:t xml:space="preserve">40129</x:t>
  </x:si>
  <x:si>
    <x:t xml:space="preserve">https://www.smwcentral.net/?a=details&amp;id=40129&amp;p=section</x:t>
  </x:si>
  <x:si>
    <x:t xml:space="preserve">https://dl.smwcentral.net/40129/SMW-3%20v1.1.zip</x:t>
  </x:si>
  <x:si>
    <x:t xml:space="preserve">Super Mario World: "Not Over Yet"</x:t>
  </x:si>
  <x:si>
    <x:t xml:space="preserve">Mayonnai, Ringo</x:t>
  </x:si>
  <x:si>
    <x:t xml:space="preserve">28886</x:t>
  </x:si>
  <x:si>
    <x:t xml:space="preserve">https://www.smwcentral.net/?a=details&amp;id=28886&amp;p=section</x:t>
  </x:si>
  <x:si>
    <x:t xml:space="preserve">https://dl.smwcentral.net/28886/smwnoia.zip</x:t>
  </x:si>
  <x:si>
    <x:t xml:space="preserve">Super Mario World: A New Adventure 2</x:t>
  </x:si>
  <x:si>
    <x:t xml:space="preserve">10267</x:t>
  </x:si>
  <x:si>
    <x:t xml:space="preserve">https://www.smwcentral.net/?a=details&amp;id=10267&amp;p=section</x:t>
  </x:si>
  <x:si>
    <x:t xml:space="preserve">https://dl.smwcentral.net/10267/SMW%20A%20New%20Adventure%202.zip</x:t>
  </x:si>
  <x:si>
    <x:t xml:space="preserve">Super Mario World: A Pineapple Kingdom</x:t>
  </x:si>
  <x:si>
    <x:t xml:space="preserve">5495</x:t>
  </x:si>
  <x:si>
    <x:t xml:space="preserve">https://www.smwcentral.net/?a=details&amp;id=5495&amp;p=section</x:t>
  </x:si>
  <x:si>
    <x:t xml:space="preserve">https://dl.smwcentral.net/5495/APK%20C3%20Demo.zip</x:t>
  </x:si>
  <x:si>
    <x:t xml:space="preserve">Super Mario World: A Super Mario Adventure</x:t>
  </x:si>
  <x:si>
    <x:t xml:space="preserve">KaidenThelens</x:t>
  </x:si>
  <x:si>
    <x:t xml:space="preserve">24426</x:t>
  </x:si>
  <x:si>
    <x:t xml:space="preserve">https://www.smwcentral.net/?a=details&amp;id=24426&amp;p=section</x:t>
  </x:si>
  <x:si>
    <x:t xml:space="preserve">https://dl.smwcentral.net/24426/A%20ROM%20Hack..zip</x:t>
  </x:si>
  <x:si>
    <x:t xml:space="preserve">Super Mario World: A Super Mario Adventure 2 (V2.0)</x:t>
  </x:si>
  <x:si>
    <x:t xml:space="preserve">27401</x:t>
  </x:si>
  <x:si>
    <x:t xml:space="preserve">https://www.smwcentral.net/?a=details&amp;id=27401&amp;p=section</x:t>
  </x:si>
  <x:si>
    <x:t xml:space="preserve">https://dl.smwcentral.net/27401/A%20Super%20Mario%20Adventure%202%20%28V2.0%29.zip</x:t>
  </x:si>
  <x:si>
    <x:t xml:space="preserve">Super Mario World: A Super Mario Adventure 3</x:t>
  </x:si>
  <x:si>
    <x:t xml:space="preserve">28619</x:t>
  </x:si>
  <x:si>
    <x:t xml:space="preserve">https://www.smwcentral.net/?a=details&amp;id=28619&amp;p=section</x:t>
  </x:si>
  <x:si>
    <x:t xml:space="preserve">https://dl.smwcentral.net/28619/SMW%20A%20Super%20Mario%20Adventure%203%20%28V2.0%29.zip</x:t>
  </x:si>
  <x:si>
    <x:t xml:space="preserve">Super Mario World: Adventure in Forest Land</x:t>
  </x:si>
  <x:si>
    <x:t xml:space="preserve">40321</x:t>
  </x:si>
  <x:si>
    <x:t xml:space="preserve">https://www.smwcentral.net/?a=details&amp;id=40321&amp;p=section</x:t>
  </x:si>
  <x:si>
    <x:t xml:space="preserve">https://dl.smwcentral.net/40321/Super%20Mario%20World%20-%20Adventure%20in%20Forest%20Land%20v1.0.zip</x:t>
  </x:si>
  <x:si>
    <x:t xml:space="preserve">Super Mario World: Adventures On Petite Island</x:t>
  </x:si>
  <x:si>
    <x:t xml:space="preserve">6286</x:t>
  </x:si>
  <x:si>
    <x:t xml:space="preserve">https://www.smwcentral.net/?a=details&amp;id=6286&amp;p=section</x:t>
  </x:si>
  <x:si>
    <x:t xml:space="preserve">https://dl.smwcentral.net/6286/SMWAPI%20v1.1.zip</x:t>
  </x:si>
  <x:si>
    <x:t xml:space="preserve">Super Mario World: Again in Dinosaur Land</x:t>
  </x:si>
  <x:si>
    <x:t xml:space="preserve">18091</x:t>
  </x:si>
  <x:si>
    <x:t xml:space="preserve">https://www.smwcentral.net/?a=details&amp;id=18091&amp;p=section</x:t>
  </x:si>
  <x:si>
    <x:t xml:space="preserve">https://dl.smwcentral.net/18091/SMWAgaininDinosaurLandDEMO1.zip</x:t>
  </x:si>
  <x:si>
    <x:t xml:space="preserve">Super Mario World: Another Pointless Adventure</x:t>
  </x:si>
  <x:si>
    <x:t xml:space="preserve">13663</x:t>
  </x:si>
  <x:si>
    <x:t xml:space="preserve">https://www.smwcentral.net/?a=details&amp;id=13663&amp;p=section</x:t>
  </x:si>
  <x:si>
    <x:t xml:space="preserve">https://dl.smwcentral.net/13663/Another%20Pointless%20Adventure%20%28World%201%20Demo%29.zip</x:t>
  </x:si>
  <x:si>
    <x:t xml:space="preserve">Super Mario World: Blue Flamingo</x:t>
  </x:si>
  <x:si>
    <x:t xml:space="preserve">Truxton</x:t>
  </x:si>
  <x:si>
    <x:t xml:space="preserve">6437</x:t>
  </x:si>
  <x:si>
    <x:t xml:space="preserve">https://www.smwcentral.net/?a=details&amp;id=6437&amp;p=section</x:t>
  </x:si>
  <x:si>
    <x:t xml:space="preserve">https://dl.smwcentral.net/6437/BF.zip</x:t>
  </x:si>
  <x:si>
    <x:t xml:space="preserve">Super Mario World: Bowser's Cataclysmic Trap</x:t>
  </x:si>
  <x:si>
    <x:t xml:space="preserve">11608</x:t>
  </x:si>
  <x:si>
    <x:t xml:space="preserve">https://www.smwcentral.net/?a=details&amp;id=11608&amp;p=section</x:t>
  </x:si>
  <x:si>
    <x:t xml:space="preserve">https://dl.smwcentral.net/11608/BCT%201.2.2.zip</x:t>
  </x:si>
  <x:si>
    <x:t xml:space="preserve">Super Mario World: Bowser's Kaizo Conspiracy</x:t>
  </x:si>
  <x:si>
    <x:t xml:space="preserve">33943</x:t>
  </x:si>
  <x:si>
    <x:t xml:space="preserve">https://www.smwcentral.net/?a=details&amp;id=33943&amp;p=section</x:t>
  </x:si>
  <x:si>
    <x:t xml:space="preserve">https://dl.smwcentral.net/33943/Bowser%27s%20Kaizo%20Conspiracy%20v1.2.zip</x:t>
  </x:si>
  <x:si>
    <x:t xml:space="preserve">Super Mario World: Bowser's Trial</x:t>
  </x:si>
  <x:si>
    <x:t xml:space="preserve">Tio broz</x:t>
  </x:si>
  <x:si>
    <x:t xml:space="preserve">9991</x:t>
  </x:si>
  <x:si>
    <x:t xml:space="preserve">https://www.smwcentral.net/?a=details&amp;id=9991&amp;p=section</x:t>
  </x:si>
  <x:si>
    <x:t xml:space="preserve">https://dl.smwcentral.net/9991/Bowser%27s%20Trial.zip</x:t>
  </x:si>
  <x:si>
    <x:t xml:space="preserve">Super Mario World: Challenge Worlds</x:t>
  </x:si>
  <x:si>
    <x:t xml:space="preserve">i'mbadwithusernames</x:t>
  </x:si>
  <x:si>
    <x:t xml:space="preserve">5589</x:t>
  </x:si>
  <x:si>
    <x:t xml:space="preserve">https://www.smwcentral.net/?a=details&amp;id=5589&amp;p=section</x:t>
  </x:si>
  <x:si>
    <x:t xml:space="preserve">https://dl.smwcentral.net/5589/Challenge%20Worlds%20Demo%202%20fixed.zip</x:t>
  </x:si>
  <x:si>
    <x:t xml:space="preserve">Super Mario World: Christmas Edition</x:t>
  </x:si>
  <x:si>
    <x:t xml:space="preserve">21677</x:t>
  </x:si>
  <x:si>
    <x:t xml:space="preserve">https://www.smwcentral.net/?a=details&amp;id=21677&amp;p=section</x:t>
  </x:si>
  <x:si>
    <x:t xml:space="preserve">https://dl.smwcentral.net/21677/SMW%20Christmas%20Edition.zip</x:t>
  </x:si>
  <x:si>
    <x:t xml:space="preserve">Super Mario World: Dark Sniggerbobblian Mythos #2: Sniggerbobble's Redemption: The Crystal of Disaster</x:t>
  </x:si>
  <x:si>
    <x:t xml:space="preserve">Sniggerb0bble</x:t>
  </x:si>
  <x:si>
    <x:t xml:space="preserve">9661</x:t>
  </x:si>
  <x:si>
    <x:t xml:space="preserve">https://www.smwcentral.net/?a=details&amp;id=9661&amp;p=section</x:t>
  </x:si>
  <x:si>
    <x:t xml:space="preserve">https://dl.smwcentral.net/9661/SR%3BTCoD%20Teaser%20Demo.zip</x:t>
  </x:si>
  <x:si>
    <x:t xml:space="preserve">Super Mario World: Dungeon Conquest - C3 Demo</x:t>
  </x:si>
  <x:si>
    <x:t xml:space="preserve">31349</x:t>
  </x:si>
  <x:si>
    <x:t xml:space="preserve">https://www.smwcentral.net/?a=details&amp;id=31349&amp;p=section</x:t>
  </x:si>
  <x:si>
    <x:t xml:space="preserve">https://dl.smwcentral.net/31349/SMW%20Dungeons.zip</x:t>
  </x:si>
  <x:si>
    <x:t xml:space="preserve">Super Mario World: Emberside Island</x:t>
  </x:si>
  <x:si>
    <x:t xml:space="preserve">CaramelCupcakes</x:t>
  </x:si>
  <x:si>
    <x:t xml:space="preserve">32091</x:t>
  </x:si>
  <x:si>
    <x:t xml:space="preserve">https://www.smwcentral.net/?a=details&amp;id=32091&amp;p=section</x:t>
  </x:si>
  <x:si>
    <x:t xml:space="preserve">https://dl.smwcentral.net/32091/SMWEmbersideIslandDemo3Upd.zip</x:t>
  </x:si>
  <x:si>
    <x:t xml:space="preserve">Super Mario World: Glitch Land</x:t>
  </x:si>
  <x:si>
    <x:t xml:space="preserve">Smallhacker</x:t>
  </x:si>
  <x:si>
    <x:t xml:space="preserve">9792</x:t>
  </x:si>
  <x:si>
    <x:t xml:space="preserve">https://www.smwcentral.net/?a=details&amp;id=9792&amp;p=section</x:t>
  </x:si>
  <x:si>
    <x:t xml:space="preserve">https://dl.smwcentral.net/9792/SMW%20Glitch%20Land%20-%20Demo%201.zip</x:t>
  </x:si>
  <x:si>
    <x:t xml:space="preserve">Super Mario World: Hehey!</x:t>
  </x:si>
  <x:si>
    <x:t xml:space="preserve">Grugi</x:t>
  </x:si>
  <x:si>
    <x:t xml:space="preserve">13168</x:t>
  </x:si>
  <x:si>
    <x:t xml:space="preserve">https://www.smwcentral.net/?a=details&amp;id=13168&amp;p=section</x:t>
  </x:si>
  <x:si>
    <x:t xml:space="preserve">https://dl.smwcentral.net/13168/SMW%20Hehey%21.zip</x:t>
  </x:si>
  <x:si>
    <x:t xml:space="preserve">Super Mario World: Hunt for the Dragon Coins</x:t>
  </x:si>
  <x:si>
    <x:t xml:space="preserve">10012</x:t>
  </x:si>
  <x:si>
    <x:t xml:space="preserve">https://www.smwcentral.net/?a=details&amp;id=10012&amp;p=section</x:t>
  </x:si>
  <x:si>
    <x:t xml:space="preserve">https://dl.smwcentral.net/10012/Super%20Mario%20HFTDC.zip</x:t>
  </x:si>
  <x:si>
    <x:t xml:space="preserve">Super Mario World: Iggy's Island</x:t>
  </x:si>
  <x:si>
    <x:t xml:space="preserve">9840</x:t>
  </x:si>
  <x:si>
    <x:t xml:space="preserve">https://www.smwcentral.net/?a=details&amp;id=9840&amp;p=section</x:t>
  </x:si>
  <x:si>
    <x:t xml:space="preserve">https://dl.smwcentral.net/9840/Iggy%27s%20Island%20Zip.zip</x:t>
  </x:si>
  <x:si>
    <x:t xml:space="preserve">Super Mario World: Journey To Plover Hill</x:t>
  </x:si>
  <x:si>
    <x:t xml:space="preserve">jcv1235</x:t>
  </x:si>
  <x:si>
    <x:t xml:space="preserve">9803</x:t>
  </x:si>
  <x:si>
    <x:t xml:space="preserve">https://www.smwcentral.net/?a=details&amp;id=9803&amp;p=section</x:t>
  </x:si>
  <x:si>
    <x:t xml:space="preserve">https://dl.smwcentral.net/9803/Journey%20To%20Plover%20Hill.zip</x:t>
  </x:si>
  <x:si>
    <x:t xml:space="preserve">Super Mario World: Jurassic Path</x:t>
  </x:si>
  <x:si>
    <x:t xml:space="preserve">Mario's Dog</x:t>
  </x:si>
  <x:si>
    <x:t xml:space="preserve">9801</x:t>
  </x:si>
  <x:si>
    <x:t xml:space="preserve">https://www.smwcentral.net/?a=details&amp;id=9801&amp;p=section</x:t>
  </x:si>
  <x:si>
    <x:t xml:space="preserve">https://dl.smwcentral.net/9801/Super%20Mario%20World%20Jurassic%20Path%20%28Demo%201%29.zip</x:t>
  </x:si>
  <x:si>
    <x:t xml:space="preserve">Super Mario World: La Nouvelle Vague</x:t>
  </x:si>
  <x:si>
    <x:t xml:space="preserve">6467</x:t>
  </x:si>
  <x:si>
    <x:t xml:space="preserve">https://www.smwcentral.net/?a=details&amp;id=6467&amp;p=section</x:t>
  </x:si>
  <x:si>
    <x:t xml:space="preserve">https://dl.smwcentral.net/6467/SMW%20La%20Nouvelle%20Vague.zip</x:t>
  </x:si>
  <x:si>
    <x:t xml:space="preserve">Super Mario World: Legend of the Four Keys</x:t>
  </x:si>
  <x:si>
    <x:t xml:space="preserve">39962</x:t>
  </x:si>
  <x:si>
    <x:t xml:space="preserve">https://www.smwcentral.net/?a=details&amp;id=39962&amp;p=section</x:t>
  </x:si>
  <x:si>
    <x:t xml:space="preserve">https://dl.smwcentral.net/39962/L4K%201.4.zip</x:t>
  </x:si>
  <x:si>
    <x:t xml:space="preserve">Super Mario World: Moving Day</x:t>
  </x:si>
  <x:si>
    <x:t xml:space="preserve">10074</x:t>
  </x:si>
  <x:si>
    <x:t xml:space="preserve">https://www.smwcentral.net/?a=details&amp;id=10074&amp;p=section</x:t>
  </x:si>
  <x:si>
    <x:t xml:space="preserve">https://dl.smwcentral.net/10074/MovingDay-Snowshoe.zip</x:t>
  </x:si>
  <x:si>
    <x:t xml:space="preserve">Super Mario World: Panic In Eglet Islands</x:t>
  </x:si>
  <x:si>
    <x:t xml:space="preserve">Volt</x:t>
  </x:si>
  <x:si>
    <x:t xml:space="preserve">5266</x:t>
  </x:si>
  <x:si>
    <x:t xml:space="preserve">https://www.smwcentral.net/?a=details&amp;id=5266&amp;p=section</x:t>
  </x:si>
  <x:si>
    <x:t xml:space="preserve">https://dl.smwcentral.net/5266/SMWPIEI%20%28fixed%29.zip</x:t>
  </x:si>
  <x:si>
    <x:t xml:space="preserve">Super Mario World: Quest up Mount Morlock.</x:t>
  </x:si>
  <x:si>
    <x:t xml:space="preserve">25129</x:t>
  </x:si>
  <x:si>
    <x:t xml:space="preserve">https://www.smwcentral.net/?a=details&amp;id=25129&amp;p=section</x:t>
  </x:si>
  <x:si>
    <x:t xml:space="preserve">https://dl.smwcentral.net/25129/Heres%20the%20Video%20Game%20V2.zip</x:t>
  </x:si>
  <x:si>
    <x:t xml:space="preserve">Super Mario World: Return To Dinosaur Land</x:t>
  </x:si>
  <x:si>
    <x:t xml:space="preserve">RAGB</x:t>
  </x:si>
  <x:si>
    <x:t xml:space="preserve">4990</x:t>
  </x:si>
  <x:si>
    <x:t xml:space="preserve">https://www.smwcentral.net/?a=details&amp;id=4990&amp;p=section</x:t>
  </x:si>
  <x:si>
    <x:t xml:space="preserve">https://dl.smwcentral.net/4990/SMW-%20RDL.zip</x:t>
  </x:si>
  <x:si>
    <x:t xml:space="preserve">Super Mario World: Season 2</x:t>
  </x:si>
  <x:si>
    <x:t xml:space="preserve">DaHitmenGuy</x:t>
  </x:si>
  <x:si>
    <x:t xml:space="preserve">31925</x:t>
  </x:si>
  <x:si>
    <x:t xml:space="preserve">https://www.smwcentral.net/?a=details&amp;id=31925&amp;p=section</x:t>
  </x:si>
  <x:si>
    <x:t xml:space="preserve">https://dl.smwcentral.net/31925/Super%20Mario%20World%20-%20Season%202%20%282021%29.zip</x:t>
  </x:si>
  <x:si>
    <x:t xml:space="preserve">Super Mario World: Season 3</x:t>
  </x:si>
  <x:si>
    <x:t xml:space="preserve">32736</x:t>
  </x:si>
  <x:si>
    <x:t xml:space="preserve">https://www.smwcentral.net/?a=details&amp;id=32736&amp;p=section</x:t>
  </x:si>
  <x:si>
    <x:t xml:space="preserve">https://dl.smwcentral.net/32736/Super%20Mario%20World%20-%20Season%203%20%28Demo%20V1%29.zip</x:t>
  </x:si>
  <x:si>
    <x:t xml:space="preserve">Super Mario World: Seasonal Chaos!</x:t>
  </x:si>
  <x:si>
    <x:t xml:space="preserve">Starman97</x:t>
  </x:si>
  <x:si>
    <x:t xml:space="preserve">30887</x:t>
  </x:si>
  <x:si>
    <x:t xml:space="preserve">https://www.smwcentral.net/?a=details&amp;id=30887&amp;p=section</x:t>
  </x:si>
  <x:si>
    <x:t xml:space="preserve">https://dl.smwcentral.net/30887/SMWSeasonalChaos%21.zip</x:t>
  </x:si>
  <x:si>
    <x:t xml:space="preserve">Super Mario World: Serbow's Assault</x:t>
  </x:si>
  <x:si>
    <x:t xml:space="preserve">keckcellent</x:t>
  </x:si>
  <x:si>
    <x:t xml:space="preserve">5446</x:t>
  </x:si>
  <x:si>
    <x:t xml:space="preserve">https://www.smwcentral.net/?a=details&amp;id=5446&amp;p=section</x:t>
  </x:si>
  <x:si>
    <x:t xml:space="preserve">https://dl.smwcentral.net/5446/Serbow1-3.zip</x:t>
  </x:si>
  <x:si>
    <x:t xml:space="preserve">Super Mario World: Shy-Shy Island</x:t>
  </x:si>
  <x:si>
    <x:t xml:space="preserve">yupyup____</x:t>
  </x:si>
  <x:si>
    <x:t xml:space="preserve">23028</x:t>
  </x:si>
  <x:si>
    <x:t xml:space="preserve">https://www.smwcentral.net/?a=details&amp;id=23028&amp;p=section</x:t>
  </x:si>
  <x:si>
    <x:t xml:space="preserve">https://dl.smwcentral.net/23028/SMW%20shyshy%20island.zip</x:t>
  </x:si>
  <x:si>
    <x:t xml:space="preserve">Super Mario World: The 4 Magic Wands</x:t>
  </x:si>
  <x:si>
    <x:t xml:space="preserve">39208</x:t>
  </x:si>
  <x:si>
    <x:t xml:space="preserve">https://www.smwcentral.net/?a=details&amp;id=39208&amp;p=section</x:t>
  </x:si>
  <x:si>
    <x:t xml:space="preserve">https://dl.smwcentral.net/39208/Super%20Mario%20World%20-%20The%204%20Magic%20Wands%20V1.0.2.zip</x:t>
  </x:si>
  <x:si>
    <x:t xml:space="preserve">Super Mario World: The 7 Elemental Yoshies</x:t>
  </x:si>
  <x:si>
    <x:t xml:space="preserve">RandomUser46</x:t>
  </x:si>
  <x:si>
    <x:t xml:space="preserve">11004</x:t>
  </x:si>
  <x:si>
    <x:t xml:space="preserve">https://www.smwcentral.net/?a=details&amp;id=11004&amp;p=section</x:t>
  </x:si>
  <x:si>
    <x:t xml:space="preserve">https://dl.smwcentral.net/11004/SMW%20The%207%20Elemental%20Yoshies%20DEMO.zip</x:t>
  </x:si>
  <x:si>
    <x:t xml:space="preserve">Super Mario World: The 7 Koopalings Return</x:t>
  </x:si>
  <x:si>
    <x:t xml:space="preserve">9053</x:t>
  </x:si>
  <x:si>
    <x:t xml:space="preserve">https://www.smwcentral.net/?a=details&amp;id=9053&amp;p=section</x:t>
  </x:si>
  <x:si>
    <x:t xml:space="preserve">https://dl.smwcentral.net/9053/koopalings%20-%20demo.zip</x:t>
  </x:si>
  <x:si>
    <x:t xml:space="preserve">Super Mario World: The After Years (Ultra)</x:t>
  </x:si>
  <x:si>
    <x:t xml:space="preserve">EvilGuy0613</x:t>
  </x:si>
  <x:si>
    <x:t xml:space="preserve">5593</x:t>
  </x:si>
  <x:si>
    <x:t xml:space="preserve">https://www.smwcentral.net/?a=details&amp;id=5593&amp;p=section</x:t>
  </x:si>
  <x:si>
    <x:t xml:space="preserve">https://dl.smwcentral.net/5593/Super%20Mario%20World%20-%20The%20After%20Years%20%28Ultra%29.zip</x:t>
  </x:si>
  <x:si>
    <x:t xml:space="preserve">Super Mario World: The Crazy Quest</x:t>
  </x:si>
  <x:si>
    <x:t xml:space="preserve">Ayami</x:t>
  </x:si>
  <x:si>
    <x:t xml:space="preserve">10043</x:t>
  </x:si>
  <x:si>
    <x:t xml:space="preserve">https://www.smwcentral.net/?a=details&amp;id=10043&amp;p=section</x:t>
  </x:si>
  <x:si>
    <x:t xml:space="preserve">https://dl.smwcentral.net/10043/SMW%20The%20Crazy%20Quest%20%28DEMO%20v1.0%29.zip</x:t>
  </x:si>
  <x:si>
    <x:t xml:space="preserve">Super Mario World: The Final Showdown!</x:t>
  </x:si>
  <x:si>
    <x:t xml:space="preserve">12113</x:t>
  </x:si>
  <x:si>
    <x:t xml:space="preserve">https://www.smwcentral.net/?a=details&amp;id=12113&amp;p=section</x:t>
  </x:si>
  <x:si>
    <x:t xml:space="preserve">https://dl.smwcentral.net/12113/SMWTheFinalShowdown%28Demo%29.zip</x:t>
  </x:si>
  <x:si>
    <x:t xml:space="preserve">Super Mario World: The Huge Adventure</x:t>
  </x:si>
  <x:si>
    <x:t xml:space="preserve">10221</x:t>
  </x:si>
  <x:si>
    <x:t xml:space="preserve">https://www.smwcentral.net/?a=details&amp;id=10221&amp;p=section</x:t>
  </x:si>
  <x:si>
    <x:t xml:space="preserve">https://dl.smwcentral.net/10221/tha.zip</x:t>
  </x:si>
  <x:si>
    <x:t xml:space="preserve">Super Mario World: The Lost Adventure - Episode I REMASTERED</x:t>
  </x:si>
  <x:si>
    <x:t xml:space="preserve">RichardDS90, isaix</x:t>
  </x:si>
  <x:si>
    <x:t xml:space="preserve">33456</x:t>
  </x:si>
  <x:si>
    <x:t xml:space="preserve">https://www.smwcentral.net/?a=details&amp;id=33456&amp;p=section</x:t>
  </x:si>
  <x:si>
    <x:t xml:space="preserve">https://dl.smwcentral.net/33456/SMW%20The%20Lost%20Adventure%20Episode%20I%20REMASTERED.zip</x:t>
  </x:si>
  <x:si>
    <x:t xml:space="preserve">Super Mario World: The Lost Levels</x:t>
  </x:si>
  <x:si>
    <x:t xml:space="preserve">CargoOfDarkness, LunaStarshine</x:t>
  </x:si>
  <x:si>
    <x:t xml:space="preserve">6410</x:t>
  </x:si>
  <x:si>
    <x:t xml:space="preserve">https://www.smwcentral.net/?a=details&amp;id=6410&amp;p=section</x:t>
  </x:si>
  <x:si>
    <x:t xml:space="preserve">https://dl.smwcentral.net/6410/New%20Super%20Mario%20World%20-%20The%20%20Lost%20Levels.zip</x:t>
  </x:si>
  <x:si>
    <x:t xml:space="preserve">Super Mario World: The Magical Golden Mushroom</x:t>
  </x:si>
  <x:si>
    <x:t xml:space="preserve">42564</x:t>
  </x:si>
  <x:si>
    <x:t xml:space="preserve">https://www.smwcentral.net/?a=details&amp;id=42564&amp;p=section</x:t>
  </x:si>
  <x:si>
    <x:t xml:space="preserve">https://dl.smwcentral.net/42564/Super%20Mario%20World%20-%20The%20Magical%20Golden%20Mushroom%20v1.2.zip</x:t>
  </x:si>
  <x:si>
    <x:t xml:space="preserve">Super Mario World: The Magical Wand</x:t>
  </x:si>
  <x:si>
    <x:t xml:space="preserve">TheEvilFlashAnimator</x:t>
  </x:si>
  <x:si>
    <x:t xml:space="preserve">10062</x:t>
  </x:si>
  <x:si>
    <x:t xml:space="preserve">https://www.smwcentral.net/?a=details&amp;id=10062&amp;p=section</x:t>
  </x:si>
  <x:si>
    <x:t xml:space="preserve">https://dl.smwcentral.net/10062/SMWTMW_demo.zip</x:t>
  </x:si>
  <x:si>
    <x:t xml:space="preserve">Super Mario World: The Megaman 29th anniversary adventure</x:t>
  </x:si>
  <x:si>
    <x:t xml:space="preserve">13720</x:t>
  </x:si>
  <x:si>
    <x:t xml:space="preserve">https://www.smwcentral.net/?a=details&amp;id=13720&amp;p=section</x:t>
  </x:si>
  <x:si>
    <x:t xml:space="preserve">https://dl.smwcentral.net/13720/Megaman29thfull2.zip</x:t>
  </x:si>
  <x:si>
    <x:t xml:space="preserve">Super Mario World: The Meteor...</x:t>
  </x:si>
  <x:si>
    <x:t xml:space="preserve">9643</x:t>
  </x:si>
  <x:si>
    <x:t xml:space="preserve">https://www.smwcentral.net/?a=details&amp;id=9643&amp;p=section</x:t>
  </x:si>
  <x:si>
    <x:t xml:space="preserve">https://dl.smwcentral.net/9643/Mario%20the%20meteor.zip</x:t>
  </x:si>
  <x:si>
    <x:t xml:space="preserve">Super Mario World: The Mysterious Armada</x:t>
  </x:si>
  <x:si>
    <x:t xml:space="preserve">MetallicKreeper</x:t>
  </x:si>
  <x:si>
    <x:t xml:space="preserve">18817</x:t>
  </x:si>
  <x:si>
    <x:t xml:space="preserve">https://www.smwcentral.net/?a=details&amp;id=18817&amp;p=section</x:t>
  </x:si>
  <x:si>
    <x:t xml:space="preserve">https://dl.smwcentral.net/18817/TMA.zip</x:t>
  </x:si>
  <x:si>
    <x:t xml:space="preserve">Super Mario World: The New World</x:t>
  </x:si>
  <x:si>
    <x:t xml:space="preserve">MrUltimateKirby</x:t>
  </x:si>
  <x:si>
    <x:t xml:space="preserve">14829</x:t>
  </x:si>
  <x:si>
    <x:t xml:space="preserve">https://www.smwcentral.net/?a=details&amp;id=14829&amp;p=section</x:t>
  </x:si>
  <x:si>
    <x:t xml:space="preserve">https://dl.smwcentral.net/14829/Super%20Mario%20World%20-%20The%20New%20World.zip</x:t>
  </x:si>
  <x:si>
    <x:t xml:space="preserve">Super Mario World: The Return of Bowser</x:t>
  </x:si>
  <x:si>
    <x:t xml:space="preserve">Bmann7000</x:t>
  </x:si>
  <x:si>
    <x:t xml:space="preserve">9733</x:t>
  </x:si>
  <x:si>
    <x:t xml:space="preserve">https://www.smwcentral.net/?a=details&amp;id=9733&amp;p=section</x:t>
  </x:si>
  <x:si>
    <x:t xml:space="preserve">https://dl.smwcentral.net/9733/Mario2008v4.zip</x:t>
  </x:si>
  <x:si>
    <x:t xml:space="preserve">Super Mario World: The Secret of 4 Colour Switch</x:t>
  </x:si>
  <x:si>
    <x:t xml:space="preserve">Reaper Fan</x:t>
  </x:si>
  <x:si>
    <x:t xml:space="preserve">11585</x:t>
  </x:si>
  <x:si>
    <x:t xml:space="preserve">https://www.smwcentral.net/?a=details&amp;id=11585&amp;p=section</x:t>
  </x:si>
  <x:si>
    <x:t xml:space="preserve">https://dl.smwcentral.net/11585/SMW-The%20Secret%20Of%204%20Colour%20Switch%20Demo%201.3.zip</x:t>
  </x:si>
  <x:si>
    <x:t xml:space="preserve">Super Mario World: The Secret of the 7 Golden Statues</x:t>
  </x:si>
  <x:si>
    <x:t xml:space="preserve">mario90</x:t>
  </x:si>
  <x:si>
    <x:t xml:space="preserve">28693</x:t>
  </x:si>
  <x:si>
    <x:t xml:space="preserve">https://www.smwcentral.net/?a=details&amp;id=28693&amp;p=section</x:t>
  </x:si>
  <x:si>
    <x:t xml:space="preserve">https://dl.smwcentral.net/28693/Super_Mario_World_The_Secret_of_the_7_Golden_Statues.zip</x:t>
  </x:si>
  <x:si>
    <x:t xml:space="preserve">Super Mario World: The Secret of the Lands!</x:t>
  </x:si>
  <x:si>
    <x:t xml:space="preserve">6084</x:t>
  </x:si>
  <x:si>
    <x:t xml:space="preserve">https://www.smwcentral.net/?a=details&amp;id=6084&amp;p=section</x:t>
  </x:si>
  <x:si>
    <x:t xml:space="preserve">https://dl.smwcentral.net/6084/tsotl%20-%20demo%202%21.zip</x:t>
  </x:si>
  <x:si>
    <x:t xml:space="preserve">Super Mario World: The Star Field</x:t>
  </x:si>
  <x:si>
    <x:t xml:space="preserve">vysethelegend47</x:t>
  </x:si>
  <x:si>
    <x:t xml:space="preserve">9966</x:t>
  </x:si>
  <x:si>
    <x:t xml:space="preserve">https://www.smwcentral.net/?a=details&amp;id=9966&amp;p=section</x:t>
  </x:si>
  <x:si>
    <x:t xml:space="preserve">https://dl.smwcentral.net/9966/SMWTheStarFieldDemo2.2.zip</x:t>
  </x:si>
  <x:si>
    <x:t xml:space="preserve">Super Mario World: Twentieth Anniversary Edition</x:t>
  </x:si>
  <x:si>
    <x:t xml:space="preserve">10041</x:t>
  </x:si>
  <x:si>
    <x:t xml:space="preserve">https://www.smwcentral.net/?a=details&amp;id=10041&amp;p=section</x:t>
  </x:si>
  <x:si>
    <x:t xml:space="preserve">https://dl.smwcentral.net/10041/SMW%20Twentieth%20Anniversary.zip</x:t>
  </x:si>
  <x:si>
    <x:t xml:space="preserve">Super Mario World: Uber Edition</x:t>
  </x:si>
  <x:si>
    <x:t xml:space="preserve">MarioPwnz</x:t>
  </x:si>
  <x:si>
    <x:t xml:space="preserve">9772</x:t>
  </x:si>
  <x:si>
    <x:t xml:space="preserve">https://www.smwcentral.net/?a=details&amp;id=9772&amp;p=section</x:t>
  </x:si>
  <x:si>
    <x:t xml:space="preserve">https://dl.smwcentral.net/9772/Uber%20Mario%20World%20DEMO1.zip</x:t>
  </x:si>
  <x:si>
    <x:t xml:space="preserve">Super Mario World: Winter's Delight</x:t>
  </x:si>
  <x:si>
    <x:t xml:space="preserve">BD132</x:t>
  </x:si>
  <x:si>
    <x:t xml:space="preserve">9847</x:t>
  </x:si>
  <x:si>
    <x:t xml:space="preserve">https://www.smwcentral.net/?a=details&amp;id=9847&amp;p=section</x:t>
  </x:si>
  <x:si>
    <x:t xml:space="preserve">https://dl.smwcentral.net/9847/WintersDelight.zip</x:t>
  </x:si>
  <x:si>
    <x:t xml:space="preserve">Super Mario Worldwide</x:t>
  </x:si>
  <x:si>
    <x:t xml:space="preserve">Antroid</x:t>
  </x:si>
  <x:si>
    <x:t xml:space="preserve">9767</x:t>
  </x:si>
  <x:si>
    <x:t xml:space="preserve">https://www.smwcentral.net/?a=details&amp;id=9767&amp;p=section</x:t>
  </x:si>
  <x:si>
    <x:t xml:space="preserve">https://dl.smwcentral.net/9767/Super_Mario_Worldwide.zip</x:t>
  </x:si>
  <x:si>
    <x:t xml:space="preserve">Super Mario Worldwide 2</x:t>
  </x:si>
  <x:si>
    <x:t xml:space="preserve">5370</x:t>
  </x:si>
  <x:si>
    <x:t xml:space="preserve">https://www.smwcentral.net/?a=details&amp;id=5370&amp;p=section</x:t>
  </x:si>
  <x:si>
    <x:t xml:space="preserve">https://dl.smwcentral.net/5370/Super_Mario_Worldwide_2.zip</x:t>
  </x:si>
  <x:si>
    <x:t xml:space="preserve">Super Mario World²</x:t>
  </x:si>
  <x:si>
    <x:t xml:space="preserve">19292</x:t>
  </x:si>
  <x:si>
    <x:t xml:space="preserve">https://www.smwcentral.net/?a=details&amp;id=19292&amp;p=section</x:t>
  </x:si>
  <x:si>
    <x:t xml:space="preserve">https://dl.smwcentral.net/19292/SMW%5E2%20DEMO.zip</x:t>
  </x:si>
  <x:si>
    <x:t xml:space="preserve">Super Mario Wornilla</x:t>
  </x:si>
  <x:si>
    <x:t xml:space="preserve">20336</x:t>
  </x:si>
  <x:si>
    <x:t xml:space="preserve">https://www.smwcentral.net/?a=details&amp;id=20336&amp;p=section</x:t>
  </x:si>
  <x:si>
    <x:t xml:space="preserve">https://dl.smwcentral.net/20336/Super%20Mario%20Wornilla.zip</x:t>
  </x:si>
  <x:si>
    <x:t xml:space="preserve">Super Mario Wornilla - Lost Levels</x:t>
  </x:si>
  <x:si>
    <x:t xml:space="preserve">22082</x:t>
  </x:si>
  <x:si>
    <x:t xml:space="preserve">https://www.smwcentral.net/?a=details&amp;id=22082&amp;p=section</x:t>
  </x:si>
  <x:si>
    <x:t xml:space="preserve">https://dl.smwcentral.net/22082/Wornilla%20-%20LostLevels.zip</x:t>
  </x:si>
  <x:si>
    <x:t xml:space="preserve">Super Mario X</x:t>
  </x:si>
  <x:si>
    <x:t xml:space="preserve">zack30</x:t>
  </x:si>
  <x:si>
    <x:t xml:space="preserve">6532</x:t>
  </x:si>
  <x:si>
    <x:t xml:space="preserve">https://www.smwcentral.net/?a=details&amp;id=6532&amp;p=section</x:t>
  </x:si>
  <x:si>
    <x:t xml:space="preserve">https://dl.smwcentral.net/6532/Super%20Mario%20X.zip</x:t>
  </x:si>
  <x:si>
    <x:t xml:space="preserve">Super Mario Yggdrasil</x:t>
  </x:si>
  <x:si>
    <x:t xml:space="preserve">Inventalgames</x:t>
  </x:si>
  <x:si>
    <x:t xml:space="preserve">41496</x:t>
  </x:si>
  <x:si>
    <x:t xml:space="preserve">https://www.smwcentral.net/?a=details&amp;id=41496&amp;p=section</x:t>
  </x:si>
  <x:si>
    <x:t xml:space="preserve">https://dl.smwcentral.net/41496/Super%20Mario%20Yggdrasil.zip</x:t>
  </x:si>
  <x:si>
    <x:t xml:space="preserve">Super Mario's Adventure To Waste Time</x:t>
  </x:si>
  <x:si>
    <x:t xml:space="preserve">6094</x:t>
  </x:si>
  <x:si>
    <x:t xml:space="preserve">https://www.smwcentral.net/?a=details&amp;id=6094&amp;p=section</x:t>
  </x:si>
  <x:si>
    <x:t xml:space="preserve">https://dl.smwcentral.net/6094/SMATWT%20v1.5.zip</x:t>
  </x:si>
  <x:si>
    <x:t xml:space="preserve">Super Mario's Island Hopping Adventure</x:t>
  </x:si>
  <x:si>
    <x:t xml:space="preserve">Techokami</x:t>
  </x:si>
  <x:si>
    <x:t xml:space="preserve">5023</x:t>
  </x:si>
  <x:si>
    <x:t xml:space="preserve">https://www.smwcentral.net/?a=details&amp;id=5023&amp;p=section</x:t>
  </x:si>
  <x:si>
    <x:t xml:space="preserve">https://dl.smwcentral.net/5023/smiha.zip</x:t>
  </x:si>
  <x:si>
    <x:t xml:space="preserve">Super Mario's Legend Quest!</x:t>
  </x:si>
  <x:si>
    <x:t xml:space="preserve">mario56</x:t>
  </x:si>
  <x:si>
    <x:t xml:space="preserve">23762</x:t>
  </x:si>
  <x:si>
    <x:t xml:space="preserve">https://www.smwcentral.net/?a=details&amp;id=23762&amp;p=section</x:t>
  </x:si>
  <x:si>
    <x:t xml:space="preserve">https://dl.smwcentral.net/23762/Super_Marios_Legend_Quest_FIXED.zip</x:t>
  </x:si>
  <x:si>
    <x:t xml:space="preserve">Super Mario's Legend: Vacations at the Tropics</x:t>
  </x:si>
  <x:si>
    <x:t xml:space="preserve">5444</x:t>
  </x:si>
  <x:si>
    <x:t xml:space="preserve">https://www.smwcentral.net/?a=details&amp;id=5444&amp;p=section</x:t>
  </x:si>
  <x:si>
    <x:t xml:space="preserve">https://dl.smwcentral.net/5444/Super%20Mario%27s%20Legend%20%5BD1F%5D.zip</x:t>
  </x:si>
  <x:si>
    <x:t xml:space="preserve">Super Mario's New Adventure 2: The Villain's Revenge</x:t>
  </x:si>
  <x:si>
    <x:t xml:space="preserve">5183</x:t>
  </x:si>
  <x:si>
    <x:t xml:space="preserve">https://www.smwcentral.net/?a=details&amp;id=5183&amp;p=section</x:t>
  </x:si>
  <x:si>
    <x:t xml:space="preserve">https://dl.smwcentral.net/5183/SMA2%20Demo%201%23%20alpha%20version.zip</x:t>
  </x:si>
  <x:si>
    <x:t xml:space="preserve">Super Mario's New Adventure: The Plumber's Fury</x:t>
  </x:si>
  <x:si>
    <x:t xml:space="preserve">9839</x:t>
  </x:si>
  <x:si>
    <x:t xml:space="preserve">https://www.smwcentral.net/?a=details&amp;id=9839&amp;p=section</x:t>
  </x:si>
  <x:si>
    <x:t xml:space="preserve">https://dl.smwcentral.net/9839/SMATPF%20Final%20Version.zip</x:t>
  </x:si>
  <x:si>
    <x:t xml:space="preserve">Super Mario's Wacky Worlds SD</x:t>
  </x:si>
  <x:si>
    <x:t xml:space="preserve">figuiDOS</x:t>
  </x:si>
  <x:si>
    <x:t xml:space="preserve">41432</x:t>
  </x:si>
  <x:si>
    <x:t xml:space="preserve">https://www.smwcentral.net/?a=details&amp;id=41432&amp;p=section</x:t>
  </x:si>
  <x:si>
    <x:t xml:space="preserve">https://dl.smwcentral.net/41432/Super%20Mario%27s%20Wacky%20Worlds%20SD.zip</x:t>
  </x:si>
  <x:si>
    <x:t xml:space="preserve">Super Mario: A Familiar Land</x:t>
  </x:si>
  <x:si>
    <x:t xml:space="preserve">Kraken Pals v 2.0</x:t>
  </x:si>
  <x:si>
    <x:t xml:space="preserve">13498</x:t>
  </x:si>
  <x:si>
    <x:t xml:space="preserve">https://www.smwcentral.net/?a=details&amp;id=13498&amp;p=section</x:t>
  </x:si>
  <x:si>
    <x:t xml:space="preserve">https://dl.smwcentral.net/13498/Super%20Mario%20A%20Familiar%20Land.zip</x:t>
  </x:si>
  <x:si>
    <x:t xml:space="preserve">Super Mario: A New Beginning</x:t>
  </x:si>
  <x:si>
    <x:t xml:space="preserve">9900</x:t>
  </x:si>
  <x:si>
    <x:t xml:space="preserve">https://www.smwcentral.net/?a=details&amp;id=9900&amp;p=section</x:t>
  </x:si>
  <x:si>
    <x:t xml:space="preserve">https://dl.smwcentral.net/9900/SM-NB%20Demo%203.zip</x:t>
  </x:si>
  <x:si>
    <x:t xml:space="preserve">Super Mario: Bowser's Last Stand</x:t>
  </x:si>
  <x:si>
    <x:t xml:space="preserve">9640</x:t>
  </x:si>
  <x:si>
    <x:t xml:space="preserve">https://www.smwcentral.net/?a=details&amp;id=9640&amp;p=section</x:t>
  </x:si>
  <x:si>
    <x:t xml:space="preserve">https://dl.smwcentral.net/9640/SMBLS%20V2.0%20%28Final%20Final%20Fix%29.ips.zip</x:t>
  </x:si>
  <x:si>
    <x:t xml:space="preserve">Super Mario: Bowser's Shinedown</x:t>
  </x:si>
  <x:si>
    <x:t xml:space="preserve">DragonFire6780</x:t>
  </x:si>
  <x:si>
    <x:t xml:space="preserve">10111</x:t>
  </x:si>
  <x:si>
    <x:t xml:space="preserve">https://www.smwcentral.net/?a=details&amp;id=10111&amp;p=section</x:t>
  </x:si>
  <x:si>
    <x:t xml:space="preserve">https://dl.smwcentral.net/10111/SM%20-%20BS%20dehmoh.zip</x:t>
  </x:si>
  <x:si>
    <x:t xml:space="preserve">Super Mario: Buried Treasure</x:t>
  </x:si>
  <x:si>
    <x:t xml:space="preserve">CaseP</x:t>
  </x:si>
  <x:si>
    <x:t xml:space="preserve">5269</x:t>
  </x:si>
  <x:si>
    <x:t xml:space="preserve">https://www.smwcentral.net/?a=details&amp;id=5269&amp;p=section</x:t>
  </x:si>
  <x:si>
    <x:t xml:space="preserve">https://dl.smwcentral.net/5269/Buried%20Treasure.zip</x:t>
  </x:si>
  <x:si>
    <x:t xml:space="preserve">Super Mario: Christmas Season</x:t>
  </x:si>
  <x:si>
    <x:t xml:space="preserve">9994</x:t>
  </x:si>
  <x:si>
    <x:t xml:space="preserve">https://www.smwcentral.net/?a=details&amp;id=9994&amp;p=section</x:t>
  </x:si>
  <x:si>
    <x:t xml:space="preserve">https://dl.smwcentral.net/9994/Super%20Mario-%20Christmas%20Season.zip</x:t>
  </x:si>
  <x:si>
    <x:t xml:space="preserve">Super Mario: Daisy's Kidnapping</x:t>
  </x:si>
  <x:si>
    <x:t xml:space="preserve">20417</x:t>
  </x:si>
  <x:si>
    <x:t xml:space="preserve">https://www.smwcentral.net/?a=details&amp;id=20417&amp;p=section</x:t>
  </x:si>
  <x:si>
    <x:t xml:space="preserve">https://dl.smwcentral.net/20417/Super%20Mario%20-%20Daisy%27s%20Kidnapping%20%28C3%20July%202019%20Demo%29.zip</x:t>
  </x:si>
  <x:si>
    <x:t xml:space="preserve">Super Mario: Grand Journey</x:t>
  </x:si>
  <x:si>
    <x:t xml:space="preserve">14920</x:t>
  </x:si>
  <x:si>
    <x:t xml:space="preserve">https://www.smwcentral.net/?a=details&amp;id=14920&amp;p=section</x:t>
  </x:si>
  <x:si>
    <x:t xml:space="preserve">https://dl.smwcentral.net/14920/Super%20Mario%20-%20Grand%20Journey%20C3.zip</x:t>
  </x:si>
  <x:si>
    <x:t xml:space="preserve">Super Mario: Hunter's Revenge 2</x:t>
  </x:si>
  <x:si>
    <x:t xml:space="preserve">9747</x:t>
  </x:si>
  <x:si>
    <x:t xml:space="preserve">https://www.smwcentral.net/?a=details&amp;id=9747&amp;p=section</x:t>
  </x:si>
  <x:si>
    <x:t xml:space="preserve">https://dl.smwcentral.net/9747/DEMO1.zip</x:t>
  </x:si>
  <x:si>
    <x:t xml:space="preserve">Super Mario: Hunter's Revenge 3</x:t>
  </x:si>
  <x:si>
    <x:t xml:space="preserve">9820</x:t>
  </x:si>
  <x:si>
    <x:t xml:space="preserve">https://www.smwcentral.net/?a=details&amp;id=9820&amp;p=section</x:t>
  </x:si>
  <x:si>
    <x:t xml:space="preserve">https://dl.smwcentral.net/9820/HR3%20Legacy%20Hack%20Update.zip</x:t>
  </x:si>
  <x:si>
    <x:t xml:space="preserve">Super Mario: Mushroom Legacy</x:t>
  </x:si>
  <x:si>
    <x:t xml:space="preserve">blue leader</x:t>
  </x:si>
  <x:si>
    <x:t xml:space="preserve">10149</x:t>
  </x:si>
  <x:si>
    <x:t xml:space="preserve">https://www.smwcentral.net/?a=details&amp;id=10149&amp;p=section</x:t>
  </x:si>
  <x:si>
    <x:t xml:space="preserve">https://dl.smwcentral.net/10149/Super%20Mario-Mushroom%20Legacy%28Demo%201%29.zip</x:t>
  </x:si>
  <x:si>
    <x:t xml:space="preserve">Super Mario: Nozom Quest (Level Sampler)</x:t>
  </x:si>
  <x:si>
    <x:t xml:space="preserve">25657</x:t>
  </x:si>
  <x:si>
    <x:t xml:space="preserve">https://www.smwcentral.net/?a=details&amp;id=25657&amp;p=section</x:t>
  </x:si>
  <x:si>
    <x:t xml:space="preserve">https://dl.smwcentral.net/25657/Super%20Mario%20Nozom%20Quest%20%28Level%20Sampler%29.zip</x:t>
  </x:si>
  <x:si>
    <x:t xml:space="preserve">Super Mario: Oiram's Invasion</x:t>
  </x:si>
  <x:si>
    <x:t xml:space="preserve">6274</x:t>
  </x:si>
  <x:si>
    <x:t xml:space="preserve">https://www.smwcentral.net/?a=details&amp;id=6274&amp;p=section</x:t>
  </x:si>
  <x:si>
    <x:t xml:space="preserve">https://dl.smwcentral.net/6274/Oiram%27s%20Invasion.zip</x:t>
  </x:si>
  <x:si>
    <x:t xml:space="preserve">Super Mario: Other World</x:t>
  </x:si>
  <x:si>
    <x:t xml:space="preserve">Epic_Manky</x:t>
  </x:si>
  <x:si>
    <x:t xml:space="preserve">20487</x:t>
  </x:si>
  <x:si>
    <x:t xml:space="preserve">https://www.smwcentral.net/?a=details&amp;id=20487&amp;p=section</x:t>
  </x:si>
  <x:si>
    <x:t xml:space="preserve">https://dl.smwcentral.net/20487/Super%20Mario%20Other%20World%20%28Updated%20C3%20Summer%202019%20Demo%29.zip</x:t>
  </x:si>
  <x:si>
    <x:t xml:space="preserve">Super Mario: RamzaProject</x:t>
  </x:si>
  <x:si>
    <x:t xml:space="preserve">9728</x:t>
  </x:si>
  <x:si>
    <x:t xml:space="preserve">https://www.smwcentral.net/?a=details&amp;id=9728&amp;p=section</x:t>
  </x:si>
  <x:si>
    <x:t xml:space="preserve">https://dl.smwcentral.net/9728/demo001.zip</x:t>
  </x:si>
  <x:si>
    <x:t xml:space="preserve">Super Mario: Star Seeker</x:t>
  </x:si>
  <x:si>
    <x:t xml:space="preserve">25678</x:t>
  </x:si>
  <x:si>
    <x:t xml:space="preserve">https://www.smwcentral.net/?a=details&amp;id=25678&amp;p=section</x:t>
  </x:si>
  <x:si>
    <x:t xml:space="preserve">https://dl.smwcentral.net/25678/starseeker_c3.zip</x:t>
  </x:si>
  <x:si>
    <x:t xml:space="preserve">Super Mario: Summer Gone Wrong</x:t>
  </x:si>
  <x:si>
    <x:t xml:space="preserve">Koelkast</x:t>
  </x:si>
  <x:si>
    <x:t xml:space="preserve">9768</x:t>
  </x:si>
  <x:si>
    <x:t xml:space="preserve">https://www.smwcentral.net/?a=details&amp;id=9768&amp;p=section</x:t>
  </x:si>
  <x:si>
    <x:t xml:space="preserve">https://dl.smwcentral.net/9768/Summer%20Goes%20Wrong.zip</x:t>
  </x:si>
  <x:si>
    <x:t xml:space="preserve">Super Mario: The Cookie Crisis</x:t>
  </x:si>
  <x:si>
    <x:t xml:space="preserve">yoshicookiezeus</x:t>
  </x:si>
  <x:si>
    <x:t xml:space="preserve">5187</x:t>
  </x:si>
  <x:si>
    <x:t xml:space="preserve">https://www.smwcentral.net/?a=details&amp;id=5187&amp;p=section</x:t>
  </x:si>
  <x:si>
    <x:t xml:space="preserve">https://dl.smwcentral.net/5187/Super%20Mario%20-The%20Cookie%20Crisis%20v0.53.zip</x:t>
  </x:si>
  <x:si>
    <x:t xml:space="preserve">Super Mario: The Egg Rescue</x:t>
  </x:si>
  <x:si>
    <x:t xml:space="preserve">Samuka97</x:t>
  </x:si>
  <x:si>
    <x:t xml:space="preserve">10017</x:t>
  </x:si>
  <x:si>
    <x:t xml:space="preserve">https://www.smwcentral.net/?a=details&amp;id=10017&amp;p=section</x:t>
  </x:si>
  <x:si>
    <x:t xml:space="preserve">https://dl.smwcentral.net/10017/Egg_Rescue_V1.2.zip</x:t>
  </x:si>
  <x:si>
    <x:t xml:space="preserve">Super Mario: The Evil Coalition</x:t>
  </x:si>
  <x:si>
    <x:t xml:space="preserve">9805</x:t>
  </x:si>
  <x:si>
    <x:t xml:space="preserve">https://www.smwcentral.net/?a=details&amp;id=9805&amp;p=section</x:t>
  </x:si>
  <x:si>
    <x:t xml:space="preserve">https://dl.smwcentral.net/9805/SMTEC%20Demo%20One%20Final%20Fix.zip</x:t>
  </x:si>
  <x:si>
    <x:t xml:space="preserve">Super Mario: The Five Castles Challenge</x:t>
  </x:si>
  <x:si>
    <x:t xml:space="preserve">26778</x:t>
  </x:si>
  <x:si>
    <x:t xml:space="preserve">https://www.smwcentral.net/?a=details&amp;id=26778&amp;p=section</x:t>
  </x:si>
  <x:si>
    <x:t xml:space="preserve">https://dl.smwcentral.net/26778/The%20Five%20Castle%27s%20Challenge.zip</x:t>
  </x:si>
  <x:si>
    <x:t xml:space="preserve">Super Mario: The Friends' Rescue</x:t>
  </x:si>
  <x:si>
    <x:t xml:space="preserve">24582</x:t>
  </x:si>
  <x:si>
    <x:t xml:space="preserve">https://www.smwcentral.net/?a=details&amp;id=24582&amp;p=section</x:t>
  </x:si>
  <x:si>
    <x:t xml:space="preserve">https://dl.smwcentral.net/24582/Super%20Mario%20The%20Friends%27%20Rescue.zip</x:t>
  </x:si>
  <x:si>
    <x:t xml:space="preserve">Super Mario: The Infection</x:t>
  </x:si>
  <x:si>
    <x:t xml:space="preserve">Shadow Duplicate D</x:t>
  </x:si>
  <x:si>
    <x:t xml:space="preserve">9760</x:t>
  </x:si>
  <x:si>
    <x:t xml:space="preserve">https://www.smwcentral.net/?a=details&amp;id=9760&amp;p=section</x:t>
  </x:si>
  <x:si>
    <x:t xml:space="preserve">https://dl.smwcentral.net/9760/SMTI%200.1E.zip</x:t>
  </x:si>
  <x:si>
    <x:t xml:space="preserve">Super Mario: The Quest for Breakfast</x:t>
  </x:si>
  <x:si>
    <x:t xml:space="preserve">42645</x:t>
  </x:si>
  <x:si>
    <x:t xml:space="preserve">https://www.smwcentral.net/?a=details&amp;id=42645&amp;p=section</x:t>
  </x:si>
  <x:si>
    <x:t xml:space="preserve">https://dl.smwcentral.net/42645/SMTQFB_v1.3.zip</x:t>
  </x:si>
  <x:si>
    <x:t xml:space="preserve">Super Mario: Toadworth's Disappearance</x:t>
  </x:si>
  <x:si>
    <x:t xml:space="preserve">9797</x:t>
  </x:si>
  <x:si>
    <x:t xml:space="preserve">https://www.smwcentral.net/?a=details&amp;id=9797&amp;p=section</x:t>
  </x:si>
  <x:si>
    <x:t xml:space="preserve">https://dl.smwcentral.net/9797/Toadworth%27s%20Disappearance%20V.1.2.zip</x:t>
  </x:si>
  <x:si>
    <x:t xml:space="preserve">Super Mario: Ucronia</x:t>
  </x:si>
  <x:si>
    <x:t xml:space="preserve">9954</x:t>
  </x:si>
  <x:si>
    <x:t xml:space="preserve">https://www.smwcentral.net/?a=details&amp;id=9954&amp;p=section</x:t>
  </x:si>
  <x:si>
    <x:t xml:space="preserve">https://dl.smwcentral.net/9954/Uchronia.zip</x:t>
  </x:si>
  <x:si>
    <x:t xml:space="preserve">Super Mario: Universos Paralelos</x:t>
  </x:si>
  <x:si>
    <x:t xml:space="preserve">carlos-182</x:t>
  </x:si>
  <x:si>
    <x:t xml:space="preserve">9756</x:t>
  </x:si>
  <x:si>
    <x:t xml:space="preserve">https://www.smwcentral.net/?a=details&amp;id=9756&amp;p=section</x:t>
  </x:si>
  <x:si>
    <x:t xml:space="preserve">https://dl.smwcentral.net/9756/SMUPDemo.zip</x:t>
  </x:si>
  <x:si>
    <x:t xml:space="preserve">Super Marisa Adventure World</x:t>
  </x:si>
  <x:si>
    <x:t xml:space="preserve">Shiki_Makiro</x:t>
  </x:si>
  <x:si>
    <x:t xml:space="preserve">31968</x:t>
  </x:si>
  <x:si>
    <x:t xml:space="preserve">https://www.smwcentral.net/?a=details&amp;id=31968&amp;p=section</x:t>
  </x:si>
  <x:si>
    <x:t xml:space="preserve">https://dl.smwcentral.net/31968/SMAW%20non%20SA-1%20v1.10a%20For%20SMWC%201%20Player.zip</x:t>
  </x:si>
  <x:si>
    <x:t xml:space="preserve">Super Marisa Adventure World 2 - Mari Mari Back Forward Around</x:t>
  </x:si>
  <x:si>
    <x:t xml:space="preserve">38329</x:t>
  </x:si>
  <x:si>
    <x:t xml:space="preserve">https://www.smwcentral.net/?a=details&amp;id=38329&amp;p=section</x:t>
  </x:si>
  <x:si>
    <x:t xml:space="preserve">https://dl.smwcentral.net/38329/SMAW2%20-%20Mari%20Mari%20Back%20Forward%20Around%20%28ver.%201.04d%29.zip</x:t>
  </x:si>
  <x:si>
    <x:t xml:space="preserve">Super Mawaru World</x:t>
  </x:si>
  <x:si>
    <x:t xml:space="preserve">38515</x:t>
  </x:si>
  <x:si>
    <x:t xml:space="preserve">https://www.smwcentral.net/?a=details&amp;id=38515&amp;p=section</x:t>
  </x:si>
  <x:si>
    <x:t xml:space="preserve">https://dl.smwcentral.net/38515/SuperMawaruWorld.zip</x:t>
  </x:si>
  <x:si>
    <x:t xml:space="preserve">Super Melas World</x:t>
  </x:si>
  <x:si>
    <x:t xml:space="preserve">SmoothySmooth</x:t>
  </x:si>
  <x:si>
    <x:t xml:space="preserve">23467</x:t>
  </x:si>
  <x:si>
    <x:t xml:space="preserve">https://www.smwcentral.net/?a=details&amp;id=23467&amp;p=section</x:t>
  </x:si>
  <x:si>
    <x:t xml:space="preserve">https://dl.smwcentral.net/23467/Super%20Melas%20World%20v2.4.zip</x:t>
  </x:si>
  <x:si>
    <x:t xml:space="preserve">Super Mez World</x:t>
  </x:si>
  <x:si>
    <x:t xml:space="preserve">ImCos</x:t>
  </x:si>
  <x:si>
    <x:t xml:space="preserve">24654</x:t>
  </x:si>
  <x:si>
    <x:t xml:space="preserve">https://www.smwcentral.net/?a=details&amp;id=24654&amp;p=section</x:t>
  </x:si>
  <x:si>
    <x:t xml:space="preserve">https://dl.smwcentral.net/24654/Super%20Mez%20World.zip</x:t>
  </x:si>
  <x:si>
    <x:t xml:space="preserve">Super Mio World</x:t>
  </x:si>
  <x:si>
    <x:t xml:space="preserve">mio</x:t>
  </x:si>
  <x:si>
    <x:t xml:space="preserve">25332</x:t>
  </x:si>
  <x:si>
    <x:t xml:space="preserve">https://www.smwcentral.net/?a=details&amp;id=25332&amp;p=section</x:t>
  </x:si>
  <x:si>
    <x:t xml:space="preserve">https://dl.smwcentral.net/25332/super_mio_world.zip</x:t>
  </x:si>
  <x:si>
    <x:t xml:space="preserve">Super Mirror Dimension</x:t>
  </x:si>
  <x:si>
    <x:t xml:space="preserve">AIM-pine</x:t>
  </x:si>
  <x:si>
    <x:t xml:space="preserve">40080</x:t>
  </x:si>
  <x:si>
    <x:t xml:space="preserve">https://www.smwcentral.net/?a=details&amp;id=40080&amp;p=section</x:t>
  </x:si>
  <x:si>
    <x:t xml:space="preserve">https://dl.smwcentral.net/40080/Super%20Mirror%20Dimension%201.2.zip</x:t>
  </x:si>
  <x:si>
    <x:t xml:space="preserve">Super Mish World</x:t>
  </x:si>
  <x:si>
    <x:t xml:space="preserve">mish1</x:t>
  </x:si>
  <x:si>
    <x:t xml:space="preserve">25596</x:t>
  </x:si>
  <x:si>
    <x:t xml:space="preserve">https://www.smwcentral.net/?a=details&amp;id=25596&amp;p=section</x:t>
  </x:si>
  <x:si>
    <x:t xml:space="preserve">https://dl.smwcentral.net/25596/MishDemo.zip</x:t>
  </x:si>
  <x:si>
    <x:t xml:space="preserve">Super Mona World</x:t>
  </x:si>
  <x:si>
    <x:t xml:space="preserve">27220</x:t>
  </x:si>
  <x:si>
    <x:t xml:space="preserve">https://www.smwcentral.net/?a=details&amp;id=27220&amp;p=section</x:t>
  </x:si>
  <x:si>
    <x:t xml:space="preserve">https://dl.smwcentral.net/27220/Super%20Mona%20World%201.5.zip</x:t>
  </x:si>
  <x:si>
    <x:t xml:space="preserve">Super Monty World</x:t>
  </x:si>
  <x:si>
    <x:t xml:space="preserve">00frank</x:t>
  </x:si>
  <x:si>
    <x:t xml:space="preserve">36887</x:t>
  </x:si>
  <x:si>
    <x:t xml:space="preserve">https://www.smwcentral.net/?a=details&amp;id=36887&amp;p=section</x:t>
  </x:si>
  <x:si>
    <x:t xml:space="preserve">https://dl.smwcentral.net/36887/Super%20Monty%20World%20v1.2.zip</x:t>
  </x:si>
  <x:si>
    <x:t xml:space="preserve">Super Moo World</x:t>
  </x:si>
  <x:si>
    <x:t xml:space="preserve">Jenboo</x:t>
  </x:si>
  <x:si>
    <x:t xml:space="preserve">23075</x:t>
  </x:si>
  <x:si>
    <x:t xml:space="preserve">https://www.smwcentral.net/?a=details&amp;id=23075&amp;p=section</x:t>
  </x:si>
  <x:si>
    <x:t xml:space="preserve">https://dl.smwcentral.net/23075/SuperMooWorld.zip</x:t>
  </x:si>
  <x:si>
    <x:t xml:space="preserve">Super Muncher Slopes</x:t>
  </x:si>
  <x:si>
    <x:t xml:space="preserve">tOaO</x:t>
  </x:si>
  <x:si>
    <x:t xml:space="preserve">37625</x:t>
  </x:si>
  <x:si>
    <x:t xml:space="preserve">https://www.smwcentral.net/?a=details&amp;id=37625&amp;p=section</x:t>
  </x:si>
  <x:si>
    <x:t xml:space="preserve">https://dl.smwcentral.net/37625/super-muncher-slopes.zip</x:t>
  </x:si>
  <x:si>
    <x:t xml:space="preserve">Super Mushroom Planet</x:t>
  </x:si>
  <x:si>
    <x:t xml:space="preserve">wrathofblade</x:t>
  </x:si>
  <x:si>
    <x:t xml:space="preserve">9905</x:t>
  </x:si>
  <x:si>
    <x:t xml:space="preserve">https://www.smwcentral.net/?a=details&amp;id=9905&amp;p=section</x:t>
  </x:si>
  <x:si>
    <x:t xml:space="preserve">https://dl.smwcentral.net/9905/SuperMushPlanet_demo1.zip</x:t>
  </x:si>
  <x:si>
    <x:t xml:space="preserve">Super N3TS Kaizo World 1</x:t>
  </x:si>
  <x:si>
    <x:t xml:space="preserve">41290</x:t>
  </x:si>
  <x:si>
    <x:t xml:space="preserve">https://www.smwcentral.net/?a=details&amp;id=41290&amp;p=section</x:t>
  </x:si>
  <x:si>
    <x:t xml:space="preserve">https://dl.smwcentral.net/41290/NETS%20WORLD%201%20%28%20REMAKE%20%29.zip</x:t>
  </x:si>
  <x:si>
    <x:t xml:space="preserve">Super N3TS Kaizo World 2</x:t>
  </x:si>
  <x:si>
    <x:t xml:space="preserve">40837</x:t>
  </x:si>
  <x:si>
    <x:t xml:space="preserve">https://www.smwcentral.net/?a=details&amp;id=40837&amp;p=section</x:t>
  </x:si>
  <x:si>
    <x:t xml:space="preserve">https://dl.smwcentral.net/40837/SUPER%20NETS%20KAIZO%20WORLD%202.zip</x:t>
  </x:si>
  <x:si>
    <x:t xml:space="preserve">Super N3TS Kaizo World 3 ( Revenge Of The Lost Shells )</x:t>
  </x:si>
  <x:si>
    <x:t xml:space="preserve">41228</x:t>
  </x:si>
  <x:si>
    <x:t xml:space="preserve">https://www.smwcentral.net/?a=details&amp;id=41228&amp;p=section</x:t>
  </x:si>
  <x:si>
    <x:t xml:space="preserve">https://dl.smwcentral.net/41228/NETS%203.zip</x:t>
  </x:si>
  <x:si>
    <x:t xml:space="preserve">Super N450 World</x:t>
  </x:si>
  <x:si>
    <x:t xml:space="preserve">N450</x:t>
  </x:si>
  <x:si>
    <x:t xml:space="preserve">25559</x:t>
  </x:si>
  <x:si>
    <x:t xml:space="preserve">https://www.smwcentral.net/?a=details&amp;id=25559&amp;p=section</x:t>
  </x:si>
  <x:si>
    <x:t xml:space="preserve">https://dl.smwcentral.net/25559/Super%20N450%20World%20Demo%201.1.zip</x:t>
  </x:si>
  <x:si>
    <x:t xml:space="preserve">Super Nambona World</x:t>
  </x:si>
  <x:si>
    <x:t xml:space="preserve">nambona890</x:t>
  </x:si>
  <x:si>
    <x:t xml:space="preserve">14096</x:t>
  </x:si>
  <x:si>
    <x:t xml:space="preserve">https://www.smwcentral.net/?a=details&amp;id=14096&amp;p=section</x:t>
  </x:si>
  <x:si>
    <x:t xml:space="preserve">https://dl.smwcentral.net/14096/Super%20Nambona%20World%201%20Level%20Demo.zip</x:t>
  </x:si>
  <x:si>
    <x:t xml:space="preserve">Super Nana World</x:t>
  </x:si>
  <x:si>
    <x:t xml:space="preserve">39725</x:t>
  </x:si>
  <x:si>
    <x:t xml:space="preserve">https://www.smwcentral.net/?a=details&amp;id=39725&amp;p=section</x:t>
  </x:si>
  <x:si>
    <x:t xml:space="preserve">https://dl.smwcentral.net/39725/SuperNanaWorld.zip</x:t>
  </x:si>
  <x:si>
    <x:t xml:space="preserve">Super Nantucket World</x:t>
  </x:si>
  <x:si>
    <x:t xml:space="preserve">fome82</x:t>
  </x:si>
  <x:si>
    <x:t xml:space="preserve">29058</x:t>
  </x:si>
  <x:si>
    <x:t xml:space="preserve">https://www.smwcentral.net/?a=details&amp;id=29058&amp;p=section</x:t>
  </x:si>
  <x:si>
    <x:t xml:space="preserve">https://dl.smwcentral.net/29058/SuperNantucketWorld_011.zip</x:t>
  </x:si>
  <x:si>
    <x:t xml:space="preserve">Super Napu World</x:t>
  </x:si>
  <x:si>
    <x:t xml:space="preserve">MrNapkino</x:t>
  </x:si>
  <x:si>
    <x:t xml:space="preserve">39689</x:t>
  </x:si>
  <x:si>
    <x:t xml:space="preserve">https://www.smwcentral.net/?a=details&amp;id=39689&amp;p=section</x:t>
  </x:si>
  <x:si>
    <x:t xml:space="preserve">https://dl.smwcentral.net/39689/NapuWorldV1.1.zip</x:t>
  </x:si>
  <x:si>
    <x:t xml:space="preserve">Super Nario World</x:t>
  </x:si>
  <x:si>
    <x:t xml:space="preserve">Nario31415</x:t>
  </x:si>
  <x:si>
    <x:t xml:space="preserve">38086</x:t>
  </x:si>
  <x:si>
    <x:t xml:space="preserve">https://www.smwcentral.net/?a=details&amp;id=38086&amp;p=section</x:t>
  </x:si>
  <x:si>
    <x:t xml:space="preserve">https://dl.smwcentral.net/38086/Super%20Nario%20World%28v1.1%29.zip</x:t>
  </x:si>
  <x:si>
    <x:t xml:space="preserve">Super NemMeViu World</x:t>
  </x:si>
  <x:si>
    <x:t xml:space="preserve">P1JDS, TheMURAmatsu</x:t>
  </x:si>
  <x:si>
    <x:t xml:space="preserve">28977</x:t>
  </x:si>
  <x:si>
    <x:t xml:space="preserve">https://www.smwcentral.net/?a=details&amp;id=28977&amp;p=section</x:t>
  </x:si>
  <x:si>
    <x:t xml:space="preserve">https://dl.smwcentral.net/28977/Super%20NemMeViu%20World%201.1.zip</x:t>
  </x:si>
  <x:si>
    <x:t xml:space="preserve">Super NemMeViu World 2</x:t>
  </x:si>
  <x:si>
    <x:t xml:space="preserve">31128</x:t>
  </x:si>
  <x:si>
    <x:t xml:space="preserve">https://www.smwcentral.net/?a=details&amp;id=31128&amp;p=section</x:t>
  </x:si>
  <x:si>
    <x:t xml:space="preserve">https://dl.smwcentral.net/31128/_Super%20NemMeViu%20World%202%20%28V.1.2%29.zip</x:t>
  </x:si>
  <x:si>
    <x:t xml:space="preserve">Super Nessy World</x:t>
  </x:si>
  <x:si>
    <x:t xml:space="preserve">paper ness</x:t>
  </x:si>
  <x:si>
    <x:t xml:space="preserve">31577</x:t>
  </x:si>
  <x:si>
    <x:t xml:space="preserve">https://www.smwcentral.net/?a=details&amp;id=31577&amp;p=section</x:t>
  </x:si>
  <x:si>
    <x:t xml:space="preserve">https://dl.smwcentral.net/31577/Super%20Nessy%20World.zip</x:t>
  </x:si>
  <x:si>
    <x:t xml:space="preserve">Super Nessy World 2</x:t>
  </x:si>
  <x:si>
    <x:t xml:space="preserve">34369</x:t>
  </x:si>
  <x:si>
    <x:t xml:space="preserve">https://www.smwcentral.net/?a=details&amp;id=34369&amp;p=section</x:t>
  </x:si>
  <x:si>
    <x:t xml:space="preserve">https://dl.smwcentral.net/34369/Super%20Nessy%20World%202.zip</x:t>
  </x:si>
  <x:si>
    <x:t xml:space="preserve">Super Ninji Land</x:t>
  </x:si>
  <x:si>
    <x:t xml:space="preserve">23434</x:t>
  </x:si>
  <x:si>
    <x:t xml:space="preserve">https://www.smwcentral.net/?a=details&amp;id=23434&amp;p=section</x:t>
  </x:si>
  <x:si>
    <x:t xml:space="preserve">https://dl.smwcentral.net/23434/SuperNinjiLand1.1.zip</x:t>
  </x:si>
  <x:si>
    <x:t xml:space="preserve">Super Ninji Land 2: A Ninji's Journey</x:t>
  </x:si>
  <x:si>
    <x:t xml:space="preserve">27137</x:t>
  </x:si>
  <x:si>
    <x:t xml:space="preserve">https://www.smwcentral.net/?a=details&amp;id=27137&amp;p=section</x:t>
  </x:si>
  <x:si>
    <x:t xml:space="preserve">https://dl.smwcentral.net/27137/SuperNinjiLand%20-%20V%201.2%20.zip</x:t>
  </x:si>
  <x:si>
    <x:t xml:space="preserve">Super Ninji Land Reawakened</x:t>
  </x:si>
  <x:si>
    <x:t xml:space="preserve">40217</x:t>
  </x:si>
  <x:si>
    <x:t xml:space="preserve">https://www.smwcentral.net/?a=details&amp;id=40217&amp;p=section</x:t>
  </x:si>
  <x:si>
    <x:t xml:space="preserve">https://dl.smwcentral.net/40217/SuperNinjiLandReawakened%20V1.1.zip</x:t>
  </x:si>
  <x:si>
    <x:t xml:space="preserve">Super Normal World</x:t>
  </x:si>
  <x:si>
    <x:t xml:space="preserve">IceFreaki</x:t>
  </x:si>
  <x:si>
    <x:t xml:space="preserve">9882</x:t>
  </x:si>
  <x:si>
    <x:t xml:space="preserve">https://www.smwcentral.net/?a=details&amp;id=9882&amp;p=section</x:t>
  </x:si>
  <x:si>
    <x:t xml:space="preserve">https://dl.smwcentral.net/9882/super%20normal%20world.zip</x:t>
  </x:si>
  <x:si>
    <x:t xml:space="preserve">Super Nostalgia World</x:t>
  </x:si>
  <x:si>
    <x:t xml:space="preserve">6965</x:t>
  </x:si>
  <x:si>
    <x:t xml:space="preserve">https://www.smwcentral.net/?a=details&amp;id=6965&amp;p=section</x:t>
  </x:si>
  <x:si>
    <x:t xml:space="preserve">https://dl.smwcentral.net/6965/SNW%20c3%20DEMO%201.zip</x:t>
  </x:si>
  <x:si>
    <x:t xml:space="preserve">29680</x:t>
  </x:si>
  <x:si>
    <x:t xml:space="preserve">https://www.smwcentral.net/?a=details&amp;id=29680&amp;p=section</x:t>
  </x:si>
  <x:si>
    <x:t xml:space="preserve">https://dl.smwcentral.net/29680/SuperNothingWorld1_2.zip</x:t>
  </x:si>
  <x:si>
    <x:t xml:space="preserve">Super Nova</x:t>
  </x:si>
  <x:si>
    <x:t xml:space="preserve">24397</x:t>
  </x:si>
  <x:si>
    <x:t xml:space="preserve">https://www.smwcentral.net/?a=details&amp;id=24397&amp;p=section</x:t>
  </x:si>
  <x:si>
    <x:t xml:space="preserve">https://dl.smwcentral.net/24397/Super%20Nova%201.21.zip</x:t>
  </x:si>
  <x:si>
    <x:t xml:space="preserve">Super Nova Deluxe</x:t>
  </x:si>
  <x:si>
    <x:t xml:space="preserve">24704</x:t>
  </x:si>
  <x:si>
    <x:t xml:space="preserve">https://www.smwcentral.net/?a=details&amp;id=24704&amp;p=section</x:t>
  </x:si>
  <x:si>
    <x:t xml:space="preserve">https://dl.smwcentral.net/24704/Super%20Nova%20Deluxe.zip</x:t>
  </x:si>
  <x:si>
    <x:t xml:space="preserve">Super Nova World</x:t>
  </x:si>
  <x:si>
    <x:t xml:space="preserve">28782</x:t>
  </x:si>
  <x:si>
    <x:t xml:space="preserve">https://www.smwcentral.net/?a=details&amp;id=28782&amp;p=section</x:t>
  </x:si>
  <x:si>
    <x:t xml:space="preserve">https://dl.smwcentral.net/28782/Super%20Nova%20World%201.1.zip</x:t>
  </x:si>
  <x:si>
    <x:t xml:space="preserve">Super Odd World</x:t>
  </x:si>
  <x:si>
    <x:t xml:space="preserve">Arobam</x:t>
  </x:si>
  <x:si>
    <x:t xml:space="preserve">30237</x:t>
  </x:si>
  <x:si>
    <x:t xml:space="preserve">https://www.smwcentral.net/?a=details&amp;id=30237&amp;p=section</x:t>
  </x:si>
  <x:si>
    <x:t xml:space="preserve">https://dl.smwcentral.net/30237/Super%20Odd%20World.zip</x:t>
  </x:si>
  <x:si>
    <x:t xml:space="preserve">Super Odd World 2</x:t>
  </x:si>
  <x:si>
    <x:t xml:space="preserve">9879</x:t>
  </x:si>
  <x:si>
    <x:t xml:space="preserve">https://www.smwcentral.net/?a=details&amp;id=9879&amp;p=section</x:t>
  </x:si>
  <x:si>
    <x:t xml:space="preserve">https://dl.smwcentral.net/9879/Super%20Odd%20World%202.zip</x:t>
  </x:si>
  <x:si>
    <x:t xml:space="preserve">Super Omelette World</x:t>
  </x:si>
  <x:si>
    <x:t xml:space="preserve">Whoamme</x:t>
  </x:si>
  <x:si>
    <x:t xml:space="preserve">10045</x:t>
  </x:si>
  <x:si>
    <x:t xml:space="preserve">https://www.smwcentral.net/?a=details&amp;id=10045&amp;p=section</x:t>
  </x:si>
  <x:si>
    <x:t xml:space="preserve">https://dl.smwcentral.net/10045/Super%20Omelette%20World.zip</x:t>
  </x:si>
  <x:si>
    <x:t xml:space="preserve">Super One Point Oh</x:t>
  </x:si>
  <x:si>
    <x:t xml:space="preserve">22591</x:t>
  </x:si>
  <x:si>
    <x:t xml:space="preserve">https://www.smwcentral.net/?a=details&amp;id=22591&amp;p=section</x:t>
  </x:si>
  <x:si>
    <x:t xml:space="preserve">https://dl.smwcentral.net/22591/SuperOnePointOh.zip</x:t>
  </x:si>
  <x:si>
    <x:t xml:space="preserve">Super Only Up with Fennet Boddy's Jump Prince</x:t>
  </x:si>
  <x:si>
    <x:t xml:space="preserve">34768</x:t>
  </x:si>
  <x:si>
    <x:t xml:space="preserve">https://www.smwcentral.net/?a=details&amp;id=34768&amp;p=section</x:t>
  </x:si>
  <x:si>
    <x:t xml:space="preserve">https://dl.smwcentral.net/34768/Super%20Maybe%20Upwards.zip</x:t>
  </x:si>
  <x:si>
    <x:t xml:space="preserve">Super Ordinary World</x:t>
  </x:si>
  <x:si>
    <x:t xml:space="preserve">41828</x:t>
  </x:si>
  <x:si>
    <x:t xml:space="preserve">https://www.smwcentral.net/?a=details&amp;id=41828&amp;p=section</x:t>
  </x:si>
  <x:si>
    <x:t xml:space="preserve">https://dl.smwcentral.net/41828/Super%20Ordinary%20World.zip</x:t>
  </x:si>
  <x:si>
    <x:t xml:space="preserve">Super Oreetv World</x:t>
  </x:si>
  <x:si>
    <x:t xml:space="preserve">40758</x:t>
  </x:si>
  <x:si>
    <x:t xml:space="preserve">https://www.smwcentral.net/?a=details&amp;id=40758&amp;p=section</x:t>
  </x:si>
  <x:si>
    <x:t xml:space="preserve">https://dl.smwcentral.net/40758/Super%20Oreetv%20World.zip</x:t>
  </x:si>
  <x:si>
    <x:t xml:space="preserve">Super Panga World</x:t>
  </x:si>
  <x:si>
    <x:t xml:space="preserve">Linkdeadx2</x:t>
  </x:si>
  <x:si>
    <x:t xml:space="preserve">15561</x:t>
  </x:si>
  <x:si>
    <x:t xml:space="preserve">https://www.smwcentral.net/?a=details&amp;id=15561&amp;p=section</x:t>
  </x:si>
  <x:si>
    <x:t xml:space="preserve">https://dl.smwcentral.net/15561/Super%20Panga%20World%20v1.2.zip</x:t>
  </x:si>
  <x:si>
    <x:t xml:space="preserve">Super Paper Luigi</x:t>
  </x:si>
  <x:si>
    <x:t xml:space="preserve">9771</x:t>
  </x:si>
  <x:si>
    <x:t xml:space="preserve">https://www.smwcentral.net/?a=details&amp;id=9771&amp;p=section</x:t>
  </x:si>
  <x:si>
    <x:t xml:space="preserve">https://dl.smwcentral.net/9771/Paper%20Luigi.zip</x:t>
  </x:si>
  <x:si>
    <x:t xml:space="preserve">Super pcclub88 World</x:t>
  </x:si>
  <x:si>
    <x:t xml:space="preserve">39546</x:t>
  </x:si>
  <x:si>
    <x:t xml:space="preserve">https://www.smwcentral.net/?a=details&amp;id=39546&amp;p=section</x:t>
  </x:si>
  <x:si>
    <x:t xml:space="preserve">https://dl.smwcentral.net/39546/Super%20pcclub88%20World.zip</x:t>
  </x:si>
  <x:si>
    <x:t xml:space="preserve">Super pcclub88 World II: The Return of the Fog</x:t>
  </x:si>
  <x:si>
    <x:t xml:space="preserve">40175</x:t>
  </x:si>
  <x:si>
    <x:t xml:space="preserve">https://www.smwcentral.net/?a=details&amp;id=40175&amp;p=section</x:t>
  </x:si>
  <x:si>
    <x:t xml:space="preserve">https://dl.smwcentral.net/40175/Super_pcclub88_World_II_.zip</x:t>
  </x:si>
  <x:si>
    <x:t xml:space="preserve">Super Peach World</x:t>
  </x:si>
  <x:si>
    <x:t xml:space="preserve">25501</x:t>
  </x:si>
  <x:si>
    <x:t xml:space="preserve">https://www.smwcentral.net/?a=details&amp;id=25501&amp;p=section</x:t>
  </x:si>
  <x:si>
    <x:t xml:space="preserve">https://dl.smwcentral.net/25501/Super%20Peach%20World.zip</x:t>
  </x:si>
  <x:si>
    <x:t xml:space="preserve">Super Peggy World</x:t>
  </x:si>
  <x:si>
    <x:t xml:space="preserve">smasken</x:t>
  </x:si>
  <x:si>
    <x:t xml:space="preserve">19565</x:t>
  </x:si>
  <x:si>
    <x:t xml:space="preserve">https://www.smwcentral.net/?a=details&amp;id=19565&amp;p=section</x:t>
  </x:si>
  <x:si>
    <x:t xml:space="preserve">https://dl.smwcentral.net/19565/SuperPeggyWorld1.4.zip</x:t>
  </x:si>
  <x:si>
    <x:t xml:space="preserve">Super Penny World</x:t>
  </x:si>
  <x:si>
    <x:t xml:space="preserve">27712</x:t>
  </x:si>
  <x:si>
    <x:t xml:space="preserve">https://www.smwcentral.net/?a=details&amp;id=27712&amp;p=section</x:t>
  </x:si>
  <x:si>
    <x:t xml:space="preserve">https://dl.smwcentral.net/27712/Super%20Penny%20World%20v1.0.zip</x:t>
  </x:si>
  <x:si>
    <x:t xml:space="preserve">Super Pika Land Ultra: Chocolate Version</x:t>
  </x:si>
  <x:si>
    <x:t xml:space="preserve">6351</x:t>
  </x:si>
  <x:si>
    <x:t xml:space="preserve">https://www.smwcentral.net/?a=details&amp;id=6351&amp;p=section</x:t>
  </x:si>
  <x:si>
    <x:t xml:space="preserve">https://dl.smwcentral.net/6351/SpluC_FINAL4.3.zip</x:t>
  </x:si>
  <x:si>
    <x:t xml:space="preserve">Super Pika Land Ultra: Vanilla Version</x:t>
  </x:si>
  <x:si>
    <x:t xml:space="preserve">5494</x:t>
  </x:si>
  <x:si>
    <x:t xml:space="preserve">https://www.smwcentral.net/?a=details&amp;id=5494&amp;p=section</x:t>
  </x:si>
  <x:si>
    <x:t xml:space="preserve">https://dl.smwcentral.net/5494/SPLU%20patch.zip</x:t>
  </x:si>
  <x:si>
    <x:t xml:space="preserve">Super PKlepek World</x:t>
  </x:si>
  <x:si>
    <x:t xml:space="preserve">akkanben</x:t>
  </x:si>
  <x:si>
    <x:t xml:space="preserve">22794</x:t>
  </x:si>
  <x:si>
    <x:t xml:space="preserve">https://www.smwcentral.net/?a=details&amp;id=22794&amp;p=section</x:t>
  </x:si>
  <x:si>
    <x:t xml:space="preserve">https://dl.smwcentral.net/22794/Super%20PKlepek%20World.zip</x:t>
  </x:si>
  <x:si>
    <x:t xml:space="preserve">super place land!</x:t>
  </x:si>
  <x:si>
    <x:t xml:space="preserve">mufbin</x:t>
  </x:si>
  <x:si>
    <x:t xml:space="preserve">17292</x:t>
  </x:si>
  <x:si>
    <x:t xml:space="preserve">https://www.smwcentral.net/?a=details&amp;id=17292&amp;p=section</x:t>
  </x:si>
  <x:si>
    <x:t xml:space="preserve">https://dl.smwcentral.net/17292/super%20place%20land%21.zip</x:t>
  </x:si>
  <x:si>
    <x:t xml:space="preserve">Super Plinko World</x:t>
  </x:si>
  <x:si>
    <x:t xml:space="preserve">AmperSam, Various Authors</x:t>
  </x:si>
  <x:si>
    <x:t xml:space="preserve">40658</x:t>
  </x:si>
  <x:si>
    <x:t xml:space="preserve">https://www.smwcentral.net/?a=details&amp;id=40658&amp;p=section</x:t>
  </x:si>
  <x:si>
    <x:t xml:space="preserve">https://dl.smwcentral.net/40658/fish_plinko-1.5.zip</x:t>
  </x:si>
  <x:si>
    <x:t xml:space="preserve">Super Plumber Mario World</x:t>
  </x:si>
  <x:si>
    <x:t xml:space="preserve">9780</x:t>
  </x:si>
  <x:si>
    <x:t xml:space="preserve">https://www.smwcentral.net/?a=details&amp;id=9780&amp;p=section</x:t>
  </x:si>
  <x:si>
    <x:t xml:space="preserve">https://dl.smwcentral.net/9780/Super%20Plumber%20Mario%20World%201%20%28Demo%201%29.zip</x:t>
  </x:si>
  <x:si>
    <x:t xml:space="preserve">Super Practice World</x:t>
  </x:si>
  <x:si>
    <x:t xml:space="preserve">djEnby</x:t>
  </x:si>
  <x:si>
    <x:t xml:space="preserve">34158</x:t>
  </x:si>
  <x:si>
    <x:t xml:space="preserve">https://www.smwcentral.net/?a=details&amp;id=34158&amp;p=section</x:t>
  </x:si>
  <x:si>
    <x:t xml:space="preserve">https://dl.smwcentral.net/34158/Super%20Practice%20World.zip</x:t>
  </x:si>
  <x:si>
    <x:t xml:space="preserve">Super Puzzle Land 2 - Remastered</x:t>
  </x:si>
  <x:si>
    <x:t xml:space="preserve">natnew</x:t>
  </x:si>
  <x:si>
    <x:t xml:space="preserve">14874</x:t>
  </x:si>
  <x:si>
    <x:t xml:space="preserve">https://www.smwcentral.net/?a=details&amp;id=14874&amp;p=section</x:t>
  </x:si>
  <x:si>
    <x:t xml:space="preserve">https://dl.smwcentral.net/14874/SPL2RN1.zip</x:t>
  </x:si>
  <x:si>
    <x:t xml:space="preserve">Super Race World</x:t>
  </x:si>
  <x:si>
    <x:t xml:space="preserve">The insane little elf</x:t>
  </x:si>
  <x:si>
    <x:t xml:space="preserve">9781</x:t>
  </x:si>
  <x:si>
    <x:t xml:space="preserve">https://www.smwcentral.net/?a=details&amp;id=9781&amp;p=section</x:t>
  </x:si>
  <x:si>
    <x:t xml:space="preserve">https://dl.smwcentral.net/9781/Super%20race%20world.zip</x:t>
  </x:si>
  <x:si>
    <x:t xml:space="preserve">Super RDK</x:t>
  </x:si>
  <x:si>
    <x:t xml:space="preserve">28166</x:t>
  </x:si>
  <x:si>
    <x:t xml:space="preserve">https://www.smwcentral.net/?a=details&amp;id=28166&amp;p=section</x:t>
  </x:si>
  <x:si>
    <x:t xml:space="preserve">https://dl.smwcentral.net/28166/RDK.zip</x:t>
  </x:si>
  <x:si>
    <x:t xml:space="preserve">Super Reasonable World</x:t>
  </x:si>
  <x:si>
    <x:t xml:space="preserve">39863</x:t>
  </x:si>
  <x:si>
    <x:t xml:space="preserve">https://www.smwcentral.net/?a=details&amp;id=39863&amp;p=section</x:t>
  </x:si>
  <x:si>
    <x:t xml:space="preserve">https://dl.smwcentral.net/39863/SuperReasonableWorld.zip</x:t>
  </x:si>
  <x:si>
    <x:t xml:space="preserve">Super Refund World</x:t>
  </x:si>
  <x:si>
    <x:t xml:space="preserve">41864</x:t>
  </x:si>
  <x:si>
    <x:t xml:space="preserve">https://www.smwcentral.net/?a=details&amp;id=41864&amp;p=section</x:t>
  </x:si>
  <x:si>
    <x:t xml:space="preserve">https://dl.smwcentral.net/41864/Super%20Refund%20World%201.02.zip</x:t>
  </x:si>
  <x:si>
    <x:t xml:space="preserve">Super Regiane-se</x:t>
  </x:si>
  <x:si>
    <x:t xml:space="preserve">42386</x:t>
  </x:si>
  <x:si>
    <x:t xml:space="preserve">https://www.smwcentral.net/?a=details&amp;id=42386&amp;p=section</x:t>
  </x:si>
  <x:si>
    <x:t xml:space="preserve">https://dl.smwcentral.net/42386/Super%20Regiane-se.zip</x:t>
  </x:si>
  <x:si>
    <x:t xml:space="preserve">Super Reimu World Return To Hack</x:t>
  </x:si>
  <x:si>
    <x:t xml:space="preserve">31608</x:t>
  </x:si>
  <x:si>
    <x:t xml:space="preserve">https://www.smwcentral.net/?a=details&amp;id=31608&amp;p=section</x:t>
  </x:si>
  <x:si>
    <x:t xml:space="preserve">https://dl.smwcentral.net/31608/SRW%20return%20to%20hack%20%28final%29.zip</x:t>
  </x:si>
  <x:si>
    <x:t xml:space="preserve">Super Responsible World</x:t>
  </x:si>
  <x:si>
    <x:t xml:space="preserve">12979</x:t>
  </x:si>
  <x:si>
    <x:t xml:space="preserve">https://www.smwcentral.net/?a=details&amp;id=12979&amp;p=section</x:t>
  </x:si>
  <x:si>
    <x:t xml:space="preserve">https://dl.smwcentral.net/12979/Super%20Responsible%20World.zip</x:t>
  </x:si>
  <x:si>
    <x:t xml:space="preserve">Super Riff World</x:t>
  </x:si>
  <x:si>
    <x:t xml:space="preserve">21703</x:t>
  </x:si>
  <x:si>
    <x:t xml:space="preserve">https://www.smwcentral.net/?a=details&amp;id=21703&amp;p=section</x:t>
  </x:si>
  <x:si>
    <x:t xml:space="preserve">https://dl.smwcentral.net/21703/Super%20Riff%20World.zip</x:t>
  </x:si>
  <x:si>
    <x:t xml:space="preserve">Super Rtyuio World: Part 1</x:t>
  </x:si>
  <x:si>
    <x:t xml:space="preserve">rtyuio54321</x:t>
  </x:si>
  <x:si>
    <x:t xml:space="preserve">9972</x:t>
  </x:si>
  <x:si>
    <x:t xml:space="preserve">https://www.smwcentral.net/?a=details&amp;id=9972&amp;p=section</x:t>
  </x:si>
  <x:si>
    <x:t xml:space="preserve">https://dl.smwcentral.net/9972/Rtyuio.zip</x:t>
  </x:si>
  <x:si>
    <x:t xml:space="preserve">Super Run World</x:t>
  </x:si>
  <x:si>
    <x:t xml:space="preserve">18529</x:t>
  </x:si>
  <x:si>
    <x:t xml:space="preserve">https://www.smwcentral.net/?a=details&amp;id=18529&amp;p=section</x:t>
  </x:si>
  <x:si>
    <x:t xml:space="preserve">https://dl.smwcentral.net/18529/Super%20Run%20World%20v1.2.zip</x:t>
  </x:si>
  <x:si>
    <x:t xml:space="preserve">Super Russian World</x:t>
  </x:si>
  <x:si>
    <x:t xml:space="preserve">22278</x:t>
  </x:si>
  <x:si>
    <x:t xml:space="preserve">https://www.smwcentral.net/?a=details&amp;id=22278&amp;p=section</x:t>
  </x:si>
  <x:si>
    <x:t xml:space="preserve">https://dl.smwcentral.net/22278/SRW%20Demo%201.3.zip</x:t>
  </x:si>
  <x:si>
    <x:t xml:space="preserve">Super Russian World Prequel</x:t>
  </x:si>
  <x:si>
    <x:t xml:space="preserve">23981</x:t>
  </x:si>
  <x:si>
    <x:t xml:space="preserve">https://www.smwcentral.net/?a=details&amp;id=23981&amp;p=section</x:t>
  </x:si>
  <x:si>
    <x:t xml:space="preserve">https://dl.smwcentral.net/23981/SRW%20Prequel.zip</x:t>
  </x:si>
  <x:si>
    <x:t xml:space="preserve">Super Ryu World</x:t>
  </x:si>
  <x:si>
    <x:t xml:space="preserve">18268</x:t>
  </x:si>
  <x:si>
    <x:t xml:space="preserve">https://www.smwcentral.net/?a=details&amp;id=18268&amp;p=section</x:t>
  </x:si>
  <x:si>
    <x:t xml:space="preserve">https://dl.smwcentral.net/18268/Super%20Ryu%20World%201.zip</x:t>
  </x:si>
  <x:si>
    <x:t xml:space="preserve">Super Ryu World 2</x:t>
  </x:si>
  <x:si>
    <x:t xml:space="preserve">20717</x:t>
  </x:si>
  <x:si>
    <x:t xml:space="preserve">https://www.smwcentral.net/?a=details&amp;id=20717&amp;p=section</x:t>
  </x:si>
  <x:si>
    <x:t xml:space="preserve">https://dl.smwcentral.net/20717/SRW2.zip</x:t>
  </x:si>
  <x:si>
    <x:t xml:space="preserve">Super Sabor World Deluxe</x:t>
  </x:si>
  <x:si>
    <x:t xml:space="preserve">18369</x:t>
  </x:si>
  <x:si>
    <x:t xml:space="preserve">https://www.smwcentral.net/?a=details&amp;id=18369&amp;p=section</x:t>
  </x:si>
  <x:si>
    <x:t xml:space="preserve">https://dl.smwcentral.net/18369/Super%20Sabor%20World%20Deluxe.zip</x:t>
  </x:si>
  <x:si>
    <x:t xml:space="preserve">Super Salary World</x:t>
  </x:si>
  <x:si>
    <x:t xml:space="preserve">39968</x:t>
  </x:si>
  <x:si>
    <x:t xml:space="preserve">https://www.smwcentral.net/?a=details&amp;id=39968&amp;p=section</x:t>
  </x:si>
  <x:si>
    <x:t xml:space="preserve">https://dl.smwcentral.net/39968/supersalaryworld.zip</x:t>
  </x:si>
  <x:si>
    <x:t xml:space="preserve">Super Samuroy Adventures</x:t>
  </x:si>
  <x:si>
    <x:t xml:space="preserve">16863</x:t>
  </x:si>
  <x:si>
    <x:t xml:space="preserve">https://www.smwcentral.net/?a=details&amp;id=16863&amp;p=section</x:t>
  </x:si>
  <x:si>
    <x:t xml:space="preserve">https://dl.smwcentral.net/16863/Super%20Samuroy%20Adventures.zip</x:t>
  </x:si>
  <x:si>
    <x:t xml:space="preserve">Super Sauce Search</x:t>
  </x:si>
  <x:si>
    <x:t xml:space="preserve">Falconpunch, Giga, Impetus, LucasRCD</x:t>
  </x:si>
  <x:si>
    <x:t xml:space="preserve">29464</x:t>
  </x:si>
  <x:si>
    <x:t xml:space="preserve">https://www.smwcentral.net/?a=details&amp;id=29464&amp;p=section</x:t>
  </x:si>
  <x:si>
    <x:t xml:space="preserve">https://dl.smwcentral.net/29464/Super%20Sauce%20Search%20-As%20Intended%21-.zip</x:t>
  </x:si>
  <x:si>
    <x:t xml:space="preserve">Super Schrausch World</x:t>
  </x:si>
  <x:si>
    <x:t xml:space="preserve">30548</x:t>
  </x:si>
  <x:si>
    <x:t xml:space="preserve">https://www.smwcentral.net/?a=details&amp;id=30548&amp;p=section</x:t>
  </x:si>
  <x:si>
    <x:t xml:space="preserve">https://dl.smwcentral.net/30548/Super%20Schrausch%20WORLD.zip</x:t>
  </x:si>
  <x:si>
    <x:t xml:space="preserve">Super Schrausch World 2</x:t>
  </x:si>
  <x:si>
    <x:t xml:space="preserve">32345</x:t>
  </x:si>
  <x:si>
    <x:t xml:space="preserve">https://www.smwcentral.net/?a=details&amp;id=32345&amp;p=section</x:t>
  </x:si>
  <x:si>
    <x:t xml:space="preserve">https://dl.smwcentral.net/32345/SSW2%20RoS.zip</x:t>
  </x:si>
  <x:si>
    <x:t xml:space="preserve">Super Sekai World</x:t>
  </x:si>
  <x:si>
    <x:t xml:space="preserve">ShadoWingx</x:t>
  </x:si>
  <x:si>
    <x:t xml:space="preserve">17489</x:t>
  </x:si>
  <x:si>
    <x:t xml:space="preserve">https://www.smwcentral.net/?a=details&amp;id=17489&amp;p=section</x:t>
  </x:si>
  <x:si>
    <x:t xml:space="preserve">https://dl.smwcentral.net/17489/Super%20Sekai%20World%201.5.zip</x:t>
  </x:si>
  <x:si>
    <x:t xml:space="preserve">Super SGES Races season 1+2</x:t>
  </x:si>
  <x:si>
    <x:t xml:space="preserve">RedKitsune</x:t>
  </x:si>
  <x:si>
    <x:t xml:space="preserve">26747</x:t>
  </x:si>
  <x:si>
    <x:t xml:space="preserve">https://www.smwcentral.net/?a=details&amp;id=26747&amp;p=section</x:t>
  </x:si>
  <x:si>
    <x:t xml:space="preserve">https://dl.smwcentral.net/26747/SSGESRs2.zip</x:t>
  </x:si>
  <x:si>
    <x:t xml:space="preserve">Super Sheffy World 2: The Quest for 5 Shells</x:t>
  </x:si>
  <x:si>
    <x:t xml:space="preserve">18698</x:t>
  </x:si>
  <x:si>
    <x:t xml:space="preserve">https://www.smwcentral.net/?a=details&amp;id=18698&amp;p=section</x:t>
  </x:si>
  <x:si>
    <x:t xml:space="preserve">https://dl.smwcentral.net/18698/Super%20Sheffy%20World%202%20The%20Quest%20for%20the%205%20Shells%201.04.zip</x:t>
  </x:si>
  <x:si>
    <x:t xml:space="preserve">Super Sheffy World Deluxe</x:t>
  </x:si>
  <x:si>
    <x:t xml:space="preserve">18422</x:t>
  </x:si>
  <x:si>
    <x:t xml:space="preserve">https://www.smwcentral.net/?a=details&amp;id=18422&amp;p=section</x:t>
  </x:si>
  <x:si>
    <x:t xml:space="preserve">https://dl.smwcentral.net/18422/SuperSheffyWorldDeluxe.zip</x:t>
  </x:si>
  <x:si>
    <x:t xml:space="preserve">Super shell world</x:t>
  </x:si>
  <x:si>
    <x:t xml:space="preserve">37427</x:t>
  </x:si>
  <x:si>
    <x:t xml:space="preserve">https://www.smwcentral.net/?a=details&amp;id=37427&amp;p=section</x:t>
  </x:si>
  <x:si>
    <x:t xml:space="preserve">https://dl.smwcentral.net/37427/super%20shell%20world%20v1.2.zip</x:t>
  </x:si>
  <x:si>
    <x:t xml:space="preserve">Super ShyGuy's Epic Journey</x:t>
  </x:si>
  <x:si>
    <x:t xml:space="preserve">Captain Domas</x:t>
  </x:si>
  <x:si>
    <x:t xml:space="preserve">26670</x:t>
  </x:si>
  <x:si>
    <x:t xml:space="preserve">https://www.smwcentral.net/?a=details&amp;id=26670&amp;p=section</x:t>
  </x:si>
  <x:si>
    <x:t xml:space="preserve">https://dl.smwcentral.net/26670/Super%20ShyGuys%20Journey.zip</x:t>
  </x:si>
  <x:si>
    <x:t xml:space="preserve">Super Sickos World</x:t>
  </x:si>
  <x:si>
    <x:t xml:space="preserve">Heraga, Nanako, Nitrogen, RussianMan, margot</x:t>
  </x:si>
  <x:si>
    <x:t xml:space="preserve">29004</x:t>
  </x:si>
  <x:si>
    <x:t xml:space="preserve">https://www.smwcentral.net/?a=details&amp;id=29004&amp;p=section</x:t>
  </x:si>
  <x:si>
    <x:t xml:space="preserve">https://dl.smwcentral.net/29004/Sickos1.2.zip</x:t>
  </x:si>
  <x:si>
    <x:t xml:space="preserve">Super Sigma World</x:t>
  </x:si>
  <x:si>
    <x:t xml:space="preserve">38184</x:t>
  </x:si>
  <x:si>
    <x:t xml:space="preserve">https://www.smwcentral.net/?a=details&amp;id=38184&amp;p=section</x:t>
  </x:si>
  <x:si>
    <x:t xml:space="preserve">https://dl.smwcentral.net/38184/SuperSigmaWorld.zip</x:t>
  </x:si>
  <x:si>
    <x:t xml:space="preserve">Super Skyler World</x:t>
  </x:si>
  <x:si>
    <x:t xml:space="preserve">Uncle_Bones</x:t>
  </x:si>
  <x:si>
    <x:t xml:space="preserve">9794</x:t>
  </x:si>
  <x:si>
    <x:t xml:space="preserve">https://www.smwcentral.net/?a=details&amp;id=9794&amp;p=section</x:t>
  </x:si>
  <x:si>
    <x:t xml:space="preserve">https://dl.smwcentral.net/9794/Super%20Skyler%20World.zip</x:t>
  </x:si>
  <x:si>
    <x:t xml:space="preserve">Super Slider World</x:t>
  </x:si>
  <x:si>
    <x:t xml:space="preserve">ItIzEcks</x:t>
  </x:si>
  <x:si>
    <x:t xml:space="preserve">30661</x:t>
  </x:si>
  <x:si>
    <x:t xml:space="preserve">https://www.smwcentral.net/?a=details&amp;id=30661&amp;p=section</x:t>
  </x:si>
  <x:si>
    <x:t xml:space="preserve">https://dl.smwcentral.net/30661/SliderWorld.zip</x:t>
  </x:si>
  <x:si>
    <x:t xml:space="preserve">Super Slim World</x:t>
  </x:si>
  <x:si>
    <x:t xml:space="preserve">20223</x:t>
  </x:si>
  <x:si>
    <x:t xml:space="preserve">https://www.smwcentral.net/?a=details&amp;id=20223&amp;p=section</x:t>
  </x:si>
  <x:si>
    <x:t xml:space="preserve">https://dl.smwcentral.net/20223/Super%20Slim%20World%20v1.5.zip</x:t>
  </x:si>
  <x:si>
    <x:t xml:space="preserve">Super Smile Face World</x:t>
  </x:si>
  <x:si>
    <x:t xml:space="preserve">24342</x:t>
  </x:si>
  <x:si>
    <x:t xml:space="preserve">https://www.smwcentral.net/?a=details&amp;id=24342&amp;p=section</x:t>
  </x:si>
  <x:si>
    <x:t xml:space="preserve">https://dl.smwcentral.net/24342/Super_Smile_Face_World.zip</x:t>
  </x:si>
  <x:si>
    <x:t xml:space="preserve">Super Special World</x:t>
  </x:si>
  <x:si>
    <x:t xml:space="preserve">SMWizard</x:t>
  </x:si>
  <x:si>
    <x:t xml:space="preserve">28669</x:t>
  </x:si>
  <x:si>
    <x:t xml:space="preserve">https://www.smwcentral.net/?a=details&amp;id=28669&amp;p=section</x:t>
  </x:si>
  <x:si>
    <x:t xml:space="preserve">https://dl.smwcentral.net/28669/SSW_v01.zip</x:t>
  </x:si>
  <x:si>
    <x:t xml:space="preserve">Super Speed World</x:t>
  </x:si>
  <x:si>
    <x:t xml:space="preserve">Revenge319</x:t>
  </x:si>
  <x:si>
    <x:t xml:space="preserve">33637</x:t>
  </x:si>
  <x:si>
    <x:t xml:space="preserve">https://www.smwcentral.net/?a=details&amp;id=33637&amp;p=section</x:t>
  </x:si>
  <x:si>
    <x:t xml:space="preserve">https://dl.smwcentral.net/33637/Super%20Speed%20World%20DEMO.zip</x:t>
  </x:si>
  <x:si>
    <x:t xml:space="preserve">Super Spice World</x:t>
  </x:si>
  <x:si>
    <x:t xml:space="preserve">Randomiser</x:t>
  </x:si>
  <x:si>
    <x:t xml:space="preserve">16432</x:t>
  </x:si>
  <x:si>
    <x:t xml:space="preserve">https://www.smwcentral.net/?a=details&amp;id=16432&amp;p=section</x:t>
  </x:si>
  <x:si>
    <x:t xml:space="preserve">https://dl.smwcentral.net/16432/Super%20Spice%20World.zip</x:t>
  </x:si>
  <x:si>
    <x:t xml:space="preserve">Super Sponge World</x:t>
  </x:si>
  <x:si>
    <x:t xml:space="preserve">19988</x:t>
  </x:si>
  <x:si>
    <x:t xml:space="preserve">https://www.smwcentral.net/?a=details&amp;id=19988&amp;p=section</x:t>
  </x:si>
  <x:si>
    <x:t xml:space="preserve">https://dl.smwcentral.net/19988/SuperSpongeWorld.zip</x:t>
  </x:si>
  <x:si>
    <x:t xml:space="preserve">Super Stacey World</x:t>
  </x:si>
  <x:si>
    <x:t xml:space="preserve">dylanofinsanity</x:t>
  </x:si>
  <x:si>
    <x:t xml:space="preserve">18426</x:t>
  </x:si>
  <x:si>
    <x:t xml:space="preserve">https://www.smwcentral.net/?a=details&amp;id=18426&amp;p=section</x:t>
  </x:si>
  <x:si>
    <x:t xml:space="preserve">https://dl.smwcentral.net/18426/Super_Stacey_World_1.2.zip</x:t>
  </x:si>
  <x:si>
    <x:t xml:space="preserve">Super Struggler World</x:t>
  </x:si>
  <x:si>
    <x:t xml:space="preserve">34008</x:t>
  </x:si>
  <x:si>
    <x:t xml:space="preserve">https://www.smwcentral.net/?a=details&amp;id=34008&amp;p=section</x:t>
  </x:si>
  <x:si>
    <x:t xml:space="preserve">https://dl.smwcentral.net/34008/Super%20Struggler%20World.zip</x:t>
  </x:si>
  <x:si>
    <x:t xml:space="preserve">super super com</x:t>
  </x:si>
  <x:si>
    <x:t xml:space="preserve">HeroBr, Togmyoa</x:t>
  </x:si>
  <x:si>
    <x:t xml:space="preserve">41925</x:t>
  </x:si>
  <x:si>
    <x:t xml:space="preserve">https://www.smwcentral.net/?a=details&amp;id=41925&amp;p=section</x:t>
  </x:si>
  <x:si>
    <x:t xml:space="preserve">https://dl.smwcentral.net/41925/fire.zip</x:t>
  </x:si>
  <x:si>
    <x:t xml:space="preserve">Super Super Duper World</x:t>
  </x:si>
  <x:si>
    <x:t xml:space="preserve">ihaveonebigeye</x:t>
  </x:si>
  <x:si>
    <x:t xml:space="preserve">40699</x:t>
  </x:si>
  <x:si>
    <x:t xml:space="preserve">https://www.smwcentral.net/?a=details&amp;id=40699&amp;p=section</x:t>
  </x:si>
  <x:si>
    <x:t xml:space="preserve">https://dl.smwcentral.net/40699/ssdw%201.1.zip</x:t>
  </x:si>
  <x:si>
    <x:t xml:space="preserve">Super Sweg World</x:t>
  </x:si>
  <x:si>
    <x:t xml:space="preserve">ElSturge</x:t>
  </x:si>
  <x:si>
    <x:t xml:space="preserve">22141</x:t>
  </x:si>
  <x:si>
    <x:t xml:space="preserve">https://www.smwcentral.net/?a=details&amp;id=22141&amp;p=section</x:t>
  </x:si>
  <x:si>
    <x:t xml:space="preserve">https://dl.smwcentral.net/22141/Super%20Sweg%20World.zip</x:t>
  </x:si>
  <x:si>
    <x:t xml:space="preserve">Super Swordi World</x:t>
  </x:si>
  <x:si>
    <x:t xml:space="preserve">Sir_Danny_TM</x:t>
  </x:si>
  <x:si>
    <x:t xml:space="preserve">25145</x:t>
  </x:si>
  <x:si>
    <x:t xml:space="preserve">https://www.smwcentral.net/?a=details&amp;id=25145&amp;p=section</x:t>
  </x:si>
  <x:si>
    <x:t xml:space="preserve">https://dl.smwcentral.net/25145/SuperSwordiWorld%20Vers.%201.0.zip</x:t>
  </x:si>
  <x:si>
    <x:t xml:space="preserve">Super Swordi World 2</x:t>
  </x:si>
  <x:si>
    <x:t xml:space="preserve">29988</x:t>
  </x:si>
  <x:si>
    <x:t xml:space="preserve">https://www.smwcentral.net/?a=details&amp;id=29988&amp;p=section</x:t>
  </x:si>
  <x:si>
    <x:t xml:space="preserve">https://dl.smwcentral.net/29988/Swordi%20World%202%201.1.zip</x:t>
  </x:si>
  <x:si>
    <x:t xml:space="preserve">Super Swunsh World</x:t>
  </x:si>
  <x:si>
    <x:t xml:space="preserve">ChrizStylez</x:t>
  </x:si>
  <x:si>
    <x:t xml:space="preserve">22253</x:t>
  </x:si>
  <x:si>
    <x:t xml:space="preserve">https://www.smwcentral.net/?a=details&amp;id=22253&amp;p=section</x:t>
  </x:si>
  <x:si>
    <x:t xml:space="preserve">https://dl.smwcentral.net/22253/Super_Swunsh_World1.1.zip</x:t>
  </x:si>
  <x:si>
    <x:t xml:space="preserve">Super Swunsh World 2</x:t>
  </x:si>
  <x:si>
    <x:t xml:space="preserve">26113</x:t>
  </x:si>
  <x:si>
    <x:t xml:space="preserve">https://www.smwcentral.net/?a=details&amp;id=26113&amp;p=section</x:t>
  </x:si>
  <x:si>
    <x:t xml:space="preserve">https://dl.smwcentral.net/26113/Super%20Swunsh%20World%202.zip</x:t>
  </x:si>
  <x:si>
    <x:t xml:space="preserve">Super Tanoshii World</x:t>
  </x:si>
  <x:si>
    <x:t xml:space="preserve">38881</x:t>
  </x:si>
  <x:si>
    <x:t xml:space="preserve">https://www.smwcentral.net/?a=details&amp;id=38881&amp;p=section</x:t>
  </x:si>
  <x:si>
    <x:t xml:space="preserve">https://dl.smwcentral.net/38881/SuperTanoshiiWorldV2.zip</x:t>
  </x:si>
  <x:si>
    <x:t xml:space="preserve">Super Tapes World</x:t>
  </x:si>
  <x:si>
    <x:t xml:space="preserve">39927</x:t>
  </x:si>
  <x:si>
    <x:t xml:space="preserve">https://www.smwcentral.net/?a=details&amp;id=39927&amp;p=section</x:t>
  </x:si>
  <x:si>
    <x:t xml:space="preserve">https://dl.smwcentral.net/39927/Super%20Tapes%20World.zip</x:t>
  </x:si>
  <x:si>
    <x:t xml:space="preserve">Super Tesla World</x:t>
  </x:si>
  <x:si>
    <x:t xml:space="preserve">16894</x:t>
  </x:si>
  <x:si>
    <x:t xml:space="preserve">https://www.smwcentral.net/?a=details&amp;id=16894&amp;p=section</x:t>
  </x:si>
  <x:si>
    <x:t xml:space="preserve">https://dl.smwcentral.net/16894/Super%20Tesla%20World%20v1.3.zip</x:t>
  </x:si>
  <x:si>
    <x:t xml:space="preserve">Super Thesis World</x:t>
  </x:si>
  <x:si>
    <x:t xml:space="preserve">Nikono</x:t>
  </x:si>
  <x:si>
    <x:t xml:space="preserve">38166</x:t>
  </x:si>
  <x:si>
    <x:t xml:space="preserve">https://www.smwcentral.net/?a=details&amp;id=38166&amp;p=section</x:t>
  </x:si>
  <x:si>
    <x:t xml:space="preserve">https://dl.smwcentral.net/38166/Super_Thesis_World_v1_22.zip</x:t>
  </x:si>
  <x:si>
    <x:t xml:space="preserve">Super This Hack Is Registered As Leathal Weapon World</x:t>
  </x:si>
  <x:si>
    <x:t xml:space="preserve">30270</x:t>
  </x:si>
  <x:si>
    <x:t xml:space="preserve">https://www.smwcentral.net/?a=details&amp;id=30270&amp;p=section</x:t>
  </x:si>
  <x:si>
    <x:t xml:space="preserve">https://dl.smwcentral.net/30270/Leathal%20W.zip</x:t>
  </x:si>
  <x:si>
    <x:t xml:space="preserve">Super Toest World</x:t>
  </x:si>
  <x:si>
    <x:t xml:space="preserve">39025</x:t>
  </x:si>
  <x:si>
    <x:t xml:space="preserve">https://www.smwcentral.net/?a=details&amp;id=39025&amp;p=section</x:t>
  </x:si>
  <x:si>
    <x:t xml:space="preserve">https://dl.smwcentral.net/39025/Super_Toest_World.zip</x:t>
  </x:si>
  <x:si>
    <x:t xml:space="preserve">Super Toshio World</x:t>
  </x:si>
  <x:si>
    <x:t xml:space="preserve">30836</x:t>
  </x:si>
  <x:si>
    <x:t xml:space="preserve">https://www.smwcentral.net/?a=details&amp;id=30836&amp;p=section</x:t>
  </x:si>
  <x:si>
    <x:t xml:space="preserve">https://dl.smwcentral.net/30836/Super_Toshio_World_v1_1.zip</x:t>
  </x:si>
  <x:si>
    <x:t xml:space="preserve">Super Tr-lol World</x:t>
  </x:si>
  <x:si>
    <x:t xml:space="preserve">Gato_co</x:t>
  </x:si>
  <x:si>
    <x:t xml:space="preserve">40212</x:t>
  </x:si>
  <x:si>
    <x:t xml:space="preserve">https://www.smwcentral.net/?a=details&amp;id=40212&amp;p=section</x:t>
  </x:si>
  <x:si>
    <x:t xml:space="preserve">https://dl.smwcentral.net/40212/Super_Trlol_World.zip</x:t>
  </x:si>
  <x:si>
    <x:t xml:space="preserve">Super UltiMario World</x:t>
  </x:si>
  <x:si>
    <x:t xml:space="preserve">9806</x:t>
  </x:si>
  <x:si>
    <x:t xml:space="preserve">https://www.smwcentral.net/?a=details&amp;id=9806&amp;p=section</x:t>
  </x:si>
  <x:si>
    <x:t xml:space="preserve">https://dl.smwcentral.net/9806/UltiMario.zip</x:t>
  </x:si>
  <x:si>
    <x:t xml:space="preserve">Super Unethical Stuff I Built for GlitchCat7 Because He Told Me To World</x:t>
  </x:si>
  <x:si>
    <x:t xml:space="preserve">24457</x:t>
  </x:si>
  <x:si>
    <x:t xml:space="preserve">https://www.smwcentral.net/?a=details&amp;id=24457&amp;p=section</x:t>
  </x:si>
  <x:si>
    <x:t xml:space="preserve">https://dl.smwcentral.net/24457/Unethical%201.1.zip</x:t>
  </x:si>
  <x:si>
    <x:t xml:space="preserve">Super Unethical Stuff I Built for Thabeast721 Because He Told Me To World</x:t>
  </x:si>
  <x:si>
    <x:t xml:space="preserve">35795</x:t>
  </x:si>
  <x:si>
    <x:t xml:space="preserve">https://www.smwcentral.net/?a=details&amp;id=35795&amp;p=section</x:t>
  </x:si>
  <x:si>
    <x:t xml:space="preserve">https://dl.smwcentral.net/35795/Unethical2.zip</x:t>
  </x:si>
  <x:si>
    <x:t xml:space="preserve">Super Vanilla World</x:t>
  </x:si>
  <x:si>
    <x:t xml:space="preserve">Nanashi</x:t>
  </x:si>
  <x:si>
    <x:t xml:space="preserve">18860</x:t>
  </x:si>
  <x:si>
    <x:t xml:space="preserve">https://www.smwcentral.net/?a=details&amp;id=18860&amp;p=section</x:t>
  </x:si>
  <x:si>
    <x:t xml:space="preserve">https://dl.smwcentral.net/18860/Super%20Vanilla%20World%20%28v1.1%29.zip</x:t>
  </x:si>
  <x:si>
    <x:t xml:space="preserve">Super Video World</x:t>
  </x:si>
  <x:si>
    <x:t xml:space="preserve">FantasticFox</x:t>
  </x:si>
  <x:si>
    <x:t xml:space="preserve">34766</x:t>
  </x:si>
  <x:si>
    <x:t xml:space="preserve">https://www.smwcentral.net/?a=details&amp;id=34766&amp;p=section</x:t>
  </x:si>
  <x:si>
    <x:t xml:space="preserve">https://dl.smwcentral.net/34766/svw%201.5.zip</x:t>
  </x:si>
  <x:si>
    <x:t xml:space="preserve">Super Video World 2</x:t>
  </x:si>
  <x:si>
    <x:t xml:space="preserve">36587</x:t>
  </x:si>
  <x:si>
    <x:t xml:space="preserve">https://www.smwcentral.net/?a=details&amp;id=36587&amp;p=section</x:t>
  </x:si>
  <x:si>
    <x:t xml:space="preserve">https://dl.smwcentral.net/36587/Super%20Video%20World%202.zip</x:t>
  </x:si>
  <x:si>
    <x:t xml:space="preserve">Super Wahnthac World</x:t>
  </x:si>
  <x:si>
    <x:t xml:space="preserve">18368</x:t>
  </x:si>
  <x:si>
    <x:t xml:space="preserve">https://www.smwcentral.net/?a=details&amp;id=18368&amp;p=section</x:t>
  </x:si>
  <x:si>
    <x:t xml:space="preserve">https://dl.smwcentral.net/18368/SuperWahnthacWorld1.4.zip</x:t>
  </x:si>
  <x:si>
    <x:t xml:space="preserve">Super Wahnthac World 2</x:t>
  </x:si>
  <x:si>
    <x:t xml:space="preserve">18297</x:t>
  </x:si>
  <x:si>
    <x:t xml:space="preserve">https://www.smwcentral.net/?a=details&amp;id=18297&amp;p=section</x:t>
  </x:si>
  <x:si>
    <x:t xml:space="preserve">https://dl.smwcentral.net/18297/Super%20Wahnthac%20World%202%20Demo.zip</x:t>
  </x:si>
  <x:si>
    <x:t xml:space="preserve">Super Wakana Land</x:t>
  </x:si>
  <x:si>
    <x:t xml:space="preserve">17982</x:t>
  </x:si>
  <x:si>
    <x:t xml:space="preserve">https://www.smwcentral.net/?a=details&amp;id=17982&amp;p=section</x:t>
  </x:si>
  <x:si>
    <x:t xml:space="preserve">https://dl.smwcentral.net/17982/SWL2.1.1.zip</x:t>
  </x:si>
  <x:si>
    <x:t xml:space="preserve">Super Waluigi World Thwompz Fortress</x:t>
  </x:si>
  <x:si>
    <x:t xml:space="preserve">Cartridge King</x:t>
  </x:si>
  <x:si>
    <x:t xml:space="preserve">28294</x:t>
  </x:si>
  <x:si>
    <x:t xml:space="preserve">https://www.smwcentral.net/?a=details&amp;id=28294&amp;p=section</x:t>
  </x:si>
  <x:si>
    <x:t xml:space="preserve">https://dl.smwcentral.net/28294/Super_Waluigi_World.zip</x:t>
  </x:si>
  <x:si>
    <x:t xml:space="preserve">Super Waluigi: Rescue Wario</x:t>
  </x:si>
  <x:si>
    <x:t xml:space="preserve">42614</x:t>
  </x:si>
  <x:si>
    <x:t xml:space="preserve">https://www.smwcentral.net/?a=details&amp;id=42614&amp;p=section</x:t>
  </x:si>
  <x:si>
    <x:t xml:space="preserve">https://dl.smwcentral.net/42614/Super%20Waluigi%20-%20Rescue%20Wario%20v1.4.zip</x:t>
  </x:si>
  <x:si>
    <x:t xml:space="preserve">Super Wario World</x:t>
  </x:si>
  <x:si>
    <x:t xml:space="preserve">21088</x:t>
  </x:si>
  <x:si>
    <x:t xml:space="preserve">https://www.smwcentral.net/?a=details&amp;id=21088&amp;p=section</x:t>
  </x:si>
  <x:si>
    <x:t xml:space="preserve">https://dl.smwcentral.net/21088/Super%20Wario%20World.zip</x:t>
  </x:si>
  <x:si>
    <x:t xml:space="preserve">Super Wario World 2: The Four Castles</x:t>
  </x:si>
  <x:si>
    <x:t xml:space="preserve">23049</x:t>
  </x:si>
  <x:si>
    <x:t xml:space="preserve">https://www.smwcentral.net/?a=details&amp;id=23049&amp;p=section</x:t>
  </x:si>
  <x:si>
    <x:t xml:space="preserve">https://dl.smwcentral.net/23049/Super%20Wario%20World%202%20-%20The%20Four%20Castles.zip</x:t>
  </x:si>
  <x:si>
    <x:t xml:space="preserve">Super Wario World Mini Quest Update 2 + Bonus Pack</x:t>
  </x:si>
  <x:si>
    <x:t xml:space="preserve">5003</x:t>
  </x:si>
  <x:si>
    <x:t xml:space="preserve">https://www.smwcentral.net/?a=details&amp;id=5003&amp;p=section</x:t>
  </x:si>
  <x:si>
    <x:t xml:space="preserve">https://dl.smwcentral.net/5003/Super%20Wario%20World%20Mini%20Quest%20Update%202%20%2B%202%20Bonus%20Games%20%28You%20need%20SMB%201%20and%20SMB%202%20roms%20and%20emulator%20for%20play%29%20%281%29.zip</x:t>
  </x:si>
  <x:si>
    <x:t xml:space="preserve">Super Weekend World</x:t>
  </x:si>
  <x:si>
    <x:t xml:space="preserve">22088</x:t>
  </x:si>
  <x:si>
    <x:t xml:space="preserve">https://www.smwcentral.net/?a=details&amp;id=22088&amp;p=section</x:t>
  </x:si>
  <x:si>
    <x:t xml:space="preserve">https://dl.smwcentral.net/22088/super-weekend-world_v10.zip</x:t>
  </x:si>
  <x:si>
    <x:t xml:space="preserve">Super What World</x:t>
  </x:si>
  <x:si>
    <x:t xml:space="preserve">37763</x:t>
  </x:si>
  <x:si>
    <x:t xml:space="preserve">https://www.smwcentral.net/?a=details&amp;id=37763&amp;p=section</x:t>
  </x:si>
  <x:si>
    <x:t xml:space="preserve">https://dl.smwcentral.net/37763/SuperWhatWorld.zip</x:t>
  </x:si>
  <x:si>
    <x:t xml:space="preserve">Super Whatever Quest!!!</x:t>
  </x:si>
  <x:si>
    <x:t xml:space="preserve">39555</x:t>
  </x:si>
  <x:si>
    <x:t xml:space="preserve">https://www.smwcentral.net/?a=details&amp;id=39555&amp;p=section</x:t>
  </x:si>
  <x:si>
    <x:t xml:space="preserve">https://dl.smwcentral.net/39555/SuperWhateverQuest1_1.zip</x:t>
  </x:si>
  <x:si>
    <x:t xml:space="preserve">Super Wisdom Quest</x:t>
  </x:si>
  <x:si>
    <x:t xml:space="preserve">Tracchete</x:t>
  </x:si>
  <x:si>
    <x:t xml:space="preserve">26783</x:t>
  </x:si>
  <x:si>
    <x:t xml:space="preserve">https://www.smwcentral.net/?a=details&amp;id=26783&amp;p=section</x:t>
  </x:si>
  <x:si>
    <x:t xml:space="preserve">https://dl.smwcentral.net/26783/Super%20Wisdom%20Quest.zip</x:t>
  </x:si>
  <x:si>
    <x:t xml:space="preserve">Super World</x:t>
  </x:si>
  <x:si>
    <x:t xml:space="preserve">MMXWL</x:t>
  </x:si>
  <x:si>
    <x:t xml:space="preserve">27303</x:t>
  </x:si>
  <x:si>
    <x:t xml:space="preserve">https://www.smwcentral.net/?a=details&amp;id=27303&amp;p=section</x:t>
  </x:si>
  <x:si>
    <x:t xml:space="preserve">https://dl.smwcentral.net/27303/Super_World.zip</x:t>
  </x:si>
  <x:si>
    <x:t xml:space="preserve">Super Wow</x:t>
  </x:si>
  <x:si>
    <x:t xml:space="preserve">39972</x:t>
  </x:si>
  <x:si>
    <x:t xml:space="preserve">https://www.smwcentral.net/?a=details&amp;id=39972&amp;p=section</x:t>
  </x:si>
  <x:si>
    <x:t xml:space="preserve">https://dl.smwcentral.net/39972/SuperWow1.1.zip</x:t>
  </x:si>
  <x:si>
    <x:t xml:space="preserve">Super Xtreme World</x:t>
  </x:si>
  <x:si>
    <x:t xml:space="preserve">Infrared</x:t>
  </x:si>
  <x:si>
    <x:t xml:space="preserve">9995</x:t>
  </x:si>
  <x:si>
    <x:t xml:space="preserve">https://www.smwcentral.net/?a=details&amp;id=9995&amp;p=section</x:t>
  </x:si>
  <x:si>
    <x:t xml:space="preserve">https://dl.smwcentral.net/9995/Super%20Xtreme%20World.zip</x:t>
  </x:si>
  <x:si>
    <x:t xml:space="preserve">Super Yeet World</x:t>
  </x:si>
  <x:si>
    <x:t xml:space="preserve">28837</x:t>
  </x:si>
  <x:si>
    <x:t xml:space="preserve">https://www.smwcentral.net/?a=details&amp;id=28837&amp;p=section</x:t>
  </x:si>
  <x:si>
    <x:t xml:space="preserve">https://dl.smwcentral.net/28837/Super%20Yeet%20World.zip</x:t>
  </x:si>
  <x:si>
    <x:t xml:space="preserve">Super Yoshi's Land 1 – An Adventure to Rescue Mario!</x:t>
  </x:si>
  <x:si>
    <x:t xml:space="preserve">10009</x:t>
  </x:si>
  <x:si>
    <x:t xml:space="preserve">https://www.smwcentral.net/?a=details&amp;id=10009&amp;p=section</x:t>
  </x:si>
  <x:si>
    <x:t xml:space="preserve">https://dl.smwcentral.net/10009/Yoshi%27s%20Land%201.zip</x:t>
  </x:si>
  <x:si>
    <x:t xml:space="preserve">super you are the best</x:t>
  </x:si>
  <x:si>
    <x:t xml:space="preserve">thejhonny-ador</x:t>
  </x:si>
  <x:si>
    <x:t xml:space="preserve">21303</x:t>
  </x:si>
  <x:si>
    <x:t xml:space="preserve">https://www.smwcentral.net/?a=details&amp;id=21303&amp;p=section</x:t>
  </x:si>
  <x:si>
    <x:t xml:space="preserve">https://dl.smwcentral.net/21303/SYATB.zip</x:t>
  </x:si>
  <x:si>
    <x:t xml:space="preserve">Super Zoulzi World</x:t>
  </x:si>
  <x:si>
    <x:t xml:space="preserve">Dreekius</x:t>
  </x:si>
  <x:si>
    <x:t xml:space="preserve">22479</x:t>
  </x:si>
  <x:si>
    <x:t xml:space="preserve">https://www.smwcentral.net/?a=details&amp;id=22479&amp;p=section</x:t>
  </x:si>
  <x:si>
    <x:t xml:space="preserve">https://dl.smwcentral.net/22479/SuperZoulziWorld.zip</x:t>
  </x:si>
  <x:si>
    <x:t xml:space="preserve">Super “Dark” World</x:t>
  </x:si>
  <x:si>
    <x:t xml:space="preserve">Deoxys594</x:t>
  </x:si>
  <x:si>
    <x:t xml:space="preserve">10020</x:t>
  </x:si>
  <x:si>
    <x:t xml:space="preserve">https://www.smwcentral.net/?a=details&amp;id=10020&amp;p=section</x:t>
  </x:si>
  <x:si>
    <x:t xml:space="preserve">https://dl.smwcentral.net/10020/super%20dark%20world%20%281st%20demo%29.zip</x:t>
  </x:si>
  <x:si>
    <x:t xml:space="preserve">Supercontinent World</x:t>
  </x:si>
  <x:si>
    <x:t xml:space="preserve">21910</x:t>
  </x:si>
  <x:si>
    <x:t xml:space="preserve">https://www.smwcentral.net/?a=details&amp;id=21910&amp;p=section</x:t>
  </x:si>
  <x:si>
    <x:t xml:space="preserve">https://dl.smwcentral.net/21910/supercontinent1.1.zip</x:t>
  </x:si>
  <x:si>
    <x:t xml:space="preserve">SuperKazuWorld</x:t>
  </x:si>
  <x:si>
    <x:t xml:space="preserve">16029</x:t>
  </x:si>
  <x:si>
    <x:t xml:space="preserve">https://www.smwcentral.net/?a=details&amp;id=16029&amp;p=section</x:t>
  </x:si>
  <x:si>
    <x:t xml:space="preserve">https://dl.smwcentral.net/16029/SuperKazuWorld%20V1.3.zip</x:t>
  </x:si>
  <x:si>
    <x:t xml:space="preserve">supernaydropzsmm2</x:t>
  </x:si>
  <x:si>
    <x:t xml:space="preserve">MiamidropzSMM2</x:t>
  </x:si>
  <x:si>
    <x:t xml:space="preserve">39957</x:t>
  </x:si>
  <x:si>
    <x:t xml:space="preserve">https://www.smwcentral.net/?a=details&amp;id=39957&amp;p=section</x:t>
  </x:si>
  <x:si>
    <x:t xml:space="preserve">https://dl.smwcentral.net/39957/supernaydropzsmm2.zip</x:t>
  </x:si>
  <x:si>
    <x:t xml:space="preserve">Superstar Mario World</x:t>
  </x:si>
  <x:si>
    <x:t xml:space="preserve">19369</x:t>
  </x:si>
  <x:si>
    <x:t xml:space="preserve">https://www.smwcentral.net/?a=details&amp;id=19369&amp;p=section</x:t>
  </x:si>
  <x:si>
    <x:t xml:space="preserve">https://dl.smwcentral.net/19369/Superstar%20Mario%20World%201.5.zip</x:t>
  </x:si>
  <x:si>
    <x:t xml:space="preserve">Survivor</x:t>
  </x:si>
  <x:si>
    <x:t xml:space="preserve">32222</x:t>
  </x:si>
  <x:si>
    <x:t xml:space="preserve">https://www.smwcentral.net/?a=details&amp;id=32222&amp;p=section</x:t>
  </x:si>
  <x:si>
    <x:t xml:space="preserve">https://dl.smwcentral.net/32222/Survivor.zip</x:t>
  </x:si>
  <x:si>
    <x:t xml:space="preserve">Suupaa Mario-sama Seken</x:t>
  </x:si>
  <x:si>
    <x:t xml:space="preserve">Ashura</x:t>
  </x:si>
  <x:si>
    <x:t xml:space="preserve">9829</x:t>
  </x:si>
  <x:si>
    <x:t xml:space="preserve">https://www.smwcentral.net/?a=details&amp;id=9829&amp;p=section</x:t>
  </x:si>
  <x:si>
    <x:t xml:space="preserve">https://dl.smwcentral.net/9829/SMWJ%28H%29.zip</x:t>
  </x:si>
  <x:si>
    <x:t xml:space="preserve">SV Bounce World</x:t>
  </x:si>
  <x:si>
    <x:t xml:space="preserve">29722</x:t>
  </x:si>
  <x:si>
    <x:t xml:space="preserve">https://www.smwcentral.net/?a=details&amp;id=29722&amp;p=section</x:t>
  </x:si>
  <x:si>
    <x:t xml:space="preserve">https://dl.smwcentral.net/29722/Renan%20SV%20Games%20atual.zip</x:t>
  </x:si>
  <x:si>
    <x:t xml:space="preserve">SV Bounce World 2</x:t>
  </x:si>
  <x:si>
    <x:t xml:space="preserve">RenanSV</x:t>
  </x:si>
  <x:si>
    <x:t xml:space="preserve">31469</x:t>
  </x:si>
  <x:si>
    <x:t xml:space="preserve">https://www.smwcentral.net/?a=details&amp;id=31469&amp;p=section</x:t>
  </x:si>
  <x:si>
    <x:t xml:space="preserve">https://dl.smwcentral.net/31469/SV%20Bounce%20World%202.zip</x:t>
  </x:si>
  <x:si>
    <x:t xml:space="preserve">SV Practice World</x:t>
  </x:si>
  <x:si>
    <x:t xml:space="preserve">30221</x:t>
  </x:si>
  <x:si>
    <x:t xml:space="preserve">https://www.smwcentral.net/?a=details&amp;id=30221&amp;p=section</x:t>
  </x:si>
  <x:si>
    <x:t xml:space="preserve">https://dl.smwcentral.net/30221/SV%20Practice%20World.zip</x:t>
  </x:si>
  <x:si>
    <x:t xml:space="preserve">SV State World</x:t>
  </x:si>
  <x:si>
    <x:t xml:space="preserve">30971</x:t>
  </x:si>
  <x:si>
    <x:t xml:space="preserve">https://www.smwcentral.net/?a=details&amp;id=30971&amp;p=section</x:t>
  </x:si>
  <x:si>
    <x:t xml:space="preserve">https://dl.smwcentral.net/30971/SV%20State%20World.zip</x:t>
  </x:si>
  <x:si>
    <x:t xml:space="preserve">Sweet Dream Agnes</x:t>
  </x:si>
  <x:si>
    <x:t xml:space="preserve">33999</x:t>
  </x:si>
  <x:si>
    <x:t xml:space="preserve">https://www.smwcentral.net/?a=details&amp;id=33999&amp;p=section</x:t>
  </x:si>
  <x:si>
    <x:t xml:space="preserve">https://dl.smwcentral.net/33999/Sweet%20Dream%20Agnes%20v1.0.zip</x:t>
  </x:si>
  <x:si>
    <x:t xml:space="preserve">Sweet n' Sour</x:t>
  </x:si>
  <x:si>
    <x:t xml:space="preserve">Lush_50, bsolt</x:t>
  </x:si>
  <x:si>
    <x:t xml:space="preserve">24498</x:t>
  </x:si>
  <x:si>
    <x:t xml:space="preserve">https://www.smwcentral.net/?a=details&amp;id=24498&amp;p=section</x:t>
  </x:si>
  <x:si>
    <x:t xml:space="preserve">https://dl.smwcentral.net/24498/Sweet%20n%27%20Sour%20v1.1.zip</x:t>
  </x:si>
  <x:si>
    <x:t xml:space="preserve">Sweet Shell</x:t>
  </x:si>
  <x:si>
    <x:t xml:space="preserve">37677</x:t>
  </x:si>
  <x:si>
    <x:t xml:space="preserve">https://www.smwcentral.net/?a=details&amp;id=37677&amp;p=section</x:t>
  </x:si>
  <x:si>
    <x:t xml:space="preserve">https://dl.smwcentral.net/37677/SweetShell.zip</x:t>
  </x:si>
  <x:si>
    <x:t xml:space="preserve">Sweet World</x:t>
  </x:si>
  <x:si>
    <x:t xml:space="preserve">35215</x:t>
  </x:si>
  <x:si>
    <x:t xml:space="preserve">https://www.smwcentral.net/?a=details&amp;id=35215&amp;p=section</x:t>
  </x:si>
  <x:si>
    <x:t xml:space="preserve">https://dl.smwcentral.net/35215/SweetWorld.zip</x:t>
  </x:si>
  <x:si>
    <x:t xml:space="preserve">Swiftly 17</x:t>
  </x:si>
  <x:si>
    <x:t xml:space="preserve">33640</x:t>
  </x:si>
  <x:si>
    <x:t xml:space="preserve">https://www.smwcentral.net/?a=details&amp;id=33640&amp;p=section</x:t>
  </x:si>
  <x:si>
    <x:t xml:space="preserve">https://dl.smwcentral.net/33640/Swiftly17.zip</x:t>
  </x:si>
  <x:si>
    <x:t xml:space="preserve">T3rminus: Journey´s End</x:t>
  </x:si>
  <x:si>
    <x:t xml:space="preserve">Kr00mmi</x:t>
  </x:si>
  <x:si>
    <x:t xml:space="preserve">21634</x:t>
  </x:si>
  <x:si>
    <x:t xml:space="preserve">https://www.smwcentral.net/?a=details&amp;id=21634&amp;p=section</x:t>
  </x:si>
  <x:si>
    <x:t xml:space="preserve">https://dl.smwcentral.net/21634/T3rminus%20Journey%C2%B4s%20End.zip</x:t>
  </x:si>
  <x:si>
    <x:t xml:space="preserve">Tajna and the Mana Seeds</x:t>
  </x:si>
  <x:si>
    <x:t xml:space="preserve">40708</x:t>
  </x:si>
  <x:si>
    <x:t xml:space="preserve">https://www.smwcentral.net/?a=details&amp;id=40708&amp;p=section</x:t>
  </x:si>
  <x:si>
    <x:t xml:space="preserve">https://dl.smwcentral.net/40708/tajna1.31.zip</x:t>
  </x:si>
  <x:si>
    <x:t xml:space="preserve">Take It Easy World</x:t>
  </x:si>
  <x:si>
    <x:t xml:space="preserve">frx</x:t>
  </x:si>
  <x:si>
    <x:t xml:space="preserve">23272</x:t>
  </x:si>
  <x:si>
    <x:t xml:space="preserve">https://www.smwcentral.net/?a=details&amp;id=23272&amp;p=section</x:t>
  </x:si>
  <x:si>
    <x:t xml:space="preserve">https://dl.smwcentral.net/23272/take_it_easy_1.2.zip</x:t>
  </x:si>
  <x:si>
    <x:t xml:space="preserve">Takemoto Inspired</x:t>
  </x:si>
  <x:si>
    <x:t xml:space="preserve">35716</x:t>
  </x:si>
  <x:si>
    <x:t xml:space="preserve">https://www.smwcentral.net/?a=details&amp;id=35716&amp;p=section</x:t>
  </x:si>
  <x:si>
    <x:t xml:space="preserve">https://dl.smwcentral.net/35716/Takemoto_Inspired.zip</x:t>
  </x:si>
  <x:si>
    <x:t xml:space="preserve">Takeshi Yumping Simulator</x:t>
  </x:si>
  <x:si>
    <x:t xml:space="preserve">28222</x:t>
  </x:si>
  <x:si>
    <x:t xml:space="preserve">https://www.smwcentral.net/?a=details&amp;id=28222&amp;p=section</x:t>
  </x:si>
  <x:si>
    <x:t xml:space="preserve">https://dl.smwcentral.net/28222/TakeshiYumpingSimulator.zip</x:t>
  </x:si>
  <x:si>
    <x:t xml:space="preserve">Tales of Nean</x:t>
  </x:si>
  <x:si>
    <x:t xml:space="preserve">Senjan</x:t>
  </x:si>
  <x:si>
    <x:t xml:space="preserve">10163</x:t>
  </x:si>
  <x:si>
    <x:t xml:space="preserve">https://www.smwcentral.net/?a=details&amp;id=10163&amp;p=section</x:t>
  </x:si>
  <x:si>
    <x:t xml:space="preserve">https://dl.smwcentral.net/10163/Tales%20of%20Nean.zip</x:t>
  </x:si>
  <x:si>
    <x:t xml:space="preserve">TaleSpin</x:t>
  </x:si>
  <x:si>
    <x:t xml:space="preserve">uriel2k3</x:t>
  </x:si>
  <x:si>
    <x:t xml:space="preserve">41830</x:t>
  </x:si>
  <x:si>
    <x:t xml:space="preserve">https://www.smwcentral.net/?a=details&amp;id=41830&amp;p=section</x:t>
  </x:si>
  <x:si>
    <x:t xml:space="preserve">https://dl.smwcentral.net/41830/TaleSpin.zip</x:t>
  </x:si>
  <x:si>
    <x:t xml:space="preserve">Talikuu Quest</x:t>
  </x:si>
  <x:si>
    <x:t xml:space="preserve">10090</x:t>
  </x:si>
  <x:si>
    <x:t xml:space="preserve">https://www.smwcentral.net/?a=details&amp;id=10090&amp;p=section</x:t>
  </x:si>
  <x:si>
    <x:t xml:space="preserve">https://dl.smwcentral.net/10090/Talikuu%20Quest%20C3%20Demo.zip</x:t>
  </x:si>
  <x:si>
    <x:t xml:space="preserve">Tangle's Trip</x:t>
  </x:si>
  <x:si>
    <x:t xml:space="preserve">41987</x:t>
  </x:si>
  <x:si>
    <x:t xml:space="preserve">https://www.smwcentral.net/?a=details&amp;id=41987&amp;p=section</x:t>
  </x:si>
  <x:si>
    <x:t xml:space="preserve">https://dl.smwcentral.net/41987/Tangle%27s%20Trip%20Update.zip</x:t>
  </x:si>
  <x:si>
    <x:t xml:space="preserve">Tartastrophe: a very sticky hack</x:t>
  </x:si>
  <x:si>
    <x:t xml:space="preserve">27304</x:t>
  </x:si>
  <x:si>
    <x:t xml:space="preserve">https://www.smwcentral.net/?a=details&amp;id=27304&amp;p=section</x:t>
  </x:si>
  <x:si>
    <x:t xml:space="preserve">https://dl.smwcentral.net/27304/Tartastrophe.zip</x:t>
  </x:si>
  <x:si>
    <x:t xml:space="preserve">Tatsujin Mario part 1</x:t>
  </x:si>
  <x:si>
    <x:t xml:space="preserve">abc_ore</x:t>
  </x:si>
  <x:si>
    <x:t xml:space="preserve">15147</x:t>
  </x:si>
  <x:si>
    <x:t xml:space="preserve">https://www.smwcentral.net/?a=details&amp;id=15147&amp;p=section</x:t>
  </x:si>
  <x:si>
    <x:t xml:space="preserve">https://dl.smwcentral.net/15147/Tatsujin%20Mario%20part%201.zip</x:t>
  </x:si>
  <x:si>
    <x:t xml:space="preserve">Tatsujin Mario part 2</x:t>
  </x:si>
  <x:si>
    <x:t xml:space="preserve">32910</x:t>
  </x:si>
  <x:si>
    <x:t xml:space="preserve">https://www.smwcentral.net/?a=details&amp;id=32910&amp;p=section</x:t>
  </x:si>
  <x:si>
    <x:t xml:space="preserve">https://dl.smwcentral.net/32910/Tatsujin%20Mario%20part%202%20v13.zip</x:t>
  </x:si>
  <x:si>
    <x:t xml:space="preserve">TDC Shells Edition</x:t>
  </x:si>
  <x:si>
    <x:t xml:space="preserve">26826</x:t>
  </x:si>
  <x:si>
    <x:t xml:space="preserve">https://www.smwcentral.net/?a=details&amp;id=26826&amp;p=section</x:t>
  </x:si>
  <x:si>
    <x:t xml:space="preserve">https://dl.smwcentral.net/26826/TDCShellsEdition.zip</x:t>
  </x:si>
  <x:si>
    <x:t xml:space="preserve">te's Exo</x:t>
  </x:si>
  <x:si>
    <x:t xml:space="preserve">Daizo Dee Von, EvilGuy0613</x:t>
  </x:si>
  <x:si>
    <x:t xml:space="preserve">39548</x:t>
  </x:si>
  <x:si>
    <x:t xml:space="preserve">https://www.smwcentral.net/?a=details&amp;id=39548&amp;p=section</x:t>
  </x:si>
  <x:si>
    <x:t xml:space="preserve">https://dl.smwcentral.net/39548/%5BHack%5D%20TE%27S%20EXO%20%28v1.01%29.zip</x:t>
  </x:si>
  <x:si>
    <x:t xml:space="preserve">Teamwork Mario</x:t>
  </x:si>
  <x:si>
    <x:t xml:space="preserve">35502</x:t>
  </x:si>
  <x:si>
    <x:t xml:space="preserve">https://www.smwcentral.net/?a=details&amp;id=35502&amp;p=section</x:t>
  </x:si>
  <x:si>
    <x:t xml:space="preserve">https://dl.smwcentral.net/35502/Teamwork%20Mario.zip</x:t>
  </x:si>
  <x:si>
    <x:t xml:space="preserve">Tears Joy and Happiness v1.1</x:t>
  </x:si>
  <x:si>
    <x:t xml:space="preserve">42509</x:t>
  </x:si>
  <x:si>
    <x:t xml:space="preserve">https://www.smwcentral.net/?a=details&amp;id=42509&amp;p=section</x:t>
  </x:si>
  <x:si>
    <x:t xml:space="preserve">https://dl.smwcentral.net/42509/tearsjoyandhappiness.zip</x:t>
  </x:si>
  <x:si>
    <x:t xml:space="preserve">Tebeo</x:t>
  </x:si>
  <x:si>
    <x:t xml:space="preserve">Nirv</x:t>
  </x:si>
  <x:si>
    <x:t xml:space="preserve">25215</x:t>
  </x:si>
  <x:si>
    <x:t xml:space="preserve">https://www.smwcentral.net/?a=details&amp;id=25215&amp;p=section</x:t>
  </x:si>
  <x:si>
    <x:t xml:space="preserve">https://dl.smwcentral.net/25215/Tebeo.bps.zip</x:t>
  </x:si>
  <x:si>
    <x:t xml:space="preserve">Tebeo 2</x:t>
  </x:si>
  <x:si>
    <x:t xml:space="preserve">27311</x:t>
  </x:si>
  <x:si>
    <x:t xml:space="preserve">https://www.smwcentral.net/?a=details&amp;id=27311&amp;p=section</x:t>
  </x:si>
  <x:si>
    <x:t xml:space="preserve">https://dl.smwcentral.net/27311/Tebeo%202.zip</x:t>
  </x:si>
  <x:si>
    <x:t xml:space="preserve">Technicolor Mario World</x:t>
  </x:si>
  <x:si>
    <x:t xml:space="preserve">21873</x:t>
  </x:si>
  <x:si>
    <x:t xml:space="preserve">https://www.smwcentral.net/?a=details&amp;id=21873&amp;p=section</x:t>
  </x:si>
  <x:si>
    <x:t xml:space="preserve">https://dl.smwcentral.net/21873/Technicolor%20Mario%20World%20-%20Demo%202%20%28Bug%20Fix%203%29.zip</x:t>
  </x:si>
  <x:si>
    <x:t xml:space="preserve">Teh Hack</x:t>
  </x:si>
  <x:si>
    <x:t xml:space="preserve">sugar</x:t>
  </x:si>
  <x:si>
    <x:t xml:space="preserve">10071</x:t>
  </x:si>
  <x:si>
    <x:t xml:space="preserve">https://www.smwcentral.net/?a=details&amp;id=10071&amp;p=section</x:t>
  </x:si>
  <x:si>
    <x:t xml:space="preserve">https://dl.smwcentral.net/10071/Teh%20Hack.zip</x:t>
  </x:si>
  <x:si>
    <x:t xml:space="preserve">Teh Hack 2</x:t>
  </x:si>
  <x:si>
    <x:t xml:space="preserve">10169</x:t>
  </x:si>
  <x:si>
    <x:t xml:space="preserve">https://www.smwcentral.net/?a=details&amp;id=10169&amp;p=section</x:t>
  </x:si>
  <x:si>
    <x:t xml:space="preserve">https://dl.smwcentral.net/10169/tehhack.zip</x:t>
  </x:si>
  <x:si>
    <x:t xml:space="preserve">Ten</x:t>
  </x:si>
  <x:si>
    <x:t xml:space="preserve">22304</x:t>
  </x:si>
  <x:si>
    <x:t xml:space="preserve">https://www.smwcentral.net/?a=details&amp;id=22304&amp;p=section</x:t>
  </x:si>
  <x:si>
    <x:t xml:space="preserve">https://dl.smwcentral.net/22304/TEN.zip</x:t>
  </x:si>
  <x:si>
    <x:t xml:space="preserve">TEN A-Side</x:t>
  </x:si>
  <x:si>
    <x:t xml:space="preserve">32788</x:t>
  </x:si>
  <x:si>
    <x:t xml:space="preserve">https://www.smwcentral.net/?a=details&amp;id=32788&amp;p=section</x:t>
  </x:si>
  <x:si>
    <x:t xml:space="preserve">https://dl.smwcentral.net/32788/TEN%20v1.2b.zip</x:t>
  </x:si>
  <x:si>
    <x:t xml:space="preserve">TEN B-Side</x:t>
  </x:si>
  <x:si>
    <x:t xml:space="preserve">33142</x:t>
  </x:si>
  <x:si>
    <x:t xml:space="preserve">https://www.smwcentral.net/?a=details&amp;id=33142&amp;p=section</x:t>
  </x:si>
  <x:si>
    <x:t xml:space="preserve">https://dl.smwcentral.net/33142/Ten%20B-Side.zip</x:t>
  </x:si>
  <x:si>
    <x:t xml:space="preserve">Terminus</x:t>
  </x:si>
  <x:si>
    <x:t xml:space="preserve">19261</x:t>
  </x:si>
  <x:si>
    <x:t xml:space="preserve">https://www.smwcentral.net/?a=details&amp;id=19261&amp;p=section</x:t>
  </x:si>
  <x:si>
    <x:t xml:space="preserve">https://dl.smwcentral.net/19261/Terminus1.1.zip</x:t>
  </x:si>
  <x:si>
    <x:t xml:space="preserve">Terminus 2</x:t>
  </x:si>
  <x:si>
    <x:t xml:space="preserve">20208</x:t>
  </x:si>
  <x:si>
    <x:t xml:space="preserve">https://www.smwcentral.net/?a=details&amp;id=20208&amp;p=section</x:t>
  </x:si>
  <x:si>
    <x:t xml:space="preserve">https://dl.smwcentral.net/20208/Terminus2RealWithOW.zip</x:t>
  </x:si>
  <x:si>
    <x:t xml:space="preserve">Terra</x:t>
  </x:si>
  <x:si>
    <x:t xml:space="preserve">25475</x:t>
  </x:si>
  <x:si>
    <x:t xml:space="preserve">https://www.smwcentral.net/?a=details&amp;id=25475&amp;p=section</x:t>
  </x:si>
  <x:si>
    <x:t xml:space="preserve">https://dl.smwcentral.net/25475/Terra1.0.zip</x:t>
  </x:si>
  <x:si>
    <x:t xml:space="preserve">Terraria</x:t>
  </x:si>
  <x:si>
    <x:t xml:space="preserve">Windveil</x:t>
  </x:si>
  <x:si>
    <x:t xml:space="preserve">10031</x:t>
  </x:si>
  <x:si>
    <x:t xml:space="preserve">https://www.smwcentral.net/?a=details&amp;id=10031&amp;p=section</x:t>
  </x:si>
  <x:si>
    <x:t xml:space="preserve">https://dl.smwcentral.net/10031/Terraria.zip</x:t>
  </x:si>
  <x:si>
    <x:t xml:space="preserve">TERRIBLE</x:t>
  </x:si>
  <x:si>
    <x:t xml:space="preserve">37971</x:t>
  </x:si>
  <x:si>
    <x:t xml:space="preserve">https://www.smwcentral.net/?a=details&amp;id=37971&amp;p=section</x:t>
  </x:si>
  <x:si>
    <x:t xml:space="preserve">https://dl.smwcentral.net/37971/Tbuild11.zip</x:t>
  </x:si>
  <x:si>
    <x:t xml:space="preserve">test.smc | The old and new Mario World</x:t>
  </x:si>
  <x:si>
    <x:t xml:space="preserve">12810</x:t>
  </x:si>
  <x:si>
    <x:t xml:space="preserve">https://www.smwcentral.net/?a=details&amp;id=12810&amp;p=section</x:t>
  </x:si>
  <x:si>
    <x:t xml:space="preserve">https://dl.smwcentral.net/12810/test.zip</x:t>
  </x:si>
  <x:si>
    <x:t xml:space="preserve">Thanks, I hate it</x:t>
  </x:si>
  <x:si>
    <x:t xml:space="preserve">31520</x:t>
  </x:si>
  <x:si>
    <x:t xml:space="preserve">https://www.smwcentral.net/?a=details&amp;id=31520&amp;p=section</x:t>
  </x:si>
  <x:si>
    <x:t xml:space="preserve">https://dl.smwcentral.net/31520/TIHI.zip</x:t>
  </x:si>
  <x:si>
    <x:t xml:space="preserve">Thanksgiving Hack</x:t>
  </x:si>
  <x:si>
    <x:t xml:space="preserve">40909</x:t>
  </x:si>
  <x:si>
    <x:t xml:space="preserve">https://www.smwcentral.net/?a=details&amp;id=40909&amp;p=section</x:t>
  </x:si>
  <x:si>
    <x:t xml:space="preserve">https://dl.smwcentral.net/40909/Thanksgiving%20Hack.zip</x:t>
  </x:si>
  <x:si>
    <x:t xml:space="preserve">The 11th Annual Vanilla Level Design Contest: Compilation Hack</x:t>
  </x:si>
  <x:si>
    <x:t xml:space="preserve">AnEvilGhost, SMW Central, Stivi</x:t>
  </x:si>
  <x:si>
    <x:t xml:space="preserve">30173</x:t>
  </x:si>
  <x:si>
    <x:t xml:space="preserve">https://www.smwcentral.net/?a=details&amp;id=30173&amp;p=section</x:t>
  </x:si>
  <x:si>
    <x:t xml:space="preserve">https://dl.smwcentral.net/30173/VLDC11_1.4.zip</x:t>
  </x:si>
  <x:si>
    <x:t xml:space="preserve">The 12th Annual Vanilla Level Design Contest: Compilation Hack</x:t>
  </x:si>
  <x:si>
    <x:t xml:space="preserve">32572</x:t>
  </x:si>
  <x:si>
    <x:t xml:space="preserve">https://www.smwcentral.net/?a=details&amp;id=32572&amp;p=section</x:t>
  </x:si>
  <x:si>
    <x:t xml:space="preserve">https://dl.smwcentral.net/32572/VLDC12_1.07.zip</x:t>
  </x:si>
  <x:si>
    <x:t xml:space="preserve">The 1st Annual Vanilla Level Design Contest: Compilation Hack</x:t>
  </x:si>
  <x:si>
    <x:t xml:space="preserve">13947</x:t>
  </x:si>
  <x:si>
    <x:t xml:space="preserve">https://www.smwcentral.net/?a=details&amp;id=13947&amp;p=section</x:t>
  </x:si>
  <x:si>
    <x:t xml:space="preserve">https://dl.smwcentral.net/13947/VLDC1.zip</x:t>
  </x:si>
  <x:si>
    <x:t xml:space="preserve">The 1st Old-School Level Design Contest: Compilation Hack</x:t>
  </x:si>
  <x:si>
    <x:t xml:space="preserve">17706</x:t>
  </x:si>
  <x:si>
    <x:t xml:space="preserve">https://www.smwcentral.net/?a=details&amp;id=17706&amp;p=section</x:t>
  </x:si>
  <x:si>
    <x:t xml:space="preserve">https://dl.smwcentral.net/17706/2017%20OLDC%20v1.1.zip</x:t>
  </x:si>
  <x:si>
    <x:t xml:space="preserve">The 2nd Old-School Level Design Contest: Compilation Hack</x:t>
  </x:si>
  <x:si>
    <x:t xml:space="preserve">32409</x:t>
  </x:si>
  <x:si>
    <x:t xml:space="preserve">https://www.smwcentral.net/?a=details&amp;id=32409&amp;p=section</x:t>
  </x:si>
  <x:si>
    <x:t xml:space="preserve">https://dl.smwcentral.net/32409/OLDC2_1.02.zip</x:t>
  </x:si>
  <x:si>
    <x:t xml:space="preserve">The 3 Little Princesses</x:t>
  </x:si>
  <x:si>
    <x:t xml:space="preserve">Batata Douce, OrangeBronzeDaisy</x:t>
  </x:si>
  <x:si>
    <x:t xml:space="preserve">29409</x:t>
  </x:si>
  <x:si>
    <x:t xml:space="preserve">https://www.smwcentral.net/?a=details&amp;id=29409&amp;p=section</x:t>
  </x:si>
  <x:si>
    <x:t xml:space="preserve">https://dl.smwcentral.net/29409/The_3_Little_Princesses.zip</x:t>
  </x:si>
  <x:si>
    <x:t xml:space="preserve">The 4 Heroes Of The Great Land</x:t>
  </x:si>
  <x:si>
    <x:t xml:space="preserve">40281</x:t>
  </x:si>
  <x:si>
    <x:t xml:space="preserve">https://www.smwcentral.net/?a=details&amp;id=40281&amp;p=section</x:t>
  </x:si>
  <x:si>
    <x:t xml:space="preserve">https://dl.smwcentral.net/40281/4heroesforever.zip</x:t>
  </x:si>
  <x:si>
    <x:t xml:space="preserve">The 4 Keys of Safety</x:t>
  </x:si>
  <x:si>
    <x:t xml:space="preserve">9907</x:t>
  </x:si>
  <x:si>
    <x:t xml:space="preserve">https://www.smwcentral.net/?a=details&amp;id=9907&amp;p=section</x:t>
  </x:si>
  <x:si>
    <x:t xml:space="preserve">https://dl.smwcentral.net/9907/The%204%20Keys%20of%20Safety%20Demo%20FIX.zip</x:t>
  </x:si>
  <x:si>
    <x:t xml:space="preserve">The 5 Dragon Gems</x:t>
  </x:si>
  <x:si>
    <x:t xml:space="preserve">9779</x:t>
  </x:si>
  <x:si>
    <x:t xml:space="preserve">https://www.smwcentral.net/?a=details&amp;id=9779&amp;p=section</x:t>
  </x:si>
  <x:si>
    <x:t xml:space="preserve">https://dl.smwcentral.net/9779/5%20Dragon%20Gems.zip</x:t>
  </x:si>
  <x:si>
    <x:t xml:space="preserve">The 5 Keys</x:t>
  </x:si>
  <x:si>
    <x:t xml:space="preserve">iyanzakai10</x:t>
  </x:si>
  <x:si>
    <x:t xml:space="preserve">10158</x:t>
  </x:si>
  <x:si>
    <x:t xml:space="preserve">https://www.smwcentral.net/?a=details&amp;id=10158&amp;p=section</x:t>
  </x:si>
  <x:si>
    <x:t xml:space="preserve">https://dl.smwcentral.net/10158/The%205%20Keys%20-%28DEMO%29-.zip</x:t>
  </x:si>
  <x:si>
    <x:t xml:space="preserve">The 6th Annual Vanilla Level Design Contest: Compilation Hack</x:t>
  </x:si>
  <x:si>
    <x:t xml:space="preserve">38000</x:t>
  </x:si>
  <x:si>
    <x:t xml:space="preserve">https://www.smwcentral.net/?a=details&amp;id=38000&amp;p=section</x:t>
  </x:si>
  <x:si>
    <x:t xml:space="preserve">https://dl.smwcentral.net/38000/vldc6%20v1.1.zip</x:t>
  </x:si>
  <x:si>
    <x:t xml:space="preserve">The 7th Annual Vanilla Level Design Contest: Compilation Hack</x:t>
  </x:si>
  <x:si>
    <x:t xml:space="preserve">6872</x:t>
  </x:si>
  <x:si>
    <x:t xml:space="preserve">https://www.smwcentral.net/?a=details&amp;id=6872&amp;p=section</x:t>
  </x:si>
  <x:si>
    <x:t xml:space="preserve">https://dl.smwcentral.net/6872/VLDC_2014.zip</x:t>
  </x:si>
  <x:si>
    <x:t xml:space="preserve">The 8th Annual Vanilla Level Design Contest: Compilation Hack</x:t>
  </x:si>
  <x:si>
    <x:t xml:space="preserve">11254</x:t>
  </x:si>
  <x:si>
    <x:t xml:space="preserve">https://www.smwcentral.net/?a=details&amp;id=11254&amp;p=section</x:t>
  </x:si>
  <x:si>
    <x:t xml:space="preserve">https://dl.smwcentral.net/11254/vldc8_1.2.zip</x:t>
  </x:si>
  <x:si>
    <x:t xml:space="preserve">The 9th Annual Vanilla Level Design Contest: Compilation Hack</x:t>
  </x:si>
  <x:si>
    <x:t xml:space="preserve">14812</x:t>
  </x:si>
  <x:si>
    <x:t xml:space="preserve">https://www.smwcentral.net/?a=details&amp;id=14812&amp;p=section</x:t>
  </x:si>
  <x:si>
    <x:t xml:space="preserve">https://dl.smwcentral.net/14812/VLDC9%20v1.11.zip</x:t>
  </x:si>
  <x:si>
    <x:t xml:space="preserve">The Adventures of Bucken Berry and Ala-Gold</x:t>
  </x:si>
  <x:si>
    <x:t xml:space="preserve">39808</x:t>
  </x:si>
  <x:si>
    <x:t xml:space="preserve">https://www.smwcentral.net/?a=details&amp;id=39808&amp;p=section</x:t>
  </x:si>
  <x:si>
    <x:t xml:space="preserve">https://dl.smwcentral.net/39808/The%20Adventures%20of%20Bucken%20Berry%20and%20ala-Gold%201.3.zip</x:t>
  </x:si>
  <x:si>
    <x:t xml:space="preserve">The Adventures Of Super Mario</x:t>
  </x:si>
  <x:si>
    <x:t xml:space="preserve">1xsonic</x:t>
  </x:si>
  <x:si>
    <x:t xml:space="preserve">10195</x:t>
  </x:si>
  <x:si>
    <x:t xml:space="preserve">https://www.smwcentral.net/?a=details&amp;id=10195&amp;p=section</x:t>
  </x:si>
  <x:si>
    <x:t xml:space="preserve">https://dl.smwcentral.net/10195/The%20Adventures%20Of%20Super%20Mario.zip</x:t>
  </x:si>
  <x:si>
    <x:t xml:space="preserve">The Amazing Autowalk Adventure</x:t>
  </x:si>
  <x:si>
    <x:t xml:space="preserve">37781</x:t>
  </x:si>
  <x:si>
    <x:t xml:space="preserve">https://www.smwcentral.net/?a=details&amp;id=37781&amp;p=section</x:t>
  </x:si>
  <x:si>
    <x:t xml:space="preserve">https://dl.smwcentral.net/37781/Autowalk_1.1.zip</x:t>
  </x:si>
  <x:si>
    <x:t xml:space="preserve">The Art of Shells</x:t>
  </x:si>
  <x:si>
    <x:t xml:space="preserve">40765</x:t>
  </x:si>
  <x:si>
    <x:t xml:space="preserve">https://www.smwcentral.net/?a=details&amp;id=40765&amp;p=section</x:t>
  </x:si>
  <x:si>
    <x:t xml:space="preserve">https://dl.smwcentral.net/40765/The%20Art%20of%20Shells.zip</x:t>
  </x:si>
  <x:si>
    <x:t xml:space="preserve">The artifacts of marvelous birds</x:t>
  </x:si>
  <x:si>
    <x:t xml:space="preserve">exit1337</x:t>
  </x:si>
  <x:si>
    <x:t xml:space="preserve">17437</x:t>
  </x:si>
  <x:si>
    <x:t xml:space="preserve">https://www.smwcentral.net/?a=details&amp;id=17437&amp;p=section</x:t>
  </x:si>
  <x:si>
    <x:t xml:space="preserve">https://dl.smwcentral.net/17437/The%20artifacts%20of%20marvelous%20birds%20-%20Demo%203.zip</x:t>
  </x:si>
  <x:si>
    <x:t xml:space="preserve">The Baby Rescue - Starring Yoshi &amp; Friends!</x:t>
  </x:si>
  <x:si>
    <x:t xml:space="preserve">34022</x:t>
  </x:si>
  <x:si>
    <x:t xml:space="preserve">https://www.smwcentral.net/?a=details&amp;id=34022&amp;p=section</x:t>
  </x:si>
  <x:si>
    <x:t xml:space="preserve">https://dl.smwcentral.net/34022/The%20Baby%20Rescue%20-%20Starring%20Yoshi%20%26%20Friends%21.zip</x:t>
  </x:si>
  <x:si>
    <x:t xml:space="preserve">The Big Boo's Legion</x:t>
  </x:si>
  <x:si>
    <x:t xml:space="preserve">Hadron</x:t>
  </x:si>
  <x:si>
    <x:t xml:space="preserve">5260</x:t>
  </x:si>
  <x:si>
    <x:t xml:space="preserve">https://www.smwcentral.net/?a=details&amp;id=5260&amp;p=section</x:t>
  </x:si>
  <x:si>
    <x:t xml:space="preserve">https://dl.smwcentral.net/5260/The%20Big%20Boo%27s%20Legion.zip</x:t>
  </x:si>
  <x:si>
    <x:t xml:space="preserve">The Big Boo's Legion 2: The Curse of the Magic Wand</x:t>
  </x:si>
  <x:si>
    <x:t xml:space="preserve">5106</x:t>
  </x:si>
  <x:si>
    <x:t xml:space="preserve">https://www.smwcentral.net/?a=details&amp;id=5106&amp;p=section</x:t>
  </x:si>
  <x:si>
    <x:t xml:space="preserve">https://dl.smwcentral.net/5106/The%20Big%20Boo%27s%20Legion%202%20demo.zip</x:t>
  </x:si>
  <x:si>
    <x:t xml:space="preserve">The Big Fish Chrisis</x:t>
  </x:si>
  <x:si>
    <x:t xml:space="preserve">Klopenator</x:t>
  </x:si>
  <x:si>
    <x:t xml:space="preserve">9788</x:t>
  </x:si>
  <x:si>
    <x:t xml:space="preserve">https://www.smwcentral.net/?a=details&amp;id=9788&amp;p=section</x:t>
  </x:si>
  <x:si>
    <x:t xml:space="preserve">https://dl.smwcentral.net/9788/The%20Big%20Fish%20Chrisis.zip</x:t>
  </x:si>
  <x:si>
    <x:t xml:space="preserve">The Big Five</x:t>
  </x:si>
  <x:si>
    <x:t xml:space="preserve">18962</x:t>
  </x:si>
  <x:si>
    <x:t xml:space="preserve">https://www.smwcentral.net/?a=details&amp;id=18962&amp;p=section</x:t>
  </x:si>
  <x:si>
    <x:t xml:space="preserve">https://dl.smwcentral.net/18962/The%20Big%20Five.zip</x:t>
  </x:si>
  <x:si>
    <x:t xml:space="preserve">The Bonus Rooms</x:t>
  </x:si>
  <x:si>
    <x:t xml:space="preserve">38710</x:t>
  </x:si>
  <x:si>
    <x:t xml:space="preserve">https://www.smwcentral.net/?a=details&amp;id=38710&amp;p=section</x:t>
  </x:si>
  <x:si>
    <x:t xml:space="preserve">https://dl.smwcentral.net/38710/%5BHack%5D%20The%20Bonus%20Rooms%20%28Official%29.zip</x:t>
  </x:si>
  <x:si>
    <x:t xml:space="preserve">The Cave of Loathing</x:t>
  </x:si>
  <x:si>
    <x:t xml:space="preserve">33977</x:t>
  </x:si>
  <x:si>
    <x:t xml:space="preserve">https://www.smwcentral.net/?a=details&amp;id=33977&amp;p=section</x:t>
  </x:si>
  <x:si>
    <x:t xml:space="preserve">https://dl.smwcentral.net/33977/The%20Cave%20of%20Loathing%20%281.0%29.zip</x:t>
  </x:si>
  <x:si>
    <x:t xml:space="preserve">The Cave of Loathing 2</x:t>
  </x:si>
  <x:si>
    <x:t xml:space="preserve">40774</x:t>
  </x:si>
  <x:si>
    <x:t xml:space="preserve">https://www.smwcentral.net/?a=details&amp;id=40774&amp;p=section</x:t>
  </x:si>
  <x:si>
    <x:t xml:space="preserve">https://dl.smwcentral.net/40774/The%20Cave%20of%20Loathing%202%20%281.0%29.zip</x:t>
  </x:si>
  <x:si>
    <x:t xml:space="preserve">The Chamber of 32 Doors</x:t>
  </x:si>
  <x:si>
    <x:t xml:space="preserve">41814</x:t>
  </x:si>
  <x:si>
    <x:t xml:space="preserve">https://www.smwcentral.net/?a=details&amp;id=41814&amp;p=section</x:t>
  </x:si>
  <x:si>
    <x:t xml:space="preserve">https://dl.smwcentral.net/41814/32.zip</x:t>
  </x:si>
  <x:si>
    <x:t xml:space="preserve">The Clockwork Chronicles</x:t>
  </x:si>
  <x:si>
    <x:t xml:space="preserve">20855</x:t>
  </x:si>
  <x:si>
    <x:t xml:space="preserve">https://www.smwcentral.net/?a=details&amp;id=20855&amp;p=section</x:t>
  </x:si>
  <x:si>
    <x:t xml:space="preserve">https://dl.smwcentral.net/20855/The%20Clockwork%20Chronicles.zip</x:t>
  </x:si>
  <x:si>
    <x:t xml:space="preserve">The Coin Hunt</x:t>
  </x:si>
  <x:si>
    <x:t xml:space="preserve">10557</x:t>
  </x:si>
  <x:si>
    <x:t xml:space="preserve">https://www.smwcentral.net/?a=details&amp;id=10557&amp;p=section</x:t>
  </x:si>
  <x:si>
    <x:t xml:space="preserve">https://dl.smwcentral.net/10557/TheCoinHunt_v1.zip</x:t>
  </x:si>
  <x:si>
    <x:t xml:space="preserve">The Coin Hunt 2</x:t>
  </x:si>
  <x:si>
    <x:t xml:space="preserve">6331</x:t>
  </x:si>
  <x:si>
    <x:t xml:space="preserve">https://www.smwcentral.net/?a=details&amp;id=6331&amp;p=section</x:t>
  </x:si>
  <x:si>
    <x:t xml:space="preserve">https://dl.smwcentral.net/6331/TheCoinHunt2.zip</x:t>
  </x:si>
  <x:si>
    <x:t xml:space="preserve">The Conventional Isle</x:t>
  </x:si>
  <x:si>
    <x:t xml:space="preserve">38682</x:t>
  </x:si>
  <x:si>
    <x:t xml:space="preserve">https://www.smwcentral.net/?a=details&amp;id=38682&amp;p=section</x:t>
  </x:si>
  <x:si>
    <x:t xml:space="preserve">https://dl.smwcentral.net/38682/The%20Conventional%20Isle%20v1_1.zip</x:t>
  </x:si>
  <x:si>
    <x:t xml:space="preserve">The Crimson Castle</x:t>
  </x:si>
  <x:si>
    <x:t xml:space="preserve">Redspyda9</x:t>
  </x:si>
  <x:si>
    <x:t xml:space="preserve">41949</x:t>
  </x:si>
  <x:si>
    <x:t xml:space="preserve">https://www.smwcentral.net/?a=details&amp;id=41949&amp;p=section</x:t>
  </x:si>
  <x:si>
    <x:t xml:space="preserve">https://dl.smwcentral.net/41949/The%20Crimson%20Castle.zip</x:t>
  </x:si>
  <x:si>
    <x:t xml:space="preserve">The Darkside REMASTERED</x:t>
  </x:si>
  <x:si>
    <x:t xml:space="preserve">37477</x:t>
  </x:si>
  <x:si>
    <x:t xml:space="preserve">https://www.smwcentral.net/?a=details&amp;id=37477&amp;p=section</x:t>
  </x:si>
  <x:si>
    <x:t xml:space="preserve">https://dl.smwcentral.net/37477/The%20Darkside%20REMASTERED%5B1.3%5D.zip</x:t>
  </x:si>
  <x:si>
    <x:t xml:space="preserve">The Devious Four Chronicles 3: The Crater</x:t>
  </x:si>
  <x:si>
    <x:t xml:space="preserve">Skewer, amhunter</x:t>
  </x:si>
  <x:si>
    <x:t xml:space="preserve">11441</x:t>
  </x:si>
  <x:si>
    <x:t xml:space="preserve">https://www.smwcentral.net/?a=details&amp;id=11441&amp;p=section</x:t>
  </x:si>
  <x:si>
    <x:t xml:space="preserve">https://dl.smwcentral.net/11441/Crater%201_32.zip</x:t>
  </x:si>
  <x:si>
    <x:t xml:space="preserve">The Devious Four Chronicles 4: Hunter's Revenge ReVised</x:t>
  </x:si>
  <x:si>
    <x:t xml:space="preserve">13915</x:t>
  </x:si>
  <x:si>
    <x:t xml:space="preserve">https://www.smwcentral.net/?a=details&amp;id=13915&amp;p=section</x:t>
  </x:si>
  <x:si>
    <x:t xml:space="preserve">https://dl.smwcentral.net/13915/%234-Hunter%27sRevenge%201_1.zip</x:t>
  </x:si>
  <x:si>
    <x:t xml:space="preserve">The Devious Four Chronicles 6 : The Fourth Sector</x:t>
  </x:si>
  <x:si>
    <x:t xml:space="preserve">9170</x:t>
  </x:si>
  <x:si>
    <x:t xml:space="preserve">https://www.smwcentral.net/?a=details&amp;id=9170&amp;p=section</x:t>
  </x:si>
  <x:si>
    <x:t xml:space="preserve">https://dl.smwcentral.net/9170/%236-FourthSector1_7.zip</x:t>
  </x:si>
  <x:si>
    <x:t xml:space="preserve">The Devious Four Chronicles 8 : Goddess Robes</x:t>
  </x:si>
  <x:si>
    <x:t xml:space="preserve">6693</x:t>
  </x:si>
  <x:si>
    <x:t xml:space="preserve">https://www.smwcentral.net/?a=details&amp;id=6693&amp;p=section</x:t>
  </x:si>
  <x:si>
    <x:t xml:space="preserve">https://dl.smwcentral.net/6693/TD4C%238-GoddessRobesDemo1_5.zip</x:t>
  </x:si>
  <x:si>
    <x:t xml:space="preserve">The Dimensional Castle Starring Aeron</x:t>
  </x:si>
  <x:si>
    <x:t xml:space="preserve">41893</x:t>
  </x:si>
  <x:si>
    <x:t xml:space="preserve">https://www.smwcentral.net/?a=details&amp;id=41893&amp;p=section</x:t>
  </x:si>
  <x:si>
    <x:t xml:space="preserve">https://dl.smwcentral.net/41893/The%20Dimensional%20Castle%20Starring%20Aeron%20%28version%201.3.8.2%29.zip</x:t>
  </x:si>
  <x:si>
    <x:t xml:space="preserve">The Duality of Mario</x:t>
  </x:si>
  <x:si>
    <x:t xml:space="preserve">29661</x:t>
  </x:si>
  <x:si>
    <x:t xml:space="preserve">https://www.smwcentral.net/?a=details&amp;id=29661&amp;p=section</x:t>
  </x:si>
  <x:si>
    <x:t xml:space="preserve">https://dl.smwcentral.net/29661/the-duality-of-mario.zip</x:t>
  </x:si>
  <x:si>
    <x:t xml:space="preserve">The Eggs Of Saear</x:t>
  </x:si>
  <x:si>
    <x:t xml:space="preserve">Spade</x:t>
  </x:si>
  <x:si>
    <x:t xml:space="preserve">5161</x:t>
  </x:si>
  <x:si>
    <x:t xml:space="preserve">https://www.smwcentral.net/?a=details&amp;id=5161&amp;p=section</x:t>
  </x:si>
  <x:si>
    <x:t xml:space="preserve">https://dl.smwcentral.net/5161/TEOS%20Demo%204.zip</x:t>
  </x:si>
  <x:si>
    <x:t xml:space="preserve">The Epic Quest Of Birdo The Pink Dinosaur</x:t>
  </x:si>
  <x:si>
    <x:t xml:space="preserve">AjaTheVampire</x:t>
  </x:si>
  <x:si>
    <x:t xml:space="preserve">30186</x:t>
  </x:si>
  <x:si>
    <x:t xml:space="preserve">https://www.smwcentral.net/?a=details&amp;id=30186&amp;p=section</x:t>
  </x:si>
  <x:si>
    <x:t xml:space="preserve">https://dl.smwcentral.net/30186/TEQOBirdoThePinkDinsosaur%20v1.1.zip</x:t>
  </x:si>
  <x:si>
    <x:t xml:space="preserve">The Epic Quest Of Birdo The Pink Dinosaur Dark Behaviours</x:t>
  </x:si>
  <x:si>
    <x:t xml:space="preserve">31168</x:t>
  </x:si>
  <x:si>
    <x:t xml:space="preserve">https://www.smwcentral.net/?a=details&amp;id=31168&amp;p=section</x:t>
  </x:si>
  <x:si>
    <x:t xml:space="preserve">https://dl.smwcentral.net/31168/TEQOBirdoThePinkDinosaurDarkBehaviours%201.1.zip</x:t>
  </x:si>
  <x:si>
    <x:t xml:space="preserve">The Epic Quest Of Birdo The Vampire Subcon Journey</x:t>
  </x:si>
  <x:si>
    <x:t xml:space="preserve">32750</x:t>
  </x:si>
  <x:si>
    <x:t xml:space="preserve">https://www.smwcentral.net/?a=details&amp;id=32750&amp;p=section</x:t>
  </x:si>
  <x:si>
    <x:t xml:space="preserve">https://dl.smwcentral.net/32750/TEQOBirdoTheVampire%201.1.zip</x:t>
  </x:si>
  <x:si>
    <x:t xml:space="preserve">The Evil Maze</x:t>
  </x:si>
  <x:si>
    <x:t xml:space="preserve">limepie20</x:t>
  </x:si>
  <x:si>
    <x:t xml:space="preserve">10064</x:t>
  </x:si>
  <x:si>
    <x:t xml:space="preserve">https://www.smwcentral.net/?a=details&amp;id=10064&amp;p=section</x:t>
  </x:si>
  <x:si>
    <x:t xml:space="preserve">https://dl.smwcentral.net/10064/EvilMaze2.4.zip</x:t>
  </x:si>
  <x:si>
    <x:t xml:space="preserve">The Expansion of the Combat Zone</x:t>
  </x:si>
  <x:si>
    <x:t xml:space="preserve">Eden_</x:t>
  </x:si>
  <x:si>
    <x:t xml:space="preserve">39986</x:t>
  </x:si>
  <x:si>
    <x:t xml:space="preserve">https://www.smwcentral.net/?a=details&amp;id=39986&amp;p=section</x:t>
  </x:si>
  <x:si>
    <x:t xml:space="preserve">https://dl.smwcentral.net/39986/CombatZone.zip</x:t>
  </x:si>
  <x:si>
    <x:t xml:space="preserve">The Fallen Star</x:t>
  </x:si>
  <x:si>
    <x:t xml:space="preserve">Ringo</x:t>
  </x:si>
  <x:si>
    <x:t xml:space="preserve">37607</x:t>
  </x:si>
  <x:si>
    <x:t xml:space="preserve">https://www.smwcentral.net/?a=details&amp;id=37607&amp;p=section</x:t>
  </x:si>
  <x:si>
    <x:t xml:space="preserve">https://dl.smwcentral.net/37607/TFSDemo1v1.3.zip</x:t>
  </x:si>
  <x:si>
    <x:t xml:space="preserve">The Fellership</x:t>
  </x:si>
  <x:si>
    <x:t xml:space="preserve">SolveForX, Team Slop</x:t>
  </x:si>
  <x:si>
    <x:t xml:space="preserve">33105</x:t>
  </x:si>
  <x:si>
    <x:t xml:space="preserve">https://www.smwcentral.net/?a=details&amp;id=33105&amp;p=section</x:t>
  </x:si>
  <x:si>
    <x:t xml:space="preserve">https://dl.smwcentral.net/33105/TheFellership.zip</x:t>
  </x:si>
  <x:si>
    <x:t xml:space="preserve">The First Round</x:t>
  </x:si>
  <x:si>
    <x:t xml:space="preserve">35612</x:t>
  </x:si>
  <x:si>
    <x:t xml:space="preserve">https://www.smwcentral.net/?a=details&amp;id=35612&amp;p=section</x:t>
  </x:si>
  <x:si>
    <x:t xml:space="preserve">https://dl.smwcentral.net/35612/The%20First%20Round%20v1.11.zip</x:t>
  </x:si>
  <x:si>
    <x:t xml:space="preserve">the first smw hack that will ever be so lucky as to gain the luxury of leaving my pc</x:t>
  </x:si>
  <x:si>
    <x:t xml:space="preserve">16046</x:t>
  </x:si>
  <x:si>
    <x:t xml:space="preserve">https://www.smwcentral.net/?a=details&amp;id=16046&amp;p=section</x:t>
  </x:si>
  <x:si>
    <x:t xml:space="preserve">https://dl.smwcentral.net/16046/TFSMWHTWEBSLATGTLOLMPC.zip</x:t>
  </x:si>
  <x:si>
    <x:t xml:space="preserve">The Five "Five Room" Room Castle</x:t>
  </x:si>
  <x:si>
    <x:t xml:space="preserve">33734</x:t>
  </x:si>
  <x:si>
    <x:t xml:space="preserve">https://www.smwcentral.net/?a=details&amp;id=33734&amp;p=section</x:t>
  </x:si>
  <x:si>
    <x:t xml:space="preserve">https://dl.smwcentral.net/33734/TheFiveFiveRoomRoomCastle_V1.0.zip</x:t>
  </x:si>
  <x:si>
    <x:t xml:space="preserve">The Forest of Rovaki</x:t>
  </x:si>
  <x:si>
    <x:t xml:space="preserve">9986</x:t>
  </x:si>
  <x:si>
    <x:t xml:space="preserve">https://www.smwcentral.net/?a=details&amp;id=9986&amp;p=section</x:t>
  </x:si>
  <x:si>
    <x:t xml:space="preserve">https://dl.smwcentral.net/9986/The%20Forest%20of%20Rovaki.zip</x:t>
  </x:si>
  <x:si>
    <x:t xml:space="preserve">The Forever Mystery, Part One: Rescue!</x:t>
  </x:si>
  <x:si>
    <x:t xml:space="preserve">FPzero</x:t>
  </x:si>
  <x:si>
    <x:t xml:space="preserve">9824</x:t>
  </x:si>
  <x:si>
    <x:t xml:space="preserve">https://www.smwcentral.net/?a=details&amp;id=9824&amp;p=section</x:t>
  </x:si>
  <x:si>
    <x:t xml:space="preserve">https://dl.smwcentral.net/9824/Super%20Mario%20Eternity%200.7.1.zip</x:t>
  </x:si>
  <x:si>
    <x:t xml:space="preserve">The Forever Mystery, Part Zero: Prologue</x:t>
  </x:si>
  <x:si>
    <x:t xml:space="preserve">4972</x:t>
  </x:si>
  <x:si>
    <x:t xml:space="preserve">https://www.smwcentral.net/?a=details&amp;id=4972&amp;p=section</x:t>
  </x:si>
  <x:si>
    <x:t xml:space="preserve">https://dl.smwcentral.net/4972/Forever%20Mystery%20Prologue.zip</x:t>
  </x:si>
  <x:si>
    <x:t xml:space="preserve">The Forgotten Island</x:t>
  </x:si>
  <x:si>
    <x:t xml:space="preserve">9935</x:t>
  </x:si>
  <x:si>
    <x:t xml:space="preserve">https://www.smwcentral.net/?a=details&amp;id=9935&amp;p=section</x:t>
  </x:si>
  <x:si>
    <x:t xml:space="preserve">https://dl.smwcentral.net/9935/The_Forgotten_Island.zip</x:t>
  </x:si>
  <x:si>
    <x:t xml:space="preserve">The Fort</x:t>
  </x:si>
  <x:si>
    <x:t xml:space="preserve">Ostix, Silverfox, Trollope</x:t>
  </x:si>
  <x:si>
    <x:t xml:space="preserve">6130</x:t>
  </x:si>
  <x:si>
    <x:t xml:space="preserve">https://www.smwcentral.net/?a=details&amp;id=6130&amp;p=section</x:t>
  </x:si>
  <x:si>
    <x:t xml:space="preserve">https://dl.smwcentral.net/6130/The_Fort.zip</x:t>
  </x:si>
  <x:si>
    <x:t xml:space="preserve">The Found Levels featuring Aeron</x:t>
  </x:si>
  <x:si>
    <x:t xml:space="preserve">42166</x:t>
  </x:si>
  <x:si>
    <x:t xml:space="preserve">https://www.smwcentral.net/?a=details&amp;id=42166&amp;p=section</x:t>
  </x:si>
  <x:si>
    <x:t xml:space="preserve">https://dl.smwcentral.net/42166/The%20Found%20Levels%20featuring%20Aeron%20%28version%201.4.5%29.zip</x:t>
  </x:si>
  <x:si>
    <x:t xml:space="preserve">The Four Boos of the Apocalypse</x:t>
  </x:si>
  <x:si>
    <x:t xml:space="preserve">42107</x:t>
  </x:si>
  <x:si>
    <x:t xml:space="preserve">https://www.smwcentral.net/?a=details&amp;id=42107&amp;p=section</x:t>
  </x:si>
  <x:si>
    <x:t xml:space="preserve">https://dl.smwcentral.net/42107/4BoosOfTheApocalypse.zip</x:t>
  </x:si>
  <x:si>
    <x:t xml:space="preserve">The Fragmented Realm</x:t>
  </x:si>
  <x:si>
    <x:t xml:space="preserve">Dan</x:t>
  </x:si>
  <x:si>
    <x:t xml:space="preserve">15202</x:t>
  </x:si>
  <x:si>
    <x:t xml:space="preserve">https://www.smwcentral.net/?a=details&amp;id=15202&amp;p=section</x:t>
  </x:si>
  <x:si>
    <x:t xml:space="preserve">https://dl.smwcentral.net/15202/The_Fragmented_Realm_-_Demo_2.zip</x:t>
  </x:si>
  <x:si>
    <x:t xml:space="preserve">The Friends We Made</x:t>
  </x:si>
  <x:si>
    <x:t xml:space="preserve">Jibjig</x:t>
  </x:si>
  <x:si>
    <x:t xml:space="preserve">30014</x:t>
  </x:si>
  <x:si>
    <x:t xml:space="preserve">https://www.smwcentral.net/?a=details&amp;id=30014&amp;p=section</x:t>
  </x:si>
  <x:si>
    <x:t xml:space="preserve">https://dl.smwcentral.net/30014/TFWM1.1.zip</x:t>
  </x:si>
  <x:si>
    <x:t xml:space="preserve">The Fugue</x:t>
  </x:si>
  <x:si>
    <x:t xml:space="preserve">40917</x:t>
  </x:si>
  <x:si>
    <x:t xml:space="preserve">https://www.smwcentral.net/?a=details&amp;id=40917&amp;p=section</x:t>
  </x:si>
  <x:si>
    <x:t xml:space="preserve">https://dl.smwcentral.net/40917/TheFugue1_1.zip</x:t>
  </x:si>
  <x:si>
    <x:t xml:space="preserve">The Gatekeeper Strikes Again!!!</x:t>
  </x:si>
  <x:si>
    <x:t xml:space="preserve">39021</x:t>
  </x:si>
  <x:si>
    <x:t xml:space="preserve">https://www.smwcentral.net/?a=details&amp;id=39021&amp;p=section</x:t>
  </x:si>
  <x:si>
    <x:t xml:space="preserve">https://dl.smwcentral.net/39021/Gatekeeper.zip</x:t>
  </x:si>
  <x:si>
    <x:t xml:space="preserve">The Getaway</x:t>
  </x:si>
  <x:si>
    <x:t xml:space="preserve">31221</x:t>
  </x:si>
  <x:si>
    <x:t xml:space="preserve">https://www.smwcentral.net/?a=details&amp;id=31221&amp;p=section</x:t>
  </x:si>
  <x:si>
    <x:t xml:space="preserve">https://dl.smwcentral.net/31221/The%20Getaway%201.12.zip</x:t>
  </x:si>
  <x:si>
    <x:t xml:space="preserve">The Grassy Plains</x:t>
  </x:si>
  <x:si>
    <x:t xml:space="preserve">pieguy184</x:t>
  </x:si>
  <x:si>
    <x:t xml:space="preserve">9955</x:t>
  </x:si>
  <x:si>
    <x:t xml:space="preserve">https://www.smwcentral.net/?a=details&amp;id=9955&amp;p=section</x:t>
  </x:si>
  <x:si>
    <x:t xml:space="preserve">https://dl.smwcentral.net/9955/TheGrassyPlains.zip</x:t>
  </x:si>
  <x:si>
    <x:t xml:space="preserve">The Great Giana Sisters</x:t>
  </x:si>
  <x:si>
    <x:t xml:space="preserve">13430</x:t>
  </x:si>
  <x:si>
    <x:t xml:space="preserve">https://www.smwcentral.net/?a=details&amp;id=13430&amp;p=section</x:t>
  </x:si>
  <x:si>
    <x:t xml:space="preserve">https://dl.smwcentral.net/13430/The%20Great%20Giana%20Sisters.zip</x:t>
  </x:si>
  <x:si>
    <x:t xml:space="preserve">The Great Giana Sisters 2: Another Generical Hack</x:t>
  </x:si>
  <x:si>
    <x:t xml:space="preserve">14627</x:t>
  </x:si>
  <x:si>
    <x:t xml:space="preserve">https://www.smwcentral.net/?a=details&amp;id=14627&amp;p=section</x:t>
  </x:si>
  <x:si>
    <x:t xml:space="preserve">https://dl.smwcentral.net/14627/The%20Great%20Giana%20Sisters%202%20-%20Another%20Generical%20Hack.zip</x:t>
  </x:si>
  <x:si>
    <x:t xml:space="preserve">The Great Giana Sisters 3: The Forgotten Dream</x:t>
  </x:si>
  <x:si>
    <x:t xml:space="preserve">14671</x:t>
  </x:si>
  <x:si>
    <x:t xml:space="preserve">https://www.smwcentral.net/?a=details&amp;id=14671&amp;p=section</x:t>
  </x:si>
  <x:si>
    <x:t xml:space="preserve">https://dl.smwcentral.net/14671/The%20Great%20Giana%20Sisters%203%20-%20The%20Forrgoten%20Dream%20Demo1.zip</x:t>
  </x:si>
  <x:si>
    <x:t xml:space="preserve">The Great Search</x:t>
  </x:si>
  <x:si>
    <x:t xml:space="preserve">34298</x:t>
  </x:si>
  <x:si>
    <x:t xml:space="preserve">https://www.smwcentral.net/?a=details&amp;id=34298&amp;p=section</x:t>
  </x:si>
  <x:si>
    <x:t xml:space="preserve">https://dl.smwcentral.net/34298/The%20Great%20Search.zip</x:t>
  </x:si>
  <x:si>
    <x:t xml:space="preserve">The Green Plumber's Adventure: A Future Prequel</x:t>
  </x:si>
  <x:si>
    <x:t xml:space="preserve">Super Buzzy Yoshi, TheOrangeToad</x:t>
  </x:si>
  <x:si>
    <x:t xml:space="preserve">27980</x:t>
  </x:si>
  <x:si>
    <x:t xml:space="preserve">https://www.smwcentral.net/?a=details&amp;id=27980&amp;p=section</x:t>
  </x:si>
  <x:si>
    <x:t xml:space="preserve">https://dl.smwcentral.net/27980/TGPAAFPDemo.zip</x:t>
  </x:si>
  <x:si>
    <x:t xml:space="preserve">The grey chapter</x:t>
  </x:si>
  <x:si>
    <x:t xml:space="preserve">29915</x:t>
  </x:si>
  <x:si>
    <x:t xml:space="preserve">https://www.smwcentral.net/?a=details&amp;id=29915&amp;p=section</x:t>
  </x:si>
  <x:si>
    <x:t xml:space="preserve">https://dl.smwcentral.net/29915/The%20grey%20chapter.zip</x:t>
  </x:si>
  <x:si>
    <x:t xml:space="preserve">The Hackening</x:t>
  </x:si>
  <x:si>
    <x:t xml:space="preserve">28709</x:t>
  </x:si>
  <x:si>
    <x:t xml:space="preserve">https://www.smwcentral.net/?a=details&amp;id=28709&amp;p=section</x:t>
  </x:si>
  <x:si>
    <x:t xml:space="preserve">https://dl.smwcentral.net/28709/The%20Hackening.zip</x:t>
  </x:si>
  <x:si>
    <x:t xml:space="preserve">The Hackrooms</x:t>
  </x:si>
  <x:si>
    <x:t xml:space="preserve">40345</x:t>
  </x:si>
  <x:si>
    <x:t xml:space="preserve">https://www.smwcentral.net/?a=details&amp;id=40345&amp;p=section</x:t>
  </x:si>
  <x:si>
    <x:t xml:space="preserve">https://dl.smwcentral.net/40345/The_Hackrooms.zip</x:t>
  </x:si>
  <x:si>
    <x:t xml:space="preserve">The Halloween Island</x:t>
  </x:si>
  <x:si>
    <x:t xml:space="preserve">21388</x:t>
  </x:si>
  <x:si>
    <x:t xml:space="preserve">https://www.smwcentral.net/?a=details&amp;id=21388&amp;p=section</x:t>
  </x:si>
  <x:si>
    <x:t xml:space="preserve">https://dl.smwcentral.net/21388/The%20Halloween%20Island%20V1.2.zip</x:t>
  </x:si>
  <x:si>
    <x:t xml:space="preserve">The Hand Of Chaos</x:t>
  </x:si>
  <x:si>
    <x:t xml:space="preserve">Forsequad</x:t>
  </x:si>
  <x:si>
    <x:t xml:space="preserve">5588</x:t>
  </x:si>
  <x:si>
    <x:t xml:space="preserve">https://www.smwcentral.net/?a=details&amp;id=5588&amp;p=section</x:t>
  </x:si>
  <x:si>
    <x:t xml:space="preserve">https://dl.smwcentral.net/5588/THOCDEMOFIXED.zip</x:t>
  </x:si>
  <x:si>
    <x:t xml:space="preserve">The Hangover</x:t>
  </x:si>
  <x:si>
    <x:t xml:space="preserve">13602</x:t>
  </x:si>
  <x:si>
    <x:t xml:space="preserve">https://www.smwcentral.net/?a=details&amp;id=13602&amp;p=section</x:t>
  </x:si>
  <x:si>
    <x:t xml:space="preserve">https://dl.smwcentral.net/13602/The%20Hangover%20V1.0.zip</x:t>
  </x:si>
  <x:si>
    <x:t xml:space="preserve">The Hard</x:t>
  </x:si>
  <x:si>
    <x:t xml:space="preserve">34341</x:t>
  </x:si>
  <x:si>
    <x:t xml:space="preserve">https://www.smwcentral.net/?a=details&amp;id=34341&amp;p=section</x:t>
  </x:si>
  <x:si>
    <x:t xml:space="preserve">https://dl.smwcentral.net/34341/The%20The%20Hard.zip</x:t>
  </x:si>
  <x:si>
    <x:t xml:space="preserve">The Haunt</x:t>
  </x:si>
  <x:si>
    <x:t xml:space="preserve">5082</x:t>
  </x:si>
  <x:si>
    <x:t xml:space="preserve">https://www.smwcentral.net/?a=details&amp;id=5082&amp;p=section</x:t>
  </x:si>
  <x:si>
    <x:t xml:space="preserve">https://dl.smwcentral.net/5082/The%20Haunt.zip</x:t>
  </x:si>
  <x:si>
    <x:t xml:space="preserve">The Haunted Desert: OLD EDITION</x:t>
  </x:si>
  <x:si>
    <x:t xml:space="preserve">Crispy, Dan, Hadron</x:t>
  </x:si>
  <x:si>
    <x:t xml:space="preserve">14657</x:t>
  </x:si>
  <x:si>
    <x:t xml:space="preserve">https://www.smwcentral.net/?a=details&amp;id=14657&amp;p=section</x:t>
  </x:si>
  <x:si>
    <x:t xml:space="preserve">https://dl.smwcentral.net/14657/The%20Haunted%20Desert%20OLD%20EDITION.zip</x:t>
  </x:si>
  <x:si>
    <x:t xml:space="preserve">The Haunted Desert: REMASTERED</x:t>
  </x:si>
  <x:si>
    <x:t xml:space="preserve">14592</x:t>
  </x:si>
  <x:si>
    <x:t xml:space="preserve">https://www.smwcentral.net/?a=details&amp;id=14592&amp;p=section</x:t>
  </x:si>
  <x:si>
    <x:t xml:space="preserve">https://dl.smwcentral.net/14592/The%20Haunted%20Desert%20REMASTERED.zip</x:t>
  </x:si>
  <x:si>
    <x:t xml:space="preserve">The Hodgepodge: A Collection of Would Be Scrapped Levels</x:t>
  </x:si>
  <x:si>
    <x:t xml:space="preserve">Jamie, Kr00mmi</x:t>
  </x:si>
  <x:si>
    <x:t xml:space="preserve">33813</x:t>
  </x:si>
  <x:si>
    <x:t xml:space="preserve">https://www.smwcentral.net/?a=details&amp;id=33813&amp;p=section</x:t>
  </x:si>
  <x:si>
    <x:t xml:space="preserve">https://dl.smwcentral.net/33813/The%20Hodgepodge.zip</x:t>
  </x:si>
  <x:si>
    <x:t xml:space="preserve">The Hooray! - Fishing Season</x:t>
  </x:si>
  <x:si>
    <x:t xml:space="preserve">13496</x:t>
  </x:si>
  <x:si>
    <x:t xml:space="preserve">https://www.smwcentral.net/?a=details&amp;id=13496&amp;p=section</x:t>
  </x:si>
  <x:si>
    <x:t xml:space="preserve">https://dl.smwcentral.net/13496/The%20Hooray%21%20-%20Fishing%20Season%20%28v1.01.1%29.zip</x:t>
  </x:si>
  <x:si>
    <x:t xml:space="preserve">The House of Many Trolls</x:t>
  </x:si>
  <x:si>
    <x:t xml:space="preserve">GoldenSpiny</x:t>
  </x:si>
  <x:si>
    <x:t xml:space="preserve">41392</x:t>
  </x:si>
  <x:si>
    <x:t xml:space="preserve">https://www.smwcentral.net/?a=details&amp;id=41392&amp;p=section</x:t>
  </x:si>
  <x:si>
    <x:t xml:space="preserve">https://dl.smwcentral.net/41392/TheHouseOfManyTrolls.zip</x:t>
  </x:si>
  <x:si>
    <x:t xml:space="preserve">The Hungrymumbles Project</x:t>
  </x:si>
  <x:si>
    <x:t xml:space="preserve">Hungrymumbles</x:t>
  </x:si>
  <x:si>
    <x:t xml:space="preserve">24997</x:t>
  </x:si>
  <x:si>
    <x:t xml:space="preserve">https://www.smwcentral.net/?a=details&amp;id=24997&amp;p=section</x:t>
  </x:si>
  <x:si>
    <x:t xml:space="preserve">https://dl.smwcentral.net/24997/The%20Hungrymumbles%20Project%20V1.3.zip</x:t>
  </x:si>
  <x:si>
    <x:t xml:space="preserve">The Hunt for the Chocolate Egg</x:t>
  </x:si>
  <x:si>
    <x:t xml:space="preserve">19664</x:t>
  </x:si>
  <x:si>
    <x:t xml:space="preserve">https://www.smwcentral.net/?a=details&amp;id=19664&amp;p=section</x:t>
  </x:si>
  <x:si>
    <x:t xml:space="preserve">https://dl.smwcentral.net/19664/The_Hunt_for_the_Chocolate_Egg.zip</x:t>
  </x:si>
  <x:si>
    <x:t xml:space="preserve">The Joy of Kaizo</x:t>
  </x:si>
  <x:si>
    <x:t xml:space="preserve">18200</x:t>
  </x:si>
  <x:si>
    <x:t xml:space="preserve">https://www.smwcentral.net/?a=details&amp;id=18200&amp;p=section</x:t>
  </x:si>
  <x:si>
    <x:t xml:space="preserve">https://dl.smwcentral.net/18200/Joy%20of%20Kaizo%201.6.zip</x:t>
  </x:si>
  <x:si>
    <x:t xml:space="preserve">The Junkbox</x:t>
  </x:si>
  <x:si>
    <x:t xml:space="preserve">17256</x:t>
  </x:si>
  <x:si>
    <x:t xml:space="preserve">https://www.smwcentral.net/?a=details&amp;id=17256&amp;p=section</x:t>
  </x:si>
  <x:si>
    <x:t xml:space="preserve">https://dl.smwcentral.net/17256/The%20Junkbox%201.1.zip</x:t>
  </x:si>
  <x:si>
    <x:t xml:space="preserve">The Last Journey</x:t>
  </x:si>
  <x:si>
    <x:t xml:space="preserve">28336</x:t>
  </x:si>
  <x:si>
    <x:t xml:space="preserve">https://www.smwcentral.net/?a=details&amp;id=28336&amp;p=section</x:t>
  </x:si>
  <x:si>
    <x:t xml:space="preserve">https://dl.smwcentral.net/28336/TheLastJourney_V1.1.zip</x:t>
  </x:si>
  <x:si>
    <x:t xml:space="preserve">The Last Straw</x:t>
  </x:si>
  <x:si>
    <x:t xml:space="preserve">24693</x:t>
  </x:si>
  <x:si>
    <x:t xml:space="preserve">https://www.smwcentral.net/?a=details&amp;id=24693&amp;p=section</x:t>
  </x:si>
  <x:si>
    <x:t xml:space="preserve">https://dl.smwcentral.net/24693/TLS%20v2.2.zip</x:t>
  </x:si>
  <x:si>
    <x:t xml:space="preserve">The Left Hand of Rosalina</x:t>
  </x:si>
  <x:si>
    <x:t xml:space="preserve">Buzbee, GrumpyWalrus</x:t>
  </x:si>
  <x:si>
    <x:t xml:space="preserve">36686</x:t>
  </x:si>
  <x:si>
    <x:t xml:space="preserve">https://www.smwcentral.net/?a=details&amp;id=36686&amp;p=section</x:t>
  </x:si>
  <x:si>
    <x:t xml:space="preserve">https://dl.smwcentral.net/36686/TheLeftHandOfRosalina_2.zip</x:t>
  </x:si>
  <x:si>
    <x:t xml:space="preserve">The Legend of Randorland 1 - The Rise of Randor - Resurrected</x:t>
  </x:si>
  <x:si>
    <x:t xml:space="preserve">10152</x:t>
  </x:si>
  <x:si>
    <x:t xml:space="preserve">https://www.smwcentral.net/?a=details&amp;id=10152&amp;p=section</x:t>
  </x:si>
  <x:si>
    <x:t xml:space="preserve">https://dl.smwcentral.net/10152/The%20Legend%20of%20Randorland%201%20-%20The%20Rise%20of%20Randor%20V1.2.zip</x:t>
  </x:si>
  <x:si>
    <x:t xml:space="preserve">The Legend of Randorland 3 - Randor's Eternal Empire</x:t>
  </x:si>
  <x:si>
    <x:t xml:space="preserve">10002</x:t>
  </x:si>
  <x:si>
    <x:t xml:space="preserve">https://www.smwcentral.net/?a=details&amp;id=10002&amp;p=section</x:t>
  </x:si>
  <x:si>
    <x:t xml:space="preserve">https://dl.smwcentral.net/10002/The%20Legend%20of%20Randorland%203.zip</x:t>
  </x:si>
  <x:si>
    <x:t xml:space="preserve">The Legend Of Red Plumber</x:t>
  </x:si>
  <x:si>
    <x:t xml:space="preserve">39497</x:t>
  </x:si>
  <x:si>
    <x:t xml:space="preserve">https://www.smwcentral.net/?a=details&amp;id=39497&amp;p=section</x:t>
  </x:si>
  <x:si>
    <x:t xml:space="preserve">https://dl.smwcentral.net/39497/thelegendofredplumber.zip</x:t>
  </x:si>
  <x:si>
    <x:t xml:space="preserve">The Legend of Zelda - The Mini Quest</x:t>
  </x:si>
  <x:si>
    <x:t xml:space="preserve">29774</x:t>
  </x:si>
  <x:si>
    <x:t xml:space="preserve">https://www.smwcentral.net/?a=details&amp;id=29774&amp;p=section</x:t>
  </x:si>
  <x:si>
    <x:t xml:space="preserve">https://dl.smwcentral.net/29774/The%20Legend%20of%20Zelda%20-%20The%20Mini%20Quest.zip</x:t>
  </x:si>
  <x:si>
    <x:t xml:space="preserve">The Legendary Bros.</x:t>
  </x:si>
  <x:si>
    <x:t xml:space="preserve">14419</x:t>
  </x:si>
  <x:si>
    <x:t xml:space="preserve">https://www.smwcentral.net/?a=details&amp;id=14419&amp;p=section</x:t>
  </x:si>
  <x:si>
    <x:t xml:space="preserve">https://dl.smwcentral.net/14419/The%20Legendary%20Bros.%20Demo%202.zip</x:t>
  </x:si>
  <x:si>
    <x:t xml:space="preserve">The Level</x:t>
  </x:si>
  <x:si>
    <x:t xml:space="preserve">9525</x:t>
  </x:si>
  <x:si>
    <x:t xml:space="preserve">https://www.smwcentral.net/?a=details&amp;id=9525&amp;p=section</x:t>
  </x:si>
  <x:si>
    <x:t xml:space="preserve">https://dl.smwcentral.net/9525/TheLevel1.2.zip</x:t>
  </x:si>
  <x:si>
    <x:t xml:space="preserve">The long way home</x:t>
  </x:si>
  <x:si>
    <x:t xml:space="preserve">34659</x:t>
  </x:si>
  <x:si>
    <x:t xml:space="preserve">https://www.smwcentral.net/?a=details&amp;id=34659&amp;p=section</x:t>
  </x:si>
  <x:si>
    <x:t xml:space="preserve">https://dl.smwcentral.net/34659/The%20long%20way%20home%20v1.1.zip</x:t>
  </x:si>
  <x:si>
    <x:t xml:space="preserve">The long way home 2</x:t>
  </x:si>
  <x:si>
    <x:t xml:space="preserve">35088</x:t>
  </x:si>
  <x:si>
    <x:t xml:space="preserve">https://www.smwcentral.net/?a=details&amp;id=35088&amp;p=section</x:t>
  </x:si>
  <x:si>
    <x:t xml:space="preserve">https://dl.smwcentral.net/35088/The%20long%20way%20home%20II%20V1.1.zip</x:t>
  </x:si>
  <x:si>
    <x:t xml:space="preserve">The Lost Chapters - Chapter 1: Reminiscence</x:t>
  </x:si>
  <x:si>
    <x:t xml:space="preserve">Lumy</x:t>
  </x:si>
  <x:si>
    <x:t xml:space="preserve">5965</x:t>
  </x:si>
  <x:si>
    <x:t xml:space="preserve">https://www.smwcentral.net/?a=details&amp;id=5965&amp;p=section</x:t>
  </x:si>
  <x:si>
    <x:t xml:space="preserve">https://dl.smwcentral.net/5965/TLC%20-%20Chapter%201%20Demo%203.zip</x:t>
  </x:si>
  <x:si>
    <x:t xml:space="preserve">The Lost Land</x:t>
  </x:si>
  <x:si>
    <x:t xml:space="preserve">10244</x:t>
  </x:si>
  <x:si>
    <x:t xml:space="preserve">https://www.smwcentral.net/?a=details&amp;id=10244&amp;p=section</x:t>
  </x:si>
  <x:si>
    <x:t xml:space="preserve">https://dl.smwcentral.net/10244/The%20Lost%20Land.zip</x:t>
  </x:si>
  <x:si>
    <x:t xml:space="preserve">The Lost Land 2: The 4 Switches</x:t>
  </x:si>
  <x:si>
    <x:t xml:space="preserve">5256</x:t>
  </x:si>
  <x:si>
    <x:t xml:space="preserve">https://www.smwcentral.net/?a=details&amp;id=5256&amp;p=section</x:t>
  </x:si>
  <x:si>
    <x:t xml:space="preserve">https://dl.smwcentral.net/5256/The%20Lost%20Land%202%20-%20The%204%20Switches.zip</x:t>
  </x:si>
  <x:si>
    <x:t xml:space="preserve">The Lost Land 3</x:t>
  </x:si>
  <x:si>
    <x:t xml:space="preserve">5543</x:t>
  </x:si>
  <x:si>
    <x:t xml:space="preserve">https://www.smwcentral.net/?a=details&amp;id=5543&amp;p=section</x:t>
  </x:si>
  <x:si>
    <x:t xml:space="preserve">https://dl.smwcentral.net/5543/The%20Lost%20Land%203.zip</x:t>
  </x:si>
  <x:si>
    <x:t xml:space="preserve">The Lost Levels Enhanced</x:t>
  </x:si>
  <x:si>
    <x:t xml:space="preserve">10229</x:t>
  </x:si>
  <x:si>
    <x:t xml:space="preserve">https://www.smwcentral.net/?a=details&amp;id=10229&amp;p=section</x:t>
  </x:si>
  <x:si>
    <x:t xml:space="preserve">https://dl.smwcentral.net/10229/tlle.zip</x:t>
  </x:si>
  <x:si>
    <x:t xml:space="preserve">The Lost Woods</x:t>
  </x:si>
  <x:si>
    <x:t xml:space="preserve">K1ngHacks</x:t>
  </x:si>
  <x:si>
    <x:t xml:space="preserve">5603</x:t>
  </x:si>
  <x:si>
    <x:t xml:space="preserve">https://www.smwcentral.net/?a=details&amp;id=5603&amp;p=section</x:t>
  </x:si>
  <x:si>
    <x:t xml:space="preserve">https://dl.smwcentral.net/5603/The%20Lost%20Woods.zip</x:t>
  </x:si>
  <x:si>
    <x:t xml:space="preserve">The Lost World Journey</x:t>
  </x:si>
  <x:si>
    <x:t xml:space="preserve">9922</x:t>
  </x:si>
  <x:si>
    <x:t xml:space="preserve">https://www.smwcentral.net/?a=details&amp;id=9922&amp;p=section</x:t>
  </x:si>
  <x:si>
    <x:t xml:space="preserve">https://dl.smwcentral.net/9922/The%20Lost%20World%20Journey.zip</x:t>
  </x:si>
  <x:si>
    <x:t xml:space="preserve">The Magic Cooking Pot</x:t>
  </x:si>
  <x:si>
    <x:t xml:space="preserve">Goobie Doobie</x:t>
  </x:si>
  <x:si>
    <x:t xml:space="preserve">34379</x:t>
  </x:si>
  <x:si>
    <x:t xml:space="preserve">https://www.smwcentral.net/?a=details&amp;id=34379&amp;p=section</x:t>
  </x:si>
  <x:si>
    <x:t xml:space="preserve">https://dl.smwcentral.net/34379/MCP.zip</x:t>
  </x:si>
  <x:si>
    <x:t xml:space="preserve">The Mario World</x:t>
  </x:si>
  <x:si>
    <x:t xml:space="preserve">Mariogoon</x:t>
  </x:si>
  <x:si>
    <x:t xml:space="preserve">10084</x:t>
  </x:si>
  <x:si>
    <x:t xml:space="preserve">https://www.smwcentral.net/?a=details&amp;id=10084&amp;p=section</x:t>
  </x:si>
  <x:si>
    <x:t xml:space="preserve">https://dl.smwcentral.net/10084/The%20Mario%20World.zip</x:t>
  </x:si>
  <x:si>
    <x:t xml:space="preserve">The Mario's Greatest Adventure</x:t>
  </x:si>
  <x:si>
    <x:t xml:space="preserve">Brutapode89</x:t>
  </x:si>
  <x:si>
    <x:t xml:space="preserve">25281</x:t>
  </x:si>
  <x:si>
    <x:t xml:space="preserve">https://www.smwcentral.net/?a=details&amp;id=25281&amp;p=section</x:t>
  </x:si>
  <x:si>
    <x:t xml:space="preserve">https://dl.smwcentral.net/25281/The%20Mario%27s%20Greatest%20Adventure%20%28Demo%202.1%29.zip</x:t>
  </x:si>
  <x:si>
    <x:t xml:space="preserve">The Mirror Border</x:t>
  </x:si>
  <x:si>
    <x:t xml:space="preserve">Ckristina, Kixune, Masterlink, Mentholeus, yupilongas</x:t>
  </x:si>
  <x:si>
    <x:t xml:space="preserve">30156</x:t>
  </x:si>
  <x:si>
    <x:t xml:space="preserve">https://www.smwcentral.net/?a=details&amp;id=30156&amp;p=section</x:t>
  </x:si>
  <x:si>
    <x:t xml:space="preserve">https://dl.smwcentral.net/30156/The%20Mirror%20Border.zip</x:t>
  </x:si>
  <x:si>
    <x:t xml:space="preserve">The Misfortunes of Little Denise</x:t>
  </x:si>
  <x:si>
    <x:t xml:space="preserve">22858</x:t>
  </x:si>
  <x:si>
    <x:t xml:space="preserve">https://www.smwcentral.net/?a=details&amp;id=22858&amp;p=section</x:t>
  </x:si>
  <x:si>
    <x:t xml:space="preserve">https://dl.smwcentral.net/22858/Little%20Denise.zip</x:t>
  </x:si>
  <x:si>
    <x:t xml:space="preserve">The Missing Eggs</x:t>
  </x:si>
  <x:si>
    <x:t xml:space="preserve">AHawk</x:t>
  </x:si>
  <x:si>
    <x:t xml:space="preserve">10261</x:t>
  </x:si>
  <x:si>
    <x:t xml:space="preserve">https://www.smwcentral.net/?a=details&amp;id=10261&amp;p=section</x:t>
  </x:si>
  <x:si>
    <x:t xml:space="preserve">https://dl.smwcentral.net/10261/megayoshi%20patch.zip</x:t>
  </x:si>
  <x:si>
    <x:t xml:space="preserve">The Missing Plot</x:t>
  </x:si>
  <x:si>
    <x:t xml:space="preserve">Huxellberger</x:t>
  </x:si>
  <x:si>
    <x:t xml:space="preserve">10096</x:t>
  </x:si>
  <x:si>
    <x:t xml:space="preserve">https://www.smwcentral.net/?a=details&amp;id=10096&amp;p=section</x:t>
  </x:si>
  <x:si>
    <x:t xml:space="preserve">https://dl.smwcentral.net/10096/Missing%20Plot.zip</x:t>
  </x:si>
  <x:si>
    <x:t xml:space="preserve">The Most Pointless Hack Ever</x:t>
  </x:si>
  <x:si>
    <x:t xml:space="preserve">Diddy Kong</x:t>
  </x:si>
  <x:si>
    <x:t xml:space="preserve">9835</x:t>
  </x:si>
  <x:si>
    <x:t xml:space="preserve">https://www.smwcentral.net/?a=details&amp;id=9835&amp;p=section</x:t>
  </x:si>
  <x:si>
    <x:t xml:space="preserve">https://dl.smwcentral.net/9835/tMPHE.zip</x:t>
  </x:si>
  <x:si>
    <x:t xml:space="preserve">The Mountain Adventure</x:t>
  </x:si>
  <x:si>
    <x:t xml:space="preserve">9684</x:t>
  </x:si>
  <x:si>
    <x:t xml:space="preserve">https://www.smwcentral.net/?a=details&amp;id=9684&amp;p=section</x:t>
  </x:si>
  <x:si>
    <x:t xml:space="preserve">https://dl.smwcentral.net/9684/The%20Mountain%20Adventure.zip</x:t>
  </x:si>
  <x:si>
    <x:t xml:space="preserve">The Muncher Run</x:t>
  </x:si>
  <x:si>
    <x:t xml:space="preserve">9876</x:t>
  </x:si>
  <x:si>
    <x:t xml:space="preserve">https://www.smwcentral.net/?a=details&amp;id=9876&amp;p=section</x:t>
  </x:si>
  <x:si>
    <x:t xml:space="preserve">https://dl.smwcentral.net/9876/TMR.zip</x:t>
  </x:si>
  <x:si>
    <x:t xml:space="preserve">The Muncher Run 2</x:t>
  </x:si>
  <x:si>
    <x:t xml:space="preserve">Bad luck man, Ersanio</x:t>
  </x:si>
  <x:si>
    <x:t xml:space="preserve">9695</x:t>
  </x:si>
  <x:si>
    <x:t xml:space="preserve">https://www.smwcentral.net/?a=details&amp;id=9695&amp;p=section</x:t>
  </x:si>
  <x:si>
    <x:t xml:space="preserve">https://dl.smwcentral.net/9695/The_Muncher_Run_2_V1.1.zip</x:t>
  </x:si>
  <x:si>
    <x:t xml:space="preserve">The Mushroom Factor</x:t>
  </x:si>
  <x:si>
    <x:t xml:space="preserve">pablopeach</x:t>
  </x:si>
  <x:si>
    <x:t xml:space="preserve">5557</x:t>
  </x:si>
  <x:si>
    <x:t xml:space="preserve">https://www.smwcentral.net/?a=details&amp;id=5557&amp;p=section</x:t>
  </x:si>
  <x:si>
    <x:t xml:space="preserve">https://dl.smwcentral.net/5557/tmf.zip</x:t>
  </x:si>
  <x:si>
    <x:t xml:space="preserve">The Mushroom Manifold</x:t>
  </x:si>
  <x:si>
    <x:t xml:space="preserve">FerpyMcFrosting, FridayFables, Hwailaluta, Mithrillionaire, Prestinator13</x:t>
  </x:si>
  <x:si>
    <x:t xml:space="preserve">30029</x:t>
  </x:si>
  <x:si>
    <x:t xml:space="preserve">https://www.smwcentral.net/?a=details&amp;id=30029&amp;p=section</x:t>
  </x:si>
  <x:si>
    <x:t xml:space="preserve">https://dl.smwcentral.net/30029/TheMushroomManifold.zip</x:t>
  </x:si>
  <x:si>
    <x:t xml:space="preserve">The New Comfort Zone</x:t>
  </x:si>
  <x:si>
    <x:t xml:space="preserve">28543</x:t>
  </x:si>
  <x:si>
    <x:t xml:space="preserve">https://www.smwcentral.net/?a=details&amp;id=28543&amp;p=section</x:t>
  </x:si>
  <x:si>
    <x:t xml:space="preserve">https://dl.smwcentral.net/28543/NewComfy1.02.zip</x:t>
  </x:si>
  <x:si>
    <x:t xml:space="preserve">The New Mario World</x:t>
  </x:si>
  <x:si>
    <x:t xml:space="preserve">OnlineVideoSurfer</x:t>
  </x:si>
  <x:si>
    <x:t xml:space="preserve">5294</x:t>
  </x:si>
  <x:si>
    <x:t xml:space="preserve">https://www.smwcentral.net/?a=details&amp;id=5294&amp;p=section</x:t>
  </x:si>
  <x:si>
    <x:t xml:space="preserve">https://dl.smwcentral.net/5294/The%20New%20Mario%20World%20V1.1.zip</x:t>
  </x:si>
  <x:si>
    <x:t xml:space="preserve">The Ninji Saga</x:t>
  </x:si>
  <x:si>
    <x:t xml:space="preserve">9710</x:t>
  </x:si>
  <x:si>
    <x:t xml:space="preserve">https://www.smwcentral.net/?a=details&amp;id=9710&amp;p=section</x:t>
  </x:si>
  <x:si>
    <x:t xml:space="preserve">https://dl.smwcentral.net/9710/ninjisaga.zip</x:t>
  </x:si>
  <x:si>
    <x:t xml:space="preserve">The Old Mansion</x:t>
  </x:si>
  <x:si>
    <x:t xml:space="preserve">10121</x:t>
  </x:si>
  <x:si>
    <x:t xml:space="preserve">https://www.smwcentral.net/?a=details&amp;id=10121&amp;p=section</x:t>
  </x:si>
  <x:si>
    <x:t xml:space="preserve">https://dl.smwcentral.net/10121/The%20Old%20Mansion.zip</x:t>
  </x:si>
  <x:si>
    <x:t xml:space="preserve">The Path from Prisminia</x:t>
  </x:si>
  <x:si>
    <x:t xml:space="preserve">37627</x:t>
  </x:si>
  <x:si>
    <x:t xml:space="preserve">https://www.smwcentral.net/?a=details&amp;id=37627&amp;p=section</x:t>
  </x:si>
  <x:si>
    <x:t xml:space="preserve">https://dl.smwcentral.net/37627/The%20Path%20from%20Prisminia%20%28Chapter%201%2B2%20Demo%2C%20v2.1%29.zip</x:t>
  </x:si>
  <x:si>
    <x:t xml:space="preserve">The Pit Level 2</x:t>
  </x:si>
  <x:si>
    <x:t xml:space="preserve">15823</x:t>
  </x:si>
  <x:si>
    <x:t xml:space="preserve">https://www.smwcentral.net/?a=details&amp;id=15823&amp;p=section</x:t>
  </x:si>
  <x:si>
    <x:t xml:space="preserve">https://dl.smwcentral.net/15823/TPL2.zip</x:t>
  </x:si>
  <x:si>
    <x:t xml:space="preserve">The Pit Level 2 REMASTERED</x:t>
  </x:si>
  <x:si>
    <x:t xml:space="preserve">IgorOliveira666</x:t>
  </x:si>
  <x:si>
    <x:t xml:space="preserve">32607</x:t>
  </x:si>
  <x:si>
    <x:t xml:space="preserve">https://www.smwcentral.net/?a=details&amp;id=32607&amp;p=section</x:t>
  </x:si>
  <x:si>
    <x:t xml:space="preserve">https://dl.smwcentral.net/32607/The%20Pit%20Level%202%20REMASTERED.zip</x:t>
  </x:si>
  <x:si>
    <x:t xml:space="preserve">The Plumber Saga</x:t>
  </x:si>
  <x:si>
    <x:t xml:space="preserve">E-Man</x:t>
  </x:si>
  <x:si>
    <x:t xml:space="preserve">9982</x:t>
  </x:si>
  <x:si>
    <x:t xml:space="preserve">https://www.smwcentral.net/?a=details&amp;id=9982&amp;p=section</x:t>
  </x:si>
  <x:si>
    <x:t xml:space="preserve">https://dl.smwcentral.net/9982/The%20Plumber%20Saga.zip</x:t>
  </x:si>
  <x:si>
    <x:t xml:space="preserve">The Possibility Of An Island</x:t>
  </x:si>
  <x:si>
    <x:t xml:space="preserve">34219</x:t>
  </x:si>
  <x:si>
    <x:t xml:space="preserve">https://www.smwcentral.net/?a=details&amp;id=34219&amp;p=section</x:t>
  </x:si>
  <x:si>
    <x:t xml:space="preserve">https://dl.smwcentral.net/34219/ThePossibilityOfAnIsland.zip</x:t>
  </x:si>
  <x:si>
    <x:t xml:space="preserve">The Power Beneath</x:t>
  </x:si>
  <x:si>
    <x:t xml:space="preserve">27443</x:t>
  </x:si>
  <x:si>
    <x:t xml:space="preserve">https://www.smwcentral.net/?a=details&amp;id=27443&amp;p=section</x:t>
  </x:si>
  <x:si>
    <x:t xml:space="preserve">https://dl.smwcentral.net/27443/The%20Power%20Beneath.zip</x:t>
  </x:si>
  <x:si>
    <x:t xml:space="preserve">The Precise Is Right</x:t>
  </x:si>
  <x:si>
    <x:t xml:space="preserve">pixlrik</x:t>
  </x:si>
  <x:si>
    <x:t xml:space="preserve">42566</x:t>
  </x:si>
  <x:si>
    <x:t xml:space="preserve">https://www.smwcentral.net/?a=details&amp;id=42566&amp;p=section</x:t>
  </x:si>
  <x:si>
    <x:t xml:space="preserve">https://dl.smwcentral.net/42566/The%20Precise%20Is%20Right%20V1.1.zip</x:t>
  </x:si>
  <x:si>
    <x:t xml:space="preserve">The Princess Was Kidnapped Again DEMO</x:t>
  </x:si>
  <x:si>
    <x:t xml:space="preserve">Gabriel BR</x:t>
  </x:si>
  <x:si>
    <x:t xml:space="preserve">25186</x:t>
  </x:si>
  <x:si>
    <x:t xml:space="preserve">https://www.smwcentral.net/?a=details&amp;id=25186&amp;p=section</x:t>
  </x:si>
  <x:si>
    <x:t xml:space="preserve">https://dl.smwcentral.net/25186/The%20Princess%20Was%20Kidnapped%20Again%20DEMO.zip</x:t>
  </x:si>
  <x:si>
    <x:t xml:space="preserve">The Prodigy's Last Stand</x:t>
  </x:si>
  <x:si>
    <x:t xml:space="preserve">SMGamer</x:t>
  </x:si>
  <x:si>
    <x:t xml:space="preserve">5133</x:t>
  </x:si>
  <x:si>
    <x:t xml:space="preserve">https://www.smwcentral.net/?a=details&amp;id=5133&amp;p=section</x:t>
  </x:si>
  <x:si>
    <x:t xml:space="preserve">https://dl.smwcentral.net/5133/The%20Prodigy%27s%20Last%20Stand.zip</x:t>
  </x:si>
  <x:si>
    <x:t xml:space="preserve">The Quest for the Candies</x:t>
  </x:si>
  <x:si>
    <x:t xml:space="preserve">32483</x:t>
  </x:si>
  <x:si>
    <x:t xml:space="preserve">https://www.smwcentral.net/?a=details&amp;id=32483&amp;p=section</x:t>
  </x:si>
  <x:si>
    <x:t xml:space="preserve">https://dl.smwcentral.net/32483/The%20Quest%20for%20the%20Candies%20%28V1.1.1%29.zip</x:t>
  </x:si>
  <x:si>
    <x:t xml:space="preserve">The Quiet Island Quest Starring Mario</x:t>
  </x:si>
  <x:si>
    <x:t xml:space="preserve">DatGuyT</x:t>
  </x:si>
  <x:si>
    <x:t xml:space="preserve">10093</x:t>
  </x:si>
  <x:si>
    <x:t xml:space="preserve">https://www.smwcentral.net/?a=details&amp;id=10093&amp;p=section</x:t>
  </x:si>
  <x:si>
    <x:t xml:space="preserve">https://dl.smwcentral.net/10093/Quiet%20Island%20%28Final%29.zip</x:t>
  </x:si>
  <x:si>
    <x:t xml:space="preserve">The Reapers Shells</x:t>
  </x:si>
  <x:si>
    <x:t xml:space="preserve">26558</x:t>
  </x:si>
  <x:si>
    <x:t xml:space="preserve">https://www.smwcentral.net/?a=details&amp;id=26558&amp;p=section</x:t>
  </x:si>
  <x:si>
    <x:t xml:space="preserve">https://dl.smwcentral.net/26558/TheReaperShells.zip</x:t>
  </x:si>
  <x:si>
    <x:t xml:space="preserve">The Reapers Shells 2</x:t>
  </x:si>
  <x:si>
    <x:t xml:space="preserve">30170</x:t>
  </x:si>
  <x:si>
    <x:t xml:space="preserve">https://www.smwcentral.net/?a=details&amp;id=30170&amp;p=section</x:t>
  </x:si>
  <x:si>
    <x:t xml:space="preserve">https://dl.smwcentral.net/30170/TheReapersShells2.zip</x:t>
  </x:si>
  <x:si>
    <x:t xml:space="preserve">The Rebuilding of the Star Palace</x:t>
  </x:si>
  <x:si>
    <x:t xml:space="preserve">IsoFrieze</x:t>
  </x:si>
  <x:si>
    <x:t xml:space="preserve">9722</x:t>
  </x:si>
  <x:si>
    <x:t xml:space="preserve">https://www.smwcentral.net/?a=details&amp;id=9722&amp;p=section</x:t>
  </x:si>
  <x:si>
    <x:t xml:space="preserve">https://dl.smwcentral.net/9722/vb0.35TheRebuildingofthestarpalace.zip</x:t>
  </x:si>
  <x:si>
    <x:t xml:space="preserve">The Reconciliation of Ascension</x:t>
  </x:si>
  <x:si>
    <x:t xml:space="preserve">33033</x:t>
  </x:si>
  <x:si>
    <x:t xml:space="preserve">https://www.smwcentral.net/?a=details&amp;id=33033&amp;p=section</x:t>
  </x:si>
  <x:si>
    <x:t xml:space="preserve">https://dl.smwcentral.net/33033/The%20Reconciliation%20of%20Ascension.zip</x:t>
  </x:si>
  <x:si>
    <x:t xml:space="preserve">The Repetitive Adventure of a Distended Plumber</x:t>
  </x:si>
  <x:si>
    <x:t xml:space="preserve">The Blue Yoshi</x:t>
  </x:si>
  <x:si>
    <x:t xml:space="preserve">9909</x:t>
  </x:si>
  <x:si>
    <x:t xml:space="preserve">https://www.smwcentral.net/?a=details&amp;id=9909&amp;p=section</x:t>
  </x:si>
  <x:si>
    <x:t xml:space="preserve">https://dl.smwcentral.net/9909/TRAoaDP.zip</x:t>
  </x:si>
  <x:si>
    <x:t xml:space="preserve">The Return to Super Mario World</x:t>
  </x:si>
  <x:si>
    <x:t xml:space="preserve">nnn</x:t>
  </x:si>
  <x:si>
    <x:t xml:space="preserve">10135</x:t>
  </x:si>
  <x:si>
    <x:t xml:space="preserve">https://www.smwcentral.net/?a=details&amp;id=10135&amp;p=section</x:t>
  </x:si>
  <x:si>
    <x:t xml:space="preserve">https://dl.smwcentral.net/10135/SMW%20EXP%20v3.2%20The%20return%20to%20SMW%20%28Fixed%29.zip</x:t>
  </x:si>
  <x:si>
    <x:t xml:space="preserve">The Rituals Of Resurrection</x:t>
  </x:si>
  <x:si>
    <x:t xml:space="preserve">9848</x:t>
  </x:si>
  <x:si>
    <x:t xml:space="preserve">https://www.smwcentral.net/?a=details&amp;id=9848&amp;p=section</x:t>
  </x:si>
  <x:si>
    <x:t xml:space="preserve">https://dl.smwcentral.net/9848/The_Rituals_of_Resurrection.zip</x:t>
  </x:si>
  <x:si>
    <x:t xml:space="preserve">The Rock 'n' Roll Mario Show: Set 1</x:t>
  </x:si>
  <x:si>
    <x:t xml:space="preserve">24625</x:t>
  </x:si>
  <x:si>
    <x:t xml:space="preserve">https://www.smwcentral.net/?a=details&amp;id=24625&amp;p=section</x:t>
  </x:si>
  <x:si>
    <x:t xml:space="preserve">https://dl.smwcentral.net/24625/Rock%20n%20Roll%20Mario%20Show%20set%201%20v1.13.zip</x:t>
  </x:si>
  <x:si>
    <x:t xml:space="preserve">The Rock 'n' Roll Mario Show: Set Two</x:t>
  </x:si>
  <x:si>
    <x:t xml:space="preserve">29606</x:t>
  </x:si>
  <x:si>
    <x:t xml:space="preserve">https://www.smwcentral.net/?a=details&amp;id=29606&amp;p=section</x:t>
  </x:si>
  <x:si>
    <x:t xml:space="preserve">https://dl.smwcentral.net/29606/The%20Rock%20n%20Roll%20Mario%20Show%20Set%20Two%20v1.1.zip</x:t>
  </x:si>
  <x:si>
    <x:t xml:space="preserve">The Ruin</x:t>
  </x:si>
  <x:si>
    <x:t xml:space="preserve">Mao</x:t>
  </x:si>
  <x:si>
    <x:t xml:space="preserve">36673</x:t>
  </x:si>
  <x:si>
    <x:t xml:space="preserve">https://www.smwcentral.net/?a=details&amp;id=36673&amp;p=section</x:t>
  </x:si>
  <x:si>
    <x:t xml:space="preserve">https://dl.smwcentral.net/36673/The%20Ruin.zip</x:t>
  </x:si>
  <x:si>
    <x:t xml:space="preserve">The Saga - Kame</x:t>
  </x:si>
  <x:si>
    <x:t xml:space="preserve">Rauy Style</x:t>
  </x:si>
  <x:si>
    <x:t xml:space="preserve">9875</x:t>
  </x:si>
  <x:si>
    <x:t xml:space="preserve">https://www.smwcentral.net/?a=details&amp;id=9875&amp;p=section</x:t>
  </x:si>
  <x:si>
    <x:t xml:space="preserve">https://dl.smwcentral.net/9875/The%20Saga%20-%20Kame.zip</x:t>
  </x:si>
  <x:si>
    <x:t xml:space="preserve">The Sapphire</x:t>
  </x:si>
  <x:si>
    <x:t xml:space="preserve">Atari2.0</x:t>
  </x:si>
  <x:si>
    <x:t xml:space="preserve">18601</x:t>
  </x:si>
  <x:si>
    <x:t xml:space="preserve">https://www.smwcentral.net/?a=details&amp;id=18601&amp;p=section</x:t>
  </x:si>
  <x:si>
    <x:t xml:space="preserve">https://dl.smwcentral.net/18601/TheSapphireV1.1%281%29.zip</x:t>
  </x:si>
  <x:si>
    <x:t xml:space="preserve">The Search for Salmon</x:t>
  </x:si>
  <x:si>
    <x:t xml:space="preserve">17555</x:t>
  </x:si>
  <x:si>
    <x:t xml:space="preserve">https://www.smwcentral.net/?a=details&amp;id=17555&amp;p=section</x:t>
  </x:si>
  <x:si>
    <x:t xml:space="preserve">https://dl.smwcentral.net/17555/The%20Search%20for%20Salmon%201.2.zip</x:t>
  </x:si>
  <x:si>
    <x:t xml:space="preserve">The Second Reality Project</x:t>
  </x:si>
  <x:si>
    <x:t xml:space="preserve">4983</x:t>
  </x:si>
  <x:si>
    <x:t xml:space="preserve">https://www.smwcentral.net/?a=details&amp;id=4983&amp;p=section</x:t>
  </x:si>
  <x:si>
    <x:t xml:space="preserve">https://dl.smwcentral.net/4983/TSRP1.zip</x:t>
  </x:si>
  <x:si>
    <x:t xml:space="preserve">The Second Reality Project 2 Reloaded: Zycloboo's Challenge</x:t>
  </x:si>
  <x:si>
    <x:t xml:space="preserve">9543</x:t>
  </x:si>
  <x:si>
    <x:t xml:space="preserve">https://www.smwcentral.net/?a=details&amp;id=9543&amp;p=section</x:t>
  </x:si>
  <x:si>
    <x:t xml:space="preserve">https://dl.smwcentral.net/9543/TSRP2v2.2.zip</x:t>
  </x:si>
  <x:si>
    <x:t xml:space="preserve">The Second Reality Project 2: Zycloboo's Challenge</x:t>
  </x:si>
  <x:si>
    <x:t xml:space="preserve">4974</x:t>
  </x:si>
  <x:si>
    <x:t xml:space="preserve">https://www.smwcentral.net/?a=details&amp;id=4974&amp;p=section</x:t>
  </x:si>
  <x:si>
    <x:t xml:space="preserve">https://dl.smwcentral.net/4974/TSRP2vers1.2.zip</x:t>
  </x:si>
  <x:si>
    <x:t xml:space="preserve">The Second Reality Project Reloaded</x:t>
  </x:si>
  <x:si>
    <x:t xml:space="preserve">16696</x:t>
  </x:si>
  <x:si>
    <x:t xml:space="preserve">https://www.smwcentral.net/?a=details&amp;id=16696&amp;p=section</x:t>
  </x:si>
  <x:si>
    <x:t xml:space="preserve">https://dl.smwcentral.net/16696/TSRPR%20v1.2.zip</x:t>
  </x:si>
  <x:si>
    <x:t xml:space="preserve">The Secret Islands</x:t>
  </x:si>
  <x:si>
    <x:t xml:space="preserve">24565</x:t>
  </x:si>
  <x:si>
    <x:t xml:space="preserve">https://www.smwcentral.net/?a=details&amp;id=24565&amp;p=section</x:t>
  </x:si>
  <x:si>
    <x:t xml:space="preserve">https://dl.smwcentral.net/24565/Secret%20Island.zip</x:t>
  </x:si>
  <x:si>
    <x:t xml:space="preserve">The Secret of the Switches</x:t>
  </x:si>
  <x:si>
    <x:t xml:space="preserve">arotenbe</x:t>
  </x:si>
  <x:si>
    <x:t xml:space="preserve">9902</x:t>
  </x:si>
  <x:si>
    <x:t xml:space="preserve">https://www.smwcentral.net/?a=details&amp;id=9902&amp;p=section</x:t>
  </x:si>
  <x:si>
    <x:t xml:space="preserve">https://dl.smwcentral.net/9902/The%20Secret%20of%20the%20Switches%20%28Demo%201.1%29.zip</x:t>
  </x:si>
  <x:si>
    <x:t xml:space="preserve">The Senate</x:t>
  </x:si>
  <x:si>
    <x:t xml:space="preserve">Fornaxus</x:t>
  </x:si>
  <x:si>
    <x:t xml:space="preserve">6161</x:t>
  </x:si>
  <x:si>
    <x:t xml:space="preserve">https://www.smwcentral.net/?a=details&amp;id=6161&amp;p=section</x:t>
  </x:si>
  <x:si>
    <x:t xml:space="preserve">https://dl.smwcentral.net/6161/The%20Senate%20v1.3.zip</x:t>
  </x:si>
  <x:si>
    <x:t xml:space="preserve">The Seven Hurdles</x:t>
  </x:si>
  <x:si>
    <x:t xml:space="preserve">11848</x:t>
  </x:si>
  <x:si>
    <x:t xml:space="preserve">https://www.smwcentral.net/?a=details&amp;id=11848&amp;p=section</x:t>
  </x:si>
  <x:si>
    <x:t xml:space="preserve">https://dl.smwcentral.net/11848/The%20Seven%20Hurdles%20v1.1.zip</x:t>
  </x:si>
  <x:si>
    <x:t xml:space="preserve">The Seven Hurdles 2</x:t>
  </x:si>
  <x:si>
    <x:t xml:space="preserve">13850</x:t>
  </x:si>
  <x:si>
    <x:t xml:space="preserve">https://www.smwcentral.net/?a=details&amp;id=13850&amp;p=section</x:t>
  </x:si>
  <x:si>
    <x:t xml:space="preserve">https://dl.smwcentral.net/13850/TSH2v121.zip</x:t>
  </x:si>
  <x:si>
    <x:t xml:space="preserve">The Seven Star Pieces</x:t>
  </x:si>
  <x:si>
    <x:t xml:space="preserve">4989</x:t>
  </x:si>
  <x:si>
    <x:t xml:space="preserve">https://www.smwcentral.net/?a=details&amp;id=4989&amp;p=section</x:t>
  </x:si>
  <x:si>
    <x:t xml:space="preserve">https://dl.smwcentral.net/4989/7star_demo1.zip</x:t>
  </x:si>
  <x:si>
    <x:t xml:space="preserve">The Sixty-four Trials</x:t>
  </x:si>
  <x:si>
    <x:t xml:space="preserve">Mariowings77</x:t>
  </x:si>
  <x:si>
    <x:t xml:space="preserve">9992</x:t>
  </x:si>
  <x:si>
    <x:t xml:space="preserve">https://www.smwcentral.net/?a=details&amp;id=9992&amp;p=section</x:t>
  </x:si>
  <x:si>
    <x:t xml:space="preserve">https://dl.smwcentral.net/9992/The%20Sixty-four%20Trials%20Demo%201.zip</x:t>
  </x:si>
  <x:si>
    <x:t xml:space="preserve">The Stinky Black Banana Peel</x:t>
  </x:si>
  <x:si>
    <x:t xml:space="preserve">38660</x:t>
  </x:si>
  <x:si>
    <x:t xml:space="preserve">https://www.smwcentral.net/?a=details&amp;id=38660&amp;p=section</x:t>
  </x:si>
  <x:si>
    <x:t xml:space="preserve">https://dl.smwcentral.net/38660/the%20stinky%20black%20banana%20peel.zip</x:t>
  </x:si>
  <x:si>
    <x:t xml:space="preserve">The Stolen Yoshi Coins</x:t>
  </x:si>
  <x:si>
    <x:t xml:space="preserve">super pokemon world</x:t>
  </x:si>
  <x:si>
    <x:t xml:space="preserve">9970</x:t>
  </x:si>
  <x:si>
    <x:t xml:space="preserve">https://www.smwcentral.net/?a=details&amp;id=9970&amp;p=section</x:t>
  </x:si>
  <x:si>
    <x:t xml:space="preserve">https://dl.smwcentral.net/9970/the%20stolen%20yoshi%20coins.zip</x:t>
  </x:si>
  <x:si>
    <x:t xml:space="preserve">The Sweet Sweet Love</x:t>
  </x:si>
  <x:si>
    <x:t xml:space="preserve">Beefy Chud</x:t>
  </x:si>
  <x:si>
    <x:t xml:space="preserve">28591</x:t>
  </x:si>
  <x:si>
    <x:t xml:space="preserve">https://www.smwcentral.net/?a=details&amp;id=28591&amp;p=section</x:t>
  </x:si>
  <x:si>
    <x:t xml:space="preserve">https://dl.smwcentral.net/28591/The_Sweet_Sweet_Love_V1.1.zip</x:t>
  </x:si>
  <x:si>
    <x:t xml:space="preserve">The Sweet Sweet Love Forever</x:t>
  </x:si>
  <x:si>
    <x:t xml:space="preserve">31894</x:t>
  </x:si>
  <x:si>
    <x:t xml:space="preserve">https://www.smwcentral.net/?a=details&amp;id=31894&amp;p=section</x:t>
  </x:si>
  <x:si>
    <x:t xml:space="preserve">https://dl.smwcentral.net/31894/The_Sweet_Sweet_Love_Forever.zip</x:t>
  </x:si>
  <x:si>
    <x:t xml:space="preserve">The Sweet Sweet Love Returns</x:t>
  </x:si>
  <x:si>
    <x:t xml:space="preserve">29914</x:t>
  </x:si>
  <x:si>
    <x:t xml:space="preserve">https://www.smwcentral.net/?a=details&amp;id=29914&amp;p=section</x:t>
  </x:si>
  <x:si>
    <x:t xml:space="preserve">https://dl.smwcentral.net/29914/The_Sweet_Sweet_Love_Returns.zip</x:t>
  </x:si>
  <x:si>
    <x:t xml:space="preserve">The Swift Skooter Parallelogram</x:t>
  </x:si>
  <x:si>
    <x:t xml:space="preserve">placeholdertest</x:t>
  </x:si>
  <x:si>
    <x:t xml:space="preserve">35279</x:t>
  </x:si>
  <x:si>
    <x:t xml:space="preserve">https://www.smwcentral.net/?a=details&amp;id=35279&amp;p=section</x:t>
  </x:si>
  <x:si>
    <x:t xml:space="preserve">https://dl.smwcentral.net/35279/pht.zip</x:t>
  </x:si>
  <x:si>
    <x:t xml:space="preserve">The Tale of Elementia</x:t>
  </x:si>
  <x:si>
    <x:t xml:space="preserve">Supertails</x:t>
  </x:si>
  <x:si>
    <x:t xml:space="preserve">16068</x:t>
  </x:si>
  <x:si>
    <x:t xml:space="preserve">https://www.smwcentral.net/?a=details&amp;id=16068&amp;p=section</x:t>
  </x:si>
  <x:si>
    <x:t xml:space="preserve">https://dl.smwcentral.net/16068/ttoedemo2-fixed.zip</x:t>
  </x:si>
  <x:si>
    <x:t xml:space="preserve">The Team Shell Hack</x:t>
  </x:si>
  <x:si>
    <x:t xml:space="preserve">Jikurein, Team Shell, xamexer</x:t>
  </x:si>
  <x:si>
    <x:t xml:space="preserve">36961</x:t>
  </x:si>
  <x:si>
    <x:t xml:space="preserve">https://www.smwcentral.net/?a=details&amp;id=36961&amp;p=section</x:t>
  </x:si>
  <x:si>
    <x:t xml:space="preserve">https://dl.smwcentral.net/36961/TEAM_SHELL_3.0.zip</x:t>
  </x:si>
  <x:si>
    <x:t xml:space="preserve">The Temple of Dinosaurs</x:t>
  </x:si>
  <x:si>
    <x:t xml:space="preserve">9960</x:t>
  </x:si>
  <x:si>
    <x:t xml:space="preserve">https://www.smwcentral.net/?a=details&amp;id=9960&amp;p=section</x:t>
  </x:si>
  <x:si>
    <x:t xml:space="preserve">https://dl.smwcentral.net/9960/Temple.zip</x:t>
  </x:si>
  <x:si>
    <x:t xml:space="preserve">The Thousand Year Castle: A Sholmes Adventure</x:t>
  </x:si>
  <x:si>
    <x:t xml:space="preserve">41257</x:t>
  </x:si>
  <x:si>
    <x:t xml:space="preserve">https://www.smwcentral.net/?a=details&amp;id=41257&amp;p=section</x:t>
  </x:si>
  <x:si>
    <x:t xml:space="preserve">https://dl.smwcentral.net/41257/Sholmes%20Adventure%20updated.zip</x:t>
  </x:si>
  <x:si>
    <x:t xml:space="preserve">The Title is Irrelevant</x:t>
  </x:si>
  <x:si>
    <x:t xml:space="preserve">Forty2</x:t>
  </x:si>
  <x:si>
    <x:t xml:space="preserve">10136</x:t>
  </x:si>
  <x:si>
    <x:t xml:space="preserve">https://www.smwcentral.net/?a=details&amp;id=10136&amp;p=section</x:t>
  </x:si>
  <x:si>
    <x:t xml:space="preserve">https://dl.smwcentral.net/10136/tTiI-demo2.zip</x:t>
  </x:si>
  <x:si>
    <x:t xml:space="preserve">The Tower Tyrant</x:t>
  </x:si>
  <x:si>
    <x:t xml:space="preserve">Mtb4000</x:t>
  </x:si>
  <x:si>
    <x:t xml:space="preserve">10200</x:t>
  </x:si>
  <x:si>
    <x:t xml:space="preserve">https://www.smwcentral.net/?a=details&amp;id=10200&amp;p=section</x:t>
  </x:si>
  <x:si>
    <x:t xml:space="preserve">https://dl.smwcentral.net/10200/The%20Tower%20Tyrant%20DEMO.zip</x:t>
  </x:si>
  <x:si>
    <x:t xml:space="preserve">The Treasure Hunt</x:t>
  </x:si>
  <x:si>
    <x:t xml:space="preserve">Joshua</x:t>
  </x:si>
  <x:si>
    <x:t xml:space="preserve">13148</x:t>
  </x:si>
  <x:si>
    <x:t xml:space="preserve">https://www.smwcentral.net/?a=details&amp;id=13148&amp;p=section</x:t>
  </x:si>
  <x:si>
    <x:t xml:space="preserve">https://dl.smwcentral.net/13148/The%20Treasure%20Huntv1.1.zip</x:t>
  </x:si>
  <x:si>
    <x:t xml:space="preserve">The unbearable lightness of being</x:t>
  </x:si>
  <x:si>
    <x:t xml:space="preserve">30657</x:t>
  </x:si>
  <x:si>
    <x:t xml:space="preserve">https://www.smwcentral.net/?a=details&amp;id=30657&amp;p=section</x:t>
  </x:si>
  <x:si>
    <x:t xml:space="preserve">https://dl.smwcentral.net/30657/Release.zip</x:t>
  </x:si>
  <x:si>
    <x:t xml:space="preserve">The Underground</x:t>
  </x:si>
  <x:si>
    <x:t xml:space="preserve">algae5</x:t>
  </x:si>
  <x:si>
    <x:t xml:space="preserve">20204</x:t>
  </x:si>
  <x:si>
    <x:t xml:space="preserve">https://www.smwcentral.net/?a=details&amp;id=20204&amp;p=section</x:t>
  </x:si>
  <x:si>
    <x:t xml:space="preserve">https://dl.smwcentral.net/20204/The%20Underground.zip</x:t>
  </x:si>
  <x:si>
    <x:t xml:space="preserve">The United States of Mario</x:t>
  </x:si>
  <x:si>
    <x:t xml:space="preserve">marathonx</x:t>
  </x:si>
  <x:si>
    <x:t xml:space="preserve">27225</x:t>
  </x:si>
  <x:si>
    <x:t xml:space="preserve">https://www.smwcentral.net/?a=details&amp;id=27225&amp;p=section</x:t>
  </x:si>
  <x:si>
    <x:t xml:space="preserve">https://dl.smwcentral.net/27225/USM%20v1.04a.zip</x:t>
  </x:si>
  <x:si>
    <x:t xml:space="preserve">The Unknown</x:t>
  </x:si>
  <x:si>
    <x:t xml:space="preserve">29951</x:t>
  </x:si>
  <x:si>
    <x:t xml:space="preserve">https://www.smwcentral.net/?a=details&amp;id=29951&amp;p=section</x:t>
  </x:si>
  <x:si>
    <x:t xml:space="preserve">https://dl.smwcentral.net/29951/The%20Unknown.zip</x:t>
  </x:si>
  <x:si>
    <x:t xml:space="preserve">The Unworld</x:t>
  </x:si>
  <x:si>
    <x:t xml:space="preserve">PrincessEmilu</x:t>
  </x:si>
  <x:si>
    <x:t xml:space="preserve">9653</x:t>
  </x:si>
  <x:si>
    <x:t xml:space="preserve">https://www.smwcentral.net/?a=details&amp;id=9653&amp;p=section</x:t>
  </x:si>
  <x:si>
    <x:t xml:space="preserve">https://dl.smwcentral.net/9653/The%20Unworld.zip</x:t>
  </x:si>
  <x:si>
    <x:t xml:space="preserve">The Unworld: Recharged</x:t>
  </x:si>
  <x:si>
    <x:t xml:space="preserve">6230</x:t>
  </x:si>
  <x:si>
    <x:t xml:space="preserve">https://www.smwcentral.net/?a=details&amp;id=6230&amp;p=section</x:t>
  </x:si>
  <x:si>
    <x:t xml:space="preserve">https://dl.smwcentral.net/6230/The%20Unworld%20Recharged.zip</x:t>
  </x:si>
  <x:si>
    <x:t xml:space="preserve">The Vanilla</x:t>
  </x:si>
  <x:si>
    <x:t xml:space="preserve">15486</x:t>
  </x:si>
  <x:si>
    <x:t xml:space="preserve">https://www.smwcentral.net/?a=details&amp;id=15486&amp;p=section</x:t>
  </x:si>
  <x:si>
    <x:t xml:space="preserve">https://dl.smwcentral.net/15486/TheVanilla%201.3.zip</x:t>
  </x:si>
  <x:si>
    <x:t xml:space="preserve">The Wahn Stew Race</x:t>
  </x:si>
  <x:si>
    <x:t xml:space="preserve">Captain_Hacko, Erik_The_Swift, Para_0, VLSkoot, Yetibucca, placeholdertest, user_36733</x:t>
  </x:si>
  <x:si>
    <x:t xml:space="preserve">23816</x:t>
  </x:si>
  <x:si>
    <x:t xml:space="preserve">https://www.smwcentral.net/?a=details&amp;id=23816&amp;p=section</x:t>
  </x:si>
  <x:si>
    <x:t xml:space="preserve">https://dl.smwcentral.net/23816/The_Wahn_Stew_Race.zip</x:t>
  </x:si>
  <x:si>
    <x:t xml:space="preserve">The Way</x:t>
  </x:si>
  <x:si>
    <x:t xml:space="preserve">jdero</x:t>
  </x:si>
  <x:si>
    <x:t xml:space="preserve">36599</x:t>
  </x:si>
  <x:si>
    <x:t xml:space="preserve">https://www.smwcentral.net/?a=details&amp;id=36599&amp;p=section</x:t>
  </x:si>
  <x:si>
    <x:t xml:space="preserve">https://dl.smwcentral.net/36599/The%20Way.zip</x:t>
  </x:si>
  <x:si>
    <x:t xml:space="preserve">The Way of The M</x:t>
  </x:si>
  <x:si>
    <x:t xml:space="preserve">6225</x:t>
  </x:si>
  <x:si>
    <x:t xml:space="preserve">https://www.smwcentral.net/?a=details&amp;id=6225&amp;p=section</x:t>
  </x:si>
  <x:si>
    <x:t xml:space="preserve">https://dl.smwcentral.net/6225/The%20Way%20of%20The%20M%20%28Epsilon%29.zip</x:t>
  </x:si>
  <x:si>
    <x:t xml:space="preserve">The Winter Island</x:t>
  </x:si>
  <x:si>
    <x:t xml:space="preserve">25206</x:t>
  </x:si>
  <x:si>
    <x:t xml:space="preserve">https://www.smwcentral.net/?a=details&amp;id=25206&amp;p=section</x:t>
  </x:si>
  <x:si>
    <x:t xml:space="preserve">https://dl.smwcentral.net/25206/The%20Winter%20Island.zip</x:t>
  </x:si>
  <x:si>
    <x:t xml:space="preserve">The Worlds Longest Shelljump</x:t>
  </x:si>
  <x:si>
    <x:t xml:space="preserve">15340</x:t>
  </x:si>
  <x:si>
    <x:t xml:space="preserve">https://www.smwcentral.net/?a=details&amp;id=15340&amp;p=section</x:t>
  </x:si>
  <x:si>
    <x:t xml:space="preserve">https://dl.smwcentral.net/15340/WorldsLongestShellJump.zip</x:t>
  </x:si>
  <x:si>
    <x:t xml:space="preserve">The Yoshi Egg: A Mission in Miniature</x:t>
  </x:si>
  <x:si>
    <x:t xml:space="preserve">5344</x:t>
  </x:si>
  <x:si>
    <x:t xml:space="preserve">https://www.smwcentral.net/?a=details&amp;id=5344&amp;p=section</x:t>
  </x:si>
  <x:si>
    <x:t xml:space="preserve">https://dl.smwcentral.net/5344/The%20Yoshi%20Egg.zip</x:t>
  </x:si>
  <x:si>
    <x:t xml:space="preserve">The Yoshi Trilogy: Part 1 - Dawn of the Darkness</x:t>
  </x:si>
  <x:si>
    <x:t xml:space="preserve">DarthYoshi492</x:t>
  </x:si>
  <x:si>
    <x:t xml:space="preserve">10025</x:t>
  </x:si>
  <x:si>
    <x:t xml:space="preserve">https://www.smwcentral.net/?a=details&amp;id=10025&amp;p=section</x:t>
  </x:si>
  <x:si>
    <x:t xml:space="preserve">https://dl.smwcentral.net/10025/Yoshi%20-%20Dawn%20of%20the%20Darkness%20demo2.zip</x:t>
  </x:si>
  <x:si>
    <x:t xml:space="preserve">TheIslands</x:t>
  </x:si>
  <x:si>
    <x:t xml:space="preserve">42594</x:t>
  </x:si>
  <x:si>
    <x:t xml:space="preserve">https://www.smwcentral.net/?a=details&amp;id=42594&amp;p=section</x:t>
  </x:si>
  <x:si>
    <x:t xml:space="preserve">https://dl.smwcentral.net/42594/TheIslandsv1.1.zip</x:t>
  </x:si>
  <x:si>
    <x:t xml:space="preserve">theplumber'sodyssey</x:t>
  </x:si>
  <x:si>
    <x:t xml:space="preserve">Angel Miranda</x:t>
  </x:si>
  <x:si>
    <x:t xml:space="preserve">33848</x:t>
  </x:si>
  <x:si>
    <x:t xml:space="preserve">https://www.smwcentral.net/?a=details&amp;id=33848&amp;p=section</x:t>
  </x:si>
  <x:si>
    <x:t xml:space="preserve">https://dl.smwcentral.net/33848/theplumber%27sodyssey.zip</x:t>
  </x:si>
  <x:si>
    <x:t xml:space="preserve">therapy!</x:t>
  </x:si>
  <x:si>
    <x:t xml:space="preserve">28332</x:t>
  </x:si>
  <x:si>
    <x:t xml:space="preserve">https://www.smwcentral.net/?a=details&amp;id=28332&amp;p=section</x:t>
  </x:si>
  <x:si>
    <x:t xml:space="preserve">https://dl.smwcentral.net/28332/therapy%21.zip</x:t>
  </x:si>
  <x:si>
    <x:t xml:space="preserve">Things.smc</x:t>
  </x:si>
  <x:si>
    <x:t xml:space="preserve">28936</x:t>
  </x:si>
  <x:si>
    <x:t xml:space="preserve">https://www.smwcentral.net/?a=details&amp;id=28936&amp;p=section</x:t>
  </x:si>
  <x:si>
    <x:t xml:space="preserve">https://dl.smwcentral.net/28936/Things4U2Play.zip</x:t>
  </x:si>
  <x:si>
    <x:t xml:space="preserve">Think Fast</x:t>
  </x:si>
  <x:si>
    <x:t xml:space="preserve">26277</x:t>
  </x:si>
  <x:si>
    <x:t xml:space="preserve">https://www.smwcentral.net/?a=details&amp;id=26277&amp;p=section</x:t>
  </x:si>
  <x:si>
    <x:t xml:space="preserve">https://dl.smwcentral.net/26277/Think%20Fast.zip</x:t>
  </x:si>
  <x:si>
    <x:t xml:space="preserve">Third Whistle</x:t>
  </x:si>
  <x:si>
    <x:t xml:space="preserve">32464</x:t>
  </x:si>
  <x:si>
    <x:t xml:space="preserve">https://www.smwcentral.net/?a=details&amp;id=32464&amp;p=section</x:t>
  </x:si>
  <x:si>
    <x:t xml:space="preserve">https://dl.smwcentral.net/32464/ThirdWhistle.zip</x:t>
  </x:si>
  <x:si>
    <x:t xml:space="preserve">This Hack Contains EVERY Switch Palace Switch</x:t>
  </x:si>
  <x:si>
    <x:t xml:space="preserve">30338</x:t>
  </x:si>
  <x:si>
    <x:t xml:space="preserve">https://www.smwcentral.net/?a=details&amp;id=30338&amp;p=section</x:t>
  </x:si>
  <x:si>
    <x:t xml:space="preserve">https://dl.smwcentral.net/30338/%5BHack%5D%20This%20Hack%20Contains%20EVERY%20Switch%20Palace%20Switch.zip</x:t>
  </x:si>
  <x:si>
    <x:t xml:space="preserve">This Hack Needs a Name</x:t>
  </x:si>
  <x:si>
    <x:t xml:space="preserve">yeahman</x:t>
  </x:si>
  <x:si>
    <x:t xml:space="preserve">33796</x:t>
  </x:si>
  <x:si>
    <x:t xml:space="preserve">https://www.smwcentral.net/?a=details&amp;id=33796&amp;p=section</x:t>
  </x:si>
  <x:si>
    <x:t xml:space="preserve">https://dl.smwcentral.net/33796/this%20hack%20needs%20a%20name.zip</x:t>
  </x:si>
  <x:si>
    <x:t xml:space="preserve">This Hack Was Made in 2 Hours</x:t>
  </x:si>
  <x:si>
    <x:t xml:space="preserve">14930</x:t>
  </x:si>
  <x:si>
    <x:t xml:space="preserve">https://www.smwcentral.net/?a=details&amp;id=14930&amp;p=section</x:t>
  </x:si>
  <x:si>
    <x:t xml:space="preserve">https://dl.smwcentral.net/14930/This%20Hack%20Was%20Made%20in%202%20Hours.zip</x:t>
  </x:si>
  <x:si>
    <x:t xml:space="preserve">This is a Good Hack to Play if You Just Started Playing Kaizo... World</x:t>
  </x:si>
  <x:si>
    <x:t xml:space="preserve">BabaYegha, LouisDoucet, Magmatic, StayAtHomeStegosaurus, Sweetdude, gui</x:t>
  </x:si>
  <x:si>
    <x:t xml:space="preserve">27729</x:t>
  </x:si>
  <x:si>
    <x:t xml:space="preserve">https://www.smwcentral.net/?a=details&amp;id=27729&amp;p=section</x:t>
  </x:si>
  <x:si>
    <x:t xml:space="preserve">https://dl.smwcentral.net/27729/TIAGHTPIYJSPKW_V1.1.1.zip</x:t>
  </x:si>
  <x:si>
    <x:t xml:space="preserve">This Is Why We Kaizo</x:t>
  </x:si>
  <x:si>
    <x:t xml:space="preserve">42425</x:t>
  </x:si>
  <x:si>
    <x:t xml:space="preserve">https://www.smwcentral.net/?a=details&amp;id=42425&amp;p=section</x:t>
  </x:si>
  <x:si>
    <x:t xml:space="preserve">https://dl.smwcentral.net/42425/ThisIsWhyWeKaizo.zip</x:t>
  </x:si>
  <x:si>
    <x:t xml:space="preserve">Those Darn Plumbers</x:t>
  </x:si>
  <x:si>
    <x:t xml:space="preserve">9697</x:t>
  </x:si>
  <x:si>
    <x:t xml:space="preserve">https://www.smwcentral.net/?a=details&amp;id=9697&amp;p=section</x:t>
  </x:si>
  <x:si>
    <x:t xml:space="preserve">https://dl.smwcentral.net/9697/TDPV03.zip</x:t>
  </x:si>
  <x:si>
    <x:t xml:space="preserve">Thread the Needle</x:t>
  </x:si>
  <x:si>
    <x:t xml:space="preserve">35044</x:t>
  </x:si>
  <x:si>
    <x:t xml:space="preserve">https://www.smwcentral.net/?a=details&amp;id=35044&amp;p=section</x:t>
  </x:si>
  <x:si>
    <x:t xml:space="preserve">https://dl.smwcentral.net/35044/Thread%20the%20Needle%201.3.zip</x:t>
  </x:si>
  <x:si>
    <x:t xml:space="preserve">THROWING HANDS</x:t>
  </x:si>
  <x:si>
    <x:t xml:space="preserve">40657</x:t>
  </x:si>
  <x:si>
    <x:t xml:space="preserve">https://www.smwcentral.net/?a=details&amp;id=40657&amp;p=section</x:t>
  </x:si>
  <x:si>
    <x:t xml:space="preserve">https://dl.smwcentral.net/40657/THROWING%20HANDS.zip</x:t>
  </x:si>
  <x:si>
    <x:t xml:space="preserve">Thunderstruck Mario</x:t>
  </x:si>
  <x:si>
    <x:t xml:space="preserve">Mr Esc</x:t>
  </x:si>
  <x:si>
    <x:t xml:space="preserve">10241</x:t>
  </x:si>
  <x:si>
    <x:t xml:space="preserve">https://www.smwcentral.net/?a=details&amp;id=10241&amp;p=section</x:t>
  </x:si>
  <x:si>
    <x:t xml:space="preserve">https://dl.smwcentral.net/10241/Thunderstruck%20demo%202012%20v1A.zip</x:t>
  </x:si>
  <x:si>
    <x:t xml:space="preserve">TILIA</x:t>
  </x:si>
  <x:si>
    <x:t xml:space="preserve">41580</x:t>
  </x:si>
  <x:si>
    <x:t xml:space="preserve">https://www.smwcentral.net/?a=details&amp;id=41580&amp;p=section</x:t>
  </x:si>
  <x:si>
    <x:t xml:space="preserve">https://dl.smwcentral.net/41580/TILIA%202.3.zip</x:t>
  </x:si>
  <x:si>
    <x:t xml:space="preserve">Time Out!</x:t>
  </x:si>
  <x:si>
    <x:t xml:space="preserve">28440</x:t>
  </x:si>
  <x:si>
    <x:t xml:space="preserve">https://www.smwcentral.net/?a=details&amp;id=28440&amp;p=section</x:t>
  </x:si>
  <x:si>
    <x:t xml:space="preserve">https://dl.smwcentral.net/28440/Time%20Out%21%20%5BDemo%202%5D.zip</x:t>
  </x:si>
  <x:si>
    <x:t xml:space="preserve">TIME UP!</x:t>
  </x:si>
  <x:si>
    <x:t xml:space="preserve">Scarfley</x:t>
  </x:si>
  <x:si>
    <x:t xml:space="preserve">39398</x:t>
  </x:si>
  <x:si>
    <x:t xml:space="preserve">https://www.smwcentral.net/?a=details&amp;id=39398&amp;p=section</x:t>
  </x:si>
  <x:si>
    <x:t xml:space="preserve">https://dl.smwcentral.net/39398/TIME%20UP.zip</x:t>
  </x:si>
  <x:si>
    <x:t xml:space="preserve">Timeline Death Challenge</x:t>
  </x:si>
  <x:si>
    <x:t xml:space="preserve">26719</x:t>
  </x:si>
  <x:si>
    <x:t xml:space="preserve">https://www.smwcentral.net/?a=details&amp;id=26719&amp;p=section</x:t>
  </x:si>
  <x:si>
    <x:t xml:space="preserve">https://dl.smwcentral.net/26719/TimelineDeathChallenge.zip</x:t>
  </x:si>
  <x:si>
    <x:t xml:space="preserve">Timeline World</x:t>
  </x:si>
  <x:si>
    <x:t xml:space="preserve">Natsuz2, TheReaper</x:t>
  </x:si>
  <x:si>
    <x:t xml:space="preserve">28647</x:t>
  </x:si>
  <x:si>
    <x:t xml:space="preserve">https://www.smwcentral.net/?a=details&amp;id=28647&amp;p=section</x:t>
  </x:si>
  <x:si>
    <x:t xml:space="preserve">https://dl.smwcentral.net/28647/Timeline%20World%201.2.zip</x:t>
  </x:si>
  <x:si>
    <x:t xml:space="preserve">Tiny Variety World</x:t>
  </x:si>
  <x:si>
    <x:t xml:space="preserve">10250</x:t>
  </x:si>
  <x:si>
    <x:t xml:space="preserve">https://www.smwcentral.net/?a=details&amp;id=10250&amp;p=section</x:t>
  </x:si>
  <x:si>
    <x:t xml:space="preserve">https://dl.smwcentral.net/10250/TVW.zip</x:t>
  </x:si>
  <x:si>
    <x:t xml:space="preserve">Tired Mario World</x:t>
  </x:si>
  <x:si>
    <x:t xml:space="preserve">33137</x:t>
  </x:si>
  <x:si>
    <x:t xml:space="preserve">https://www.smwcentral.net/?a=details&amp;id=33137&amp;p=section</x:t>
  </x:si>
  <x:si>
    <x:t xml:space="preserve">https://dl.smwcentral.net/33137/Tired%20Mario%20World.zip</x:t>
  </x:si>
  <x:si>
    <x:t xml:space="preserve">Titan Mario</x:t>
  </x:si>
  <x:si>
    <x:t xml:space="preserve">28247</x:t>
  </x:si>
  <x:si>
    <x:t xml:space="preserve">https://www.smwcentral.net/?a=details&amp;id=28247&amp;p=section</x:t>
  </x:si>
  <x:si>
    <x:t xml:space="preserve">https://dl.smwcentral.net/28247/titan1.1.zip</x:t>
  </x:si>
  <x:si>
    <x:t xml:space="preserve">Titan Mario 2</x:t>
  </x:si>
  <x:si>
    <x:t xml:space="preserve">37767</x:t>
  </x:si>
  <x:si>
    <x:t xml:space="preserve">https://www.smwcentral.net/?a=details&amp;id=37767&amp;p=section</x:t>
  </x:si>
  <x:si>
    <x:t xml:space="preserve">https://dl.smwcentral.net/37767/Titan2_1.1.zip</x:t>
  </x:si>
  <x:si>
    <x:t xml:space="preserve">Tithered Mario</x:t>
  </x:si>
  <x:si>
    <x:t xml:space="preserve">22845</x:t>
  </x:si>
  <x:si>
    <x:t xml:space="preserve">https://www.smwcentral.net/?a=details&amp;id=22845&amp;p=section</x:t>
  </x:si>
  <x:si>
    <x:t xml:space="preserve">https://dl.smwcentral.net/22845/Tithered_Mario.zip</x:t>
  </x:si>
  <x:si>
    <x:t xml:space="preserve">Title</x:t>
  </x:si>
  <x:si>
    <x:t xml:space="preserve">5577</x:t>
  </x:si>
  <x:si>
    <x:t xml:space="preserve">https://www.smwcentral.net/?a=details&amp;id=5577&amp;p=section</x:t>
  </x:si>
  <x:si>
    <x:t xml:space="preserve">https://dl.smwcentral.net/5577/%5Btitle%5D.zip</x:t>
  </x:si>
  <x:si>
    <x:t xml:space="preserve">TmD</x:t>
  </x:si>
  <x:si>
    <x:t xml:space="preserve">30607</x:t>
  </x:si>
  <x:si>
    <x:t xml:space="preserve">https://www.smwcentral.net/?a=details&amp;id=30607&amp;p=section</x:t>
  </x:si>
  <x:si>
    <x:t xml:space="preserve">https://dl.smwcentral.net/30607/TmD.zip</x:t>
  </x:si>
  <x:si>
    <x:t xml:space="preserve">TMFC3EYHEP&amp;K - Q2BDB</x:t>
  </x:si>
  <x:si>
    <x:t xml:space="preserve">11499</x:t>
  </x:si>
  <x:si>
    <x:t xml:space="preserve">https://www.smwcentral.net/?a=details&amp;id=11499&amp;p=section</x:t>
  </x:si>
  <x:si>
    <x:t xml:space="preserve">https://dl.smwcentral.net/11499/TMFC3EYHAP%26K%20-%20Q2BDB.zip</x:t>
  </x:si>
  <x:si>
    <x:t xml:space="preserve">To Shell And Back!</x:t>
  </x:si>
  <x:si>
    <x:t xml:space="preserve">Bux</x:t>
  </x:si>
  <x:si>
    <x:t xml:space="preserve">36780</x:t>
  </x:si>
  <x:si>
    <x:t xml:space="preserve">https://www.smwcentral.net/?a=details&amp;id=36780&amp;p=section</x:t>
  </x:si>
  <x:si>
    <x:t xml:space="preserve">https://dl.smwcentral.net/36780/To%20Shell%20And%20Back%21%201.3.zip</x:t>
  </x:si>
  <x:si>
    <x:t xml:space="preserve">Toad Kaizo World</x:t>
  </x:si>
  <x:si>
    <x:t xml:space="preserve">Bruno Peixoto</x:t>
  </x:si>
  <x:si>
    <x:t xml:space="preserve">22869</x:t>
  </x:si>
  <x:si>
    <x:t xml:space="preserve">https://www.smwcentral.net/?a=details&amp;id=22869&amp;p=section</x:t>
  </x:si>
  <x:si>
    <x:t xml:space="preserve">https://dl.smwcentral.net/22869/Toad%20Kaizo%20World.zip</x:t>
  </x:si>
  <x:si>
    <x:t xml:space="preserve">Toad Kaizo World 2</x:t>
  </x:si>
  <x:si>
    <x:t xml:space="preserve">26862</x:t>
  </x:si>
  <x:si>
    <x:t xml:space="preserve">https://www.smwcentral.net/?a=details&amp;id=26862&amp;p=section</x:t>
  </x:si>
  <x:si>
    <x:t xml:space="preserve">https://dl.smwcentral.net/26862/Toad%20Kaizo%20World%202.zip</x:t>
  </x:si>
  <x:si>
    <x:t xml:space="preserve">Toad's cherry tracker</x:t>
  </x:si>
  <x:si>
    <x:t xml:space="preserve">38570</x:t>
  </x:si>
  <x:si>
    <x:t xml:space="preserve">https://www.smwcentral.net/?a=details&amp;id=38570&amp;p=section</x:t>
  </x:si>
  <x:si>
    <x:t xml:space="preserve">https://dl.smwcentral.net/38570/Toad%27s%20Cherry%20Tracker%20V1.3.zip</x:t>
  </x:si>
  <x:si>
    <x:t xml:space="preserve">Toad's World</x:t>
  </x:si>
  <x:si>
    <x:t xml:space="preserve">FPI, Ice Man, ghettoyouth</x:t>
  </x:si>
  <x:si>
    <x:t xml:space="preserve">42620</x:t>
  </x:si>
  <x:si>
    <x:t xml:space="preserve">https://www.smwcentral.net/?a=details&amp;id=42620&amp;p=section</x:t>
  </x:si>
  <x:si>
    <x:t xml:space="preserve">https://dl.smwcentral.net/42620/Toad%27s%20World%20%282026%20Version%201.2%29.zip</x:t>
  </x:si>
  <x:si>
    <x:t xml:space="preserve">Toad's World 2</x:t>
  </x:si>
  <x:si>
    <x:t xml:space="preserve">39167</x:t>
  </x:si>
  <x:si>
    <x:t xml:space="preserve">https://www.smwcentral.net/?a=details&amp;id=39167&amp;p=section</x:t>
  </x:si>
  <x:si>
    <x:t xml:space="preserve">https://dl.smwcentral.net/39167/Toad%27s%20World%202%20v1.2%20%28Normal%20%2B%20Hard%20Mode%29.zip</x:t>
  </x:si>
  <x:si>
    <x:t xml:space="preserve">Toadette's Adventure</x:t>
  </x:si>
  <x:si>
    <x:t xml:space="preserve">I don't know a good name.</x:t>
  </x:si>
  <x:si>
    <x:t xml:space="preserve">21476</x:t>
  </x:si>
  <x:si>
    <x:t xml:space="preserve">https://www.smwcentral.net/?a=details&amp;id=21476&amp;p=section</x:t>
  </x:si>
  <x:si>
    <x:t xml:space="preserve">https://dl.smwcentral.net/21476/Toadette.zip</x:t>
  </x:si>
  <x:si>
    <x:t xml:space="preserve">Toadette's Kaizo Tuesday</x:t>
  </x:si>
  <x:si>
    <x:t xml:space="preserve">31771</x:t>
  </x:si>
  <x:si>
    <x:t xml:space="preserve">https://www.smwcentral.net/?a=details&amp;id=31771&amp;p=section</x:t>
  </x:si>
  <x:si>
    <x:t xml:space="preserve">https://dl.smwcentral.net/31771/ToadettesKaizoTuesday.zip</x:t>
  </x:si>
  <x:si>
    <x:t xml:space="preserve">Toadventure</x:t>
  </x:si>
  <x:si>
    <x:t xml:space="preserve">28264</x:t>
  </x:si>
  <x:si>
    <x:t xml:space="preserve">https://www.smwcentral.net/?a=details&amp;id=28264&amp;p=section</x:t>
  </x:si>
  <x:si>
    <x:t xml:space="preserve">https://dl.smwcentral.net/28264/Toadventure.zip</x:t>
  </x:si>
  <x:si>
    <x:t xml:space="preserve">Tomorrow, Together</x:t>
  </x:si>
  <x:si>
    <x:t xml:space="preserve">32718</x:t>
  </x:si>
  <x:si>
    <x:t xml:space="preserve">https://www.smwcentral.net/?a=details&amp;id=32718&amp;p=section</x:t>
  </x:si>
  <x:si>
    <x:t xml:space="preserve">https://dl.smwcentral.net/32718/Tomorrow.zip</x:t>
  </x:si>
  <x:si>
    <x:t xml:space="preserve">Toothpaste World</x:t>
  </x:si>
  <x:si>
    <x:t xml:space="preserve">TheRedCrystal</x:t>
  </x:si>
  <x:si>
    <x:t xml:space="preserve">40125</x:t>
  </x:si>
  <x:si>
    <x:t xml:space="preserve">https://www.smwcentral.net/?a=details&amp;id=40125&amp;p=section</x:t>
  </x:si>
  <x:si>
    <x:t xml:space="preserve">https://dl.smwcentral.net/40125/toothpaste%20world.zip</x:t>
  </x:si>
  <x:si>
    <x:t xml:space="preserve">Torkiyello</x:t>
  </x:si>
  <x:si>
    <x:t xml:space="preserve">20120</x:t>
  </x:si>
  <x:si>
    <x:t xml:space="preserve">https://www.smwcentral.net/?a=details&amp;id=20120&amp;p=section</x:t>
  </x:si>
  <x:si>
    <x:t xml:space="preserve">https://dl.smwcentral.net/20120/Torkiyello%20v1.zip</x:t>
  </x:si>
  <x:si>
    <x:t xml:space="preserve">torkiyello extra pack</x:t>
  </x:si>
  <x:si>
    <x:t xml:space="preserve">25031</x:t>
  </x:si>
  <x:si>
    <x:t xml:space="preserve">https://www.smwcentral.net/?a=details&amp;id=25031&amp;p=section</x:t>
  </x:si>
  <x:si>
    <x:t xml:space="preserve">https://dl.smwcentral.net/25031/torkiyello%20extra%20pack%20new%20update.zip</x:t>
  </x:si>
  <x:si>
    <x:t xml:space="preserve">torkiyello iki</x:t>
  </x:si>
  <x:si>
    <x:t xml:space="preserve">25030</x:t>
  </x:si>
  <x:si>
    <x:t xml:space="preserve">https://www.smwcentral.net/?a=details&amp;id=25030&amp;p=section</x:t>
  </x:si>
  <x:si>
    <x:t xml:space="preserve">https://dl.smwcentral.net/25030/torkiyello%20iki%20new%20update.zip</x:t>
  </x:si>
  <x:si>
    <x:t xml:space="preserve">Tortured Souls</x:t>
  </x:si>
  <x:si>
    <x:t xml:space="preserve">RZRider</x:t>
  </x:si>
  <x:si>
    <x:t xml:space="preserve">31160</x:t>
  </x:si>
  <x:si>
    <x:t xml:space="preserve">https://www.smwcentral.net/?a=details&amp;id=31160&amp;p=section</x:t>
  </x:si>
  <x:si>
    <x:t xml:space="preserve">https://dl.smwcentral.net/31160/TorturedSouls1.2.zip</x:t>
  </x:si>
  <x:si>
    <x:t xml:space="preserve">Tortured Souls 3 DEMO</x:t>
  </x:si>
  <x:si>
    <x:t xml:space="preserve">38917</x:t>
  </x:si>
  <x:si>
    <x:t xml:space="preserve">https://www.smwcentral.net/?a=details&amp;id=38917&amp;p=section</x:t>
  </x:si>
  <x:si>
    <x:t xml:space="preserve">https://dl.smwcentral.net/38917/TS3Demo1.1.zip</x:t>
  </x:si>
  <x:si>
    <x:t xml:space="preserve">Tortured Souls II: Rapture</x:t>
  </x:si>
  <x:si>
    <x:t xml:space="preserve">37513</x:t>
  </x:si>
  <x:si>
    <x:t xml:space="preserve">https://www.smwcentral.net/?a=details&amp;id=37513&amp;p=section</x:t>
  </x:si>
  <x:si>
    <x:t xml:space="preserve">https://dl.smwcentral.net/37513/TorturedSoulsIIRapture.zip</x:t>
  </x:si>
  <x:si>
    <x:t xml:space="preserve">Total Jotary World</x:t>
  </x:si>
  <x:si>
    <x:t xml:space="preserve">Narcologer</x:t>
  </x:si>
  <x:si>
    <x:t xml:space="preserve">31032</x:t>
  </x:si>
  <x:si>
    <x:t xml:space="preserve">https://www.smwcentral.net/?a=details&amp;id=31032&amp;p=section</x:t>
  </x:si>
  <x:si>
    <x:t xml:space="preserve">https://dl.smwcentral.net/31032/Total%20Jotary%20World.zip</x:t>
  </x:si>
  <x:si>
    <x:t xml:space="preserve">Total Mario World</x:t>
  </x:si>
  <x:si>
    <x:t xml:space="preserve">18665</x:t>
  </x:si>
  <x:si>
    <x:t xml:space="preserve">https://www.smwcentral.net/?a=details&amp;id=18665&amp;p=section</x:t>
  </x:si>
  <x:si>
    <x:t xml:space="preserve">https://dl.smwcentral.net/18665/TMW.zip</x:t>
  </x:si>
  <x:si>
    <x:t xml:space="preserve">Totally Vanilla</x:t>
  </x:si>
  <x:si>
    <x:t xml:space="preserve">23974</x:t>
  </x:si>
  <x:si>
    <x:t xml:space="preserve">https://www.smwcentral.net/?a=details&amp;id=23974&amp;p=section</x:t>
  </x:si>
  <x:si>
    <x:t xml:space="preserve">https://dl.smwcentral.net/23974/Totally%20Vanilla.zip</x:t>
  </x:si>
  <x:si>
    <x:t xml:space="preserve">Totemo Tanoshii World</x:t>
  </x:si>
  <x:si>
    <x:t xml:space="preserve">26296</x:t>
  </x:si>
  <x:si>
    <x:t xml:space="preserve">https://www.smwcentral.net/?a=details&amp;id=26296&amp;p=section</x:t>
  </x:si>
  <x:si>
    <x:t xml:space="preserve">https://dl.smwcentral.net/26296/TotemoTanoshiWorld_v1.02.zip</x:t>
  </x:si>
  <x:si>
    <x:t xml:space="preserve">Touhou Mario: Imperishable Night</x:t>
  </x:si>
  <x:si>
    <x:t xml:space="preserve">Vitor Vilela, Wakana</x:t>
  </x:si>
  <x:si>
    <x:t xml:space="preserve">6059</x:t>
  </x:si>
  <x:si>
    <x:t xml:space="preserve">https://www.smwcentral.net/?a=details&amp;id=6059&amp;p=section</x:t>
  </x:si>
  <x:si>
    <x:t xml:space="preserve">https://dl.smwcentral.net/6059/Touhou%20Mario.zip</x:t>
  </x:si>
  <x:si>
    <x:t xml:space="preserve">Tower of Facades</x:t>
  </x:si>
  <x:si>
    <x:t xml:space="preserve">39332</x:t>
  </x:si>
  <x:si>
    <x:t xml:space="preserve">https://www.smwcentral.net/?a=details&amp;id=39332&amp;p=section</x:t>
  </x:si>
  <x:si>
    <x:t xml:space="preserve">https://dl.smwcentral.net/39332/Tower%20of%20Facades.zip</x:t>
  </x:si>
  <x:si>
    <x:t xml:space="preserve">Tower Of Glory</x:t>
  </x:si>
  <x:si>
    <x:t xml:space="preserve">ShoopDaWhoop</x:t>
  </x:si>
  <x:si>
    <x:t xml:space="preserve">38036</x:t>
  </x:si>
  <x:si>
    <x:t xml:space="preserve">https://www.smwcentral.net/?a=details&amp;id=38036&amp;p=section</x:t>
  </x:si>
  <x:si>
    <x:t xml:space="preserve">https://dl.smwcentral.net/38036/Tower%20of%20Glory.zip</x:t>
  </x:si>
  <x:si>
    <x:t xml:space="preserve">Tower Of Glory 2</x:t>
  </x:si>
  <x:si>
    <x:t xml:space="preserve">42504</x:t>
  </x:si>
  <x:si>
    <x:t xml:space="preserve">https://www.smwcentral.net/?a=details&amp;id=42504&amp;p=section</x:t>
  </x:si>
  <x:si>
    <x:t xml:space="preserve">https://dl.smwcentral.net/42504/Tower%20of%20Glory%202%20%281%29.zip</x:t>
  </x:si>
  <x:si>
    <x:t xml:space="preserve">Tower Of Keys</x:t>
  </x:si>
  <x:si>
    <x:t xml:space="preserve">14452</x:t>
  </x:si>
  <x:si>
    <x:t xml:space="preserve">https://www.smwcentral.net/?a=details&amp;id=14452&amp;p=section</x:t>
  </x:si>
  <x:si>
    <x:t xml:space="preserve">https://dl.smwcentral.net/14452/tower%20of%20keys.zip</x:t>
  </x:si>
  <x:si>
    <x:t xml:space="preserve">Tower Of Nopecr</x:t>
  </x:si>
  <x:si>
    <x:t xml:space="preserve">38786</x:t>
  </x:si>
  <x:si>
    <x:t xml:space="preserve">https://www.smwcentral.net/?a=details&amp;id=38786&amp;p=section</x:t>
  </x:si>
  <x:si>
    <x:t xml:space="preserve">https://dl.smwcentral.net/38786/Tower_Of_Nopecr.zip</x:t>
  </x:si>
  <x:si>
    <x:t xml:space="preserve">Tower of Shells 2: True Insanity</x:t>
  </x:si>
  <x:si>
    <x:t xml:space="preserve">32042</x:t>
  </x:si>
  <x:si>
    <x:t xml:space="preserve">https://www.smwcentral.net/?a=details&amp;id=32042&amp;p=section</x:t>
  </x:si>
  <x:si>
    <x:t xml:space="preserve">https://dl.smwcentral.net/32042/TowerOfShells2TrueInsanity.zip</x:t>
  </x:si>
  <x:si>
    <x:t xml:space="preserve">Tower of Shells DELUXE</x:t>
  </x:si>
  <x:si>
    <x:t xml:space="preserve">27801</x:t>
  </x:si>
  <x:si>
    <x:t xml:space="preserve">https://www.smwcentral.net/?a=details&amp;id=27801&amp;p=section</x:t>
  </x:si>
  <x:si>
    <x:t xml:space="preserve">https://dl.smwcentral.net/27801/Tower%20of%20Shells%20DELUXE.zip</x:t>
  </x:si>
  <x:si>
    <x:t xml:space="preserve">Trans Liberation Forever</x:t>
  </x:si>
  <x:si>
    <x:t xml:space="preserve">33007</x:t>
  </x:si>
  <x:si>
    <x:t xml:space="preserve">https://www.smwcentral.net/?a=details&amp;id=33007&amp;p=section</x:t>
  </x:si>
  <x:si>
    <x:t xml:space="preserve">https://dl.smwcentral.net/33007/Trans%20Liberation%20Forever%202.04.zip</x:t>
  </x:si>
  <x:si>
    <x:t xml:space="preserve">Transatlantic Flights</x:t>
  </x:si>
  <x:si>
    <x:t xml:space="preserve">37885</x:t>
  </x:si>
  <x:si>
    <x:t xml:space="preserve">https://www.smwcentral.net/?a=details&amp;id=37885&amp;p=section</x:t>
  </x:si>
  <x:si>
    <x:t xml:space="preserve">https://dl.smwcentral.net/37885/Transatlantic_Flight-V1.1.zip</x:t>
  </x:si>
  <x:si>
    <x:t xml:space="preserve">Transmission Chain Experiment</x:t>
  </x:si>
  <x:si>
    <x:t xml:space="preserve">29659</x:t>
  </x:si>
  <x:si>
    <x:t xml:space="preserve">https://www.smwcentral.net/?a=details&amp;id=29659&amp;p=section</x:t>
  </x:si>
  <x:si>
    <x:t xml:space="preserve">https://dl.smwcentral.net/29659/TransmissionChainExperiment.zip</x:t>
  </x:si>
  <x:si>
    <x:t xml:space="preserve">Transylvania Fable- Legacy of Archaic Arcanum</x:t>
  </x:si>
  <x:si>
    <x:t xml:space="preserve">16080</x:t>
  </x:si>
  <x:si>
    <x:t xml:space="preserve">https://www.smwcentral.net/?a=details&amp;id=16080&amp;p=section</x:t>
  </x:si>
  <x:si>
    <x:t xml:space="preserve">https://dl.smwcentral.net/16080/TF.zip</x:t>
  </x:si>
  <x:si>
    <x:t xml:space="preserve">trashdumb</x:t>
  </x:si>
  <x:si>
    <x:t xml:space="preserve">26737</x:t>
  </x:si>
  <x:si>
    <x:t xml:space="preserve">https://www.smwcentral.net/?a=details&amp;id=26737&amp;p=section</x:t>
  </x:si>
  <x:si>
    <x:t xml:space="preserve">https://dl.smwcentral.net/26737/trashdumb.zip</x:t>
  </x:si>
  <x:si>
    <x:t xml:space="preserve">TRAWASBNONASYACTNISGAS</x:t>
  </x:si>
  <x:si>
    <x:t xml:space="preserve">13554</x:t>
  </x:si>
  <x:si>
    <x:t xml:space="preserve">https://www.smwcentral.net/?a=details&amp;id=13554&amp;p=section</x:t>
  </x:si>
  <x:si>
    <x:t xml:space="preserve">https://dl.smwcentral.net/13554/TRAWASBNONASYACTNISGAS.zip</x:t>
  </x:si>
  <x:si>
    <x:t xml:space="preserve">Tribute</x:t>
  </x:si>
  <x:si>
    <x:t xml:space="preserve">JakAttack</x:t>
  </x:si>
  <x:si>
    <x:t xml:space="preserve">42703</x:t>
  </x:si>
  <x:si>
    <x:t xml:space="preserve">https://www.smwcentral.net/?a=details&amp;id=42703&amp;p=section</x:t>
  </x:si>
  <x:si>
    <x:t xml:space="preserve">https://dl.smwcentral.net/42703/Tribute.zip</x:t>
  </x:si>
  <x:si>
    <x:t xml:space="preserve">Tricky Mario</x:t>
  </x:si>
  <x:si>
    <x:t xml:space="preserve">tomato jonson</x:t>
  </x:si>
  <x:si>
    <x:t xml:space="preserve">22832</x:t>
  </x:si>
  <x:si>
    <x:t xml:space="preserve">https://www.smwcentral.net/?a=details&amp;id=22832&amp;p=section</x:t>
  </x:si>
  <x:si>
    <x:t xml:space="preserve">https://dl.smwcentral.net/22832/tricky%20mario.zip</x:t>
  </x:si>
  <x:si>
    <x:t xml:space="preserve">Tricky Mario 2</x:t>
  </x:si>
  <x:si>
    <x:t xml:space="preserve">28235</x:t>
  </x:si>
  <x:si>
    <x:t xml:space="preserve">https://www.smwcentral.net/?a=details&amp;id=28235&amp;p=section</x:t>
  </x:si>
  <x:si>
    <x:t xml:space="preserve">https://dl.smwcentral.net/28235/tm2.zip</x:t>
  </x:si>
  <x:si>
    <x:t xml:space="preserve">Trinity Shells</x:t>
  </x:si>
  <x:si>
    <x:t xml:space="preserve">33538</x:t>
  </x:si>
  <x:si>
    <x:t xml:space="preserve">https://www.smwcentral.net/?a=details&amp;id=33538&amp;p=section</x:t>
  </x:si>
  <x:si>
    <x:t xml:space="preserve">https://dl.smwcentral.net/33538/Trinity%20Shells%20V1.1.zip</x:t>
  </x:si>
  <x:si>
    <x:t xml:space="preserve">Trouble at Snow Land</x:t>
  </x:si>
  <x:si>
    <x:t xml:space="preserve">35774</x:t>
  </x:si>
  <x:si>
    <x:t xml:space="preserve">https://www.smwcentral.net/?a=details&amp;id=35774&amp;p=section</x:t>
  </x:si>
  <x:si>
    <x:t xml:space="preserve">https://dl.smwcentral.net/35774/Trouble%20at%20Snow%20Land%201.1.zip</x:t>
  </x:si>
  <x:si>
    <x:t xml:space="preserve">Trouble in Truffle Islands</x:t>
  </x:si>
  <x:si>
    <x:t xml:space="preserve">Cydrius</x:t>
  </x:si>
  <x:si>
    <x:t xml:space="preserve">14167</x:t>
  </x:si>
  <x:si>
    <x:t xml:space="preserve">https://www.smwcentral.net/?a=details&amp;id=14167&amp;p=section</x:t>
  </x:si>
  <x:si>
    <x:t xml:space="preserve">https://dl.smwcentral.net/14167/SMW%20-%20Trouble%20in%20Truffle%20Islands.zip</x:t>
  </x:si>
  <x:si>
    <x:t xml:space="preserve">Truc Bidule</x:t>
  </x:si>
  <x:si>
    <x:t xml:space="preserve">35741</x:t>
  </x:si>
  <x:si>
    <x:t xml:space="preserve">https://www.smwcentral.net/?a=details&amp;id=35741&amp;p=section</x:t>
  </x:si>
  <x:si>
    <x:t xml:space="preserve">https://dl.smwcentral.net/35741/Truc_Bidule.zip</x:t>
  </x:si>
  <x:si>
    <x:t xml:space="preserve">TSG's Obligatory Ice Level</x:t>
  </x:si>
  <x:si>
    <x:t xml:space="preserve">10120</x:t>
  </x:si>
  <x:si>
    <x:t xml:space="preserve">https://www.smwcentral.net/?a=details&amp;id=10120&amp;p=section</x:t>
  </x:si>
  <x:si>
    <x:t xml:space="preserve">https://dl.smwcentral.net/10120/OILDL.zip</x:t>
  </x:si>
  <x:si>
    <x:t xml:space="preserve">Tsunami Island</x:t>
  </x:si>
  <x:si>
    <x:t xml:space="preserve">5609</x:t>
  </x:si>
  <x:si>
    <x:t xml:space="preserve">https://www.smwcentral.net/?a=details&amp;id=5609&amp;p=section</x:t>
  </x:si>
  <x:si>
    <x:t xml:space="preserve">https://dl.smwcentral.net/5609/Tsunami%20Island.zip</x:t>
  </x:si>
  <x:si>
    <x:t xml:space="preserve">Twisted Plains</x:t>
  </x:si>
  <x:si>
    <x:t xml:space="preserve">25564</x:t>
  </x:si>
  <x:si>
    <x:t xml:space="preserve">https://www.smwcentral.net/?a=details&amp;id=25564&amp;p=section</x:t>
  </x:si>
  <x:si>
    <x:t xml:space="preserve">https://dl.smwcentral.net/25564/Twisted%20Plains.zip</x:t>
  </x:si>
  <x:si>
    <x:t xml:space="preserve">U N O R I G I N A L (C3 2020 Demo)</x:t>
  </x:si>
  <x:si>
    <x:t xml:space="preserve">92</x:t>
  </x:si>
  <x:si>
    <x:t xml:space="preserve">23741</x:t>
  </x:si>
  <x:si>
    <x:t xml:space="preserve">https://www.smwcentral.net/?a=details&amp;id=23741&amp;p=section</x:t>
  </x:si>
  <x:si>
    <x:t xml:space="preserve">https://dl.smwcentral.net/23741/UNORIGINAL_C3_2020_v1.1.zip</x:t>
  </x:si>
  <x:si>
    <x:t xml:space="preserve">Ukraine, Detroit</x:t>
  </x:si>
  <x:si>
    <x:t xml:space="preserve">tamano</x:t>
  </x:si>
  <x:si>
    <x:t xml:space="preserve">29669</x:t>
  </x:si>
  <x:si>
    <x:t xml:space="preserve">https://www.smwcentral.net/?a=details&amp;id=29669&amp;p=section</x:t>
  </x:si>
  <x:si>
    <x:t xml:space="preserve">https://dl.smwcentral.net/29669/ukraine%20detroit.zip</x:t>
  </x:si>
  <x:si>
    <x:t xml:space="preserve">Ultima Kiwi Winter Demo</x:t>
  </x:si>
  <x:si>
    <x:t xml:space="preserve">ModernKiwi</x:t>
  </x:si>
  <x:si>
    <x:t xml:space="preserve">35863</x:t>
  </x:si>
  <x:si>
    <x:t xml:space="preserve">https://www.smwcentral.net/?a=details&amp;id=35863&amp;p=section</x:t>
  </x:si>
  <x:si>
    <x:t xml:space="preserve">https://dl.smwcentral.net/35863/Ultima%20Kiwi%20Winter%20Demo.zip</x:t>
  </x:si>
  <x:si>
    <x:t xml:space="preserve">Ultimate Carl Heaven</x:t>
  </x:si>
  <x:si>
    <x:t xml:space="preserve">39095</x:t>
  </x:si>
  <x:si>
    <x:t xml:space="preserve">https://www.smwcentral.net/?a=details&amp;id=39095&amp;p=section</x:t>
  </x:si>
  <x:si>
    <x:t xml:space="preserve">https://dl.smwcentral.net/39095/Ultimate_Carl_Heaven.zip</x:t>
  </x:si>
  <x:si>
    <x:t xml:space="preserve">Ultimate Kaizo Tutorial Hack</x:t>
  </x:si>
  <x:si>
    <x:t xml:space="preserve">38769</x:t>
  </x:si>
  <x:si>
    <x:t xml:space="preserve">https://www.smwcentral.net/?a=details&amp;id=38769&amp;p=section</x:t>
  </x:si>
  <x:si>
    <x:t xml:space="preserve">https://dl.smwcentral.net/38769/zip.zip</x:t>
  </x:si>
  <x:si>
    <x:t xml:space="preserve">Ultimate Mario World</x:t>
  </x:si>
  <x:si>
    <x:t xml:space="preserve">Master_Owens</x:t>
  </x:si>
  <x:si>
    <x:t xml:space="preserve">9826</x:t>
  </x:si>
  <x:si>
    <x:t xml:space="preserve">https://www.smwcentral.net/?a=details&amp;id=9826&amp;p=section</x:t>
  </x:si>
  <x:si>
    <x:t xml:space="preserve">https://dl.smwcentral.net/9826/Ultimate%20Mario%20World.zip</x:t>
  </x:si>
  <x:si>
    <x:t xml:space="preserve">Ultra Kaizo World</x:t>
  </x:si>
  <x:si>
    <x:t xml:space="preserve">18664</x:t>
  </x:si>
  <x:si>
    <x:t xml:space="preserve">https://www.smwcentral.net/?a=details&amp;id=18664&amp;p=section</x:t>
  </x:si>
  <x:si>
    <x:t xml:space="preserve">https://dl.smwcentral.net/18664/Ultra%20Kaizo%20World1.1.zip</x:t>
  </x:si>
  <x:si>
    <x:t xml:space="preserve">Ultra Kaizo World 2</x:t>
  </x:si>
  <x:si>
    <x:t xml:space="preserve">22676</x:t>
  </x:si>
  <x:si>
    <x:t xml:space="preserve">https://www.smwcentral.net/?a=details&amp;id=22676&amp;p=section</x:t>
  </x:si>
  <x:si>
    <x:t xml:space="preserve">https://dl.smwcentral.net/22676/UKW2%20Version%201.2.zip</x:t>
  </x:si>
  <x:si>
    <x:t xml:space="preserve">Ultra Luigi World: Luigi in... Destiny</x:t>
  </x:si>
  <x:si>
    <x:t xml:space="preserve">9732</x:t>
  </x:si>
  <x:si>
    <x:t xml:space="preserve">https://www.smwcentral.net/?a=details&amp;id=9732&amp;p=section</x:t>
  </x:si>
  <x:si>
    <x:t xml:space="preserve">https://dl.smwcentral.net/9732/ULWD1.zip</x:t>
  </x:si>
  <x:si>
    <x:t xml:space="preserve">Ultraviolet</x:t>
  </x:si>
  <x:si>
    <x:t xml:space="preserve">24272</x:t>
  </x:si>
  <x:si>
    <x:t xml:space="preserve">https://www.smwcentral.net/?a=details&amp;id=24272&amp;p=section</x:t>
  </x:si>
  <x:si>
    <x:t xml:space="preserve">https://dl.smwcentral.net/24272/UV2.0.zip</x:t>
  </x:si>
  <x:si>
    <x:t xml:space="preserve">Uma Aventura Xalabaias</x:t>
  </x:si>
  <x:si>
    <x:t xml:space="preserve">21058</x:t>
  </x:si>
  <x:si>
    <x:t xml:space="preserve">https://www.smwcentral.net/?a=details&amp;id=21058&amp;p=section</x:t>
  </x:si>
  <x:si>
    <x:t xml:space="preserve">https://dl.smwcentral.net/21058/Aventura%20Xalabaias.zip</x:t>
  </x:si>
  <x:si>
    <x:t xml:space="preserve">Uncharted World</x:t>
  </x:si>
  <x:si>
    <x:t xml:space="preserve">41359</x:t>
  </x:si>
  <x:si>
    <x:t xml:space="preserve">https://www.smwcentral.net/?a=details&amp;id=41359&amp;p=section</x:t>
  </x:si>
  <x:si>
    <x:t xml:space="preserve">https://dl.smwcentral.net/41359/UnchartedWorld.zip</x:t>
  </x:si>
  <x:si>
    <x:t xml:space="preserve">Under Control</x:t>
  </x:si>
  <x:si>
    <x:t xml:space="preserve">WoxicTaste</x:t>
  </x:si>
  <x:si>
    <x:t xml:space="preserve">40070</x:t>
  </x:si>
  <x:si>
    <x:t xml:space="preserve">https://www.smwcentral.net/?a=details&amp;id=40070&amp;p=section</x:t>
  </x:si>
  <x:si>
    <x:t xml:space="preserve">https://dl.smwcentral.net/40070/uc_1.1_final.zip</x:t>
  </x:si>
  <x:si>
    <x:t xml:space="preserve">Under the Rose</x:t>
  </x:si>
  <x:si>
    <x:t xml:space="preserve">Cianureto</x:t>
  </x:si>
  <x:si>
    <x:t xml:space="preserve">21138</x:t>
  </x:si>
  <x:si>
    <x:t xml:space="preserve">https://www.smwcentral.net/?a=details&amp;id=21138&amp;p=section</x:t>
  </x:si>
  <x:si>
    <x:t xml:space="preserve">https://dl.smwcentral.net/21138/Under%20the%20Rose.zip</x:t>
  </x:si>
  <x:si>
    <x:t xml:space="preserve">Underworld</x:t>
  </x:si>
  <x:si>
    <x:t xml:space="preserve">14932</x:t>
  </x:si>
  <x:si>
    <x:t xml:space="preserve">https://www.smwcentral.net/?a=details&amp;id=14932&amp;p=section</x:t>
  </x:si>
  <x:si>
    <x:t xml:space="preserve">https://dl.smwcentral.net/14932/Underworld.zip</x:t>
  </x:si>
  <x:si>
    <x:t xml:space="preserve">Unforgiving Tower</x:t>
  </x:si>
  <x:si>
    <x:t xml:space="preserve">28912</x:t>
  </x:si>
  <x:si>
    <x:t xml:space="preserve">https://www.smwcentral.net/?a=details&amp;id=28912&amp;p=section</x:t>
  </x:si>
  <x:si>
    <x:t xml:space="preserve">https://dl.smwcentral.net/28912/Unforgiving%20Tower.zip</x:t>
  </x:si>
  <x:si>
    <x:t xml:space="preserve">Unforgiving Tower 2</x:t>
  </x:si>
  <x:si>
    <x:t xml:space="preserve">32546</x:t>
  </x:si>
  <x:si>
    <x:t xml:space="preserve">https://www.smwcentral.net/?a=details&amp;id=32546&amp;p=section</x:t>
  </x:si>
  <x:si>
    <x:t xml:space="preserve">https://dl.smwcentral.net/32546/Unforgiving%20Tower%202.zip</x:t>
  </x:si>
  <x:si>
    <x:t xml:space="preserve">Unforgiving Tower 3</x:t>
  </x:si>
  <x:si>
    <x:t xml:space="preserve">35081</x:t>
  </x:si>
  <x:si>
    <x:t xml:space="preserve">https://www.smwcentral.net/?a=details&amp;id=35081&amp;p=section</x:t>
  </x:si>
  <x:si>
    <x:t xml:space="preserve">https://dl.smwcentral.net/35081/Unforgiving%20Tower%203.zip</x:t>
  </x:si>
  <x:si>
    <x:t xml:space="preserve">Unforgiving Tower 4</x:t>
  </x:si>
  <x:si>
    <x:t xml:space="preserve">37636</x:t>
  </x:si>
  <x:si>
    <x:t xml:space="preserve">https://www.smwcentral.net/?a=details&amp;id=37636&amp;p=section</x:t>
  </x:si>
  <x:si>
    <x:t xml:space="preserve">https://dl.smwcentral.net/37636/Unforgiving%20Tower%204.zip</x:t>
  </x:si>
  <x:si>
    <x:t xml:space="preserve">Unfriendly Afterlives Demo</x:t>
  </x:si>
  <x:si>
    <x:t xml:space="preserve">AntonioAntonio</x:t>
  </x:si>
  <x:si>
    <x:t xml:space="preserve">31800</x:t>
  </x:si>
  <x:si>
    <x:t xml:space="preserve">https://www.smwcentral.net/?a=details&amp;id=31800&amp;p=section</x:t>
  </x:si>
  <x:si>
    <x:t xml:space="preserve">https://dl.smwcentral.net/31800/Unfriendly%20Demos.zip</x:t>
  </x:si>
  <x:si>
    <x:t xml:space="preserve">Unintended Behavior</x:t>
  </x:si>
  <x:si>
    <x:t xml:space="preserve">25406</x:t>
  </x:si>
  <x:si>
    <x:t xml:space="preserve">https://www.smwcentral.net/?a=details&amp;id=25406&amp;p=section</x:t>
  </x:si>
  <x:si>
    <x:t xml:space="preserve">https://dl.smwcentral.net/25406/UnintendedBehavior.zip</x:t>
  </x:si>
  <x:si>
    <x:t xml:space="preserve">Unintended Behavior 2</x:t>
  </x:si>
  <x:si>
    <x:t xml:space="preserve">27338</x:t>
  </x:si>
  <x:si>
    <x:t xml:space="preserve">https://www.smwcentral.net/?a=details&amp;id=27338&amp;p=section</x:t>
  </x:si>
  <x:si>
    <x:t xml:space="preserve">https://dl.smwcentral.net/27338/Unintended_Behavior_2.zip</x:t>
  </x:si>
  <x:si>
    <x:t xml:space="preserve">Unintended Behavior 3</x:t>
  </x:si>
  <x:si>
    <x:t xml:space="preserve">32166</x:t>
  </x:si>
  <x:si>
    <x:t xml:space="preserve">https://www.smwcentral.net/?a=details&amp;id=32166&amp;p=section</x:t>
  </x:si>
  <x:si>
    <x:t xml:space="preserve">https://dl.smwcentral.net/32166/Unintended%20Behavior%203%20v1.1.zip</x:t>
  </x:si>
  <x:si>
    <x:t xml:space="preserve">Unknown Islandz</x:t>
  </x:si>
  <x:si>
    <x:t xml:space="preserve">25234</x:t>
  </x:si>
  <x:si>
    <x:t xml:space="preserve">https://www.smwcentral.net/?a=details&amp;id=25234&amp;p=section</x:t>
  </x:si>
  <x:si>
    <x:t xml:space="preserve">https://dl.smwcentral.net/25234/UnknownIslandz.zip</x:t>
  </x:si>
  <x:si>
    <x:t xml:space="preserve">Unlit Candles</x:t>
  </x:si>
  <x:si>
    <x:t xml:space="preserve">25250</x:t>
  </x:si>
  <x:si>
    <x:t xml:space="preserve">https://www.smwcentral.net/?a=details&amp;id=25250&amp;p=section</x:t>
  </x:si>
  <x:si>
    <x:t xml:space="preserve">https://dl.smwcentral.net/25250/Unlit%20Candles%201.2.zip</x:t>
  </x:si>
  <x:si>
    <x:t xml:space="preserve">Unnamed 2D Mario Game</x:t>
  </x:si>
  <x:si>
    <x:t xml:space="preserve">Dominicentek</x:t>
  </x:si>
  <x:si>
    <x:t xml:space="preserve">22495</x:t>
  </x:si>
  <x:si>
    <x:t xml:space="preserve">https://www.smwcentral.net/?a=details&amp;id=22495&amp;p=section</x:t>
  </x:si>
  <x:si>
    <x:t xml:space="preserve">https://dl.smwcentral.net/22495/Unnamed%202D%20Mario%20Game%20Beta%202.2.zip</x:t>
  </x:si>
  <x:si>
    <x:t xml:space="preserve">Unnamed Pit</x:t>
  </x:si>
  <x:si>
    <x:t xml:space="preserve">17473</x:t>
  </x:si>
  <x:si>
    <x:t xml:space="preserve">https://www.smwcentral.net/?a=details&amp;id=17473&amp;p=section</x:t>
  </x:si>
  <x:si>
    <x:t xml:space="preserve">https://dl.smwcentral.net/17473/Unnamed%20Pit.zip</x:t>
  </x:si>
  <x:si>
    <x:t xml:space="preserve">Unnamed Precision</x:t>
  </x:si>
  <x:si>
    <x:t xml:space="preserve">29660</x:t>
  </x:si>
  <x:si>
    <x:t xml:space="preserve">https://www.smwcentral.net/?a=details&amp;id=29660&amp;p=section</x:t>
  </x:si>
  <x:si>
    <x:t xml:space="preserve">https://dl.smwcentral.net/29660/UnnamedPrecision.zip</x:t>
  </x:si>
  <x:si>
    <x:t xml:space="preserve">Unnormal</x:t>
  </x:si>
  <x:si>
    <x:t xml:space="preserve">32500</x:t>
  </x:si>
  <x:si>
    <x:t xml:space="preserve">https://www.smwcentral.net/?a=details&amp;id=32500&amp;p=section</x:t>
  </x:si>
  <x:si>
    <x:t xml:space="preserve">https://dl.smwcentral.net/32500/keyB.zip</x:t>
  </x:si>
  <x:si>
    <x:t xml:space="preserve">Untamed</x:t>
  </x:si>
  <x:si>
    <x:t xml:space="preserve">32577</x:t>
  </x:si>
  <x:si>
    <x:t xml:space="preserve">https://www.smwcentral.net/?a=details&amp;id=32577&amp;p=section</x:t>
  </x:si>
  <x:si>
    <x:t xml:space="preserve">https://dl.smwcentral.net/32577/Untamed_v2.zip</x:t>
  </x:si>
  <x:si>
    <x:t xml:space="preserve">UNTITLED DOOM</x:t>
  </x:si>
  <x:si>
    <x:t xml:space="preserve">6386</x:t>
  </x:si>
  <x:si>
    <x:t xml:space="preserve">https://www.smwcentral.net/?a=details&amp;id=6386&amp;p=section</x:t>
  </x:si>
  <x:si>
    <x:t xml:space="preserve">https://dl.smwcentral.net/6386/UNTITLED%20DOOM%20demo%201.zip</x:t>
  </x:si>
  <x:si>
    <x:t xml:space="preserve">Untitled Hack</x:t>
  </x:si>
  <x:si>
    <x:t xml:space="preserve">PinkSatan</x:t>
  </x:si>
  <x:si>
    <x:t xml:space="preserve">22946</x:t>
  </x:si>
  <x:si>
    <x:t xml:space="preserve">https://www.smwcentral.net/?a=details&amp;id=22946&amp;p=section</x:t>
  </x:si>
  <x:si>
    <x:t xml:space="preserve">https://dl.smwcentral.net/22946/Untitled%20Hack.zip</x:t>
  </x:si>
  <x:si>
    <x:t xml:space="preserve">Untitled ROM Hack</x:t>
  </x:si>
  <x:si>
    <x:t xml:space="preserve">Caped Mario2</x:t>
  </x:si>
  <x:si>
    <x:t xml:space="preserve">9783</x:t>
  </x:si>
  <x:si>
    <x:t xml:space="preserve">https://www.smwcentral.net/?a=details&amp;id=9783&amp;p=section</x:t>
  </x:si>
  <x:si>
    <x:t xml:space="preserve">https://dl.smwcentral.net/9783/Hack.zip</x:t>
  </x:si>
  <x:si>
    <x:t xml:space="preserve">UP ᵀʰᵉ ᴿᵒᵐʰᵃᶜᵏ</x:t>
  </x:si>
  <x:si>
    <x:t xml:space="preserve">37640</x:t>
  </x:si>
  <x:si>
    <x:t xml:space="preserve">https://www.smwcentral.net/?a=details&amp;id=37640&amp;p=section</x:t>
  </x:si>
  <x:si>
    <x:t xml:space="preserve">https://dl.smwcentral.net/37640/What%27sUpDog.zip</x:t>
  </x:si>
  <x:si>
    <x:t xml:space="preserve">Vah Knee Yah</x:t>
  </x:si>
  <x:si>
    <x:t xml:space="preserve">35565</x:t>
  </x:si>
  <x:si>
    <x:t xml:space="preserve">https://www.smwcentral.net/?a=details&amp;id=35565&amp;p=section</x:t>
  </x:si>
  <x:si>
    <x:t xml:space="preserve">https://dl.smwcentral.net/35565/Vah%20Knee%20Yah.zip</x:t>
  </x:si>
  <x:si>
    <x:t xml:space="preserve">Valuable and Beautiful</x:t>
  </x:si>
  <x:si>
    <x:t xml:space="preserve">41548</x:t>
  </x:si>
  <x:si>
    <x:t xml:space="preserve">https://www.smwcentral.net/?a=details&amp;id=41548&amp;p=section</x:t>
  </x:si>
  <x:si>
    <x:t xml:space="preserve">https://dl.smwcentral.net/41548/ValuableAndBeautiful.zip</x:t>
  </x:si>
  <x:si>
    <x:t xml:space="preserve">Vampire Hunter Savior Of The Kingdom</x:t>
  </x:si>
  <x:si>
    <x:t xml:space="preserve">33795</x:t>
  </x:si>
  <x:si>
    <x:t xml:space="preserve">https://www.smwcentral.net/?a=details&amp;id=33795&amp;p=section</x:t>
  </x:si>
  <x:si>
    <x:t xml:space="preserve">https://dl.smwcentral.net/33795/Vampire%20Hunter%20Savior%20Of%20The%20Kingdom.zip</x:t>
  </x:si>
  <x:si>
    <x:t xml:space="preserve">Vanilla Failure: Blind Devil's Final Stand</x:t>
  </x:si>
  <x:si>
    <x:t xml:space="preserve">5493</x:t>
  </x:si>
  <x:si>
    <x:t xml:space="preserve">https://www.smwcentral.net/?a=details&amp;id=5493&amp;p=section</x:t>
  </x:si>
  <x:si>
    <x:t xml:space="preserve">https://dl.smwcentral.net/5493/Vanilla%20Failure%20C3%20Demo%20v1.1.zip</x:t>
  </x:si>
  <x:si>
    <x:t xml:space="preserve">Vanilla Flavour</x:t>
  </x:si>
  <x:si>
    <x:t xml:space="preserve">39643</x:t>
  </x:si>
  <x:si>
    <x:t xml:space="preserve">https://www.smwcentral.net/?a=details&amp;id=39643&amp;p=section</x:t>
  </x:si>
  <x:si>
    <x:t xml:space="preserve">https://dl.smwcentral.net/39643/Vanilla%20Flavour%20V.%201.30.zip</x:t>
  </x:si>
  <x:si>
    <x:t xml:space="preserve">Vanilla Hour - a collection of one-hour levels</x:t>
  </x:si>
  <x:si>
    <x:t xml:space="preserve">41740</x:t>
  </x:si>
  <x:si>
    <x:t xml:space="preserve">https://www.smwcentral.net/?a=details&amp;id=41740&amp;p=section</x:t>
  </x:si>
  <x:si>
    <x:t xml:space="preserve">https://dl.smwcentral.net/41740/Vanilla%20Hour%20-%20a%20collection%20of%20one-hour%20levels.zip</x:t>
  </x:si>
  <x:si>
    <x:t xml:space="preserve">Vanilla Kaizo World</x:t>
  </x:si>
  <x:si>
    <x:t xml:space="preserve">24833</x:t>
  </x:si>
  <x:si>
    <x:t xml:space="preserve">https://www.smwcentral.net/?a=details&amp;id=24833&amp;p=section</x:t>
  </x:si>
  <x:si>
    <x:t xml:space="preserve">https://dl.smwcentral.net/24833/VKW1.1.zip</x:t>
  </x:si>
  <x:si>
    <x:t xml:space="preserve">Vanilla Mario World</x:t>
  </x:si>
  <x:si>
    <x:t xml:space="preserve">monkey03297</x:t>
  </x:si>
  <x:si>
    <x:t xml:space="preserve">24708</x:t>
  </x:si>
  <x:si>
    <x:t xml:space="preserve">https://www.smwcentral.net/?a=details&amp;id=24708&amp;p=section</x:t>
  </x:si>
  <x:si>
    <x:t xml:space="preserve">https://dl.smwcentral.net/24708/VMW%20v0.01.zip</x:t>
  </x:si>
  <x:si>
    <x:t xml:space="preserve">Vanilla Shakedown</x:t>
  </x:si>
  <x:si>
    <x:t xml:space="preserve">30669</x:t>
  </x:si>
  <x:si>
    <x:t xml:space="preserve">https://www.smwcentral.net/?a=details&amp;id=30669&amp;p=section</x:t>
  </x:si>
  <x:si>
    <x:t xml:space="preserve">https://dl.smwcentral.net/30669/VanillaShakedown.zip</x:t>
  </x:si>
  <x:si>
    <x:t xml:space="preserve">Vanilla Twist!</x:t>
  </x:si>
  <x:si>
    <x:t xml:space="preserve">6692</x:t>
  </x:si>
  <x:si>
    <x:t xml:space="preserve">https://www.smwcentral.net/?a=details&amp;id=6692&amp;p=section</x:t>
  </x:si>
  <x:si>
    <x:t xml:space="preserve">https://dl.smwcentral.net/6692/VTv3.1.zip</x:t>
  </x:si>
  <x:si>
    <x:t xml:space="preserve">Vanilla: Made to Order</x:t>
  </x:si>
  <x:si>
    <x:t xml:space="preserve">19028</x:t>
  </x:si>
  <x:si>
    <x:t xml:space="preserve">https://www.smwcentral.net/?a=details&amp;id=19028&amp;p=section</x:t>
  </x:si>
  <x:si>
    <x:t xml:space="preserve">https://dl.smwcentral.net/19028/Vanilla%20Made%20to%20Order.zip</x:t>
  </x:si>
  <x:si>
    <x:t xml:space="preserve">VanillaCraft</x:t>
  </x:si>
  <x:si>
    <x:t xml:space="preserve">28289</x:t>
  </x:si>
  <x:si>
    <x:t xml:space="preserve">https://www.smwcentral.net/?a=details&amp;id=28289&amp;p=section</x:t>
  </x:si>
  <x:si>
    <x:t xml:space="preserve">https://dl.smwcentral.net/28289/VanillaCraft.zip</x:t>
  </x:si>
  <x:si>
    <x:t xml:space="preserve">Varndts Castle</x:t>
  </x:si>
  <x:si>
    <x:t xml:space="preserve">Hellbourne</x:t>
  </x:si>
  <x:si>
    <x:t xml:space="preserve">10019</x:t>
  </x:si>
  <x:si>
    <x:t xml:space="preserve">https://www.smwcentral.net/?a=details&amp;id=10019&amp;p=section</x:t>
  </x:si>
  <x:si>
    <x:t xml:space="preserve">https://dl.smwcentral.net/10019/Varndts%20Castle.zip</x:t>
  </x:si>
  <x:si>
    <x:t xml:space="preserve">Vast Minutiae</x:t>
  </x:si>
  <x:si>
    <x:t xml:space="preserve">36796</x:t>
  </x:si>
  <x:si>
    <x:t xml:space="preserve">https://www.smwcentral.net/?a=details&amp;id=36796&amp;p=section</x:t>
  </x:si>
  <x:si>
    <x:t xml:space="preserve">https://dl.smwcentral.net/36796/Vast%20Minutiae%201.2%20by%20GlitchCat7.zip</x:t>
  </x:si>
  <x:si>
    <x:t xml:space="preserve">Vengeful Mario</x:t>
  </x:si>
  <x:si>
    <x:t xml:space="preserve">38882</x:t>
  </x:si>
  <x:si>
    <x:t xml:space="preserve">https://www.smwcentral.net/?a=details&amp;id=38882&amp;p=section</x:t>
  </x:si>
  <x:si>
    <x:t xml:space="preserve">https://dl.smwcentral.net/38882/reasonably%20long%20kaizo%20game%20but%20it%27s%20version%201.1.1%20now.zip</x:t>
  </x:si>
  <x:si>
    <x:t xml:space="preserve">Venture</x:t>
  </x:si>
  <x:si>
    <x:t xml:space="preserve">37735</x:t>
  </x:si>
  <x:si>
    <x:t xml:space="preserve">https://www.smwcentral.net/?a=details&amp;id=37735&amp;p=section</x:t>
  </x:si>
  <x:si>
    <x:t xml:space="preserve">https://dl.smwcentral.net/37735/Venture1_2.zip</x:t>
  </x:si>
  <x:si>
    <x:t xml:space="preserve">Very Fun World</x:t>
  </x:si>
  <x:si>
    <x:t xml:space="preserve">21080</x:t>
  </x:si>
  <x:si>
    <x:t xml:space="preserve">https://www.smwcentral.net/?a=details&amp;id=21080&amp;p=section</x:t>
  </x:si>
  <x:si>
    <x:t xml:space="preserve">https://dl.smwcentral.net/21080/Very%20Fun%20World.zip</x:t>
  </x:si>
  <x:si>
    <x:t xml:space="preserve">Very Hard Mario</x:t>
  </x:si>
  <x:si>
    <x:t xml:space="preserve">40105</x:t>
  </x:si>
  <x:si>
    <x:t xml:space="preserve">https://www.smwcentral.net/?a=details&amp;id=40105&amp;p=section</x:t>
  </x:si>
  <x:si>
    <x:t xml:space="preserve">https://dl.smwcentral.net/40105/veryhard.zip</x:t>
  </x:si>
  <x:si>
    <x:t xml:space="preserve">Vincere</x:t>
  </x:si>
  <x:si>
    <x:t xml:space="preserve">31246</x:t>
  </x:si>
  <x:si>
    <x:t xml:space="preserve">https://www.smwcentral.net/?a=details&amp;id=31246&amp;p=section</x:t>
  </x:si>
  <x:si>
    <x:t xml:space="preserve">https://dl.smwcentral.net/31246/Vincere.zip</x:t>
  </x:si>
  <x:si>
    <x:t xml:space="preserve">VIP and Wall Mix 1</x:t>
  </x:si>
  <x:si>
    <x:t xml:space="preserve">Vipper</x:t>
  </x:si>
  <x:si>
    <x:t xml:space="preserve">9706</x:t>
  </x:si>
  <x:si>
    <x:t xml:space="preserve">https://www.smwcentral.net/?a=details&amp;id=9706&amp;p=section</x:t>
  </x:si>
  <x:si>
    <x:t xml:space="preserve">https://dl.smwcentral.net/9706/VIP1.zip</x:t>
  </x:si>
  <x:si>
    <x:t xml:space="preserve">VIP and Wall Mix 1: Mario Edition</x:t>
  </x:si>
  <x:si>
    <x:t xml:space="preserve">10005</x:t>
  </x:si>
  <x:si>
    <x:t xml:space="preserve">https://www.smwcentral.net/?a=details&amp;id=10005&amp;p=section</x:t>
  </x:si>
  <x:si>
    <x:t xml:space="preserve">https://dl.smwcentral.net/10005/Vip%20mario%20-%20mario%20edition.zip</x:t>
  </x:si>
  <x:si>
    <x:t xml:space="preserve">VIP and Wall Mix 2</x:t>
  </x:si>
  <x:si>
    <x:t xml:space="preserve">9821</x:t>
  </x:si>
  <x:si>
    <x:t xml:space="preserve">https://www.smwcentral.net/?a=details&amp;id=9821&amp;p=section</x:t>
  </x:si>
  <x:si>
    <x:t xml:space="preserve">https://dl.smwcentral.net/9821/SMW2-By%20Vipper.zip</x:t>
  </x:si>
  <x:si>
    <x:t xml:space="preserve">VIP and Wall Mix 2: Mario Edition</x:t>
  </x:si>
  <x:si>
    <x:t xml:space="preserve">10123</x:t>
  </x:si>
  <x:si>
    <x:t xml:space="preserve">https://www.smwcentral.net/?a=details&amp;id=10123&amp;p=section</x:t>
  </x:si>
  <x:si>
    <x:t xml:space="preserve">https://dl.smwcentral.net/10123/vip%20mario%202%20-%20mario%20edition.zip</x:t>
  </x:si>
  <x:si>
    <x:t xml:space="preserve">VIP and Wall Mix 3</x:t>
  </x:si>
  <x:si>
    <x:t xml:space="preserve">10027</x:t>
  </x:si>
  <x:si>
    <x:t xml:space="preserve">https://www.smwcentral.net/?a=details&amp;id=10027&amp;p=section</x:t>
  </x:si>
  <x:si>
    <x:t xml:space="preserve">https://dl.smwcentral.net/10027/VIP%26%2312510%3B%26%2312522%3B%26%2312458%3B3AAE%20ver.1.48.zip</x:t>
  </x:si>
  <x:si>
    <x:t xml:space="preserve">VIP and Wall Mix 3: Mario Edition</x:t>
  </x:si>
  <x:si>
    <x:t xml:space="preserve">9812</x:t>
  </x:si>
  <x:si>
    <x:t xml:space="preserve">https://www.smwcentral.net/?a=details&amp;id=9812&amp;p=section</x:t>
  </x:si>
  <x:si>
    <x:t xml:space="preserve">https://dl.smwcentral.net/9812/SMW3-%20By%20Vipper.zip</x:t>
  </x:si>
  <x:si>
    <x:t xml:space="preserve">VIP and Wall Mix 4</x:t>
  </x:si>
  <x:si>
    <x:t xml:space="preserve">9799</x:t>
  </x:si>
  <x:si>
    <x:t xml:space="preserve">https://www.smwcentral.net/?a=details&amp;id=9799&amp;p=section</x:t>
  </x:si>
  <x:si>
    <x:t xml:space="preserve">https://dl.smwcentral.net/9799/MIX4AAE.zip</x:t>
  </x:si>
  <x:si>
    <x:t xml:space="preserve">VIP and Wall Mix 4: Mario Edition</x:t>
  </x:si>
  <x:si>
    <x:t xml:space="preserve">9778</x:t>
  </x:si>
  <x:si>
    <x:t xml:space="preserve">https://www.smwcentral.net/?a=details&amp;id=9778&amp;p=section</x:t>
  </x:si>
  <x:si>
    <x:t xml:space="preserve">https://dl.smwcentral.net/9778/vip%20mario%204%20-%20mario%20edition.zip</x:t>
  </x:si>
  <x:si>
    <x:t xml:space="preserve">VOQBON.smc</x:t>
  </x:si>
  <x:si>
    <x:t xml:space="preserve">36682</x:t>
  </x:si>
  <x:si>
    <x:t xml:space="preserve">https://www.smwcentral.net/?a=details&amp;id=36682&amp;p=section</x:t>
  </x:si>
  <x:si>
    <x:t xml:space="preserve">https://dl.smwcentral.net/36682/VOQBON.zip</x:t>
  </x:si>
  <x:si>
    <x:t xml:space="preserve">Voyager</x:t>
  </x:si>
  <x:si>
    <x:t xml:space="preserve">28513</x:t>
  </x:si>
  <x:si>
    <x:t xml:space="preserve">https://www.smwcentral.net/?a=details&amp;id=28513&amp;p=section</x:t>
  </x:si>
  <x:si>
    <x:t xml:space="preserve">https://dl.smwcentral.net/28513/Voyager%20v1.27.zip</x:t>
  </x:si>
  <x:si>
    <x:t xml:space="preserve">VP</x:t>
  </x:si>
  <x:si>
    <x:t xml:space="preserve">13214</x:t>
  </x:si>
  <x:si>
    <x:t xml:space="preserve">https://www.smwcentral.net/?a=details&amp;id=13214&amp;p=section</x:t>
  </x:si>
  <x:si>
    <x:t xml:space="preserve">https://dl.smwcentral.net/13214/VP.zip</x:t>
  </x:si>
  <x:si>
    <x:t xml:space="preserve">Vuit Grups</x:t>
  </x:si>
  <x:si>
    <x:t xml:space="preserve">40549</x:t>
  </x:si>
  <x:si>
    <x:t xml:space="preserve">https://www.smwcentral.net/?a=details&amp;id=40549&amp;p=section</x:t>
  </x:si>
  <x:si>
    <x:t xml:space="preserve">https://dl.smwcentral.net/40549/VuitGrups.zip</x:t>
  </x:si>
  <x:si>
    <x:t xml:space="preserve">Wake Up Call</x:t>
  </x:si>
  <x:si>
    <x:t xml:space="preserve">lustreflux</x:t>
  </x:si>
  <x:si>
    <x:t xml:space="preserve">35030</x:t>
  </x:si>
  <x:si>
    <x:t xml:space="preserve">https://www.smwcentral.net/?a=details&amp;id=35030&amp;p=section</x:t>
  </x:si>
  <x:si>
    <x:t xml:space="preserve">https://dl.smwcentral.net/35030/WakeUpCall.zip</x:t>
  </x:si>
  <x:si>
    <x:t xml:space="preserve">Wake Up Call Re-Mix</x:t>
  </x:si>
  <x:si>
    <x:t xml:space="preserve">35849</x:t>
  </x:si>
  <x:si>
    <x:t xml:space="preserve">https://www.smwcentral.net/?a=details&amp;id=35849&amp;p=section</x:t>
  </x:si>
  <x:si>
    <x:t xml:space="preserve">https://dl.smwcentral.net/35849/wakeupcallREMIX1.2.zip</x:t>
  </x:si>
  <x:si>
    <x:t xml:space="preserve">Walkabout</x:t>
  </x:si>
  <x:si>
    <x:t xml:space="preserve">SgN4T4N</x:t>
  </x:si>
  <x:si>
    <x:t xml:space="preserve">41906</x:t>
  </x:si>
  <x:si>
    <x:t xml:space="preserve">https://www.smwcentral.net/?a=details&amp;id=41906&amp;p=section</x:t>
  </x:si>
  <x:si>
    <x:t xml:space="preserve">https://dl.smwcentral.net/41906/Walkabout.zip</x:t>
  </x:si>
  <x:si>
    <x:t xml:space="preserve">Wall Mario 1</x:t>
  </x:si>
  <x:si>
    <x:t xml:space="preserve">TanookiMan</x:t>
  </x:si>
  <x:si>
    <x:t xml:space="preserve">10259</x:t>
  </x:si>
  <x:si>
    <x:t xml:space="preserve">https://www.smwcentral.net/?a=details&amp;id=10259&amp;p=section</x:t>
  </x:si>
  <x:si>
    <x:t xml:space="preserve">https://dl.smwcentral.net/10259/Wall%20Mario%201%20%28Demo%201%29.zip</x:t>
  </x:si>
  <x:si>
    <x:t xml:space="preserve">Waluigi's Quest to Become Known</x:t>
  </x:si>
  <x:si>
    <x:t xml:space="preserve">9751</x:t>
  </x:si>
  <x:si>
    <x:t xml:space="preserve">https://www.smwcentral.net/?a=details&amp;id=9751&amp;p=section</x:t>
  </x:si>
  <x:si>
    <x:t xml:space="preserve">https://dl.smwcentral.net/9751/WQtBK-Demo1.zip</x:t>
  </x:si>
  <x:si>
    <x:t xml:space="preserve">Waluigi's Road to Glory 2 - Azathomura</x:t>
  </x:si>
  <x:si>
    <x:t xml:space="preserve">40960</x:t>
  </x:si>
  <x:si>
    <x:t xml:space="preserve">https://www.smwcentral.net/?a=details&amp;id=40960&amp;p=section</x:t>
  </x:si>
  <x:si>
    <x:t xml:space="preserve">https://dl.smwcentral.net/40960/waluigi02-f02b.zip</x:t>
  </x:si>
  <x:si>
    <x:t xml:space="preserve">Waluigi's road to glory: Horlogic will go on</x:t>
  </x:si>
  <x:si>
    <x:t xml:space="preserve">27018</x:t>
  </x:si>
  <x:si>
    <x:t xml:space="preserve">https://www.smwcentral.net/?a=details&amp;id=27018&amp;p=section</x:t>
  </x:si>
  <x:si>
    <x:t xml:space="preserve">https://dl.smwcentral.net/27018/WaluigiRoad01.zip</x:t>
  </x:si>
  <x:si>
    <x:t xml:space="preserve">Waluigi's Wadventure</x:t>
  </x:si>
  <x:si>
    <x:t xml:space="preserve">17837</x:t>
  </x:si>
  <x:si>
    <x:t xml:space="preserve">https://www.smwcentral.net/?a=details&amp;id=17837&amp;p=section</x:t>
  </x:si>
  <x:si>
    <x:t xml:space="preserve">https://dl.smwcentral.net/17837/Waluigi%27s%20Wadventure%20-%20Demo%202.1.zip</x:t>
  </x:si>
  <x:si>
    <x:t xml:space="preserve">Wario Land 5</x:t>
  </x:si>
  <x:si>
    <x:t xml:space="preserve">9650</x:t>
  </x:si>
  <x:si>
    <x:t xml:space="preserve">https://www.smwcentral.net/?a=details&amp;id=9650&amp;p=section</x:t>
  </x:si>
  <x:si>
    <x:t xml:space="preserve">https://dl.smwcentral.net/9650/Wario%20Land%205.zip</x:t>
  </x:si>
  <x:si>
    <x:t xml:space="preserve">Wario Land 6</x:t>
  </x:si>
  <x:si>
    <x:t xml:space="preserve">mariomaster13</x:t>
  </x:si>
  <x:si>
    <x:t xml:space="preserve">10112</x:t>
  </x:si>
  <x:si>
    <x:t xml:space="preserve">https://www.smwcentral.net/?a=details&amp;id=10112&amp;p=section</x:t>
  </x:si>
  <x:si>
    <x:t xml:space="preserve">https://dl.smwcentral.net/10112/wario%20land.zip</x:t>
  </x:si>
  <x:si>
    <x:t xml:space="preserve">Wario World: Between The Dimensions</x:t>
  </x:si>
  <x:si>
    <x:t xml:space="preserve">SLBros.</x:t>
  </x:si>
  <x:si>
    <x:t xml:space="preserve">5500</x:t>
  </x:si>
  <x:si>
    <x:t xml:space="preserve">https://www.smwcentral.net/?a=details&amp;id=5500&amp;p=section</x:t>
  </x:si>
  <x:si>
    <x:t xml:space="preserve">https://dl.smwcentral.net/5500/Wario%20World%20-%20Between%20The%20Dimensions%20%28Ver1.5b%29.zip</x:t>
  </x:si>
  <x:si>
    <x:t xml:space="preserve">Wario's Adventure</x:t>
  </x:si>
  <x:si>
    <x:t xml:space="preserve">Retrodeath</x:t>
  </x:si>
  <x:si>
    <x:t xml:space="preserve">11026</x:t>
  </x:si>
  <x:si>
    <x:t xml:space="preserve">https://www.smwcentral.net/?a=details&amp;id=11026&amp;p=section</x:t>
  </x:si>
  <x:si>
    <x:t xml:space="preserve">https://dl.smwcentral.net/11026/Wario%27s%20Adventure%201.4.zip</x:t>
  </x:si>
  <x:si>
    <x:t xml:space="preserve">Wario's Return</x:t>
  </x:si>
  <x:si>
    <x:t xml:space="preserve">5372</x:t>
  </x:si>
  <x:si>
    <x:t xml:space="preserve">https://www.smwcentral.net/?a=details&amp;id=5372&amp;p=section</x:t>
  </x:si>
  <x:si>
    <x:t xml:space="preserve">https://dl.smwcentral.net/5372/Wario%C2%B4s%20Return.zip</x:t>
  </x:si>
  <x:si>
    <x:t xml:space="preserve">Warios Wonderful Walk</x:t>
  </x:si>
  <x:si>
    <x:t xml:space="preserve">30365</x:t>
  </x:si>
  <x:si>
    <x:t xml:space="preserve">https://www.smwcentral.net/?a=details&amp;id=30365&amp;p=section</x:t>
  </x:si>
  <x:si>
    <x:t xml:space="preserve">https://dl.smwcentral.net/30365/WWW.zip</x:t>
  </x:si>
  <x:si>
    <x:t xml:space="preserve">Watch Mario</x:t>
  </x:si>
  <x:si>
    <x:t xml:space="preserve">ANDCo., BabyCan</x:t>
  </x:si>
  <x:si>
    <x:t xml:space="preserve">17731</x:t>
  </x:si>
  <x:si>
    <x:t xml:space="preserve">https://www.smwcentral.net/?a=details&amp;id=17731&amp;p=section</x:t>
  </x:si>
  <x:si>
    <x:t xml:space="preserve">https://dl.smwcentral.net/17731/Watch%20Mario%20Bundle.zip</x:t>
  </x:si>
  <x:si>
    <x:t xml:space="preserve">Watermelon World</x:t>
  </x:si>
  <x:si>
    <x:t xml:space="preserve">19397</x:t>
  </x:si>
  <x:si>
    <x:t xml:space="preserve">https://www.smwcentral.net/?a=details&amp;id=19397&amp;p=section</x:t>
  </x:si>
  <x:si>
    <x:t xml:space="preserve">https://dl.smwcentral.net/19397/Watermelon%20World.zip</x:t>
  </x:si>
  <x:si>
    <x:t xml:space="preserve">Waterworld</x:t>
  </x:si>
  <x:si>
    <x:t xml:space="preserve">27024</x:t>
  </x:si>
  <x:si>
    <x:t xml:space="preserve">https://www.smwcentral.net/?a=details&amp;id=27024&amp;p=section</x:t>
  </x:si>
  <x:si>
    <x:t xml:space="preserve">https://dl.smwcentral.net/27024/Waterworld.zip</x:t>
  </x:si>
  <x:si>
    <x:t xml:space="preserve">Way of the Tempest</x:t>
  </x:si>
  <x:si>
    <x:t xml:space="preserve">34920</x:t>
  </x:si>
  <x:si>
    <x:t xml:space="preserve">https://www.smwcentral.net/?a=details&amp;id=34920&amp;p=section</x:t>
  </x:si>
  <x:si>
    <x:t xml:space="preserve">https://dl.smwcentral.net/34920/tempest1.2.zip</x:t>
  </x:si>
  <x:si>
    <x:t xml:space="preserve">We all end up here</x:t>
  </x:si>
  <x:si>
    <x:t xml:space="preserve">38468</x:t>
  </x:si>
  <x:si>
    <x:t xml:space="preserve">https://www.smwcentral.net/?a=details&amp;id=38468&amp;p=section</x:t>
  </x:si>
  <x:si>
    <x:t xml:space="preserve">https://dl.smwcentral.net/38468/kuso.zip</x:t>
  </x:si>
  <x:si>
    <x:t xml:space="preserve">We Like It Here</x:t>
  </x:si>
  <x:si>
    <x:t xml:space="preserve">37880</x:t>
  </x:si>
  <x:si>
    <x:t xml:space="preserve">https://www.smwcentral.net/?a=details&amp;id=37880&amp;p=section</x:t>
  </x:si>
  <x:si>
    <x:t xml:space="preserve">https://dl.smwcentral.net/37880/WeLikeItHere1_1.zip</x:t>
  </x:si>
  <x:si>
    <x:t xml:space="preserve">We Must Go Steeper</x:t>
  </x:si>
  <x:si>
    <x:t xml:space="preserve">39891</x:t>
  </x:si>
  <x:si>
    <x:t xml:space="preserve">https://www.smwcentral.net/?a=details&amp;id=39891&amp;p=section</x:t>
  </x:si>
  <x:si>
    <x:t xml:space="preserve">https://dl.smwcentral.net/39891/We_Must_Go_Steeper_1.0.zip</x:t>
  </x:si>
  <x:si>
    <x:t xml:space="preserve">Weather Report</x:t>
  </x:si>
  <x:si>
    <x:t xml:space="preserve">38150</x:t>
  </x:si>
  <x:si>
    <x:t xml:space="preserve">https://www.smwcentral.net/?a=details&amp;id=38150&amp;p=section</x:t>
  </x:si>
  <x:si>
    <x:t xml:space="preserve">https://dl.smwcentral.net/38150/WeatherReport.zip</x:t>
  </x:si>
  <x:si>
    <x:t xml:space="preserve">Weekend</x:t>
  </x:si>
  <x:si>
    <x:t xml:space="preserve">39553</x:t>
  </x:si>
  <x:si>
    <x:t xml:space="preserve">https://www.smwcentral.net/?a=details&amp;id=39553&amp;p=section</x:t>
  </x:si>
  <x:si>
    <x:t xml:space="preserve">https://dl.smwcentral.net/39553/Weekend.zip</x:t>
  </x:si>
  <x:si>
    <x:t xml:space="preserve">Weekend at Luigi's</x:t>
  </x:si>
  <x:si>
    <x:t xml:space="preserve">AmazingChest, PinkDad</x:t>
  </x:si>
  <x:si>
    <x:t xml:space="preserve">27869</x:t>
  </x:si>
  <x:si>
    <x:t xml:space="preserve">https://www.smwcentral.net/?a=details&amp;id=27869&amp;p=section</x:t>
  </x:si>
  <x:si>
    <x:t xml:space="preserve">https://dl.smwcentral.net/27869/weekend-at-luigis-v111%20%281%29.zip</x:t>
  </x:si>
  <x:si>
    <x:t xml:space="preserve">Wendy's Ten Fights</x:t>
  </x:si>
  <x:si>
    <x:t xml:space="preserve">26183</x:t>
  </x:si>
  <x:si>
    <x:t xml:space="preserve">https://www.smwcentral.net/?a=details&amp;id=26183&amp;p=section</x:t>
  </x:si>
  <x:si>
    <x:t xml:space="preserve">https://dl.smwcentral.net/26183/WTF.zip</x:t>
  </x:si>
  <x:si>
    <x:t xml:space="preserve">What did Mario do?</x:t>
  </x:si>
  <x:si>
    <x:t xml:space="preserve">eltiolavara9, woop</x:t>
  </x:si>
  <x:si>
    <x:t xml:space="preserve">38285</x:t>
  </x:si>
  <x:si>
    <x:t xml:space="preserve">https://www.smwcentral.net/?a=details&amp;id=38285&amp;p=section</x:t>
  </x:si>
  <x:si>
    <x:t xml:space="preserve">https://dl.smwcentral.net/38285/WDMD.zip</x:t>
  </x:si>
  <x:si>
    <x:t xml:space="preserve">What The Heck 2</x:t>
  </x:si>
  <x:si>
    <x:t xml:space="preserve">6421</x:t>
  </x:si>
  <x:si>
    <x:t xml:space="preserve">https://www.smwcentral.net/?a=details&amp;id=6421&amp;p=section</x:t>
  </x:si>
  <x:si>
    <x:t xml:space="preserve">https://dl.smwcentral.net/6421/WTH2.zip</x:t>
  </x:si>
  <x:si>
    <x:t xml:space="preserve">What The Shell!</x:t>
  </x:si>
  <x:si>
    <x:t xml:space="preserve">27263</x:t>
  </x:si>
  <x:si>
    <x:t xml:space="preserve">https://www.smwcentral.net/?a=details&amp;id=27263&amp;p=section</x:t>
  </x:si>
  <x:si>
    <x:t xml:space="preserve">https://dl.smwcentral.net/27263/What%20The%20Shell%21.zip</x:t>
  </x:si>
  <x:si>
    <x:t xml:space="preserve">What the... Hack?</x:t>
  </x:si>
  <x:si>
    <x:t xml:space="preserve">10021</x:t>
  </x:si>
  <x:si>
    <x:t xml:space="preserve">https://www.smwcentral.net/?a=details&amp;id=10021&amp;p=section</x:t>
  </x:si>
  <x:si>
    <x:t xml:space="preserve">https://dl.smwcentral.net/10021/What%20the...%20Hack.zip</x:t>
  </x:si>
  <x:si>
    <x:t xml:space="preserve">What's Thanksgiving Without Turkey?</x:t>
  </x:si>
  <x:si>
    <x:t xml:space="preserve">OmegaLuigi</x:t>
  </x:si>
  <x:si>
    <x:t xml:space="preserve">22073</x:t>
  </x:si>
  <x:si>
    <x:t xml:space="preserve">https://www.smwcentral.net/?a=details&amp;id=22073&amp;p=section</x:t>
  </x:si>
  <x:si>
    <x:t xml:space="preserve">https://dl.smwcentral.net/22073/Whats%20Thanksgiving%20Without%20Turkey%20%28Music%20Fixed%29.zip</x:t>
  </x:si>
  <x:si>
    <x:t xml:space="preserve">What's The Name of This Hack?</x:t>
  </x:si>
  <x:si>
    <x:t xml:space="preserve">20891</x:t>
  </x:si>
  <x:si>
    <x:t xml:space="preserve">https://www.smwcentral.net/?a=details&amp;id=20891&amp;p=section</x:t>
  </x:si>
  <x:si>
    <x:t xml:space="preserve">https://dl.smwcentral.net/20891/Whats_The_Name_Of_This_Hack_v1_7.zip</x:t>
  </x:si>
  <x:si>
    <x:t xml:space="preserve">Where the universe breaks</x:t>
  </x:si>
  <x:si>
    <x:t xml:space="preserve">37046</x:t>
  </x:si>
  <x:si>
    <x:t xml:space="preserve">https://www.smwcentral.net/?a=details&amp;id=37046&amp;p=section</x:t>
  </x:si>
  <x:si>
    <x:t xml:space="preserve">https://dl.smwcentral.net/37046/Edge.zip</x:t>
  </x:si>
  <x:si>
    <x:t xml:space="preserve">White Men Can´t Toss</x:t>
  </x:si>
  <x:si>
    <x:t xml:space="preserve">42624</x:t>
  </x:si>
  <x:si>
    <x:t xml:space="preserve">https://www.smwcentral.net/?a=details&amp;id=42624&amp;p=section</x:t>
  </x:si>
  <x:si>
    <x:t xml:space="preserve">https://dl.smwcentral.net/42624/WhiteMenCantToss.zip</x:t>
  </x:si>
  <x:si>
    <x:t xml:space="preserve">Why Do Coins Float?</x:t>
  </x:si>
  <x:si>
    <x:t xml:space="preserve">28807</x:t>
  </x:si>
  <x:si>
    <x:t xml:space="preserve">https://www.smwcentral.net/?a=details&amp;id=28807&amp;p=section</x:t>
  </x:si>
  <x:si>
    <x:t xml:space="preserve">https://dl.smwcentral.net/28807/Why%20Do%20Coins%20Float.zip</x:t>
  </x:si>
  <x:si>
    <x:t xml:space="preserve">Windows Mario World</x:t>
  </x:si>
  <x:si>
    <x:t xml:space="preserve">BetaMaster64</x:t>
  </x:si>
  <x:si>
    <x:t xml:space="preserve">10412</x:t>
  </x:si>
  <x:si>
    <x:t xml:space="preserve">https://www.smwcentral.net/?a=details&amp;id=10412&amp;p=section</x:t>
  </x:si>
  <x:si>
    <x:t xml:space="preserve">https://dl.smwcentral.net/10412/WMW.zip</x:t>
  </x:si>
  <x:si>
    <x:t xml:space="preserve">Winter Season</x:t>
  </x:si>
  <x:si>
    <x:t xml:space="preserve">15265</x:t>
  </x:si>
  <x:si>
    <x:t xml:space="preserve">https://www.smwcentral.net/?a=details&amp;id=15265&amp;p=section</x:t>
  </x:si>
  <x:si>
    <x:t xml:space="preserve">https://dl.smwcentral.net/15265/Winter%20season.zip</x:t>
  </x:si>
  <x:si>
    <x:t xml:space="preserve">Winter Season 2</x:t>
  </x:si>
  <x:si>
    <x:t xml:space="preserve">33326</x:t>
  </x:si>
  <x:si>
    <x:t xml:space="preserve">https://www.smwcentral.net/?a=details&amp;id=33326&amp;p=section</x:t>
  </x:si>
  <x:si>
    <x:t xml:space="preserve">https://dl.smwcentral.net/33326/WinterSeason2.zip</x:t>
  </x:si>
  <x:si>
    <x:t xml:space="preserve">Woji World</x:t>
  </x:si>
  <x:si>
    <x:t xml:space="preserve">16890</x:t>
  </x:si>
  <x:si>
    <x:t xml:space="preserve">https://www.smwcentral.net/?a=details&amp;id=16890&amp;p=section</x:t>
  </x:si>
  <x:si>
    <x:t xml:space="preserve">https://dl.smwcentral.net/16890/Woji%20World%20v1.3.zip</x:t>
  </x:si>
  <x:si>
    <x:t xml:space="preserve">Wonders of Kaizo!</x:t>
  </x:si>
  <x:si>
    <x:t xml:space="preserve">Vanessa</x:t>
  </x:si>
  <x:si>
    <x:t xml:space="preserve">28323</x:t>
  </x:si>
  <x:si>
    <x:t xml:space="preserve">https://www.smwcentral.net/?a=details&amp;id=28323&amp;p=section</x:t>
  </x:si>
  <x:si>
    <x:t xml:space="preserve">https://dl.smwcentral.net/28323/Wonders%20of%20Kaizo%21%21.zip</x:t>
  </x:si>
  <x:si>
    <x:t xml:space="preserve">Worl's World</x:t>
  </x:si>
  <x:si>
    <x:t xml:space="preserve">24118</x:t>
  </x:si>
  <x:si>
    <x:t xml:space="preserve">https://www.smwcentral.net/?a=details&amp;id=24118&amp;p=section</x:t>
  </x:si>
  <x:si>
    <x:t xml:space="preserve">https://dl.smwcentral.net/24118/Worls%20World%201.3.zip</x:t>
  </x:si>
  <x:si>
    <x:t xml:space="preserve">Worl's World 2: The Rebellion</x:t>
  </x:si>
  <x:si>
    <x:t xml:space="preserve">26447</x:t>
  </x:si>
  <x:si>
    <x:t xml:space="preserve">https://www.smwcentral.net/?a=details&amp;id=26447&amp;p=section</x:t>
  </x:si>
  <x:si>
    <x:t xml:space="preserve">https://dl.smwcentral.net/26447/Worls%20World%202%20v1.1.zip</x:t>
  </x:si>
  <x:si>
    <x:t xml:space="preserve">World Of Illusion</x:t>
  </x:si>
  <x:si>
    <x:t xml:space="preserve">Azure</x:t>
  </x:si>
  <x:si>
    <x:t xml:space="preserve">4980</x:t>
  </x:si>
  <x:si>
    <x:t xml:space="preserve">https://www.smwcentral.net/?a=details&amp;id=4980&amp;p=section</x:t>
  </x:si>
  <x:si>
    <x:t xml:space="preserve">https://dl.smwcentral.net/4980/World%20of%20Illusion.zip</x:t>
  </x:si>
  <x:si>
    <x:t xml:space="preserve">World of Jumps</x:t>
  </x:si>
  <x:si>
    <x:t xml:space="preserve">Maltz</x:t>
  </x:si>
  <x:si>
    <x:t xml:space="preserve">41374</x:t>
  </x:si>
  <x:si>
    <x:t xml:space="preserve">https://www.smwcentral.net/?a=details&amp;id=41374&amp;p=section</x:t>
  </x:si>
  <x:si>
    <x:t xml:space="preserve">https://dl.smwcentral.net/41374/WorldOfJumps.zip</x:t>
  </x:si>
  <x:si>
    <x:t xml:space="preserve">World of Shells</x:t>
  </x:si>
  <x:si>
    <x:t xml:space="preserve">32844</x:t>
  </x:si>
  <x:si>
    <x:t xml:space="preserve">https://www.smwcentral.net/?a=details&amp;id=32844&amp;p=section</x:t>
  </x:si>
  <x:si>
    <x:t xml:space="preserve">https://dl.smwcentral.net/32844/World%20of%20Shells%20V%201.4.zip</x:t>
  </x:si>
  <x:si>
    <x:t xml:space="preserve">World's Hardest Hack</x:t>
  </x:si>
  <x:si>
    <x:t xml:space="preserve">32940</x:t>
  </x:si>
  <x:si>
    <x:t xml:space="preserve">https://www.smwcentral.net/?a=details&amp;id=32940&amp;p=section</x:t>
  </x:si>
  <x:si>
    <x:t xml:space="preserve">https://dl.smwcentral.net/32940/CoolMathHacks.zip</x:t>
  </x:si>
  <x:si>
    <x:t xml:space="preserve">worm</x:t>
  </x:si>
  <x:si>
    <x:t xml:space="preserve">39888</x:t>
  </x:si>
  <x:si>
    <x:t xml:space="preserve">https://www.smwcentral.net/?a=details&amp;id=39888&amp;p=section</x:t>
  </x:si>
  <x:si>
    <x:t xml:space="preserve">https://dl.smwcentral.net/39888/worm.zip</x:t>
  </x:si>
  <x:si>
    <x:t xml:space="preserve">Wrath of Bowser</x:t>
  </x:si>
  <x:si>
    <x:t xml:space="preserve">Tubbaluvin</x:t>
  </x:si>
  <x:si>
    <x:t xml:space="preserve">22025</x:t>
  </x:si>
  <x:si>
    <x:t xml:space="preserve">https://www.smwcentral.net/?a=details&amp;id=22025&amp;p=section</x:t>
  </x:si>
  <x:si>
    <x:t xml:space="preserve">https://dl.smwcentral.net/22025/WrathOfBowserV1_1.zip</x:t>
  </x:si>
  <x:si>
    <x:t xml:space="preserve">Wrecking Crew '98</x:t>
  </x:si>
  <x:si>
    <x:t xml:space="preserve">13765</x:t>
  </x:si>
  <x:si>
    <x:t xml:space="preserve">https://www.smwcentral.net/?a=details&amp;id=13765&amp;p=section</x:t>
  </x:si>
  <x:si>
    <x:t xml:space="preserve">https://dl.smwcentral.net/13765/Wrecking%20Crew%20%2798%20v1.3.zip</x:t>
  </x:si>
  <x:si>
    <x:t xml:space="preserve">X-Drive</x:t>
  </x:si>
  <x:si>
    <x:t xml:space="preserve">Aurel509, Kourauh, MrJ'lien</x:t>
  </x:si>
  <x:si>
    <x:t xml:space="preserve">33559</x:t>
  </x:si>
  <x:si>
    <x:t xml:space="preserve">https://www.smwcentral.net/?a=details&amp;id=33559&amp;p=section</x:t>
  </x:si>
  <x:si>
    <x:t xml:space="preserve">https://dl.smwcentral.net/33559/XDrive%20-%20v1.0.2.zip</x:t>
  </x:si>
  <x:si>
    <x:t xml:space="preserve">Xka Shack</x:t>
  </x:si>
  <x:si>
    <x:t xml:space="preserve">Smallhacker, smkdan</x:t>
  </x:si>
  <x:si>
    <x:t xml:space="preserve">17482</x:t>
  </x:si>
  <x:si>
    <x:t xml:space="preserve">https://www.smwcentral.net/?a=details&amp;id=17482&amp;p=section</x:t>
  </x:si>
  <x:si>
    <x:t xml:space="preserve">https://dl.smwcentral.net/17482/xka_shack.zip</x:t>
  </x:si>
  <x:si>
    <x:t xml:space="preserve">Xulaph Kaizo World</x:t>
  </x:si>
  <x:si>
    <x:t xml:space="preserve">22346</x:t>
  </x:si>
  <x:si>
    <x:t xml:space="preserve">https://www.smwcentral.net/?a=details&amp;id=22346&amp;p=section</x:t>
  </x:si>
  <x:si>
    <x:t xml:space="preserve">https://dl.smwcentral.net/22346/Xulaph_Kaizo_World.zip</x:t>
  </x:si>
  <x:si>
    <x:t xml:space="preserve">Yahoo!!</x:t>
  </x:si>
  <x:si>
    <x:t xml:space="preserve">Mousejuggler</x:t>
  </x:si>
  <x:si>
    <x:t xml:space="preserve">39510</x:t>
  </x:si>
  <x:si>
    <x:t xml:space="preserve">https://www.smwcentral.net/?a=details&amp;id=39510&amp;p=section</x:t>
  </x:si>
  <x:si>
    <x:t xml:space="preserve">https://dl.smwcentral.net/39510/Yahoo%21%21.zip</x:t>
  </x:si>
  <x:si>
    <x:t xml:space="preserve">Yank 2</x:t>
  </x:si>
  <x:si>
    <x:t xml:space="preserve">26899</x:t>
  </x:si>
  <x:si>
    <x:t xml:space="preserve">https://www.smwcentral.net/?a=details&amp;id=26899&amp;p=section</x:t>
  </x:si>
  <x:si>
    <x:t xml:space="preserve">https://dl.smwcentral.net/26899/Yank%202.zip</x:t>
  </x:si>
  <x:si>
    <x:t xml:space="preserve">Yet Another SMW Hack</x:t>
  </x:si>
  <x:si>
    <x:t xml:space="preserve">15893</x:t>
  </x:si>
  <x:si>
    <x:t xml:space="preserve">https://www.smwcentral.net/?a=details&amp;id=15893&amp;p=section</x:t>
  </x:si>
  <x:si>
    <x:t xml:space="preserve">https://dl.smwcentral.net/15893/YASH%20F1.0.zip</x:t>
  </x:si>
  <x:si>
    <x:t xml:space="preserve">Yet Another Super Mario Adventure</x:t>
  </x:si>
  <x:si>
    <x:t xml:space="preserve">25198</x:t>
  </x:si>
  <x:si>
    <x:t xml:space="preserve">https://www.smwcentral.net/?a=details&amp;id=25198&amp;p=section</x:t>
  </x:si>
  <x:si>
    <x:t xml:space="preserve">https://dl.smwcentral.net/25198/Yet%20Another%20Super%20Mario%20Adventure%20Demo.zip</x:t>
  </x:si>
  <x:si>
    <x:t xml:space="preserve">YF10CBTTHNTDWTL</x:t>
  </x:si>
  <x:si>
    <x:t xml:space="preserve">11769</x:t>
  </x:si>
  <x:si>
    <x:t xml:space="preserve">https://www.smwcentral.net/?a=details&amp;id=11769&amp;p=section</x:t>
  </x:si>
  <x:si>
    <x:t xml:space="preserve">https://dl.smwcentral.net/11769/YF10CBTTHNTDWTL.zip</x:t>
  </x:si>
  <x:si>
    <x:t xml:space="preserve">Yikes Kaizo World</x:t>
  </x:si>
  <x:si>
    <x:t xml:space="preserve">jquery861</x:t>
  </x:si>
  <x:si>
    <x:t xml:space="preserve">28710</x:t>
  </x:si>
  <x:si>
    <x:t xml:space="preserve">https://www.smwcentral.net/?a=details&amp;id=28710&amp;p=section</x:t>
  </x:si>
  <x:si>
    <x:t xml:space="preserve">https://dl.smwcentral.net/28710/YikesKaizoWorld_v1.0.zip</x:t>
  </x:si>
  <x:si>
    <x:t xml:space="preserve">YNT MARIO</x:t>
  </x:si>
  <x:si>
    <x:t xml:space="preserve">YNT, astm</x:t>
  </x:si>
  <x:si>
    <x:t xml:space="preserve">42427</x:t>
  </x:si>
  <x:si>
    <x:t xml:space="preserve">https://www.smwcentral.net/?a=details&amp;id=42427&amp;p=section</x:t>
  </x:si>
  <x:si>
    <x:t xml:space="preserve">https://dl.smwcentral.net/42427/ynt_mario_en_v1.0.6.zip</x:t>
  </x:si>
  <x:si>
    <x:t xml:space="preserve">Yo mama is fat</x:t>
  </x:si>
  <x:si>
    <x:t xml:space="preserve">17614</x:t>
  </x:si>
  <x:si>
    <x:t xml:space="preserve">https://www.smwcentral.net/?a=details&amp;id=17614&amp;p=section</x:t>
  </x:si>
  <x:si>
    <x:t xml:space="preserve">https://dl.smwcentral.net/17614/Yo%20mama%20is%20fat.zip</x:t>
  </x:si>
  <x:si>
    <x:t xml:space="preserve">YoHo</x:t>
  </x:si>
  <x:si>
    <x:t xml:space="preserve">26473</x:t>
  </x:si>
  <x:si>
    <x:t xml:space="preserve">https://www.smwcentral.net/?a=details&amp;id=26473&amp;p=section</x:t>
  </x:si>
  <x:si>
    <x:t xml:space="preserve">https://dl.smwcentral.net/26473/YoHo1.4.zip</x:t>
  </x:si>
  <x:si>
    <x:t xml:space="preserve">YoHo Adventure</x:t>
  </x:si>
  <x:si>
    <x:t xml:space="preserve">26657</x:t>
  </x:si>
  <x:si>
    <x:t xml:space="preserve">https://www.smwcentral.net/?a=details&amp;id=26657&amp;p=section</x:t>
  </x:si>
  <x:si>
    <x:t xml:space="preserve">https://dl.smwcentral.net/26657/YoHo%20Adventure.zip</x:t>
  </x:si>
  <x:si>
    <x:t xml:space="preserve">Yoshi Is Missing!</x:t>
  </x:si>
  <x:si>
    <x:t xml:space="preserve">S.L</x:t>
  </x:si>
  <x:si>
    <x:t xml:space="preserve">9770</x:t>
  </x:si>
  <x:si>
    <x:t xml:space="preserve">https://www.smwcentral.net/?a=details&amp;id=9770&amp;p=section</x:t>
  </x:si>
  <x:si>
    <x:t xml:space="preserve">https://dl.smwcentral.net/9770/Yoshi%20is%20missing%20%21.zip</x:t>
  </x:si>
  <x:si>
    <x:t xml:space="preserve">Yoshi Saves Summer Vacation</x:t>
  </x:si>
  <x:si>
    <x:t xml:space="preserve">34071</x:t>
  </x:si>
  <x:si>
    <x:t xml:space="preserve">https://www.smwcentral.net/?a=details&amp;id=34071&amp;p=section</x:t>
  </x:si>
  <x:si>
    <x:t xml:space="preserve">https://dl.smwcentral.net/34071/Yoshi%20Saves%20Summer%20Vacation.zip</x:t>
  </x:si>
  <x:si>
    <x:t xml:space="preserve">Yoshi Surfer 5000</x:t>
  </x:si>
  <x:si>
    <x:t xml:space="preserve">19699</x:t>
  </x:si>
  <x:si>
    <x:t xml:space="preserve">https://www.smwcentral.net/?a=details&amp;id=19699&amp;p=section</x:t>
  </x:si>
  <x:si>
    <x:t xml:space="preserve">https://dl.smwcentral.net/19699/Yoshi%20Surfer%205000.zip</x:t>
  </x:si>
  <x:si>
    <x:t xml:space="preserve">Yoshi's Crack House</x:t>
  </x:si>
  <x:si>
    <x:t xml:space="preserve">MilkyMooer</x:t>
  </x:si>
  <x:si>
    <x:t xml:space="preserve">29590</x:t>
  </x:si>
  <x:si>
    <x:t xml:space="preserve">https://www.smwcentral.net/?a=details&amp;id=29590&amp;p=section</x:t>
  </x:si>
  <x:si>
    <x:t xml:space="preserve">https://dl.smwcentral.net/29590/Yoshis_Crack_House.zip</x:t>
  </x:si>
  <x:si>
    <x:t xml:space="preserve">Yoshi's Emergency</x:t>
  </x:si>
  <x:si>
    <x:t xml:space="preserve">Brad172</x:t>
  </x:si>
  <x:si>
    <x:t xml:space="preserve">10072</x:t>
  </x:si>
  <x:si>
    <x:t xml:space="preserve">https://www.smwcentral.net/?a=details&amp;id=10072&amp;p=section</x:t>
  </x:si>
  <x:si>
    <x:t xml:space="preserve">https://dl.smwcentral.net/10072/Yoshi%27s%20Emergency.zip</x:t>
  </x:si>
  <x:si>
    <x:t xml:space="preserve">Yoshi's rescue run</x:t>
  </x:si>
  <x:si>
    <x:t xml:space="preserve">36719</x:t>
  </x:si>
  <x:si>
    <x:t xml:space="preserve">https://www.smwcentral.net/?a=details&amp;id=36719&amp;p=section</x:t>
  </x:si>
  <x:si>
    <x:t xml:space="preserve">https://dl.smwcentral.net/36719/Yoshisrescuerun1.2%20%282%29.zip</x:t>
  </x:si>
  <x:si>
    <x:t xml:space="preserve">Yoshi's Revenge</x:t>
  </x:si>
  <x:si>
    <x:t xml:space="preserve">42385</x:t>
  </x:si>
  <x:si>
    <x:t xml:space="preserve">https://www.smwcentral.net/?a=details&amp;id=42385&amp;p=section</x:t>
  </x:si>
  <x:si>
    <x:t xml:space="preserve">https://dl.smwcentral.net/42385/Yoshi%27s%20Revenge%201.1.1.zip</x:t>
  </x:si>
  <x:si>
    <x:t xml:space="preserve">Yoshi's Strange Quest</x:t>
  </x:si>
  <x:si>
    <x:t xml:space="preserve">10302</x:t>
  </x:si>
  <x:si>
    <x:t xml:space="preserve">https://www.smwcentral.net/?a=details&amp;id=10302&amp;p=section</x:t>
  </x:si>
  <x:si>
    <x:t xml:space="preserve">https://dl.smwcentral.net/10302/YSQ%20V1.3.zip</x:t>
  </x:si>
  <x:si>
    <x:t xml:space="preserve">Yoshi: Super Dinosaur</x:t>
  </x:si>
  <x:si>
    <x:t xml:space="preserve">Kyouken</x:t>
  </x:si>
  <x:si>
    <x:t xml:space="preserve">10029</x:t>
  </x:si>
  <x:si>
    <x:t xml:space="preserve">https://www.smwcentral.net/?a=details&amp;id=10029&amp;p=section</x:t>
  </x:si>
  <x:si>
    <x:t xml:space="preserve">https://dl.smwcentral.net/10029/Yoshi%20-%20Super%20Dinosaur.zip</x:t>
  </x:si>
  <x:si>
    <x:t xml:space="preserve">10024</x:t>
  </x:si>
  <x:si>
    <x:t xml:space="preserve">https://www.smwcentral.net/?a=details&amp;id=10024&amp;p=section</x:t>
  </x:si>
  <x:si>
    <x:t xml:space="preserve">https://dl.smwcentral.net/10024/Yoshirofullversion1.1.zip</x:t>
  </x:si>
  <x:si>
    <x:t xml:space="preserve">You Are Just A Blue Switch</x:t>
  </x:si>
  <x:si>
    <x:t xml:space="preserve">40107</x:t>
  </x:si>
  <x:si>
    <x:t xml:space="preserve">https://www.smwcentral.net/?a=details&amp;id=40107&amp;p=section</x:t>
  </x:si>
  <x:si>
    <x:t xml:space="preserve">https://dl.smwcentral.net/40107/%5BHack%5D%20You%20Are%20Just%20A%20Blue%20Switch%20v1.03.zip</x:t>
  </x:si>
  <x:si>
    <x:t xml:space="preserve">You Have No Life</x:t>
  </x:si>
  <x:si>
    <x:t xml:space="preserve">39741</x:t>
  </x:si>
  <x:si>
    <x:t xml:space="preserve">https://www.smwcentral.net/?a=details&amp;id=39741&amp;p=section</x:t>
  </x:si>
  <x:si>
    <x:t xml:space="preserve">https://dl.smwcentral.net/39741/You%20Have%20No%20Life%20-%20SMW.zip</x:t>
  </x:si>
  <x:si>
    <x:t xml:space="preserve">You Shell Not Pass</x:t>
  </x:si>
  <x:si>
    <x:t xml:space="preserve">Firstnamebutt, Inflagrandy, robbstermusic</x:t>
  </x:si>
  <x:si>
    <x:t xml:space="preserve">38263</x:t>
  </x:si>
  <x:si>
    <x:t xml:space="preserve">https://www.smwcentral.net/?a=details&amp;id=38263&amp;p=section</x:t>
  </x:si>
  <x:si>
    <x:t xml:space="preserve">https://dl.smwcentral.net/38263/You%20Shell%20Not%20Pass%201.2.zip</x:t>
  </x:si>
  <x:si>
    <x:t xml:space="preserve">Yuki Mario</x:t>
  </x:si>
  <x:si>
    <x:t xml:space="preserve">Rouge</x:t>
  </x:si>
  <x:si>
    <x:t xml:space="preserve">32596</x:t>
  </x:si>
  <x:si>
    <x:t xml:space="preserve">https://www.smwcentral.net/?a=details&amp;id=32596&amp;p=section</x:t>
  </x:si>
  <x:si>
    <x:t xml:space="preserve">https://dl.smwcentral.net/32596/Yuki%20Mario%20World%201.zip</x:t>
  </x:si>
  <x:si>
    <x:t xml:space="preserve">YUMP</x:t>
  </x:si>
  <x:si>
    <x:t xml:space="preserve">Christina Hendricks, JUMP Team, Lazy</x:t>
  </x:si>
  <x:si>
    <x:t xml:space="preserve">15892</x:t>
  </x:si>
  <x:si>
    <x:t xml:space="preserve">https://www.smwcentral.net/?a=details&amp;id=15892&amp;p=section</x:t>
  </x:si>
  <x:si>
    <x:t xml:space="preserve">https://dl.smwcentral.net/15892/yumpy%20boy.zip</x:t>
  </x:si>
  <x:si>
    <x:t xml:space="preserve">YUMP 2</x:t>
  </x:si>
  <x:si>
    <x:t xml:space="preserve">JUMP Team, Lazy</x:t>
  </x:si>
  <x:si>
    <x:t xml:space="preserve">23778</x:t>
  </x:si>
  <x:si>
    <x:t xml:space="preserve">https://www.smwcentral.net/?a=details&amp;id=23778&amp;p=section</x:t>
  </x:si>
  <x:si>
    <x:t xml:space="preserve">https://dl.smwcentral.net/23778/YUMP%202.zip</x:t>
  </x:si>
  <x:si>
    <x:t xml:space="preserve">Zap &amp; Lena Adventures</x:t>
  </x:si>
  <x:si>
    <x:t xml:space="preserve">23031</x:t>
  </x:si>
  <x:si>
    <x:t xml:space="preserve">https://www.smwcentral.net/?a=details&amp;id=23031&amp;p=section</x:t>
  </x:si>
  <x:si>
    <x:t xml:space="preserve">https://dl.smwcentral.net/23031/ZapLenaAdventures.zip</x:t>
  </x:si>
  <x:si>
    <x:t xml:space="preserve">Zap Lena World</x:t>
  </x:si>
  <x:si>
    <x:t xml:space="preserve">24421</x:t>
  </x:si>
  <x:si>
    <x:t xml:space="preserve">https://www.smwcentral.net/?a=details&amp;id=24421&amp;p=section</x:t>
  </x:si>
  <x:si>
    <x:t xml:space="preserve">https://dl.smwcentral.net/24421/Zap%20Lena%20World%20v1.2.zip</x:t>
  </x:si>
  <x:si>
    <x:t xml:space="preserve">Zeldara's Glitch City v147</x:t>
  </x:si>
  <x:si>
    <x:t xml:space="preserve">Karisa</x:t>
  </x:si>
  <x:si>
    <x:t xml:space="preserve">15935</x:t>
  </x:si>
  <x:si>
    <x:t xml:space="preserve">https://www.smwcentral.net/?a=details&amp;id=15935&amp;p=section</x:t>
  </x:si>
  <x:si>
    <x:t xml:space="preserve">https://dl.smwcentral.net/15935/zgc147.zip</x:t>
  </x:si>
  <x:si>
    <x:t xml:space="preserve">~ Sure Shot ~ featuring Sonic the Hedgehog DELUXE EDITION</x:t>
  </x:si>
  <x:si>
    <x:t xml:space="preserve">YMM, margot</x:t>
  </x:si>
  <x:si>
    <x:t xml:space="preserve">32587</x:t>
  </x:si>
  <x:si>
    <x:t xml:space="preserve">https://www.smwcentral.net/?a=details&amp;id=32587&amp;p=section</x:t>
  </x:si>
  <x:si>
    <x:t xml:space="preserve">https://dl.smwcentral.net/32587/Sure%20Shot.zip</x:t>
  </x:si>
  <x:si>
    <x:t xml:space="preserve">~omh~</x:t>
  </x:si>
  <x:si>
    <x:t xml:space="preserve">Daizo Dee Von, Squirrelyman157, Team JANK</x:t>
  </x:si>
  <x:si>
    <x:t xml:space="preserve">35050</x:t>
  </x:si>
  <x:si>
    <x:t xml:space="preserve">https://www.smwcentral.net/?a=details&amp;id=35050&amp;p=section</x:t>
  </x:si>
  <x:si>
    <x:t xml:space="preserve">https://dl.smwcentral.net/35050/~omh~%20-%20original%20mario%20hack.zip</x:t>
  </x:si>
  <x:si>
    <x:t xml:space="preserve">⏱︎ Slow Motion Mario</x:t>
  </x:si>
  <x:si>
    <x:t xml:space="preserve">TheSpreee333</x:t>
  </x:si>
  <x:si>
    <x:t xml:space="preserve">39168</x:t>
  </x:si>
  <x:si>
    <x:t xml:space="preserve">https://www.smwcentral.net/?a=details&amp;id=39168&amp;p=section</x:t>
  </x:si>
  <x:si>
    <x:t xml:space="preserve">https://dl.smwcentral.net/39168/%E2%8F%B1%EF%B8%8E%20Slow%20Motion%20Mario.zip</x:t>
  </x:si>
  <x:si>
    <x:t xml:space="preserve">🐭 So 2 Mice Walk Into a Bar... 🐭</x:t>
  </x:si>
  <x:si>
    <x:t xml:space="preserve">Christina Hendricks, S.N.N.</x:t>
  </x:si>
  <x:si>
    <x:t xml:space="preserve">21950</x:t>
  </x:si>
  <x:si>
    <x:t xml:space="preserve">https://www.smwcentral.net/?a=details&amp;id=21950&amp;p=section</x:t>
  </x:si>
  <x:si>
    <x:t xml:space="preserve">https://dl.smwcentral.net/21950/so_2_mice_walk_into_a_bar_v1.1.zip</x:t>
  </x:si>
  <x:si>
    <x:t xml:space="preserve">🐸🥣</x:t>
  </x:si>
  <x:si>
    <x:t xml:space="preserve">32897</x:t>
  </x:si>
  <x:si>
    <x:t xml:space="preserve">https://www.smwcentral.net/?a=details&amp;id=32897&amp;p=section</x:t>
  </x:si>
  <x:si>
    <x:t xml:space="preserve">https://dl.smwcentral.net/32897/meep.zip</x:t>
  </x:si>
  <x:si>
    <x:t xml:space="preserve">ROM Hack Completion Dashboard</x:t>
  </x:si>
  <x:si>
    <x:t xml:space="preserve">Your SMW hack progress at a glance</x:t>
  </x:si>
  <x:si>
    <x:t xml:space="preserve">Catalog Hacks</x:t>
  </x:si>
  <x:si>
    <x:t xml:space="preserve">Tracked Hacks</x:t>
  </x:si>
  <x:si>
    <x:t xml:space="preserve">100% Complete</x:t>
  </x:si>
  <x:si>
    <x:t xml:space="preserve">Completion Rate</x:t>
  </x:si>
  <x:si>
    <x:t xml:space="preserve">Tracked</x:t>
  </x:si>
  <x:si>
    <x:t xml:space="preserve">Count</x:t>
  </x:si>
  <x:si>
    <x:t xml:space="preserve">Planned</x:t>
  </x:si>
  <x:si>
    <x:t xml:space="preserve">In Progress</x:t>
  </x:si>
  <x:si>
    <x:t xml:space="preserve">Finished</x:t>
  </x:si>
  <x:si>
    <x:t xml:space="preserve">ROM Hack Dropdown</x:t>
  </x:si>
  <x:si>
    <x:t xml:space="preserve">Support Sheet</x:t>
  </x:si>
  <x:si>
    <x:t xml:space="preserve">The Tracker and Hack Finder use the dynamic Hack Database list. You normally do not need to edit this sheet.</x:t>
  </x:si>
  <x:si>
    <x:t xml:space="preserve">No</x:t>
  </x:si>
  <x:si>
    <x:t xml:space="preserve">SMWCentral Complete ROM Hack Tracker</x:t>
  </x:si>
  <x:si>
    <x:t xml:space="preserve">A polished tracker for your complete SMW hack journey</x:t>
  </x:si>
  <x:si>
    <x:t xml:space="preserve">Step</x:t>
  </x:si>
  <x:si>
    <x:t xml:space="preserve">How to use the workbook</x:t>
  </x:si>
  <x:si>
    <x:t xml:space="preserve">1</x:t>
  </x:si>
  <x:si>
    <x:t xml:space="preserve">Choose a hack from the dropdown on the Tracker sheet.</x:t>
  </x:si>
  <x:si>
    <x:t xml:space="preserve">2</x:t>
  </x:si>
  <x:si>
    <x:t xml:space="preserve">The title, creator, exits, difficulty, type, and links fill automatically.</x:t>
  </x:si>
  <x:si>
    <x:t xml:space="preserve">3</x:t>
  </x:si>
  <x:si>
    <x:t xml:space="preserve">Mark 100% Completed? as Yes; the Hack # column numbers completions in order.</x:t>
  </x:si>
  <x:si>
    <x:t xml:space="preserve">4</x:t>
  </x:si>
  <x:si>
    <x:t xml:space="preserve">To add a new hack, enter it on the next blank row of Hack Database.</x:t>
  </x:si>
  <x:si>
    <x:t xml:space="preserve">5</x:t>
  </x:si>
  <x:si>
    <x:t xml:space="preserve">Enter dates, rating, playtime, and notes whenever you want.</x:t>
  </x:si>
  <x:si>
    <x:t xml:space="preserve">6</x:t>
  </x:si>
  <x:si>
    <x:t xml:space="preserve">Use Hack Finder to browse the catalog without changing the tracker.</x:t>
  </x:si>
  <x:si>
    <x:t xml:space="preserve">7</x:t>
  </x:si>
  <x:si>
    <x:t xml:space="preserve">Use Dashboard to review your completion statistics and difficulty breakdown.</x:t>
  </x:si>
</x:sst>
</file>

<file path=xl/styles.xml><?xml version="1.0" encoding="utf-8"?>
<x:styleSheet xmlns:x="http://schemas.openxmlformats.org/spreadsheetml/2006/main">
  <x:numFmts count="5">
    <x:numFmt numFmtId="165" formatCode="mm/dd/yyyy"/>
    <x:numFmt numFmtId="166" formatCode="[h]:mm"/>
    <x:numFmt numFmtId="167" formatCode="0.0%"/>
    <x:numFmt numFmtId="168" formatCode="mmm\ d\,\ yyyy"/>
    <x:numFmt numFmtId="200" formatCode="mmm d, yyyy"/>
  </x:numFmts>
  <x:fonts count="20">
    <x:font>
      <x:sz val="11"/>
      <x:color theme="1"/>
      <x:name val="Calibri"/>
    </x:font>
    <x:font>
      <x:b/>
      <x:sz val="11"/>
      <x:color rgb="FFFFFFFF"/>
      <x:name val="Calibri"/>
    </x:font>
    <x:font>
      <x:sz val="12"/>
      <x:color theme="10"/>
      <x:name val="Calibri"/>
    </x:font>
    <x:font>
      <x:b/>
      <x:sz val="18"/>
      <x:color rgb="FFFFFFFF"/>
      <x:name val="Calibri"/>
    </x:font>
    <x:font>
      <x:b/>
      <x:sz val="10"/>
      <x:color rgb="FFFFFFFF"/>
      <x:name val="Calibri"/>
    </x:font>
    <x:font>
      <x:sz val="10"/>
      <x:color rgb="FF23364A"/>
      <x:name val="Calibri"/>
    </x:font>
    <x:font>
      <x:b/>
      <x:sz val="10"/>
      <x:color rgb="FF17365D"/>
      <x:name val="Calibri"/>
    </x:font>
    <x:font>
      <x:b/>
      <x:sz val="10"/>
      <x:color rgb="FF0563C1"/>
      <x:name val="Calibri"/>
    </x:font>
    <x:font>
      <x:sz val="9"/>
      <x:color rgb="FF23364A"/>
      <x:name val="Calibri"/>
    </x:font>
    <x:font>
      <x:sz val="9"/>
      <x:color rgb="FF0563C1"/>
      <x:name val="Calibri"/>
    </x:font>
    <x:font>
      <x:b/>
      <x:sz val="20"/>
      <x:color rgb="FFFFFFFF"/>
      <x:name val="Calibri"/>
    </x:font>
    <x:font>
      <x:i/>
      <x:sz val="10"/>
      <x:color rgb="FF5B6573"/>
      <x:name val="Calibri"/>
    </x:font>
    <x:font>
      <x:b/>
      <x:sz val="20"/>
      <x:color rgb="FF17365D"/>
      <x:name val="Calibri"/>
    </x:font>
    <x:font>
      <x:b/>
      <x:sz val="20"/>
      <x:color rgb="FF1F4E78"/>
      <x:name val="Calibri"/>
    </x:font>
    <x:font>
      <x:b/>
      <x:sz val="20"/>
      <x:color rgb="FF375623"/>
      <x:name val="Calibri"/>
    </x:font>
    <x:font>
      <x:b/>
      <x:sz val="20"/>
      <x:color rgb="FF5F497A"/>
      <x:name val="Calibri"/>
    </x:font>
    <x:font>
      <x:sz val="11"/>
      <x:color rgb="FF23364A"/>
      <x:name val="Calibri"/>
    </x:font>
    <x:font>
      <x:b/>
      <x:sz val="11"/>
      <x:color rgb="FF17365D"/>
      <x:name val="Calibri"/>
    </x:font>
    <x:font>
      <x:b/>
      <x:sz val="12"/>
      <x:color rgb="FFFFFFFF"/>
      <x:name val="Calibri"/>
    </x:font>
    <x:font>
      <x:b/>
      <x:sz val="13"/>
      <x:color rgb="FFFFFFFF"/>
      <x:name val="Calibri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DCEAF7"/>
      </x:patternFill>
    </x:fill>
    <x:fill>
      <x:patternFill patternType="solid">
        <x:fgColor rgb="FFFFF8E7"/>
      </x:patternFill>
    </x:fill>
    <x:fill>
      <x:patternFill patternType="solid">
        <x:fgColor rgb="FFF2F6FA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1F6D7A"/>
      </x:patternFill>
    </x:fill>
    <x:fill>
      <x:patternFill patternType="solid">
        <x:fgColor rgb="FF17365D"/>
      </x:patternFill>
    </x:fill>
    <x:fill>
      <x:patternFill patternType="solid">
        <x:fgColor rgb="FF1F6D7A"/>
      </x:patternFill>
    </x:fill>
    <x:fill>
      <x:patternFill patternType="solid">
        <x:fgColor rgb="FFF2F6FA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8E7"/>
      </x:patternFill>
    </x:fill>
  </x:fills>
  <x:borders count="66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top style="thin">
        <x:color rgb="FFA6A6A6"/>
      </x:top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/>
    <x:border/>
    <x:border/>
    <x:border>
      <x:right style="thin">
        <x:color rgb="FFA6A6A6"/>
      </x:right>
    </x:border>
    <x:border>
      <x:left style="thin">
        <x:color rgb="FFA6A6A6"/>
      </x:left>
    </x:border>
    <x:border/>
    <x:border/>
    <x:border/>
    <x:border/>
    <x:border/>
    <x:border/>
    <x:border>
      <x:left style="thin">
        <x:color rgb="FFA6A6A6"/>
      </x:left>
      <x:right style="thin">
        <x:color rgb="FFA6A6A6"/>
      </x:right>
    </x:border>
    <x:border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top style="thin">
        <x:color rgb="FFA6A6A6"/>
      </x:top>
    </x:border>
    <x:border/>
    <x:border/>
    <x:border/>
    <x:border/>
    <x:border/>
    <x:border/>
    <x:border>
      <x:left style="thick">
        <x:color theme="1"/>
      </x:left>
      <x:right style="thick">
        <x:color theme="1"/>
      </x:right>
      <x:top style="thick">
        <x:color theme="1"/>
      </x:top>
      <x:bottom style="thick">
        <x:color theme="1"/>
      </x:bottom>
    </x:border>
    <x:border>
      <x:left style="thin">
        <x:color rgb="FFA6A6A6"/>
      </x:left>
      <x:right style="thick">
        <x:color theme="1"/>
      </x:right>
      <x:bottom style="thin">
        <x:color rgb="FFA6A6A6"/>
      </x:bottom>
    </x:border>
    <x:border>
      <x:left style="thin">
        <x:color rgb="FFA6A6A6"/>
      </x:left>
      <x:right style="thick">
        <x:color theme="1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ck">
        <x:color theme="1"/>
      </x:right>
      <x:top style="thin">
        <x:color rgb="FFA6A6A6"/>
      </x:top>
    </x:border>
    <x:border>
      <x:right style="thick">
        <x:color theme="1"/>
      </x:right>
    </x:border>
    <x:border>
      <x:left style="medium">
        <x:color theme="1"/>
      </x:left>
      <x:right style="thick">
        <x:color theme="1"/>
      </x:right>
      <x:top style="thick">
        <x:color theme="1"/>
      </x:top>
      <x:bottom style="medium">
        <x:color theme="1"/>
      </x:bottom>
    </x:border>
    <x:border>
      <x:left style="medium">
        <x:color theme="1"/>
      </x:left>
      <x:right style="medium">
        <x:color theme="1"/>
      </x:right>
      <x:top style="thick">
        <x:color theme="1"/>
      </x:top>
      <x:bottom style="medium">
        <x:color theme="1"/>
      </x:bottom>
    </x:border>
    <x:border>
      <x:left style="medium">
        <x:color theme="1"/>
      </x:left>
      <x:right style="medium">
        <x:color theme="1"/>
      </x:right>
      <x:top style="medium">
        <x:color theme="1"/>
      </x:top>
      <x:bottom style="medium">
        <x:color theme="1"/>
      </x:bottom>
    </x:border>
    <x:border>
      <x:left style="medium">
        <x:color theme="1"/>
      </x:left>
      <x:right style="thick">
        <x:color theme="1"/>
      </x:right>
      <x:top style="medium">
        <x:color theme="1"/>
      </x:top>
      <x:bottom style="medium">
        <x:color theme="1"/>
      </x:bottom>
    </x:border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top style="thin">
        <x:color rgb="FFA6A6A6"/>
      </x:top>
    </x:border>
    <x:border>
      <x:right style="thin">
        <x:color rgb="FFA6A6A6"/>
      </x:right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</x:border>
    <x:border>
      <x:left style="thick">
        <x:color theme="1"/>
      </x:left>
      <x:right style="thick">
        <x:color theme="1"/>
      </x:right>
      <x:top style="thick">
        <x:color theme="1"/>
      </x:top>
      <x:bottom style="thick">
        <x:color theme="1"/>
      </x:bottom>
    </x:border>
    <x:border>
      <x:left style="medium">
        <x:color theme="1"/>
      </x:left>
      <x:right style="medium">
        <x:color theme="1"/>
      </x:right>
      <x:top style="thick">
        <x:color theme="1"/>
      </x:top>
      <x:bottom style="medium">
        <x:color theme="1"/>
      </x:bottom>
    </x:border>
    <x:border>
      <x:left style="medium">
        <x:color theme="1"/>
      </x:left>
      <x:right style="medium">
        <x:color theme="1"/>
      </x:right>
      <x:top style="medium">
        <x:color theme="1"/>
      </x:top>
      <x:bottom style="medium">
        <x:color theme="1"/>
      </x:bottom>
    </x:border>
    <x:border>
      <x:left style="medium">
        <x:color theme="1"/>
      </x:left>
      <x:right style="thick">
        <x:color theme="1"/>
      </x:right>
      <x:top style="thick">
        <x:color theme="1"/>
      </x:top>
      <x:bottom style="medium">
        <x:color theme="1"/>
      </x:bottom>
    </x:border>
    <x:border>
      <x:left style="medium">
        <x:color theme="1"/>
      </x:left>
      <x:right style="thick">
        <x:color theme="1"/>
      </x:right>
      <x:top style="medium">
        <x:color theme="1"/>
      </x:top>
      <x:bottom style="medium">
        <x:color theme="1"/>
      </x:bottom>
    </x:border>
    <x:border>
      <x:left style="thin">
        <x:color rgb="FFA6A6A6"/>
      </x:left>
      <x:right style="thick">
        <x:color theme="1"/>
      </x:right>
      <x:bottom style="thin">
        <x:color rgb="FFA6A6A6"/>
      </x:bottom>
    </x:border>
    <x:border>
      <x:left style="thin">
        <x:color rgb="FFA6A6A6"/>
      </x:left>
      <x:right style="thick">
        <x:color theme="1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ck">
        <x:color theme="1"/>
      </x:right>
      <x:top style="thin">
        <x:color rgb="FFA6A6A6"/>
      </x:top>
    </x:border>
    <x:border>
      <x:right style="thick">
        <x:color theme="1"/>
      </x:right>
    </x:border>
  </x:borders>
  <x:cellStyleXfs count="2">
    <x:xf numFmtId="0" fontId="0" fillId="0" borderId="0"/>
    <x:xf numFmtId="0" fontId="2" fillId="0" borderId="0"/>
  </x:cellStyleXfs>
  <x:cellXfs count="424">
    <x:xf numFmtId="0" fontId="0" fillId="0" borderId="0" xfId="0"/>
    <x:xf numFmtId="0" fontId="0" fillId="0" borderId="1" xfId="0" applyBorder="1"/>
    <x:xf numFmtId="0" fontId="4" fillId="3" borderId="1" xfId="0" applyFont="1" applyFill="1" applyBorder="1" applyAlignment="1">
      <x:alignment horizontal="center" vertical="center" wrapText="1"/>
    </x:xf>
    <x:xf numFmtId="0" fontId="5" fillId="7" borderId="1" xfId="0" applyFont="1" applyFill="1" applyBorder="1" applyAlignment="1">
      <x:alignment horizontal="center" vertical="center"/>
    </x:xf>
    <x:xf numFmtId="0" fontId="5" fillId="6" borderId="1" xfId="0" applyFont="1" applyFill="1" applyBorder="1" applyAlignment="1">
      <x:alignment horizontal="center" vertical="center"/>
    </x:xf>
    <x:xf numFmtId="166" fontId="5" fillId="6" borderId="1" xfId="0" applyNumberFormat="1" applyFont="1" applyFill="1" applyBorder="1" applyAlignment="1">
      <x:alignment horizontal="center" vertical="center"/>
    </x:xf>
    <x:xf numFmtId="168" fontId="5" fillId="6" borderId="1" xfId="0" applyNumberFormat="1" applyFont="1" applyFill="1" applyBorder="1" applyAlignment="1">
      <x:alignment horizontal="center" vertical="center"/>
    </x:xf>
    <x:xf numFmtId="1" fontId="5" fillId="7" borderId="1" xfId="0" applyNumberFormat="1" applyFont="1" applyFill="1" applyBorder="1" applyAlignment="1">
      <x:alignment horizontal="center" vertical="center"/>
    </x:xf>
    <x:xf numFmtId="1" fontId="5" fillId="6" borderId="1" xfId="0" applyNumberFormat="1" applyFont="1" applyFill="1" applyBorder="1" applyAlignment="1">
      <x:alignment horizontal="center" vertical="center"/>
    </x:xf>
    <x:xf numFmtId="0" fontId="7" fillId="7" borderId="1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 vertical="center" wrapText="1"/>
    </x:xf>
    <x:xf numFmtId="0" fontId="4" fillId="3" borderId="3" xfId="0" applyFont="1" applyFill="1" applyBorder="1" applyAlignment="1">
      <x:alignment horizontal="center" vertical="center" wrapText="1"/>
    </x:xf>
    <x:xf numFmtId="0" fontId="4" fillId="3" borderId="4" xfId="0" applyFont="1" applyFill="1" applyBorder="1" applyAlignment="1">
      <x:alignment horizontal="center" vertical="center" wrapText="1"/>
    </x:xf>
    <x:xf numFmtId="1" fontId="5" fillId="7" borderId="8" xfId="0" applyNumberFormat="1" applyFont="1" applyFill="1" applyBorder="1" applyAlignment="1">
      <x:alignment horizontal="center" vertical="center"/>
    </x:xf>
    <x:xf numFmtId="0" fontId="5" fillId="7" borderId="8" xfId="0" applyFont="1" applyFill="1" applyBorder="1" applyAlignment="1">
      <x:alignment horizontal="center" vertical="center"/>
    </x:xf>
    <x:xf numFmtId="168" fontId="5" fillId="6" borderId="8" xfId="0" applyNumberFormat="1" applyFont="1" applyFill="1" applyBorder="1" applyAlignment="1">
      <x:alignment horizontal="center" vertical="center"/>
    </x:xf>
    <x:xf numFmtId="0" fontId="5" fillId="6" borderId="8" xfId="0" applyFont="1" applyFill="1" applyBorder="1" applyAlignment="1">
      <x:alignment horizontal="center" vertical="center"/>
    </x:xf>
    <x:xf numFmtId="1" fontId="5" fillId="6" borderId="8" xfId="0" applyNumberFormat="1" applyFont="1" applyFill="1" applyBorder="1" applyAlignment="1">
      <x:alignment horizontal="center" vertical="center"/>
    </x:xf>
    <x:xf numFmtId="166" fontId="5" fillId="6" borderId="8" xfId="0" applyNumberFormat="1" applyFont="1" applyFill="1" applyBorder="1" applyAlignment="1">
      <x:alignment horizontal="center" vertical="center"/>
    </x:xf>
    <x:xf numFmtId="0" fontId="7" fillId="7" borderId="8" xfId="0" applyFont="1" applyFill="1" applyBorder="1" applyAlignment="1">
      <x:alignment horizontal="center" vertical="center"/>
    </x:xf>
    <x:xf numFmtId="0" fontId="8" fillId="4" borderId="1" xfId="0" applyFont="1" applyFill="1" applyBorder="1" applyAlignment="1">
      <x:alignment vertical="center"/>
    </x:xf>
    <x:xf numFmtId="0" fontId="8" fillId="4" borderId="5" xfId="0" applyFont="1" applyFill="1" applyBorder="1" applyAlignment="1">
      <x:alignment vertical="center"/>
    </x:xf>
    <x:xf numFmtId="0" fontId="8" fillId="4" borderId="7" xfId="0" applyFont="1" applyFill="1" applyBorder="1" applyAlignment="1">
      <x:alignment vertical="center"/>
    </x:xf>
    <x:xf numFmtId="0" fontId="8" fillId="4" borderId="8" xfId="0" applyFont="1" applyFill="1" applyBorder="1" applyAlignment="1">
      <x:alignment vertical="center"/>
    </x:xf>
    <x:xf numFmtId="0" fontId="8" fillId="4" borderId="1" xfId="0" applyFont="1" applyFill="1" applyBorder="1" applyAlignment="1">
      <x:alignment horizontal="center" vertical="center"/>
    </x:xf>
    <x:xf numFmtId="0" fontId="8" fillId="4" borderId="8" xfId="0" applyFont="1" applyFill="1" applyBorder="1" applyAlignment="1">
      <x:alignment horizontal="center" vertical="center"/>
    </x:xf>
    <x:xf numFmtId="168" fontId="8" fillId="4" borderId="1" xfId="0" applyNumberFormat="1" applyFont="1" applyFill="1" applyBorder="1" applyAlignment="1">
      <x:alignment horizontal="center" vertical="center"/>
    </x:xf>
    <x:xf numFmtId="168" fontId="8" fillId="4" borderId="8" xfId="0" applyNumberFormat="1" applyFont="1" applyFill="1" applyBorder="1" applyAlignment="1">
      <x:alignment horizontal="center" vertical="center"/>
    </x:xf>
    <x:xf numFmtId="0" fontId="9" fillId="4" borderId="0" xfId="0" applyFont="1" applyFill="1" applyAlignment="1">
      <x:alignment vertical="center"/>
    </x:xf>
    <x:xf numFmtId="0" fontId="9" fillId="4" borderId="11" xfId="0" applyFont="1" applyFill="1" applyBorder="1" applyAlignment="1">
      <x:alignment vertical="center"/>
    </x:xf>
    <x:xf numFmtId="0" fontId="9" fillId="4" borderId="12" xfId="0" applyFont="1" applyFill="1" applyBorder="1" applyAlignment="1">
      <x:alignment vertical="center"/>
    </x:xf>
    <x:xf numFmtId="0" fontId="9" fillId="4" borderId="13" xfId="0" applyFont="1" applyFill="1" applyBorder="1" applyAlignment="1">
      <x:alignment vertical="center"/>
    </x:xf>
    <x:xf numFmtId="0" fontId="16" fillId="4" borderId="2" xfId="0" applyFont="1" applyFill="1" applyBorder="1" applyAlignment="1">
      <x:alignment vertical="center"/>
    </x:xf>
    <x:xf numFmtId="0" fontId="16" fillId="4" borderId="5" xfId="0" applyFont="1" applyFill="1" applyBorder="1" applyAlignment="1">
      <x:alignment vertical="center"/>
    </x:xf>
    <x:xf numFmtId="0" fontId="16" fillId="4" borderId="19" xfId="0" applyFont="1" applyFill="1" applyBorder="1" applyAlignment="1">
      <x:alignment vertical="center"/>
    </x:xf>
    <x:xf numFmtId="0" fontId="16" fillId="4" borderId="7" xfId="0" applyFont="1" applyFill="1" applyBorder="1" applyAlignment="1">
      <x:alignment vertical="center"/>
    </x:xf>
    <x:xf numFmtId="0" fontId="16" fillId="4" borderId="3" xfId="0" applyFont="1" applyFill="1" applyBorder="1" applyAlignment="1">
      <x:alignment horizontal="center" vertical="center"/>
    </x:xf>
    <x:xf numFmtId="0" fontId="16" fillId="4" borderId="4" xfId="0" applyFont="1" applyFill="1" applyBorder="1" applyAlignment="1">
      <x:alignment horizontal="center" vertical="center"/>
    </x:xf>
    <x:xf numFmtId="0" fontId="16" fillId="4" borderId="1" xfId="0" applyFont="1" applyFill="1" applyBorder="1" applyAlignment="1">
      <x:alignment horizontal="center" vertical="center"/>
    </x:xf>
    <x:xf numFmtId="0" fontId="16" fillId="4" borderId="6" xfId="0" applyFont="1" applyFill="1" applyBorder="1" applyAlignment="1">
      <x:alignment horizontal="center" vertical="center"/>
    </x:xf>
    <x:xf numFmtId="0" fontId="16" fillId="4" borderId="12" xfId="0" applyFont="1" applyFill="1" applyBorder="1" applyAlignment="1">
      <x:alignment horizontal="center" vertical="center"/>
    </x:xf>
    <x:xf numFmtId="0" fontId="16" fillId="4" borderId="13" xfId="0" applyFont="1" applyFill="1" applyBorder="1" applyAlignment="1">
      <x:alignment horizontal="center" vertical="center"/>
    </x:xf>
    <x:xf numFmtId="0" fontId="16" fillId="4" borderId="9" xfId="0" applyFont="1" applyFill="1" applyBorder="1" applyAlignment="1">
      <x:alignment horizontal="center" vertical="center"/>
    </x:xf>
    <x:xf numFmtId="0" fontId="1" fillId="17" borderId="16" xfId="0" applyFont="1" applyFill="1" applyBorder="1" applyAlignment="1">
      <x:alignment horizontal="center" vertical="center" wrapText="1"/>
    </x:xf>
    <x:xf numFmtId="0" fontId="4" fillId="9" borderId="23" xfId="0" applyFont="1" applyFill="1" applyBorder="1" applyAlignment="1">
      <x:alignment horizontal="center" vertical="center" wrapText="1"/>
    </x:xf>
    <x:xf numFmtId="0" fontId="4" fillId="9" borderId="24" xfId="0" applyFont="1" applyFill="1" applyBorder="1" applyAlignment="1">
      <x:alignment horizontal="center" vertical="center" wrapText="1"/>
    </x:xf>
    <x:xf numFmtId="0" fontId="4" fillId="9" borderId="25" xfId="0" applyFont="1" applyFill="1" applyBorder="1" applyAlignment="1">
      <x:alignment horizontal="center" vertical="center" wrapText="1"/>
    </x:xf>
    <x:xf numFmtId="0" fontId="8" fillId="4" borderId="2" xfId="0" applyFont="1" applyFill="1" applyBorder="1"/>
    <x:xf numFmtId="0" fontId="8" fillId="4" borderId="4" xfId="0" applyFont="1" applyFill="1" applyBorder="1"/>
    <x:xf numFmtId="0" fontId="8" fillId="4" borderId="5" xfId="0" applyFont="1" applyFill="1" applyBorder="1"/>
    <x:xf numFmtId="0" fontId="8" fillId="4" borderId="6" xfId="0" applyFont="1" applyFill="1" applyBorder="1"/>
    <x:xf numFmtId="0" fontId="8" fillId="4" borderId="7" xfId="0" applyFont="1" applyFill="1" applyBorder="1"/>
    <x:xf numFmtId="0" fontId="8" fillId="4" borderId="9" xfId="0" applyFont="1" applyFill="1" applyBorder="1"/>
    <x:xf numFmtId="0" fontId="1" fillId="17" borderId="23" xfId="0" applyFont="1" applyFill="1" applyBorder="1" applyAlignment="1">
      <x:alignment horizontal="center" vertical="center"/>
    </x:xf>
    <x:xf numFmtId="0" fontId="1" fillId="17" borderId="24" xfId="0" applyFont="1" applyFill="1" applyBorder="1" applyAlignment="1">
      <x:alignment horizontal="center" vertical="center"/>
    </x:xf>
    <x:xf numFmtId="0" fontId="1" fillId="17" borderId="30" xfId="0" applyFont="1" applyFill="1" applyBorder="1" applyAlignment="1">
      <x:alignment horizontal="center" vertical="center"/>
    </x:xf>
    <x:xf numFmtId="0" fontId="1" fillId="17" borderId="21" xfId="0" applyFont="1" applyFill="1" applyBorder="1" applyAlignment="1">
      <x:alignment horizontal="center" vertical="center"/>
    </x:xf>
    <x:xf numFmtId="0" fontId="7" fillId="7" borderId="7" xfId="0" applyFont="1" applyFill="1" applyBorder="1" applyAlignment="1">
      <x:alignment vertical="center" wrapText="1"/>
    </x:xf>
    <x:xf numFmtId="0" fontId="7" fillId="7" borderId="8" xfId="0" applyFont="1" applyFill="1" applyBorder="1" applyAlignment="1">
      <x:alignment vertical="center" wrapText="1"/>
    </x:xf>
    <x:xf numFmtId="0" fontId="7" fillId="7" borderId="9" xfId="0" applyFont="1" applyFill="1" applyBorder="1" applyAlignment="1">
      <x:alignment vertical="center" wrapText="1"/>
    </x:xf>
    <x:xf numFmtId="0" fontId="7" fillId="7" borderId="5" xfId="0" applyFont="1" applyFill="1" applyBorder="1" applyAlignment="1">
      <x:alignment vertical="center" wrapText="1"/>
    </x:xf>
    <x:xf numFmtId="0" fontId="7" fillId="7" borderId="1" xfId="0" applyFont="1" applyFill="1" applyBorder="1" applyAlignment="1">
      <x:alignment vertical="center" wrapText="1"/>
    </x:xf>
    <x:xf numFmtId="0" fontId="7" fillId="7" borderId="6" xfId="0" applyFont="1" applyFill="1" applyBorder="1" applyAlignment="1">
      <x:alignment vertical="center" wrapText="1"/>
    </x:xf>
    <x:xf numFmtId="0" fontId="5" fillId="7" borderId="5" xfId="0" applyFont="1" applyFill="1" applyBorder="1" applyAlignment="1">
      <x:alignment vertical="center" wrapText="1"/>
    </x:xf>
    <x:xf numFmtId="0" fontId="5" fillId="7" borderId="1" xfId="0" applyFont="1" applyFill="1" applyBorder="1" applyAlignment="1">
      <x:alignment vertical="center" wrapText="1"/>
    </x:xf>
    <x:xf numFmtId="0" fontId="5" fillId="7" borderId="6" xfId="0" applyFont="1" applyFill="1" applyBorder="1" applyAlignment="1">
      <x:alignment vertical="center" wrapText="1"/>
    </x:xf>
    <x:xf numFmtId="168" fontId="5" fillId="7" borderId="5" xfId="0" applyNumberFormat="1" applyFont="1" applyFill="1" applyBorder="1" applyAlignment="1">
      <x:alignment vertical="center" wrapText="1"/>
    </x:xf>
    <x:xf numFmtId="168" fontId="5" fillId="7" borderId="1" xfId="0" applyNumberFormat="1" applyFont="1" applyFill="1" applyBorder="1" applyAlignment="1">
      <x:alignment vertical="center" wrapText="1"/>
    </x:xf>
    <x:xf numFmtId="168" fontId="5" fillId="7" borderId="6" xfId="0" applyNumberFormat="1" applyFont="1" applyFill="1" applyBorder="1" applyAlignment="1">
      <x:alignment vertical="center" wrapText="1"/>
    </x:xf>
    <x:xf numFmtId="0" fontId="3" fillId="3" borderId="0" xfId="0" applyFont="1" applyFill="1" applyAlignment="1">
      <x:alignment horizontal="center" vertical="center"/>
    </x:xf>
    <x:xf numFmtId="0" fontId="17" fillId="6" borderId="14" xfId="0" applyFont="1" applyFill="1" applyBorder="1" applyAlignment="1">
      <x:alignment vertical="center"/>
    </x:xf>
    <x:xf numFmtId="0" fontId="17" fillId="6" borderId="22" xfId="0" applyFont="1" applyFill="1" applyBorder="1" applyAlignment="1">
      <x:alignment vertical="center"/>
    </x:xf>
    <x:xf numFmtId="0" fontId="17" fillId="6" borderId="15" xfId="0" applyFont="1" applyFill="1" applyBorder="1" applyAlignment="1">
      <x:alignment vertical="center"/>
    </x:xf>
    <x:xf numFmtId="0" fontId="5" fillId="7" borderId="2" xfId="0" applyFont="1" applyFill="1" applyBorder="1" applyAlignment="1">
      <x:alignment vertical="center" wrapText="1"/>
    </x:xf>
    <x:xf numFmtId="0" fontId="5" fillId="7" borderId="3" xfId="0" applyFont="1" applyFill="1" applyBorder="1" applyAlignment="1">
      <x:alignment vertical="center" wrapText="1"/>
    </x:xf>
    <x:xf numFmtId="0" fontId="5" fillId="7" borderId="4" xfId="0" applyFont="1" applyFill="1" applyBorder="1" applyAlignment="1">
      <x:alignment vertical="center" wrapText="1"/>
    </x:xf>
    <x:xf numFmtId="0" fontId="11" fillId="8" borderId="0" xfId="0" applyFont="1" applyFill="1" applyAlignment="1">
      <x:alignment horizontal="center" vertical="center"/>
    </x:xf>
    <x:xf numFmtId="0" fontId="13" fillId="14" borderId="17" xfId="0" applyFont="1" applyFill="1" applyBorder="1" applyAlignment="1">
      <x:alignment horizontal="center" vertical="center"/>
    </x:xf>
    <x:xf numFmtId="0" fontId="13" fillId="14" borderId="18" xfId="0" applyFont="1" applyFill="1" applyBorder="1" applyAlignment="1">
      <x:alignment horizontal="center" vertical="center"/>
    </x:xf>
    <x:xf numFmtId="0" fontId="13" fillId="14" borderId="19" xfId="0" applyFont="1" applyFill="1" applyBorder="1" applyAlignment="1">
      <x:alignment horizontal="center" vertical="center"/>
    </x:xf>
    <x:xf numFmtId="0" fontId="13" fillId="14" borderId="13" xfId="0" applyFont="1" applyFill="1" applyBorder="1" applyAlignment="1">
      <x:alignment horizontal="center" vertical="center"/>
    </x:xf>
    <x:xf numFmtId="0" fontId="12" fillId="13" borderId="17" xfId="0" applyFont="1" applyFill="1" applyBorder="1" applyAlignment="1">
      <x:alignment horizontal="center" vertical="center"/>
    </x:xf>
    <x:xf numFmtId="0" fontId="12" fillId="13" borderId="18" xfId="0" applyFont="1" applyFill="1" applyBorder="1" applyAlignment="1">
      <x:alignment horizontal="center" vertical="center"/>
    </x:xf>
    <x:xf numFmtId="0" fontId="12" fillId="13" borderId="19" xfId="0" applyFont="1" applyFill="1" applyBorder="1" applyAlignment="1">
      <x:alignment horizontal="center" vertical="center"/>
    </x:xf>
    <x:xf numFmtId="0" fontId="12" fillId="13" borderId="13" xfId="0" applyFont="1" applyFill="1" applyBorder="1" applyAlignment="1">
      <x:alignment horizontal="center" vertical="center"/>
    </x:xf>
    <x:xf numFmtId="167" fontId="15" fillId="16" borderId="20" xfId="0" applyNumberFormat="1" applyFont="1" applyFill="1" applyBorder="1" applyAlignment="1">
      <x:alignment horizontal="center" vertical="center"/>
    </x:xf>
    <x:xf numFmtId="0" fontId="0" fillId="0" borderId="0" xfId="0"/>
    <x:xf numFmtId="167" fontId="15" fillId="16" borderId="21" xfId="0" applyNumberFormat="1" applyFont="1" applyFill="1" applyBorder="1" applyAlignment="1">
      <x:alignment horizontal="center" vertical="center"/>
    </x:xf>
    <x:xf numFmtId="0" fontId="14" fillId="15" borderId="17" xfId="0" applyFont="1" applyFill="1" applyBorder="1" applyAlignment="1">
      <x:alignment horizontal="center" vertical="center"/>
    </x:xf>
    <x:xf numFmtId="0" fontId="14" fillId="15" borderId="18" xfId="0" applyFont="1" applyFill="1" applyBorder="1" applyAlignment="1">
      <x:alignment horizontal="center" vertical="center"/>
    </x:xf>
    <x:xf numFmtId="0" fontId="14" fillId="15" borderId="19" xfId="0" applyFont="1" applyFill="1" applyBorder="1" applyAlignment="1">
      <x:alignment horizontal="center" vertical="center"/>
    </x:xf>
    <x:xf numFmtId="0" fontId="14" fillId="15" borderId="13" xfId="0" applyFont="1" applyFill="1" applyBorder="1" applyAlignment="1">
      <x:alignment horizontal="center" vertical="center"/>
    </x:xf>
    <x:xf numFmtId="0" fontId="10" fillId="3" borderId="0" xfId="0" applyFont="1" applyFill="1" applyAlignment="1">
      <x:alignment horizontal="center" vertical="center"/>
    </x:xf>
    <x:xf numFmtId="0" fontId="1" fillId="10" borderId="14" xfId="0" applyFont="1" applyFill="1" applyBorder="1" applyAlignment="1">
      <x:alignment horizontal="center" vertical="center" wrapText="1"/>
    </x:xf>
    <x:xf numFmtId="0" fontId="1" fillId="10" borderId="15" xfId="0" applyFont="1" applyFill="1" applyBorder="1" applyAlignment="1">
      <x:alignment horizontal="center" vertical="center" wrapText="1"/>
    </x:xf>
    <x:xf numFmtId="0" fontId="1" fillId="9" borderId="14" xfId="0" applyFont="1" applyFill="1" applyBorder="1" applyAlignment="1">
      <x:alignment horizontal="center" vertical="center" wrapText="1"/>
    </x:xf>
    <x:xf numFmtId="0" fontId="1" fillId="9" borderId="15" xfId="0" applyFont="1" applyFill="1" applyBorder="1" applyAlignment="1">
      <x:alignment horizontal="center" vertical="center" wrapText="1"/>
    </x:xf>
    <x:xf numFmtId="0" fontId="1" fillId="12" borderId="16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11" borderId="14" xfId="0" applyFont="1" applyFill="1" applyBorder="1" applyAlignment="1">
      <x:alignment horizontal="center" vertical="center" wrapText="1"/>
    </x:xf>
    <x:xf numFmtId="0" fontId="1" fillId="11" borderId="15" xfId="0" applyFont="1" applyFill="1" applyBorder="1" applyAlignment="1">
      <x:alignment horizontal="center" vertical="center" wrapText="1"/>
    </x:xf>
    <x:xf numFmtId="0" fontId="18" fillId="17" borderId="26" xfId="0" applyFont="1" applyFill="1" applyBorder="1" applyAlignment="1">
      <x:alignment horizontal="center" vertical="center"/>
    </x:xf>
    <x:xf numFmtId="0" fontId="18" fillId="17" borderId="27" xfId="0" applyFont="1" applyFill="1" applyBorder="1" applyAlignment="1">
      <x:alignment horizontal="center" vertical="center"/>
    </x:xf>
    <x:xf numFmtId="0" fontId="18" fillId="17" borderId="28" xfId="0" applyFont="1" applyFill="1" applyBorder="1" applyAlignment="1">
      <x:alignment horizontal="center" vertical="center"/>
    </x:xf>
    <x:xf numFmtId="0" fontId="5" fillId="8" borderId="17" xfId="0" applyFont="1" applyFill="1" applyBorder="1" applyAlignment="1">
      <x:alignment vertical="center" wrapText="1"/>
    </x:xf>
    <x:xf numFmtId="0" fontId="5" fillId="8" borderId="29" xfId="0" applyFont="1" applyFill="1" applyBorder="1" applyAlignment="1">
      <x:alignment vertical="center" wrapText="1"/>
    </x:xf>
    <x:xf numFmtId="0" fontId="5" fillId="8" borderId="18" xfId="0" applyFont="1" applyFill="1" applyBorder="1" applyAlignment="1">
      <x:alignment vertical="center" wrapText="1"/>
    </x:xf>
    <x:xf numFmtId="0" fontId="5" fillId="8" borderId="19" xfId="0" applyFont="1" applyFill="1" applyBorder="1" applyAlignment="1">
      <x:alignment vertical="center" wrapText="1"/>
    </x:xf>
    <x:xf numFmtId="0" fontId="5" fillId="8" borderId="12" xfId="0" applyFont="1" applyFill="1" applyBorder="1" applyAlignment="1">
      <x:alignment vertical="center" wrapText="1"/>
    </x:xf>
    <x:xf numFmtId="0" fontId="5" fillId="8" borderId="13" xfId="0" applyFont="1" applyFill="1" applyBorder="1" applyAlignment="1">
      <x:alignment vertical="center" wrapText="1"/>
    </x:xf>
    <x:xf numFmtId="0" fontId="5" fillId="4" borderId="5" xfId="0" applyFont="1" applyFill="1" applyBorder="1" applyAlignment="1">
      <x:alignment vertical="center" wrapText="1"/>
    </x:xf>
    <x:xf numFmtId="0" fontId="5" fillId="4" borderId="1" xfId="0" applyFont="1" applyFill="1" applyBorder="1" applyAlignment="1">
      <x:alignment vertical="center" wrapText="1"/>
    </x:xf>
    <x:xf numFmtId="0" fontId="5" fillId="4" borderId="6" xfId="0" applyFont="1" applyFill="1" applyBorder="1" applyAlignment="1">
      <x:alignment vertical="center" wrapText="1"/>
    </x:xf>
    <x:xf numFmtId="0" fontId="5" fillId="4" borderId="2" xfId="0" applyFont="1" applyFill="1" applyBorder="1" applyAlignment="1">
      <x:alignment vertical="center" wrapText="1"/>
    </x:xf>
    <x:xf numFmtId="0" fontId="5" fillId="4" borderId="3" xfId="0" applyFont="1" applyFill="1" applyBorder="1" applyAlignment="1">
      <x:alignment vertical="center" wrapText="1"/>
    </x:xf>
    <x:xf numFmtId="0" fontId="5" fillId="4" borderId="4" xfId="0" applyFont="1" applyFill="1" applyBorder="1" applyAlignment="1">
      <x:alignment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6" fillId="13" borderId="26" xfId="0" applyFont="1" applyFill="1" applyBorder="1" applyAlignment="1">
      <x:alignment horizontal="center" vertical="center" wrapText="1"/>
    </x:xf>
    <x:xf numFmtId="0" fontId="6" fillId="13" borderId="27" xfId="0" applyFont="1" applyFill="1" applyBorder="1" applyAlignment="1">
      <x:alignment horizontal="center" vertical="center" wrapText="1"/>
    </x:xf>
    <x:xf numFmtId="0" fontId="6" fillId="13" borderId="28" xfId="0" applyFont="1" applyFill="1" applyBorder="1" applyAlignment="1">
      <x:alignment horizontal="center" vertical="center" wrapText="1"/>
    </x:xf>
    <x:xf numFmtId="0" fontId="5" fillId="4" borderId="31" xfId="0" applyFont="1" applyFill="1" applyBorder="1" applyAlignment="1">
      <x:alignment vertical="center" wrapText="1"/>
    </x:xf>
    <x:xf numFmtId="0" fontId="5" fillId="4" borderId="0" xfId="0" applyFont="1" applyFill="1" applyAlignment="1">
      <x:alignment vertical="center" wrapText="1"/>
    </x:xf>
    <x:xf numFmtId="0" fontId="5" fillId="4" borderId="11" xfId="0" applyFont="1" applyFill="1" applyBorder="1" applyAlignment="1">
      <x:alignment vertical="center" wrapText="1"/>
    </x:xf>
    <x:xf numFmtId="0" fontId="5" fillId="4" borderId="19" xfId="0" applyFont="1" applyFill="1" applyBorder="1" applyAlignment="1">
      <x:alignment vertical="center" wrapText="1"/>
    </x:xf>
    <x:xf numFmtId="0" fontId="5" fillId="4" borderId="12" xfId="0" applyFont="1" applyFill="1" applyBorder="1" applyAlignment="1">
      <x:alignment vertical="center" wrapText="1"/>
    </x:xf>
    <x:xf numFmtId="0" fontId="5" fillId="4" borderId="13" xfId="0" applyFont="1" applyFill="1" applyBorder="1" applyAlignment="1">
      <x:alignment vertical="center" wrapText="1"/>
    </x:xf>
    <x:xf numFmtId="1" fontId="5" fillId="7" borderId="10" xfId="0" applyNumberFormat="1" applyFont="1" applyFill="1" applyBorder="1" applyAlignment="1">
      <x:alignment horizontal="center" vertical="center"/>
    </x:xf>
    <x:xf numFmtId="0" fontId="5" fillId="7" borderId="10" xfId="0" applyFont="1" applyFill="1" applyBorder="1" applyAlignment="1">
      <x:alignment horizontal="center" vertical="center"/>
    </x:xf>
    <x:xf numFmtId="168" fontId="5" fillId="6" borderId="10" xfId="0" applyNumberFormat="1" applyFont="1" applyFill="1" applyBorder="1" applyAlignment="1">
      <x:alignment horizontal="center" vertical="center"/>
    </x:xf>
    <x:xf numFmtId="0" fontId="5" fillId="6" borderId="10" xfId="0" applyFont="1" applyFill="1" applyBorder="1" applyAlignment="1">
      <x:alignment horizontal="center" vertical="center"/>
    </x:xf>
    <x:xf numFmtId="1" fontId="5" fillId="6" borderId="10" xfId="0" applyNumberFormat="1" applyFont="1" applyFill="1" applyBorder="1" applyAlignment="1">
      <x:alignment horizontal="center" vertical="center"/>
    </x:xf>
    <x:xf numFmtId="166" fontId="5" fillId="6" borderId="10" xfId="0" applyNumberFormat="1" applyFont="1" applyFill="1" applyBorder="1" applyAlignment="1">
      <x:alignment horizontal="center" vertical="center"/>
    </x:xf>
    <x:xf numFmtId="0" fontId="7" fillId="7" borderId="10" xfId="0" applyFont="1" applyFill="1" applyBorder="1" applyAlignment="1">
      <x:alignment horizontal="center" vertical="center"/>
    </x:xf>
    <x:xf numFmtId="0" fontId="4" fillId="3" borderId="32" xfId="0" applyFont="1" applyFill="1" applyBorder="1" applyAlignment="1">
      <x:alignment horizontal="center" vertical="center" wrapText="1"/>
    </x:xf>
    <x:xf numFmtId="0" fontId="6" fillId="5" borderId="38" xfId="0" applyFont="1" applyFill="1" applyBorder="1" applyAlignment="1">
      <x:alignment horizontal="center" vertical="center"/>
    </x:xf>
    <x:xf numFmtId="1" fontId="5" fillId="7" borderId="38" xfId="0" applyNumberFormat="1" applyFont="1" applyFill="1" applyBorder="1" applyAlignment="1">
      <x:alignment horizontal="center" vertical="center"/>
    </x:xf>
    <x:xf numFmtId="0" fontId="5" fillId="7" borderId="38" xfId="0" applyFont="1" applyFill="1" applyBorder="1" applyAlignment="1">
      <x:alignment horizontal="center" vertical="center"/>
    </x:xf>
    <x:xf numFmtId="168" fontId="5" fillId="6" borderId="38" xfId="0" applyNumberFormat="1" applyFont="1" applyFill="1" applyBorder="1" applyAlignment="1">
      <x:alignment horizontal="center" vertical="center"/>
    </x:xf>
    <x:xf numFmtId="0" fontId="5" fillId="6" borderId="38" xfId="0" applyFont="1" applyFill="1" applyBorder="1" applyAlignment="1">
      <x:alignment horizontal="center" vertical="center"/>
    </x:xf>
    <x:xf numFmtId="1" fontId="5" fillId="6" borderId="38" xfId="0" applyNumberFormat="1" applyFont="1" applyFill="1" applyBorder="1" applyAlignment="1">
      <x:alignment horizontal="center" vertical="center"/>
    </x:xf>
    <x:xf numFmtId="166" fontId="5" fillId="6" borderId="38" xfId="0" applyNumberFormat="1" applyFont="1" applyFill="1" applyBorder="1" applyAlignment="1">
      <x:alignment horizontal="center" vertical="center"/>
    </x:xf>
    <x:xf numFmtId="0" fontId="7" fillId="7" borderId="38" xfId="0" applyFont="1" applyFill="1" applyBorder="1" applyAlignment="1">
      <x:alignment horizontal="center" vertical="center"/>
    </x:xf>
    <x:xf numFmtId="1" fontId="5" fillId="7" borderId="39" xfId="0" applyNumberFormat="1" applyFont="1" applyFill="1" applyBorder="1" applyAlignment="1">
      <x:alignment horizontal="center" vertical="center"/>
    </x:xf>
    <x:xf numFmtId="0" fontId="5" fillId="7" borderId="39" xfId="0" applyFont="1" applyFill="1" applyBorder="1" applyAlignment="1">
      <x:alignment horizontal="center" vertical="center"/>
    </x:xf>
    <x:xf numFmtId="168" fontId="5" fillId="6" borderId="39" xfId="0" applyNumberFormat="1" applyFont="1" applyFill="1" applyBorder="1" applyAlignment="1">
      <x:alignment horizontal="center" vertical="center"/>
    </x:xf>
    <x:xf numFmtId="0" fontId="5" fillId="6" borderId="39" xfId="0" applyFont="1" applyFill="1" applyBorder="1" applyAlignment="1">
      <x:alignment horizontal="center" vertical="center"/>
    </x:xf>
    <x:xf numFmtId="1" fontId="5" fillId="6" borderId="39" xfId="0" applyNumberFormat="1" applyFont="1" applyFill="1" applyBorder="1" applyAlignment="1">
      <x:alignment horizontal="center" vertical="center"/>
    </x:xf>
    <x:xf numFmtId="166" fontId="5" fillId="6" borderId="39" xfId="0" applyNumberFormat="1" applyFont="1" applyFill="1" applyBorder="1" applyAlignment="1">
      <x:alignment horizontal="center" vertical="center"/>
    </x:xf>
    <x:xf numFmtId="0" fontId="7" fillId="7" borderId="39" xfId="0" applyFont="1" applyFill="1" applyBorder="1" applyAlignment="1">
      <x:alignment horizontal="center" vertical="center"/>
    </x:xf>
    <x:xf numFmtId="0" fontId="5" fillId="4" borderId="37" xfId="0" applyFont="1" applyFill="1" applyBorder="1" applyAlignment="1">
      <x:alignment horizontal="center" vertical="center" wrapText="1"/>
    </x:xf>
    <x:xf numFmtId="0" fontId="5" fillId="4" borderId="40" xfId="0" applyFont="1" applyFill="1" applyBorder="1" applyAlignment="1">
      <x:alignment horizontal="center" vertical="center" wrapText="1"/>
    </x:xf>
    <x:xf numFmtId="0" fontId="5" fillId="4" borderId="33" xfId="0" applyFont="1" applyFill="1" applyBorder="1" applyAlignment="1">
      <x:alignment horizontal="center" vertical="center" wrapText="1"/>
    </x:xf>
    <x:xf numFmtId="0" fontId="5" fillId="4" borderId="34" xfId="0" applyFont="1" applyFill="1" applyBorder="1" applyAlignment="1">
      <x:alignment horizontal="center" vertical="center" wrapText="1"/>
    </x:xf>
    <x:xf numFmtId="0" fontId="5" fillId="4" borderId="35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165" fontId="0" fillId="0" borderId="1" xfId="0" applyNumberFormat="1" applyBorder="1" applyAlignment="1">
      <x:alignment horizontal="center" vertical="center"/>
    </x:xf>
    <x:xf numFmtId="166" fontId="0" fillId="0" borderId="1" xfId="0" applyNumberFormat="1" applyBorder="1" applyAlignment="1">
      <x:alignment horizontal="center" vertical="center"/>
    </x:xf>
    <x:xf numFmtId="0" fontId="0" fillId="0" borderId="34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36" xfId="0" applyBorder="1" applyAlignment="1">
      <x:alignment horizontal="center" vertical="center"/>
    </x:xf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4" fillId="3" borderId="42" xfId="0" applyNumberFormat="1" applyFont="1" applyFill="1" applyBorder="1" applyAlignment="1">
      <x:alignment horizontal="center" vertical="center" wrapText="1"/>
    </x:xf>
    <x:xf numFmtId="0" fontId="5" fillId="7" borderId="42" xfId="0" applyNumberFormat="1" applyFont="1" applyFill="1" applyBorder="1" applyAlignment="1">
      <x:alignment horizontal="center" vertical="center"/>
    </x:xf>
    <x:xf numFmtId="0" fontId="5" fillId="6" borderId="42" xfId="0" applyNumberFormat="1" applyFont="1" applyFill="1" applyBorder="1" applyAlignment="1">
      <x:alignment horizontal="center" vertical="center"/>
    </x:xf>
    <x:xf numFmtId="166" fontId="5" fillId="6" borderId="42" xfId="0" applyNumberFormat="1" applyFont="1" applyFill="1" applyBorder="1" applyAlignment="1">
      <x:alignment horizontal="center" vertical="center"/>
    </x:xf>
    <x:xf numFmtId="168" fontId="5" fillId="6" borderId="42" xfId="0" applyNumberFormat="1" applyFont="1" applyFill="1" applyBorder="1" applyAlignment="1">
      <x:alignment horizontal="center" vertical="center"/>
    </x:xf>
    <x:xf numFmtId="1" fontId="5" fillId="7" borderId="42" xfId="0" applyNumberFormat="1" applyFont="1" applyFill="1" applyBorder="1" applyAlignment="1">
      <x:alignment horizontal="center" vertical="center"/>
    </x:xf>
    <x:xf numFmtId="1" fontId="5" fillId="6" borderId="42" xfId="0" applyNumberFormat="1" applyFont="1" applyFill="1" applyBorder="1" applyAlignment="1">
      <x:alignment horizontal="center" vertical="center"/>
    </x:xf>
    <x:xf numFmtId="0" fontId="7" fillId="7" borderId="42" xfId="0" applyNumberFormat="1" applyFont="1" applyFill="1" applyBorder="1" applyAlignment="1">
      <x:alignment horizontal="center" vertical="center"/>
    </x:xf>
    <x:xf numFmtId="0" fontId="4" fillId="3" borderId="43" xfId="0" applyNumberFormat="1" applyFont="1" applyFill="1" applyBorder="1" applyAlignment="1">
      <x:alignment horizontal="center" vertical="center" wrapText="1"/>
    </x:xf>
    <x:xf numFmtId="0" fontId="4" fillId="3" borderId="44" xfId="0" applyNumberFormat="1" applyFont="1" applyFill="1" applyBorder="1" applyAlignment="1">
      <x:alignment horizontal="center" vertical="center" wrapText="1"/>
    </x:xf>
    <x:xf numFmtId="0" fontId="4" fillId="3" borderId="45" xfId="0" applyNumberFormat="1" applyFont="1" applyFill="1" applyBorder="1" applyAlignment="1">
      <x:alignment horizontal="center" vertical="center" wrapText="1"/>
    </x:xf>
    <x:xf numFmtId="1" fontId="5" fillId="7" borderId="46" xfId="0" applyNumberFormat="1" applyFont="1" applyFill="1" applyBorder="1" applyAlignment="1">
      <x:alignment horizontal="center" vertical="center"/>
    </x:xf>
    <x:xf numFmtId="0" fontId="5" fillId="7" borderId="46" xfId="0" applyNumberFormat="1" applyFont="1" applyFill="1" applyBorder="1" applyAlignment="1">
      <x:alignment horizontal="center" vertical="center"/>
    </x:xf>
    <x:xf numFmtId="168" fontId="5" fillId="6" borderId="46" xfId="0" applyNumberFormat="1" applyFont="1" applyFill="1" applyBorder="1" applyAlignment="1">
      <x:alignment horizontal="center" vertical="center"/>
    </x:xf>
    <x:xf numFmtId="0" fontId="5" fillId="6" borderId="46" xfId="0" applyNumberFormat="1" applyFont="1" applyFill="1" applyBorder="1" applyAlignment="1">
      <x:alignment horizontal="center" vertical="center"/>
    </x:xf>
    <x:xf numFmtId="1" fontId="5" fillId="6" borderId="46" xfId="0" applyNumberFormat="1" applyFont="1" applyFill="1" applyBorder="1" applyAlignment="1">
      <x:alignment horizontal="center" vertical="center"/>
    </x:xf>
    <x:xf numFmtId="166" fontId="5" fillId="6" borderId="46" xfId="0" applyNumberFormat="1" applyFont="1" applyFill="1" applyBorder="1" applyAlignment="1">
      <x:alignment horizontal="center" vertical="center"/>
    </x:xf>
    <x:xf numFmtId="0" fontId="7" fillId="7" borderId="46" xfId="0" applyNumberFormat="1" applyFont="1" applyFill="1" applyBorder="1" applyAlignment="1">
      <x:alignment horizontal="center" vertical="center"/>
    </x:xf>
    <x:xf numFmtId="0" fontId="8" fillId="4" borderId="42" xfId="0" applyNumberFormat="1" applyFont="1" applyFill="1" applyBorder="1" applyAlignment="1">
      <x:alignment vertical="center"/>
    </x:xf>
    <x:xf numFmtId="0" fontId="8" fillId="4" borderId="47" xfId="0" applyNumberFormat="1" applyFont="1" applyFill="1" applyBorder="1" applyAlignment="1">
      <x:alignment vertical="center"/>
    </x:xf>
    <x:xf numFmtId="0" fontId="8" fillId="4" borderId="48" xfId="0" applyNumberFormat="1" applyFont="1" applyFill="1" applyBorder="1" applyAlignment="1">
      <x:alignment vertical="center"/>
    </x:xf>
    <x:xf numFmtId="0" fontId="8" fillId="4" borderId="46" xfId="0" applyNumberFormat="1" applyFont="1" applyFill="1" applyBorder="1" applyAlignment="1">
      <x:alignment vertical="center"/>
    </x:xf>
    <x:xf numFmtId="0" fontId="8" fillId="4" borderId="42" xfId="0" applyNumberFormat="1" applyFont="1" applyFill="1" applyBorder="1" applyAlignment="1">
      <x:alignment horizontal="center" vertical="center"/>
    </x:xf>
    <x:xf numFmtId="0" fontId="8" fillId="4" borderId="46" xfId="0" applyNumberFormat="1" applyFont="1" applyFill="1" applyBorder="1" applyAlignment="1">
      <x:alignment horizontal="center" vertical="center"/>
    </x:xf>
    <x:xf numFmtId="168" fontId="8" fillId="4" borderId="42" xfId="0" applyNumberFormat="1" applyFont="1" applyFill="1" applyBorder="1" applyAlignment="1">
      <x:alignment horizontal="center" vertical="center"/>
    </x:xf>
    <x:xf numFmtId="168" fontId="8" fillId="4" borderId="46" xfId="0" applyNumberFormat="1" applyFont="1" applyFill="1" applyBorder="1" applyAlignment="1">
      <x:alignment horizontal="center" vertical="center"/>
    </x:xf>
    <x:xf numFmtId="0" fontId="9" fillId="4" borderId="41" xfId="0" applyNumberFormat="1" applyFont="1" applyFill="1" applyBorder="1" applyAlignment="1">
      <x:alignment vertical="center"/>
    </x:xf>
    <x:xf numFmtId="0" fontId="16" fillId="4" borderId="43" xfId="0" applyNumberFormat="1" applyFont="1" applyFill="1" applyBorder="1" applyAlignment="1">
      <x:alignment vertical="center"/>
    </x:xf>
    <x:xf numFmtId="0" fontId="16" fillId="4" borderId="47" xfId="0" applyNumberFormat="1" applyFont="1" applyFill="1" applyBorder="1" applyAlignment="1">
      <x:alignment vertical="center"/>
    </x:xf>
    <x:xf numFmtId="0" fontId="16" fillId="4" borderId="41" xfId="0" applyNumberFormat="1" applyFont="1" applyFill="1" applyBorder="1" applyAlignment="1">
      <x:alignment vertical="center"/>
    </x:xf>
    <x:xf numFmtId="0" fontId="16" fillId="4" borderId="48" xfId="0" applyNumberFormat="1" applyFont="1" applyFill="1" applyBorder="1" applyAlignment="1">
      <x:alignment vertical="center"/>
    </x:xf>
    <x:xf numFmtId="0" fontId="16" fillId="4" borderId="44" xfId="0" applyNumberFormat="1" applyFont="1" applyFill="1" applyBorder="1" applyAlignment="1">
      <x:alignment horizontal="center" vertical="center"/>
    </x:xf>
    <x:xf numFmtId="0" fontId="16" fillId="4" borderId="45" xfId="0" applyNumberFormat="1" applyFont="1" applyFill="1" applyBorder="1" applyAlignment="1">
      <x:alignment horizontal="center" vertical="center"/>
    </x:xf>
    <x:xf numFmtId="0" fontId="16" fillId="4" borderId="42" xfId="0" applyNumberFormat="1" applyFont="1" applyFill="1" applyBorder="1" applyAlignment="1">
      <x:alignment horizontal="center" vertical="center"/>
    </x:xf>
    <x:xf numFmtId="0" fontId="16" fillId="4" borderId="49" xfId="0" applyNumberFormat="1" applyFont="1" applyFill="1" applyBorder="1" applyAlignment="1">
      <x:alignment horizontal="center" vertical="center"/>
    </x:xf>
    <x:xf numFmtId="0" fontId="16" fillId="4" borderId="41" xfId="0" applyNumberFormat="1" applyFont="1" applyFill="1" applyBorder="1" applyAlignment="1">
      <x:alignment horizontal="center" vertical="center"/>
    </x:xf>
    <x:xf numFmtId="0" fontId="16" fillId="4" borderId="50" xfId="0" applyNumberFormat="1" applyFont="1" applyFill="1" applyBorder="1" applyAlignment="1">
      <x:alignment horizontal="center" vertical="center"/>
    </x:xf>
    <x:xf numFmtId="0" fontId="1" fillId="17" borderId="41" xfId="0" applyNumberFormat="1" applyFont="1" applyFill="1" applyBorder="1" applyAlignment="1">
      <x:alignment horizontal="center" vertical="center" wrapText="1"/>
    </x:xf>
    <x:xf numFmtId="0" fontId="4" fillId="2" borderId="51" xfId="0" applyNumberFormat="1" applyFont="1" applyFill="1" applyBorder="1" applyAlignment="1">
      <x:alignment horizontal="center" vertical="center" wrapText="1"/>
    </x:xf>
    <x:xf numFmtId="0" fontId="4" fillId="2" borderId="52" xfId="0" applyNumberFormat="1" applyFont="1" applyFill="1" applyBorder="1" applyAlignment="1">
      <x:alignment horizontal="center" vertical="center" wrapText="1"/>
    </x:xf>
    <x:xf numFmtId="0" fontId="4" fillId="2" borderId="53" xfId="0" applyNumberFormat="1" applyFont="1" applyFill="1" applyBorder="1" applyAlignment="1">
      <x:alignment horizontal="center" vertical="center" wrapText="1"/>
    </x:xf>
    <x:xf numFmtId="0" fontId="8" fillId="4" borderId="43" xfId="0" applyNumberFormat="1" applyFont="1" applyFill="1" applyBorder="1"/>
    <x:xf numFmtId="0" fontId="8" fillId="4" borderId="45" xfId="0" applyNumberFormat="1" applyFont="1" applyFill="1" applyBorder="1"/>
    <x:xf numFmtId="0" fontId="8" fillId="4" borderId="47" xfId="0" applyNumberFormat="1" applyFont="1" applyFill="1" applyBorder="1"/>
    <x:xf numFmtId="0" fontId="8" fillId="4" borderId="49" xfId="0" applyNumberFormat="1" applyFont="1" applyFill="1" applyBorder="1"/>
    <x:xf numFmtId="0" fontId="8" fillId="4" borderId="48" xfId="0" applyNumberFormat="1" applyFont="1" applyFill="1" applyBorder="1"/>
    <x:xf numFmtId="0" fontId="8" fillId="4" borderId="50" xfId="0" applyNumberFormat="1" applyFont="1" applyFill="1" applyBorder="1"/>
    <x:xf numFmtId="0" fontId="1" fillId="17" borderId="51" xfId="0" applyNumberFormat="1" applyFont="1" applyFill="1" applyBorder="1" applyAlignment="1">
      <x:alignment horizontal="center" vertical="center"/>
    </x:xf>
    <x:xf numFmtId="0" fontId="1" fillId="17" borderId="52" xfId="0" applyNumberFormat="1" applyFont="1" applyFill="1" applyBorder="1" applyAlignment="1">
      <x:alignment horizontal="center" vertical="center"/>
    </x:xf>
    <x:xf numFmtId="0" fontId="1" fillId="17" borderId="41" xfId="0" applyNumberFormat="1" applyFont="1" applyFill="1" applyBorder="1" applyAlignment="1">
      <x:alignment horizontal="center" vertical="center"/>
    </x:xf>
    <x:xf numFmtId="0" fontId="7" fillId="7" borderId="48" xfId="0" applyNumberFormat="1" applyFont="1" applyFill="1" applyBorder="1" applyAlignment="1">
      <x:alignment vertical="center" wrapText="1"/>
    </x:xf>
    <x:xf numFmtId="0" fontId="7" fillId="7" borderId="46" xfId="0" applyNumberFormat="1" applyFont="1" applyFill="1" applyBorder="1" applyAlignment="1">
      <x:alignment vertical="center" wrapText="1"/>
    </x:xf>
    <x:xf numFmtId="0" fontId="7" fillId="7" borderId="50" xfId="0" applyNumberFormat="1" applyFont="1" applyFill="1" applyBorder="1" applyAlignment="1">
      <x:alignment vertical="center" wrapText="1"/>
    </x:xf>
    <x:xf numFmtId="0" fontId="7" fillId="7" borderId="47" xfId="0" applyNumberFormat="1" applyFont="1" applyFill="1" applyBorder="1" applyAlignment="1">
      <x:alignment vertical="center" wrapText="1"/>
    </x:xf>
    <x:xf numFmtId="0" fontId="7" fillId="7" borderId="42" xfId="0" applyNumberFormat="1" applyFont="1" applyFill="1" applyBorder="1" applyAlignment="1">
      <x:alignment vertical="center" wrapText="1"/>
    </x:xf>
    <x:xf numFmtId="0" fontId="7" fillId="7" borderId="49" xfId="0" applyNumberFormat="1" applyFont="1" applyFill="1" applyBorder="1" applyAlignment="1">
      <x:alignment vertical="center" wrapText="1"/>
    </x:xf>
    <x:xf numFmtId="0" fontId="5" fillId="7" borderId="47" xfId="0" applyNumberFormat="1" applyFont="1" applyFill="1" applyBorder="1" applyAlignment="1">
      <x:alignment vertical="center" wrapText="1"/>
    </x:xf>
    <x:xf numFmtId="0" fontId="5" fillId="7" borderId="42" xfId="0" applyNumberFormat="1" applyFont="1" applyFill="1" applyBorder="1" applyAlignment="1">
      <x:alignment vertical="center" wrapText="1"/>
    </x:xf>
    <x:xf numFmtId="0" fontId="5" fillId="7" borderId="49" xfId="0" applyNumberFormat="1" applyFont="1" applyFill="1" applyBorder="1" applyAlignment="1">
      <x:alignment vertical="center" wrapText="1"/>
    </x:xf>
    <x:xf numFmtId="168" fontId="5" fillId="7" borderId="47" xfId="0" applyNumberFormat="1" applyFont="1" applyFill="1" applyBorder="1" applyAlignment="1">
      <x:alignment vertical="center" wrapText="1"/>
    </x:xf>
    <x:xf numFmtId="168" fontId="5" fillId="7" borderId="42" xfId="0" applyNumberFormat="1" applyFont="1" applyFill="1" applyBorder="1" applyAlignment="1">
      <x:alignment vertical="center" wrapText="1"/>
    </x:xf>
    <x:xf numFmtId="168" fontId="5" fillId="7" borderId="49" xfId="0" applyNumberFormat="1" applyFont="1" applyFill="1" applyBorder="1" applyAlignment="1">
      <x:alignment vertical="center" wrapText="1"/>
    </x:xf>
    <x:xf numFmtId="0" fontId="3" fillId="3" borderId="41" xfId="0" applyNumberFormat="1" applyFont="1" applyFill="1" applyBorder="1" applyAlignment="1">
      <x:alignment horizontal="center" vertical="center"/>
    </x:xf>
    <x:xf numFmtId="0" fontId="17" fillId="6" borderId="54" xfId="0" applyNumberFormat="1" applyFont="1" applyFill="1" applyBorder="1" applyAlignment="1">
      <x:alignment vertical="center"/>
    </x:xf>
    <x:xf numFmtId="0" fontId="17" fillId="6" borderId="55" xfId="0" applyNumberFormat="1" applyFont="1" applyFill="1" applyBorder="1" applyAlignment="1">
      <x:alignment vertical="center"/>
    </x:xf>
    <x:xf numFmtId="0" fontId="17" fillId="6" borderId="56" xfId="0" applyNumberFormat="1" applyFont="1" applyFill="1" applyBorder="1" applyAlignment="1">
      <x:alignment vertical="center"/>
    </x:xf>
    <x:xf numFmtId="0" fontId="5" fillId="7" borderId="43" xfId="0" applyNumberFormat="1" applyFont="1" applyFill="1" applyBorder="1" applyAlignment="1">
      <x:alignment vertical="center" wrapText="1"/>
    </x:xf>
    <x:xf numFmtId="0" fontId="5" fillId="7" borderId="44" xfId="0" applyNumberFormat="1" applyFont="1" applyFill="1" applyBorder="1" applyAlignment="1">
      <x:alignment vertical="center" wrapText="1"/>
    </x:xf>
    <x:xf numFmtId="0" fontId="5" fillId="7" borderId="45" xfId="0" applyNumberFormat="1" applyFont="1" applyFill="1" applyBorder="1" applyAlignment="1">
      <x:alignment vertical="center" wrapText="1"/>
    </x:xf>
    <x:xf numFmtId="0" fontId="11" fillId="8" borderId="41" xfId="0" applyNumberFormat="1" applyFont="1" applyFill="1" applyBorder="1" applyAlignment="1">
      <x:alignment horizontal="center" vertical="center"/>
    </x:xf>
    <x:xf numFmtId="0" fontId="13" fillId="14" borderId="41" xfId="0" applyNumberFormat="1" applyFont="1" applyFill="1" applyBorder="1" applyAlignment="1">
      <x:alignment horizontal="center" vertical="center"/>
    </x:xf>
    <x:xf numFmtId="0" fontId="12" fillId="13" borderId="41" xfId="0" applyNumberFormat="1" applyFont="1" applyFill="1" applyBorder="1" applyAlignment="1">
      <x:alignment horizontal="center" vertical="center"/>
    </x:xf>
    <x:xf numFmtId="167" fontId="15" fillId="16" borderId="41" xfId="0" applyNumberFormat="1" applyFont="1" applyFill="1" applyBorder="1" applyAlignment="1">
      <x:alignment horizontal="center" vertical="center"/>
    </x:xf>
    <x:xf numFmtId="0" fontId="14" fillId="15" borderId="41" xfId="0" applyNumberFormat="1" applyFont="1" applyFill="1" applyBorder="1" applyAlignment="1">
      <x:alignment horizontal="center" vertical="center"/>
    </x:xf>
    <x:xf numFmtId="0" fontId="10" fillId="3" borderId="41" xfId="0" applyNumberFormat="1" applyFont="1" applyFill="1" applyBorder="1" applyAlignment="1">
      <x:alignment horizontal="center" vertical="center"/>
    </x:xf>
    <x:xf numFmtId="0" fontId="1" fillId="10" borderId="54" xfId="0" applyNumberFormat="1" applyFont="1" applyFill="1" applyBorder="1" applyAlignment="1">
      <x:alignment horizontal="center" vertical="center" wrapText="1"/>
    </x:xf>
    <x:xf numFmtId="0" fontId="1" fillId="10" borderId="56" xfId="0" applyNumberFormat="1" applyFont="1" applyFill="1" applyBorder="1" applyAlignment="1">
      <x:alignment horizontal="center" vertical="center" wrapText="1"/>
    </x:xf>
    <x:xf numFmtId="0" fontId="1" fillId="2" borderId="54" xfId="0" applyNumberFormat="1" applyFont="1" applyFill="1" applyBorder="1" applyAlignment="1">
      <x:alignment horizontal="center" vertical="center" wrapText="1"/>
    </x:xf>
    <x:xf numFmtId="0" fontId="1" fillId="2" borderId="56" xfId="0" applyNumberFormat="1" applyFont="1" applyFill="1" applyBorder="1" applyAlignment="1">
      <x:alignment horizontal="center" vertical="center" wrapText="1"/>
    </x:xf>
    <x:xf numFmtId="0" fontId="1" fillId="12" borderId="41" xfId="0" applyNumberFormat="1" applyFont="1" applyFill="1" applyBorder="1" applyAlignment="1">
      <x:alignment horizontal="center" vertical="center" wrapText="1"/>
    </x:xf>
    <x:xf numFmtId="0" fontId="1" fillId="2" borderId="42" xfId="0" applyNumberFormat="1" applyFont="1" applyFill="1" applyBorder="1" applyAlignment="1">
      <x:alignment horizontal="center" vertical="center" wrapText="1"/>
    </x:xf>
    <x:xf numFmtId="0" fontId="1" fillId="11" borderId="54" xfId="0" applyNumberFormat="1" applyFont="1" applyFill="1" applyBorder="1" applyAlignment="1">
      <x:alignment horizontal="center" vertical="center" wrapText="1"/>
    </x:xf>
    <x:xf numFmtId="0" fontId="1" fillId="11" borderId="56" xfId="0" applyNumberFormat="1" applyFont="1" applyFill="1" applyBorder="1" applyAlignment="1">
      <x:alignment horizontal="center" vertical="center" wrapText="1"/>
    </x:xf>
    <x:xf numFmtId="0" fontId="18" fillId="17" borderId="41" xfId="0" applyNumberFormat="1" applyFont="1" applyFill="1" applyBorder="1" applyAlignment="1">
      <x:alignment horizontal="center" vertical="center"/>
    </x:xf>
    <x:xf numFmtId="0" fontId="5" fillId="8" borderId="41" xfId="0" applyNumberFormat="1" applyFont="1" applyFill="1" applyBorder="1" applyAlignment="1">
      <x:alignment vertical="center" wrapText="1"/>
    </x:xf>
    <x:xf numFmtId="0" fontId="5" fillId="4" borderId="47" xfId="0" applyNumberFormat="1" applyFont="1" applyFill="1" applyBorder="1" applyAlignment="1">
      <x:alignment vertical="center" wrapText="1"/>
    </x:xf>
    <x:xf numFmtId="0" fontId="5" fillId="4" borderId="42" xfId="0" applyNumberFormat="1" applyFont="1" applyFill="1" applyBorder="1" applyAlignment="1">
      <x:alignment vertical="center" wrapText="1"/>
    </x:xf>
    <x:xf numFmtId="0" fontId="5" fillId="4" borderId="49" xfId="0" applyNumberFormat="1" applyFont="1" applyFill="1" applyBorder="1" applyAlignment="1">
      <x:alignment vertical="center" wrapText="1"/>
    </x:xf>
    <x:xf numFmtId="0" fontId="5" fillId="4" borderId="43" xfId="0" applyNumberFormat="1" applyFont="1" applyFill="1" applyBorder="1" applyAlignment="1">
      <x:alignment vertical="center" wrapText="1"/>
    </x:xf>
    <x:xf numFmtId="0" fontId="5" fillId="4" borderId="44" xfId="0" applyNumberFormat="1" applyFont="1" applyFill="1" applyBorder="1" applyAlignment="1">
      <x:alignment vertical="center" wrapText="1"/>
    </x:xf>
    <x:xf numFmtId="0" fontId="5" fillId="4" borderId="45" xfId="0" applyNumberFormat="1" applyFont="1" applyFill="1" applyBorder="1" applyAlignment="1">
      <x:alignment vertical="center" wrapText="1"/>
    </x:xf>
    <x:xf numFmtId="0" fontId="6" fillId="13" borderId="41" xfId="0" applyNumberFormat="1" applyFont="1" applyFill="1" applyBorder="1" applyAlignment="1">
      <x:alignment horizontal="center" vertical="center" wrapText="1"/>
    </x:xf>
    <x:xf numFmtId="0" fontId="5" fillId="4" borderId="41" xfId="0" applyNumberFormat="1" applyFont="1" applyFill="1" applyBorder="1" applyAlignment="1">
      <x:alignment vertical="center" wrapText="1"/>
    </x:xf>
    <x:xf numFmtId="1" fontId="5" fillId="7" borderId="44" xfId="0" applyNumberFormat="1" applyFont="1" applyFill="1" applyBorder="1" applyAlignment="1">
      <x:alignment horizontal="center" vertical="center"/>
    </x:xf>
    <x:xf numFmtId="0" fontId="5" fillId="7" borderId="44" xfId="0" applyNumberFormat="1" applyFont="1" applyFill="1" applyBorder="1" applyAlignment="1">
      <x:alignment horizontal="center" vertical="center"/>
    </x:xf>
    <x:xf numFmtId="168" fontId="5" fillId="6" borderId="44" xfId="0" applyNumberFormat="1" applyFont="1" applyFill="1" applyBorder="1" applyAlignment="1">
      <x:alignment horizontal="center" vertical="center"/>
    </x:xf>
    <x:xf numFmtId="0" fontId="5" fillId="6" borderId="44" xfId="0" applyNumberFormat="1" applyFont="1" applyFill="1" applyBorder="1" applyAlignment="1">
      <x:alignment horizontal="center" vertical="center"/>
    </x:xf>
    <x:xf numFmtId="1" fontId="5" fillId="6" borderId="44" xfId="0" applyNumberFormat="1" applyFont="1" applyFill="1" applyBorder="1" applyAlignment="1">
      <x:alignment horizontal="center" vertical="center"/>
    </x:xf>
    <x:xf numFmtId="166" fontId="5" fillId="6" borderId="44" xfId="0" applyNumberFormat="1" applyFont="1" applyFill="1" applyBorder="1" applyAlignment="1">
      <x:alignment horizontal="center" vertical="center"/>
    </x:xf>
    <x:xf numFmtId="0" fontId="7" fillId="7" borderId="44" xfId="0" applyNumberFormat="1" applyFont="1" applyFill="1" applyBorder="1" applyAlignment="1">
      <x:alignment horizontal="center" vertical="center"/>
    </x:xf>
    <x:xf numFmtId="0" fontId="4" fillId="3" borderId="57" xfId="0" applyNumberFormat="1" applyFont="1" applyFill="1" applyBorder="1" applyAlignment="1">
      <x:alignment horizontal="center" vertical="center" wrapText="1"/>
    </x:xf>
    <x:xf numFmtId="0" fontId="6" fillId="5" borderId="58" xfId="0" applyNumberFormat="1" applyFont="1" applyFill="1" applyBorder="1" applyAlignment="1">
      <x:alignment horizontal="center" vertical="center"/>
    </x:xf>
    <x:xf numFmtId="1" fontId="5" fillId="7" borderId="58" xfId="0" applyNumberFormat="1" applyFont="1" applyFill="1" applyBorder="1" applyAlignment="1">
      <x:alignment horizontal="center" vertical="center"/>
    </x:xf>
    <x:xf numFmtId="0" fontId="5" fillId="7" borderId="58" xfId="0" applyNumberFormat="1" applyFont="1" applyFill="1" applyBorder="1" applyAlignment="1">
      <x:alignment horizontal="center" vertical="center"/>
    </x:xf>
    <x:xf numFmtId="168" fontId="5" fillId="6" borderId="58" xfId="0" applyNumberFormat="1" applyFont="1" applyFill="1" applyBorder="1" applyAlignment="1">
      <x:alignment horizontal="center" vertical="center"/>
    </x:xf>
    <x:xf numFmtId="0" fontId="5" fillId="6" borderId="58" xfId="0" applyNumberFormat="1" applyFont="1" applyFill="1" applyBorder="1" applyAlignment="1">
      <x:alignment horizontal="center" vertical="center"/>
    </x:xf>
    <x:xf numFmtId="1" fontId="5" fillId="6" borderId="58" xfId="0" applyNumberFormat="1" applyFont="1" applyFill="1" applyBorder="1" applyAlignment="1">
      <x:alignment horizontal="center" vertical="center"/>
    </x:xf>
    <x:xf numFmtId="166" fontId="5" fillId="6" borderId="58" xfId="0" applyNumberFormat="1" applyFont="1" applyFill="1" applyBorder="1" applyAlignment="1">
      <x:alignment horizontal="center" vertical="center"/>
    </x:xf>
    <x:xf numFmtId="0" fontId="7" fillId="7" borderId="58" xfId="0" applyNumberFormat="1" applyFont="1" applyFill="1" applyBorder="1" applyAlignment="1">
      <x:alignment horizontal="center" vertical="center"/>
    </x:xf>
    <x:xf numFmtId="1" fontId="5" fillId="7" borderId="59" xfId="0" applyNumberFormat="1" applyFont="1" applyFill="1" applyBorder="1" applyAlignment="1">
      <x:alignment horizontal="center" vertical="center"/>
    </x:xf>
    <x:xf numFmtId="0" fontId="5" fillId="7" borderId="59" xfId="0" applyNumberFormat="1" applyFont="1" applyFill="1" applyBorder="1" applyAlignment="1">
      <x:alignment horizontal="center" vertical="center"/>
    </x:xf>
    <x:xf numFmtId="168" fontId="5" fillId="6" borderId="59" xfId="0" applyNumberFormat="1" applyFont="1" applyFill="1" applyBorder="1" applyAlignment="1">
      <x:alignment horizontal="center" vertical="center"/>
    </x:xf>
    <x:xf numFmtId="0" fontId="5" fillId="6" borderId="59" xfId="0" applyNumberFormat="1" applyFont="1" applyFill="1" applyBorder="1" applyAlignment="1">
      <x:alignment horizontal="center" vertical="center"/>
    </x:xf>
    <x:xf numFmtId="1" fontId="5" fillId="6" borderId="59" xfId="0" applyNumberFormat="1" applyFont="1" applyFill="1" applyBorder="1" applyAlignment="1">
      <x:alignment horizontal="center" vertical="center"/>
    </x:xf>
    <x:xf numFmtId="166" fontId="5" fillId="6" borderId="59" xfId="0" applyNumberFormat="1" applyFont="1" applyFill="1" applyBorder="1" applyAlignment="1">
      <x:alignment horizontal="center" vertical="center"/>
    </x:xf>
    <x:xf numFmtId="0" fontId="7" fillId="7" borderId="59" xfId="0" applyNumberFormat="1" applyFont="1" applyFill="1" applyBorder="1" applyAlignment="1">
      <x:alignment horizontal="center" vertical="center"/>
    </x:xf>
    <x:xf numFmtId="0" fontId="5" fillId="4" borderId="60" xfId="0" applyNumberFormat="1" applyFont="1" applyFill="1" applyBorder="1" applyAlignment="1">
      <x:alignment horizontal="center" vertical="center" wrapText="1"/>
    </x:xf>
    <x:xf numFmtId="0" fontId="5" fillId="4" borderId="61" xfId="0" applyNumberFormat="1" applyFont="1" applyFill="1" applyBorder="1" applyAlignment="1">
      <x:alignment horizontal="center" vertical="center" wrapText="1"/>
    </x:xf>
    <x:xf numFmtId="0" fontId="5" fillId="4" borderId="62" xfId="0" applyNumberFormat="1" applyFont="1" applyFill="1" applyBorder="1" applyAlignment="1">
      <x:alignment horizontal="center" vertical="center" wrapText="1"/>
    </x:xf>
    <x:xf numFmtId="0" fontId="5" fillId="4" borderId="63" xfId="0" applyNumberFormat="1" applyFont="1" applyFill="1" applyBorder="1" applyAlignment="1">
      <x:alignment horizontal="center" vertical="center" wrapText="1"/>
    </x:xf>
    <x:xf numFmtId="0" fontId="5" fillId="4" borderId="64" xfId="0" applyNumberFormat="1" applyFont="1" applyFill="1" applyBorder="1" applyAlignment="1">
      <x:alignment horizontal="center" vertical="center" wrapText="1"/>
    </x:xf>
    <x:xf numFmtId="0" fontId="0" fillId="0" borderId="42" xfId="0" applyNumberFormat="1" applyFont="1" applyFill="1" applyBorder="1" applyAlignment="1">
      <x:alignment horizontal="center" vertical="center"/>
    </x:xf>
    <x:xf numFmtId="165" fontId="0" fillId="0" borderId="42" xfId="0" applyNumberFormat="1" applyFont="1" applyFill="1" applyBorder="1" applyAlignment="1">
      <x:alignment horizontal="center" vertical="center"/>
    </x:xf>
    <x:xf numFmtId="166" fontId="0" fillId="0" borderId="42" xfId="0" applyNumberFormat="1" applyFont="1" applyFill="1" applyBorder="1" applyAlignment="1">
      <x:alignment horizontal="center" vertical="center"/>
    </x:xf>
    <x:xf numFmtId="0" fontId="0" fillId="0" borderId="63" xfId="0" applyNumberFormat="1" applyFont="1" applyFill="1" applyBorder="1" applyAlignment="1">
      <x:alignment horizontal="center" vertical="center"/>
    </x:xf>
    <x:xf numFmtId="0" fontId="0" fillId="0" borderId="41" xfId="0" applyNumberFormat="1" applyFont="1" applyFill="1" applyBorder="1" applyAlignment="1">
      <x:alignment horizontal="center" vertical="center"/>
    </x:xf>
    <x:xf numFmtId="0" fontId="0" fillId="0" borderId="65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0" fillId="18" borderId="41" xfId="0" applyNumberFormat="1" applyFont="1" applyFill="1" applyBorder="1"/>
    <x:xf numFmtId="0" fontId="4" fillId="18" borderId="41" xfId="0" applyNumberFormat="1" applyFont="1" applyFill="1" applyBorder="1"/>
    <x:xf numFmtId="0" fontId="4" fillId="18" borderId="41" xfId="0" applyNumberFormat="1" applyFont="1" applyFill="1" applyBorder="1" applyAlignment="1">
      <x:alignment wrapText="1"/>
    </x:xf>
    <x:xf numFmtId="0" fontId="4" fillId="18" borderId="41" xfId="0" applyNumberFormat="1" applyFont="1" applyFill="1" applyBorder="1" applyAlignment="1">
      <x:alignment horizontal="center" wrapText="1"/>
    </x:xf>
    <x:xf numFmtId="0" fontId="4" fillId="18" borderId="41" xfId="0" applyNumberFormat="1" applyFont="1" applyFill="1" applyBorder="1" applyAlignment="1">
      <x:alignment horizontal="center" vertical="center" wrapText="1"/>
    </x:xf>
    <x:xf numFmtId="0" fontId="19" fillId="18" borderId="0" xfId="0" applyNumberFormat="1" applyFont="1" applyFill="1" applyBorder="1"/>
    <x:xf numFmtId="0" fontId="19" fillId="18" borderId="0" xfId="0" applyNumberFormat="1" applyFont="1" applyFill="1" applyBorder="1" applyAlignment="1">
      <x:alignment horizontal="center"/>
    </x:xf>
    <x:xf numFmtId="0" fontId="19" fillId="18" borderId="0" xfId="0" applyNumberFormat="1" applyFont="1" applyFill="1" applyBorder="1" applyAlignment="1">
      <x:alignment horizontal="center" vertical="center"/>
    </x:xf>
    <x:xf numFmtId="0" fontId="19" fillId="18" borderId="41" xfId="0" applyNumberFormat="1" applyFont="1" applyFill="1" applyBorder="1"/>
    <x:xf numFmtId="0" fontId="19" fillId="18" borderId="41" xfId="0" applyNumberFormat="1" applyFont="1" applyFill="1" applyBorder="1" applyAlignment="1">
      <x:alignment horizontal="center"/>
    </x:xf>
    <x:xf numFmtId="0" fontId="19" fillId="18" borderId="4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8" xfId="0" applyNumberFormat="1" applyFont="1" applyFill="1" applyBorder="1"/>
    <x:xf numFmtId="0" fontId="1" fillId="19" borderId="3" xfId="0" applyNumberFormat="1" applyFont="1" applyFill="1" applyBorder="1"/>
    <x:xf numFmtId="0" fontId="0" fillId="19" borderId="41" xfId="0" applyNumberFormat="1" applyFont="1" applyFill="1" applyBorder="1"/>
    <x:xf numFmtId="0" fontId="1" fillId="19" borderId="41" xfId="0" applyNumberFormat="1" applyFont="1" applyFill="1" applyBorder="1"/>
    <x:xf numFmtId="0" fontId="1" fillId="19" borderId="46" xfId="0" applyNumberFormat="1" applyFont="1" applyFill="1" applyBorder="1"/>
    <x:xf numFmtId="0" fontId="1" fillId="19" borderId="44" xfId="0" applyNumberFormat="1" applyFont="1" applyFill="1" applyBorder="1"/>
    <x:xf numFmtId="0" fontId="0" fillId="20" borderId="0" xfId="0" applyNumberFormat="1" applyFont="1" applyFill="1" applyBorder="1"/>
    <x:xf numFmtId="0" fontId="16" fillId="20" borderId="0" xfId="0" applyNumberFormat="1" applyFont="1" applyFill="1" applyBorder="1"/>
    <x:xf numFmtId="0" fontId="16" fillId="20" borderId="9" xfId="0" applyNumberFormat="1" applyFont="1" applyFill="1" applyBorder="1"/>
    <x:xf numFmtId="0" fontId="16" fillId="20" borderId="7" xfId="0" applyNumberFormat="1" applyFont="1" applyFill="1" applyBorder="1"/>
    <x:xf numFmtId="0" fontId="16" fillId="20" borderId="4" xfId="0" applyNumberFormat="1" applyFont="1" applyFill="1" applyBorder="1"/>
    <x:xf numFmtId="0" fontId="16" fillId="20" borderId="2" xfId="0" applyNumberFormat="1" applyFont="1" applyFill="1" applyBorder="1"/>
    <x:xf numFmtId="0" fontId="0" fillId="20" borderId="41" xfId="0" applyNumberFormat="1" applyFont="1" applyFill="1" applyBorder="1"/>
    <x:xf numFmtId="0" fontId="16" fillId="20" borderId="41" xfId="0" applyNumberFormat="1" applyFont="1" applyFill="1" applyBorder="1"/>
    <x:xf numFmtId="0" fontId="16" fillId="20" borderId="50" xfId="0" applyNumberFormat="1" applyFont="1" applyFill="1" applyBorder="1"/>
    <x:xf numFmtId="0" fontId="16" fillId="20" borderId="48" xfId="0" applyNumberFormat="1" applyFont="1" applyFill="1" applyBorder="1"/>
    <x:xf numFmtId="0" fontId="16" fillId="20" borderId="45" xfId="0" applyNumberFormat="1" applyFont="1" applyFill="1" applyBorder="1"/>
    <x:xf numFmtId="0" fontId="16" fillId="20" borderId="43" xfId="0" applyNumberFormat="1" applyFont="1" applyFill="1" applyBorder="1"/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9" xfId="0" applyNumberFormat="1" applyFont="1" applyFill="1" applyBorder="1"/>
    <x:xf numFmtId="0" fontId="5" fillId="21" borderId="25" xfId="0" applyNumberFormat="1" applyFont="1" applyFill="1" applyBorder="1"/>
    <x:xf numFmtId="0" fontId="5" fillId="21" borderId="7" xfId="0" applyNumberFormat="1" applyFont="1" applyFill="1" applyBorder="1"/>
    <x:xf numFmtId="0" fontId="5" fillId="21" borderId="15" xfId="0" applyNumberFormat="1" applyFont="1" applyFill="1" applyBorder="1"/>
    <x:xf numFmtId="0" fontId="5" fillId="21" borderId="14" xfId="0" applyNumberFormat="1" applyFont="1" applyFill="1" applyBorder="1"/>
    <x:xf numFmtId="0" fontId="5" fillId="21" borderId="4" xfId="0" applyNumberFormat="1" applyFont="1" applyFill="1" applyBorder="1"/>
    <x:xf numFmtId="0" fontId="5" fillId="21" borderId="23" xfId="0" applyNumberFormat="1" applyFont="1" applyFill="1" applyBorder="1"/>
    <x:xf numFmtId="0" fontId="5" fillId="21" borderId="2" xfId="0" applyNumberFormat="1" applyFont="1" applyFill="1" applyBorder="1"/>
    <x:xf numFmtId="0" fontId="5" fillId="21" borderId="9" xfId="0" applyNumberFormat="1" applyFont="1" applyFill="1" applyBorder="1" applyAlignment="1">
      <x:alignment wrapText="1"/>
    </x:xf>
    <x:xf numFmtId="0" fontId="5" fillId="21" borderId="25" xfId="0" applyNumberFormat="1" applyFont="1" applyFill="1" applyBorder="1" applyAlignment="1">
      <x:alignment wrapText="1"/>
    </x:xf>
    <x:xf numFmtId="0" fontId="5" fillId="21" borderId="7" xfId="0" applyNumberFormat="1" applyFont="1" applyFill="1" applyBorder="1" applyAlignment="1">
      <x:alignment wrapText="1"/>
    </x:xf>
    <x:xf numFmtId="0" fontId="5" fillId="21" borderId="15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0" fontId="5" fillId="21" borderId="14" xfId="0" applyNumberFormat="1" applyFont="1" applyFill="1" applyBorder="1" applyAlignment="1">
      <x:alignment wrapText="1"/>
    </x:xf>
    <x:xf numFmtId="0" fontId="5" fillId="21" borderId="4" xfId="0" applyNumberFormat="1" applyFont="1" applyFill="1" applyBorder="1" applyAlignment="1">
      <x:alignment wrapText="1"/>
    </x:xf>
    <x:xf numFmtId="0" fontId="5" fillId="21" borderId="23" xfId="0" applyNumberFormat="1" applyFont="1" applyFill="1" applyBorder="1" applyAlignment="1">
      <x:alignment wrapText="1"/>
    </x:xf>
    <x:xf numFmtId="0" fontId="5" fillId="21" borderId="2" xfId="0" applyNumberFormat="1" applyFont="1" applyFill="1" applyBorder="1" applyAlignment="1">
      <x:alignment wrapText="1"/>
    </x:xf>
    <x:xf numFmtId="0" fontId="5" fillId="21" borderId="9" xfId="0" applyNumberFormat="1" applyFont="1" applyFill="1" applyBorder="1" applyAlignment="1">
      <x:alignment vertical="center" wrapText="1"/>
    </x:xf>
    <x:xf numFmtId="0" fontId="5" fillId="21" borderId="25" xfId="0" applyNumberFormat="1" applyFont="1" applyFill="1" applyBorder="1" applyAlignment="1">
      <x:alignment vertical="center" wrapText="1"/>
    </x:xf>
    <x:xf numFmtId="0" fontId="5" fillId="21" borderId="7" xfId="0" applyNumberFormat="1" applyFont="1" applyFill="1" applyBorder="1" applyAlignment="1">
      <x:alignment vertical="center" wrapText="1"/>
    </x:xf>
    <x:xf numFmtId="0" fontId="5" fillId="21" borderId="15" xfId="0" applyNumberFormat="1" applyFont="1" applyFill="1" applyBorder="1" applyAlignment="1">
      <x:alignment vertical="center" wrapText="1"/>
    </x:xf>
    <x:xf numFmtId="0" fontId="5" fillId="21" borderId="0" xfId="0" applyNumberFormat="1" applyFont="1" applyFill="1" applyBorder="1" applyAlignment="1">
      <x:alignment vertical="center" wrapText="1"/>
    </x:xf>
    <x:xf numFmtId="0" fontId="5" fillId="21" borderId="14" xfId="0" applyNumberFormat="1" applyFont="1" applyFill="1" applyBorder="1" applyAlignment="1">
      <x:alignment vertical="center" wrapText="1"/>
    </x:xf>
    <x:xf numFmtId="0" fontId="5" fillId="21" borderId="4" xfId="0" applyNumberFormat="1" applyFont="1" applyFill="1" applyBorder="1" applyAlignment="1">
      <x:alignment vertical="center" wrapText="1"/>
    </x:xf>
    <x:xf numFmtId="0" fontId="5" fillId="21" borderId="23" xfId="0" applyNumberFormat="1" applyFont="1" applyFill="1" applyBorder="1" applyAlignment="1">
      <x:alignment vertical="center" wrapText="1"/>
    </x:xf>
    <x:xf numFmtId="0" fontId="5" fillId="21" borderId="2" xfId="0" applyNumberFormat="1" applyFont="1" applyFill="1" applyBorder="1" applyAlignment="1">
      <x:alignment vertical="center" wrapText="1"/>
    </x:xf>
    <x:xf numFmtId="0" fontId="0" fillId="21" borderId="41" xfId="0" applyNumberFormat="1" applyFont="1" applyFill="1" applyBorder="1"/>
    <x:xf numFmtId="0" fontId="5" fillId="21" borderId="41" xfId="0" applyNumberFormat="1" applyFont="1" applyFill="1" applyBorder="1"/>
    <x:xf numFmtId="0" fontId="5" fillId="21" borderId="50" xfId="0" applyNumberFormat="1" applyFont="1" applyFill="1" applyBorder="1"/>
    <x:xf numFmtId="0" fontId="5" fillId="21" borderId="53" xfId="0" applyNumberFormat="1" applyFont="1" applyFill="1" applyBorder="1"/>
    <x:xf numFmtId="0" fontId="5" fillId="21" borderId="48" xfId="0" applyNumberFormat="1" applyFont="1" applyFill="1" applyBorder="1"/>
    <x:xf numFmtId="0" fontId="5" fillId="21" borderId="56" xfId="0" applyNumberFormat="1" applyFont="1" applyFill="1" applyBorder="1"/>
    <x:xf numFmtId="0" fontId="5" fillId="21" borderId="54" xfId="0" applyNumberFormat="1" applyFont="1" applyFill="1" applyBorder="1"/>
    <x:xf numFmtId="0" fontId="5" fillId="21" borderId="45" xfId="0" applyNumberFormat="1" applyFont="1" applyFill="1" applyBorder="1"/>
    <x:xf numFmtId="0" fontId="5" fillId="21" borderId="51" xfId="0" applyNumberFormat="1" applyFont="1" applyFill="1" applyBorder="1"/>
    <x:xf numFmtId="0" fontId="5" fillId="21" borderId="43" xfId="0" applyNumberFormat="1" applyFont="1" applyFill="1" applyBorder="1"/>
    <x:xf numFmtId="0" fontId="5" fillId="21" borderId="50" xfId="0" applyNumberFormat="1" applyFont="1" applyFill="1" applyBorder="1" applyAlignment="1">
      <x:alignment wrapText="1"/>
    </x:xf>
    <x:xf numFmtId="0" fontId="5" fillId="21" borderId="53" xfId="0" applyNumberFormat="1" applyFont="1" applyFill="1" applyBorder="1" applyAlignment="1">
      <x:alignment wrapText="1"/>
    </x:xf>
    <x:xf numFmtId="0" fontId="5" fillId="21" borderId="48" xfId="0" applyNumberFormat="1" applyFont="1" applyFill="1" applyBorder="1" applyAlignment="1">
      <x:alignment wrapText="1"/>
    </x:xf>
    <x:xf numFmtId="0" fontId="5" fillId="21" borderId="56" xfId="0" applyNumberFormat="1" applyFont="1" applyFill="1" applyBorder="1" applyAlignment="1">
      <x:alignment wrapText="1"/>
    </x:xf>
    <x:xf numFmtId="0" fontId="5" fillId="21" borderId="41" xfId="0" applyNumberFormat="1" applyFont="1" applyFill="1" applyBorder="1" applyAlignment="1">
      <x:alignment wrapText="1"/>
    </x:xf>
    <x:xf numFmtId="0" fontId="5" fillId="21" borderId="54" xfId="0" applyNumberFormat="1" applyFont="1" applyFill="1" applyBorder="1" applyAlignment="1">
      <x:alignment wrapText="1"/>
    </x:xf>
    <x:xf numFmtId="0" fontId="5" fillId="21" borderId="45" xfId="0" applyNumberFormat="1" applyFont="1" applyFill="1" applyBorder="1" applyAlignment="1">
      <x:alignment wrapText="1"/>
    </x:xf>
    <x:xf numFmtId="0" fontId="5" fillId="21" borderId="51" xfId="0" applyNumberFormat="1" applyFont="1" applyFill="1" applyBorder="1" applyAlignment="1">
      <x:alignment wrapText="1"/>
    </x:xf>
    <x:xf numFmtId="0" fontId="5" fillId="21" borderId="43" xfId="0" applyNumberFormat="1" applyFont="1" applyFill="1" applyBorder="1" applyAlignment="1">
      <x:alignment wrapText="1"/>
    </x:xf>
    <x:xf numFmtId="0" fontId="5" fillId="21" borderId="50" xfId="0" applyNumberFormat="1" applyFont="1" applyFill="1" applyBorder="1" applyAlignment="1">
      <x:alignment vertical="center" wrapText="1"/>
    </x:xf>
    <x:xf numFmtId="0" fontId="5" fillId="21" borderId="53" xfId="0" applyNumberFormat="1" applyFont="1" applyFill="1" applyBorder="1" applyAlignment="1">
      <x:alignment vertical="center" wrapText="1"/>
    </x:xf>
    <x:xf numFmtId="0" fontId="5" fillId="21" borderId="48" xfId="0" applyNumberFormat="1" applyFont="1" applyFill="1" applyBorder="1" applyAlignment="1">
      <x:alignment vertical="center" wrapText="1"/>
    </x:xf>
    <x:xf numFmtId="0" fontId="5" fillId="21" borderId="56" xfId="0" applyNumberFormat="1" applyFont="1" applyFill="1" applyBorder="1" applyAlignment="1">
      <x:alignment vertical="center" wrapText="1"/>
    </x:xf>
    <x:xf numFmtId="0" fontId="5" fillId="21" borderId="41" xfId="0" applyNumberFormat="1" applyFont="1" applyFill="1" applyBorder="1" applyAlignment="1">
      <x:alignment vertical="center" wrapText="1"/>
    </x:xf>
    <x:xf numFmtId="0" fontId="5" fillId="21" borderId="54" xfId="0" applyNumberFormat="1" applyFont="1" applyFill="1" applyBorder="1" applyAlignment="1">
      <x:alignment vertical="center" wrapText="1"/>
    </x:xf>
    <x:xf numFmtId="0" fontId="5" fillId="21" borderId="45" xfId="0" applyNumberFormat="1" applyFont="1" applyFill="1" applyBorder="1" applyAlignment="1">
      <x:alignment vertical="center" wrapText="1"/>
    </x:xf>
    <x:xf numFmtId="0" fontId="5" fillId="21" borderId="51" xfId="0" applyNumberFormat="1" applyFont="1" applyFill="1" applyBorder="1" applyAlignment="1">
      <x:alignment vertical="center" wrapText="1"/>
    </x:xf>
    <x:xf numFmtId="0" fontId="5" fillId="21" borderId="43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/>
    <x:xf numFmtId="0" fontId="18" fillId="18" borderId="0" xfId="0" applyNumberFormat="1" applyFont="1" applyFill="1" applyBorder="1" applyAlignment="1">
      <x:alignment horizontal="center"/>
    </x:xf>
    <x:xf numFmtId="0" fontId="18" fillId="18" borderId="0" xfId="0" applyNumberFormat="1" applyFont="1" applyFill="1" applyBorder="1" applyAlignment="1">
      <x:alignment horizontal="center" vertical="center"/>
    </x:xf>
    <x:xf numFmtId="0" fontId="18" fillId="18" borderId="41" xfId="0" applyNumberFormat="1" applyFont="1" applyFill="1" applyBorder="1"/>
    <x:xf numFmtId="0" fontId="18" fillId="18" borderId="41" xfId="0" applyNumberFormat="1" applyFont="1" applyFill="1" applyBorder="1" applyAlignment="1">
      <x:alignment horizontal="center"/>
    </x:xf>
    <x:xf numFmtId="0" fontId="18" fillId="18" borderId="41" xfId="0" applyNumberFormat="1" applyFont="1" applyFill="1" applyBorder="1" applyAlignment="1">
      <x:alignment horizontal="center" vertical="center"/>
    </x:xf>
    <x:xf numFmtId="0" fontId="18" fillId="19" borderId="0" xfId="0" applyNumberFormat="1" applyFont="1" applyFill="1" applyBorder="1"/>
    <x:xf numFmtId="0" fontId="18" fillId="19" borderId="0" xfId="0" applyNumberFormat="1" applyFont="1" applyFill="1" applyBorder="1" applyAlignment="1">
      <x:alignment horizontal="center"/>
    </x:xf>
    <x:xf numFmtId="0" fontId="18" fillId="19" borderId="0" xfId="0" applyNumberFormat="1" applyFont="1" applyFill="1" applyBorder="1" applyAlignment="1">
      <x:alignment horizontal="center" vertical="center"/>
    </x:xf>
    <x:xf numFmtId="0" fontId="18" fillId="19" borderId="41" xfId="0" applyNumberFormat="1" applyFont="1" applyFill="1" applyBorder="1"/>
    <x:xf numFmtId="0" fontId="18" fillId="19" borderId="41" xfId="0" applyNumberFormat="1" applyFont="1" applyFill="1" applyBorder="1" applyAlignment="1">
      <x:alignment horizontal="center"/>
    </x:xf>
    <x:xf numFmtId="0" fontId="18" fillId="19" borderId="41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17" fillId="22" borderId="0" xfId="0" applyNumberFormat="1" applyFont="1" applyFill="1" applyBorder="1"/>
    <x:xf numFmtId="0" fontId="0" fillId="22" borderId="41" xfId="0" applyNumberFormat="1" applyFont="1" applyFill="1" applyBorder="1"/>
    <x:xf numFmtId="0" fontId="17" fillId="22" borderId="41" xfId="0" applyNumberFormat="1" applyFont="1" applyFill="1" applyBorder="1"/>
    <x:xf numFmtId="0" fontId="0" fillId="23" borderId="0" xfId="0" applyNumberFormat="1" applyFont="1" applyFill="1" applyBorder="1"/>
    <x:xf numFmtId="0" fontId="16" fillId="23" borderId="0" xfId="0" applyNumberFormat="1" applyFont="1" applyFill="1" applyBorder="1"/>
    <x:xf numFmtId="0" fontId="16" fillId="23" borderId="0" xfId="0" applyNumberFormat="1" applyFont="1" applyFill="1" applyBorder="1" applyAlignment="1">
      <x:alignment wrapText="1"/>
    </x:xf>
    <x:xf numFmtId="0" fontId="0" fillId="23" borderId="41" xfId="0" applyNumberFormat="1" applyFont="1" applyFill="1" applyBorder="1"/>
    <x:xf numFmtId="0" fontId="16" fillId="23" borderId="41" xfId="0" applyNumberFormat="1" applyFont="1" applyFill="1" applyBorder="1"/>
    <x:xf numFmtId="0" fontId="16" fillId="23" borderId="41" xfId="0" applyNumberFormat="1" applyFont="1" applyFill="1" applyBorder="1" applyAlignment="1">
      <x:alignment wrapText="1"/>
    </x:xf>
    <x:xf numFmtId="0" fontId="17" fillId="22" borderId="0" xfId="0" applyNumberFormat="1" applyFont="1" applyFill="1" applyBorder="1" applyAlignment="1">
      <x:alignment vertical="center"/>
    </x:xf>
    <x:xf numFmtId="0" fontId="17" fillId="22" borderId="41" xfId="0" applyNumberFormat="1" applyFont="1" applyFill="1" applyBorder="1" applyAlignment="1">
      <x:alignment vertical="center"/>
    </x:xf>
    <x:xf numFmtId="0" fontId="16" fillId="23" borderId="0" xfId="0" applyNumberFormat="1" applyFont="1" applyFill="1" applyBorder="1" applyAlignment="1">
      <x:alignment vertical="center" wrapText="1"/>
    </x:xf>
    <x:xf numFmtId="0" fontId="16" fillId="23" borderId="41" xfId="0" applyNumberFormat="1" applyFont="1" applyFill="1" applyBorder="1" applyAlignment="1">
      <x:alignment vertical="center" wrapText="1"/>
    </x:xf>
    <x:xf numFmtId="200" fontId="16" fillId="23" borderId="0" xfId="0" applyNumberFormat="1" applyFont="1" applyFill="1" applyBorder="1" applyAlignment="1">
      <x:alignment vertical="center" wrapText="1"/>
    </x:xf>
    <x:xf numFmtId="200" fontId="16" fillId="23" borderId="41" xfId="0" applyNumberFormat="1" applyFont="1" applyFill="1" applyBorder="1" applyAlignment="1">
      <x:alignment vertical="center" wrapText="1"/>
    </x:xf>
    <x:xf numFmtId="0" fontId="18" fillId="18" borderId="9" xfId="0" applyNumberFormat="1" applyFont="1" applyFill="1" applyBorder="1" applyAlignment="1">
      <x:alignment horizontal="center" vertical="center"/>
    </x:xf>
    <x:xf numFmtId="0" fontId="18" fillId="18" borderId="25" xfId="0" applyNumberFormat="1" applyFont="1" applyFill="1" applyBorder="1" applyAlignment="1">
      <x:alignment horizontal="center" vertical="center"/>
    </x:xf>
    <x:xf numFmtId="0" fontId="18" fillId="18" borderId="7" xfId="0" applyNumberFormat="1" applyFont="1" applyFill="1" applyBorder="1" applyAlignment="1">
      <x:alignment horizontal="center" vertical="center"/>
    </x:xf>
    <x:xf numFmtId="0" fontId="17" fillId="22" borderId="15" xfId="0" applyNumberFormat="1" applyFont="1" applyFill="1" applyBorder="1"/>
    <x:xf numFmtId="0" fontId="16" fillId="23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18" fillId="19" borderId="15" xfId="0" applyNumberFormat="1" applyFont="1" applyFill="1" applyBorder="1" applyAlignment="1">
      <x:alignment horizontal="center" vertical="center"/>
    </x:xf>
    <x:xf numFmtId="0" fontId="18" fillId="19" borderId="14" xfId="0" applyNumberFormat="1" applyFont="1" applyFill="1" applyBorder="1" applyAlignment="1">
      <x:alignment horizontal="center" vertical="center"/>
    </x:xf>
    <x:xf numFmtId="0" fontId="17" fillId="22" borderId="15" xfId="0" applyNumberFormat="1" applyFont="1" applyFill="1" applyBorder="1" applyAlignment="1">
      <x:alignment vertical="center"/>
    </x:xf>
    <x:xf numFmtId="0" fontId="16" fillId="23" borderId="14" xfId="0" applyNumberFormat="1" applyFont="1" applyFill="1" applyBorder="1" applyAlignment="1">
      <x:alignment vertical="center" wrapText="1"/>
    </x:xf>
    <x:xf numFmtId="0" fontId="17" fillId="22" borderId="4" xfId="0" applyNumberFormat="1" applyFont="1" applyFill="1" applyBorder="1" applyAlignment="1">
      <x:alignment vertical="center"/>
    </x:xf>
    <x:xf numFmtId="0" fontId="16" fillId="23" borderId="23" xfId="0" applyNumberFormat="1" applyFont="1" applyFill="1" applyBorder="1" applyAlignment="1">
      <x:alignment vertical="center" wrapText="1"/>
    </x:xf>
    <x:xf numFmtId="0" fontId="16" fillId="23" borderId="2" xfId="0" applyNumberFormat="1" applyFont="1" applyFill="1" applyBorder="1" applyAlignment="1">
      <x:alignment vertical="center" wrapText="1"/>
    </x:xf>
  </x:cellXfs>
  <x:cellStyles count="2">
    <x:cellStyle name="Hyperlink" xfId="1"/>
    <x:cellStyle name="Normal" xfId="0"/>
  </x:cellStyles>
  <x:dxfs count="49"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ill>
        <x:patternFill>
          <x:bgColor rgb="FFF6F9F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9C3D1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6237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2E5D2E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9C3D1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6237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2E5D2E"/>
      </x:font>
      <x:fill>
        <x:patternFill>
          <x:bgColor rgb="FFE2F0D9"/>
        </x:patternFill>
      </x:fill>
    </x:dxf>
    <x:dxf>
      <x:fill>
        <x:patternFill>
          <x:bgColor rgb="FFF6F9F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9C3D1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6237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2E5D2E"/>
      </x:font>
      <x:fill>
        <x:patternFill>
          <x:bgColor rgb="FFE2F0D9"/>
        </x:patternFill>
      </x:fill>
    </x:dxf>
    <x:dxf>
      <x:fill>
        <x:patternFill>
          <x:bgColor rgb="FFF4B183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9C3D1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6237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2E5D2E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51436b43d4220" /><Relationship Type="http://schemas.openxmlformats.org/officeDocument/2006/relationships/theme" Target="/xl/theme/theme1.xml" Id="R731d4a14c79244ff" /><Relationship Type="http://schemas.openxmlformats.org/officeDocument/2006/relationships/sharedStrings" Target="/xl/sharedStrings.xml" Id="R4391b732f6204dde" /><Relationship Type="http://schemas.openxmlformats.org/officeDocument/2006/relationships/worksheet" Target="/xl/worksheets/sheet1.xml" Id="R5fc6cd1f73334dd1" /><Relationship Type="http://schemas.openxmlformats.org/officeDocument/2006/relationships/worksheet" Target="/xl/worksheets/sheet2.xml" Id="R92116551dfb146f0" /><Relationship Type="http://schemas.openxmlformats.org/officeDocument/2006/relationships/worksheet" Target="/xl/worksheets/sheet3.xml" Id="R868188536ee94165" /><Relationship Type="http://schemas.openxmlformats.org/officeDocument/2006/relationships/worksheet" Target="/xl/worksheets/sheet4.xml" Id="Rb813f6260ec6409a" /><Relationship Type="http://schemas.openxmlformats.org/officeDocument/2006/relationships/worksheet" Target="/xl/worksheets/sheet5.xml" Id="R547cbc61ed784ffa" /><Relationship Type="http://schemas.openxmlformats.org/officeDocument/2006/relationships/worksheet" Target="/xl/worksheets/sheet6.xml" Id="Re6c88e10bac54b51" /><Relationship Type="http://schemas.openxmlformats.org/officeDocument/2006/relationships/worksheet" Target="/xl/worksheets/sheet7.xml" Id="R7ce2afb08f174bf0" /><Relationship Type="http://schemas.openxmlformats.org/officeDocument/2006/relationships/worksheet" Target="/xl/worksheets/sheet8.xml" Id="Raf678bbe72394f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af9786619e4c0b" /><Relationship Type="http://schemas.openxmlformats.org/officeDocument/2006/relationships/chart" Target="/xl/drawings/charts/chart2.xml" Id="R9b47303a93ad4ca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Completed Hacks by Difficulty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Tracked</c:v>
          </c:tx>
          <c:cat>
            <c:strRef>
              <c:f>Dashboard!$A$9:$A$16</c:f>
              <c:strCache>
                <c:ptCount val="8"/>
                <c:pt idx="0">
                  <c:v>Newcomer</c:v>
                </c:pt>
                <c:pt idx="1">
                  <c:v>Casual</c:v>
                </c:pt>
                <c:pt idx="2">
                  <c:v>Intermediate</c:v>
                </c:pt>
                <c:pt idx="3">
                  <c:v>Advanced</c:v>
                </c:pt>
                <c:pt idx="4">
                  <c:v>Expert</c:v>
                </c:pt>
                <c:pt idx="5">
                  <c:v>Master</c:v>
                </c:pt>
                <c:pt idx="6">
                  <c:v>Grandmaster</c:v>
                </c:pt>
                <c:pt idx="7">
                  <c:v>Unranked</c:v>
                </c:pt>
              </c:strCache>
            </c:strRef>
          </c:cat>
          <c:val>
            <c:numRef>
              <c:f>Dashboard!$B$9:$B$16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10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v>100% Complete</c:v>
          </c:tx>
          <c:cat>
            <c:strRef>
              <c:f>Dashboard!$A$9:$A$16</c:f>
              <c:strCache>
                <c:ptCount val="8"/>
                <c:pt idx="0">
                  <c:v>Newcomer</c:v>
                </c:pt>
                <c:pt idx="1">
                  <c:v>Casual</c:v>
                </c:pt>
                <c:pt idx="2">
                  <c:v>Intermediate</c:v>
                </c:pt>
                <c:pt idx="3">
                  <c:v>Advanced</c:v>
                </c:pt>
                <c:pt idx="4">
                  <c:v>Expert</c:v>
                </c:pt>
                <c:pt idx="5">
                  <c:v>Master</c:v>
                </c:pt>
                <c:pt idx="6">
                  <c:v>Grandmaster</c:v>
                </c:pt>
                <c:pt idx="7">
                  <c:v>Unranked</c:v>
                </c:pt>
              </c:strCache>
            </c:strRef>
          </c:cat>
          <c:val>
            <c:numRef>
              <c:f>Dashboard!$C$9:$C$16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10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Tracker Status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Dashboard!$E$9:$E$12</c:f>
              <c:strCache>
                <c:ptCount val="4"/>
                <c:pt idx="0">
                  <c:v>Planned</c:v>
                </c:pt>
                <c:pt idx="1">
                  <c:v>In Progress</c:v>
                </c:pt>
                <c:pt idx="2">
                  <c:v>Finished</c:v>
                </c:pt>
                <c:pt idx="3">
                  <c:v>100% Complete</c:v>
                </c:pt>
              </c:strCache>
            </c:strRef>
          </c:cat>
          <c:val>
            <c:numRef>
              <c:f>Dashboard!$F$9:$F$12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af9786619e4c0b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47303a93ad4ca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c7237c3f4cb4d2c" /></Relationships>
</file>

<file path=xl/worksheets/sheet1.xml><?xml version="1.0" encoding="utf-8"?>
<x:worksheet xmlns:x="http://schemas.openxmlformats.org/spreadsheetml/2006/main">
  <x:sheetFormatPr defaultRowHeight="14.25"/>
  <x:cols>
    <x:col min="1" max="1" width="8" style="158" customWidth="1"/>
    <x:col min="2" max="2" width="34" style="158" customWidth="1"/>
    <x:col min="3" max="3" width="32" style="158" customWidth="1"/>
    <x:col min="4" max="4" width="30" style="158" customWidth="1"/>
    <x:col min="5" max="5" width="8" style="158" customWidth="1"/>
    <x:col min="6" max="6" width="15" style="158" customWidth="1"/>
    <x:col min="7" max="7" width="19" style="158" customWidth="1"/>
    <x:col min="8" max="9" width="14" style="158" customWidth="1"/>
    <x:col min="10" max="11" width="18" style="158" customWidth="1"/>
    <x:col min="12" max="12" width="13" style="158" customWidth="1"/>
    <x:col min="13" max="13" width="25" style="158" customWidth="1"/>
    <x:col min="14" max="15" width="16" style="158" customWidth="1"/>
    <x:col min="16" max="16" width="42" style="159" customWidth="1"/>
  </x:cols>
  <x:sheetData>
    <x:row r="1" ht="18" customHeight="1">
      <x:c r="A1" s="133" t="s">
        <x:v>0</x:v>
      </x:c>
      <x:c r="B1" s="133" t="s">
        <x:v>1</x:v>
      </x:c>
      <x:c r="C1" s="133" t="s">
        <x:v>2</x:v>
      </x:c>
      <x:c r="D1" s="133" t="s">
        <x:v>3</x:v>
      </x:c>
      <x:c r="E1" s="133" t="s">
        <x:v>4</x:v>
      </x:c>
      <x:c r="F1" s="133" t="s">
        <x:v>5</x:v>
      </x:c>
      <x:c r="G1" s="133" t="s">
        <x:v>6</x:v>
      </x:c>
      <x:c r="H1" s="133" t="s">
        <x:v>7</x:v>
      </x:c>
      <x:c r="I1" s="133" t="s">
        <x:v>8</x:v>
      </x:c>
      <x:c r="J1" s="133" t="s">
        <x:v>9</x:v>
      </x:c>
      <x:c r="K1" s="133" t="s">
        <x:v>10</x:v>
      </x:c>
      <x:c r="L1" s="133" t="s">
        <x:v>11</x:v>
      </x:c>
      <x:c r="M1" s="133" t="s">
        <x:v>12</x:v>
      </x:c>
      <x:c r="N1" s="133" t="s">
        <x:v>13</x:v>
      </x:c>
      <x:c r="O1" s="133" t="s">
        <x:v>14</x:v>
      </x:c>
      <x:c r="P1" s="133" t="s">
        <x:v>15</x:v>
      </x:c>
    </x:row>
    <x:row r="2" ht="11" customHeight="1">
      <x:c r="A2" s="134" t="n">
        <x:f>IF(C2="","",COUNTIF($C$2:C2,"&lt;&gt;"))</x:f>
        <x:v>1</x:v>
      </x:c>
      <x:c r="B2" s="138" t="s">
        <x:v>16</x:v>
      </x:c>
      <x:c r="C2" s="136" t="str">
        <x:f>IFERROR(VLOOKUP($B2,'Hack Database'!$A:$J,2,FALSE),"")</x:f>
        <x:v>Learn 2 Kaizo</x:v>
      </x:c>
      <x:c r="D2" s="136" t="str">
        <x:f>IFERROR(VLOOKUP($B2,'Hack Database'!$A:$J,3,FALSE),"")</x:f>
        <x:v>NeXuS15</x:v>
      </x:c>
      <x:c r="E2" s="135" t="n">
        <x:f>IFERROR(VLOOKUP($B2,'Hack Database'!$A:$J,4,FALSE),"")</x:f>
        <x:v>68</x:v>
      </x:c>
      <x:c r="F2" s="136" t="str">
        <x:f>IFERROR(VLOOKUP($B2,'Hack Database'!$A:$J,5,FALSE),"")</x:f>
        <x:v>Advanced</x:v>
      </x:c>
      <x:c r="G2" s="136" t="str">
        <x:f>IFERROR(VLOOKUP($B2,'Hack Database'!$A:$J,6,FALSE),"")</x:f>
        <x:v>Kaizo</x:v>
      </x:c>
      <x:c r="H2" s="137">
        <x:v>45460</x:v>
      </x:c>
      <x:c r="I2" s="137">
        <x:v>45460</x:v>
      </x:c>
      <x:c r="J2" s="138" t="s">
        <x:v>17</x:v>
      </x:c>
      <x:c r="K2" s="136" t="str">
        <x:f t="shared" ref="K2:K65" si="0">IF($B2="","",IF($J2="Yes","100% Complete",IF($H2="","Planned",IF($I2="","In Progress","Finished"))))</x:f>
        <x:v>100% Complete</x:v>
      </x:c>
      <x:c r="L2" s="139"/>
      <x:c r="M2" s="140" t="s">
        <x:v>18</x:v>
      </x:c>
      <x:c r="N2" s="141" t="str">
        <x:f>IFERROR(HYPERLINK(VLOOKUP($B2,'Hack Database'!$A:$J,9,FALSE),"Open Page"),"")</x:f>
      </x:c>
      <x:c r="O2" s="141" t="str">
        <x:f>IFERROR(HYPERLINK(VLOOKUP($B2,'Hack Database'!$A:$J,10,FALSE),"Download"),"")</x:f>
      </x:c>
      <x:c r="P2" s="149"/>
    </x:row>
    <x:row r="3" ht="11" customHeight="1">
      <x:c r="A3" s="134" t="n">
        <x:f>IF(C3="","",COUNTIF($C$2:C3,"&lt;&gt;"))</x:f>
        <x:v>2</x:v>
      </x:c>
      <x:c r="B3" s="145" t="s">
        <x:v>19</x:v>
      </x:c>
      <x:c r="C3" s="143" t="str">
        <x:f>IFERROR(VLOOKUP($B3,'Hack Database'!$A:$J,2,FALSE),"")</x:f>
        <x:v>Love Yourself</x:v>
      </x:c>
      <x:c r="D3" s="143" t="str">
        <x:f>IFERROR(VLOOKUP($B3,'Hack Database'!$A:$J,3,FALSE),"")</x:f>
        <x:v>Chondontore</x:v>
      </x:c>
      <x:c r="E3" s="142" t="n">
        <x:f>IFERROR(VLOOKUP($B3,'Hack Database'!$A:$J,4,FALSE),"")</x:f>
        <x:v>17</x:v>
      </x:c>
      <x:c r="F3" s="143" t="str">
        <x:f>IFERROR(VLOOKUP($B3,'Hack Database'!$A:$J,5,FALSE),"")</x:f>
        <x:v>Intermediate</x:v>
      </x:c>
      <x:c r="G3" s="143" t="str">
        <x:f>IFERROR(VLOOKUP($B3,'Hack Database'!$A:$J,6,FALSE),"")</x:f>
        <x:v>Kaizo</x:v>
      </x:c>
      <x:c r="H3" s="144">
        <x:v>45460</x:v>
      </x:c>
      <x:c r="I3" s="144">
        <x:v>45460</x:v>
      </x:c>
      <x:c r="J3" s="145" t="s">
        <x:v>17</x:v>
      </x:c>
      <x:c r="K3" s="143" t="str">
        <x:f t="shared" si="0"/>
        <x:v>100% Complete</x:v>
      </x:c>
      <x:c r="L3" s="146"/>
      <x:c r="M3" s="147" t="s">
        <x:v>20</x:v>
      </x:c>
      <x:c r="N3" s="148" t="str">
        <x:f>IFERROR(HYPERLINK(VLOOKUP($B3,'Hack Database'!$A:$J,9,FALSE),"Open Page"),"")</x:f>
      </x:c>
      <x:c r="O3" s="148" t="str">
        <x:f>IFERROR(HYPERLINK(VLOOKUP($B3,'Hack Database'!$A:$J,10,FALSE),"Download"),"")</x:f>
      </x:c>
      <x:c r="P3" s="150"/>
    </x:row>
    <x:row r="4" ht="11" customHeight="1">
      <x:c r="A4" s="134" t="n">
        <x:f>IF(C4="","",COUNTIF($C$2:C4,"&lt;&gt;"))</x:f>
        <x:v>3</x:v>
      </x:c>
      <x:c r="B4" s="145" t="s">
        <x:v>21</x:v>
      </x:c>
      <x:c r="C4" s="143" t="str">
        <x:f>IFERROR(VLOOKUP($B4,'Hack Database'!$A:$J,2,FALSE),"")</x:f>
        <x:v>Orcus</x:v>
      </x:c>
      <x:c r="D4" s="143" t="str">
        <x:f>IFERROR(VLOOKUP($B4,'Hack Database'!$A:$J,3,FALSE),"")</x:f>
        <x:v>Jordan</x:v>
      </x:c>
      <x:c r="E4" s="142" t="n">
        <x:f>IFERROR(VLOOKUP($B4,'Hack Database'!$A:$J,4,FALSE),"")</x:f>
        <x:v>25</x:v>
      </x:c>
      <x:c r="F4" s="143" t="str">
        <x:f>IFERROR(VLOOKUP($B4,'Hack Database'!$A:$J,5,FALSE),"")</x:f>
        <x:v>Advanced</x:v>
      </x:c>
      <x:c r="G4" s="143" t="str">
        <x:f>IFERROR(VLOOKUP($B4,'Hack Database'!$A:$J,6,FALSE),"")</x:f>
        <x:v>Kaizo</x:v>
      </x:c>
      <x:c r="H4" s="144">
        <x:v>45460</x:v>
      </x:c>
      <x:c r="I4" s="144">
        <x:v>45461</x:v>
      </x:c>
      <x:c r="J4" s="145" t="s">
        <x:v>17</x:v>
      </x:c>
      <x:c r="K4" s="143" t="str">
        <x:f t="shared" si="0"/>
        <x:v>100% Complete</x:v>
      </x:c>
      <x:c r="L4" s="146"/>
      <x:c r="M4" s="147" t="s">
        <x:v>22</x:v>
      </x:c>
      <x:c r="N4" s="148" t="str">
        <x:f>IFERROR(HYPERLINK(VLOOKUP($B4,'Hack Database'!$A:$J,9,FALSE),"Open Page"),"")</x:f>
      </x:c>
      <x:c r="O4" s="148" t="str">
        <x:f>IFERROR(HYPERLINK(VLOOKUP($B4,'Hack Database'!$A:$J,10,FALSE),"Download"),"")</x:f>
      </x:c>
      <x:c r="P4" s="150"/>
    </x:row>
    <x:row r="5" ht="11" customHeight="1">
      <x:c r="A5" s="134" t="n">
        <x:f>IF(C5="","",COUNTIF($C$2:C5,"&lt;&gt;"))</x:f>
        <x:v>4</x:v>
      </x:c>
      <x:c r="B5" s="145" t="s">
        <x:v>23</x:v>
      </x:c>
      <x:c r="C5" s="143" t="str">
        <x:f>IFERROR(VLOOKUP($B5,'Hack Database'!$A:$J,2,FALSE),"")</x:f>
        <x:v>Akogare Mario World</x:v>
      </x:c>
      <x:c r="D5" s="143" t="str">
        <x:f>IFERROR(VLOOKUP($B5,'Hack Database'!$A:$J,3,FALSE),"")</x:f>
        <x:v>Mega</x:v>
      </x:c>
      <x:c r="E5" s="142" t="n">
        <x:f>IFERROR(VLOOKUP($B5,'Hack Database'!$A:$J,4,FALSE),"")</x:f>
        <x:v>28</x:v>
      </x:c>
      <x:c r="F5" s="143" t="str">
        <x:f>IFERROR(VLOOKUP($B5,'Hack Database'!$A:$J,5,FALSE),"")</x:f>
        <x:v>Advanced</x:v>
      </x:c>
      <x:c r="G5" s="143" t="str">
        <x:f>IFERROR(VLOOKUP($B5,'Hack Database'!$A:$J,6,FALSE),"")</x:f>
        <x:v>Kaizo</x:v>
      </x:c>
      <x:c r="H5" s="144">
        <x:v>45462</x:v>
      </x:c>
      <x:c r="I5" s="144">
        <x:v>45464</x:v>
      </x:c>
      <x:c r="J5" s="145" t="s">
        <x:v>17</x:v>
      </x:c>
      <x:c r="K5" s="143" t="str">
        <x:f t="shared" si="0"/>
        <x:v>100% Complete</x:v>
      </x:c>
      <x:c r="L5" s="146"/>
      <x:c r="M5" s="147" t="s">
        <x:v>24</x:v>
      </x:c>
      <x:c r="N5" s="148" t="str">
        <x:f>IFERROR(HYPERLINK(VLOOKUP($B5,'Hack Database'!$A:$J,9,FALSE),"Open Page"),"")</x:f>
      </x:c>
      <x:c r="O5" s="148" t="str">
        <x:f>IFERROR(HYPERLINK(VLOOKUP($B5,'Hack Database'!$A:$J,10,FALSE),"Download"),"")</x:f>
      </x:c>
      <x:c r="P5" s="150"/>
    </x:row>
    <x:row r="6" ht="15" customHeight="1">
      <x:c r="A6" s="134" t="n">
        <x:f>IF(C6="","",COUNTIF($C$2:C6,"&lt;&gt;"))</x:f>
        <x:v>5</x:v>
      </x:c>
      <x:c r="B6" s="145" t="s">
        <x:v>25</x:v>
      </x:c>
      <x:c r="C6" s="143" t="str">
        <x:f>IFERROR(VLOOKUP($B6,'Hack Database'!$A:$J,2,FALSE),"")</x:f>
        <x:v>Invictus</x:v>
      </x:c>
      <x:c r="D6" s="143" t="str">
        <x:f>IFERROR(VLOOKUP($B6,'Hack Database'!$A:$J,3,FALSE),"")</x:f>
        <x:v>juzcook</x:v>
      </x:c>
      <x:c r="E6" s="142" t="n">
        <x:f>IFERROR(VLOOKUP($B6,'Hack Database'!$A:$J,4,FALSE),"")</x:f>
        <x:v>22</x:v>
      </x:c>
      <x:c r="F6" s="143" t="str">
        <x:f>IFERROR(VLOOKUP($B6,'Hack Database'!$A:$J,5,FALSE),"")</x:f>
        <x:v>Expert</x:v>
      </x:c>
      <x:c r="G6" s="143" t="str">
        <x:f>IFERROR(VLOOKUP($B6,'Hack Database'!$A:$J,6,FALSE),"")</x:f>
        <x:v>Kaizo</x:v>
      </x:c>
      <x:c r="H6" s="144">
        <x:v>45464</x:v>
      </x:c>
      <x:c r="I6" s="144">
        <x:v>45472</x:v>
      </x:c>
      <x:c r="J6" s="145" t="s">
        <x:v>17</x:v>
      </x:c>
      <x:c r="K6" s="143" t="str">
        <x:f t="shared" si="0"/>
        <x:v>100% Complete</x:v>
      </x:c>
      <x:c r="L6" s="146"/>
      <x:c r="M6" s="147" t="s">
        <x:v>26</x:v>
      </x:c>
      <x:c r="N6" s="148" t="str">
        <x:f>IFERROR(HYPERLINK(VLOOKUP($B6,'Hack Database'!$A:$J,9,FALSE),"Open Page"),"")</x:f>
      </x:c>
      <x:c r="O6" s="148" t="str">
        <x:f>IFERROR(HYPERLINK(VLOOKUP($B6,'Hack Database'!$A:$J,10,FALSE),"Download"),"")</x:f>
      </x:c>
      <x:c r="P6" s="150" t="s">
        <x:v>27</x:v>
      </x:c>
    </x:row>
    <x:row r="7" ht="11" customHeight="1">
      <x:c r="A7" s="134" t="n">
        <x:f>IF(C7="","",COUNTIF($C$2:C7,"&lt;&gt;"))</x:f>
        <x:v>6</x:v>
      </x:c>
      <x:c r="B7" s="145" t="s">
        <x:v>28</x:v>
      </x:c>
      <x:c r="C7" s="143" t="str">
        <x:f>IFERROR(VLOOKUP($B7,'Hack Database'!$A:$J,2,FALSE),"")</x:f>
        <x:v>Gambol 2</x:v>
      </x:c>
      <x:c r="D7" s="143" t="str">
        <x:f>IFERROR(VLOOKUP($B7,'Hack Database'!$A:$J,3,FALSE),"")</x:f>
        <x:v>JezJitzu</x:v>
      </x:c>
      <x:c r="E7" s="142" t="n">
        <x:f>IFERROR(VLOOKUP($B7,'Hack Database'!$A:$J,4,FALSE),"")</x:f>
        <x:v>18</x:v>
      </x:c>
      <x:c r="F7" s="143" t="str">
        <x:f>IFERROR(VLOOKUP($B7,'Hack Database'!$A:$J,5,FALSE),"")</x:f>
        <x:v>Expert</x:v>
      </x:c>
      <x:c r="G7" s="143" t="str">
        <x:f>IFERROR(VLOOKUP($B7,'Hack Database'!$A:$J,6,FALSE),"")</x:f>
        <x:v>Kaizo</x:v>
      </x:c>
      <x:c r="H7" s="144">
        <x:v>45474</x:v>
      </x:c>
      <x:c r="I7" s="144">
        <x:v>45476</x:v>
      </x:c>
      <x:c r="J7" s="145" t="s">
        <x:v>17</x:v>
      </x:c>
      <x:c r="K7" s="143" t="str">
        <x:f t="shared" si="0"/>
        <x:v>100% Complete</x:v>
      </x:c>
      <x:c r="L7" s="146"/>
      <x:c r="M7" s="147" t="s">
        <x:v>29</x:v>
      </x:c>
      <x:c r="N7" s="148" t="str">
        <x:f>IFERROR(HYPERLINK(VLOOKUP($B7,'Hack Database'!$A:$J,9,FALSE),"Open Page"),"")</x:f>
      </x:c>
      <x:c r="O7" s="148" t="str">
        <x:f>IFERROR(HYPERLINK(VLOOKUP($B7,'Hack Database'!$A:$J,10,FALSE),"Download"),"")</x:f>
      </x:c>
      <x:c r="P7" s="150"/>
    </x:row>
    <x:row r="8" ht="11" customHeight="1">
      <x:c r="A8" s="134" t="n">
        <x:f>IF(C8="","",COUNTIF($C$2:C8,"&lt;&gt;"))</x:f>
        <x:v>7</x:v>
      </x:c>
      <x:c r="B8" s="145" t="s">
        <x:v>30</x:v>
      </x:c>
      <x:c r="C8" s="143" t="str">
        <x:f>IFERROR(VLOOKUP($B8,'Hack Database'!$A:$J,2,FALSE),"")</x:f>
        <x:v>Super Hark Bros</x:v>
      </x:c>
      <x:c r="D8" s="143" t="str">
        <x:f>IFERROR(VLOOKUP($B8,'Hack Database'!$A:$J,3,FALSE),"")</x:f>
        <x:v>ChrisG___</x:v>
      </x:c>
      <x:c r="E8" s="142" t="n">
        <x:f>IFERROR(VLOOKUP($B8,'Hack Database'!$A:$J,4,FALSE),"")</x:f>
        <x:v>16</x:v>
      </x:c>
      <x:c r="F8" s="143" t="str">
        <x:f>IFERROR(VLOOKUP($B8,'Hack Database'!$A:$J,5,FALSE),"")</x:f>
        <x:v>Advanced</x:v>
      </x:c>
      <x:c r="G8" s="143" t="str">
        <x:f>IFERROR(VLOOKUP($B8,'Hack Database'!$A:$J,6,FALSE),"")</x:f>
        <x:v>Kaizo</x:v>
      </x:c>
      <x:c r="H8" s="144">
        <x:v>45477</x:v>
      </x:c>
      <x:c r="I8" s="144">
        <x:v>45479</x:v>
      </x:c>
      <x:c r="J8" s="145" t="s">
        <x:v>17</x:v>
      </x:c>
      <x:c r="K8" s="143" t="str">
        <x:f t="shared" si="0"/>
        <x:v>100% Complete</x:v>
      </x:c>
      <x:c r="L8" s="146"/>
      <x:c r="M8" s="147" t="s">
        <x:v>31</x:v>
      </x:c>
      <x:c r="N8" s="148" t="str">
        <x:f>IFERROR(HYPERLINK(VLOOKUP($B8,'Hack Database'!$A:$J,9,FALSE),"Open Page"),"")</x:f>
      </x:c>
      <x:c r="O8" s="148" t="str">
        <x:f>IFERROR(HYPERLINK(VLOOKUP($B8,'Hack Database'!$A:$J,10,FALSE),"Download"),"")</x:f>
      </x:c>
      <x:c r="P8" s="150"/>
    </x:row>
    <x:row r="9" ht="11" customHeight="1">
      <x:c r="A9" s="134" t="n">
        <x:f>IF(C9="","",COUNTIF($C$2:C9,"&lt;&gt;"))</x:f>
        <x:v>8</x:v>
      </x:c>
      <x:c r="B9" s="145" t="s">
        <x:v>32</x:v>
      </x:c>
      <x:c r="C9" s="143" t="str">
        <x:f>IFERROR(VLOOKUP($B9,'Hack Database'!$A:$J,2,FALSE),"")</x:f>
        <x:v>Super Hark Bros 2</x:v>
      </x:c>
      <x:c r="D9" s="143" t="str">
        <x:f>IFERROR(VLOOKUP($B9,'Hack Database'!$A:$J,3,FALSE),"")</x:f>
        <x:v>ChrisG___</x:v>
      </x:c>
      <x:c r="E9" s="142" t="n">
        <x:f>IFERROR(VLOOKUP($B9,'Hack Database'!$A:$J,4,FALSE),"")</x:f>
        <x:v>24</x:v>
      </x:c>
      <x:c r="F9" s="143" t="str">
        <x:f>IFERROR(VLOOKUP($B9,'Hack Database'!$A:$J,5,FALSE),"")</x:f>
        <x:v>Expert</x:v>
      </x:c>
      <x:c r="G9" s="143" t="str">
        <x:f>IFERROR(VLOOKUP($B9,'Hack Database'!$A:$J,6,FALSE),"")</x:f>
        <x:v>Kaizo</x:v>
      </x:c>
      <x:c r="H9" s="144">
        <x:v>45479</x:v>
      </x:c>
      <x:c r="I9" s="144">
        <x:v>45482</x:v>
      </x:c>
      <x:c r="J9" s="145" t="s">
        <x:v>17</x:v>
      </x:c>
      <x:c r="K9" s="143" t="str">
        <x:f t="shared" si="0"/>
        <x:v>100% Complete</x:v>
      </x:c>
      <x:c r="L9" s="146"/>
      <x:c r="M9" s="147" t="s">
        <x:v>33</x:v>
      </x:c>
      <x:c r="N9" s="148" t="str">
        <x:f>IFERROR(HYPERLINK(VLOOKUP($B9,'Hack Database'!$A:$J,9,FALSE),"Open Page"),"")</x:f>
      </x:c>
      <x:c r="O9" s="148" t="str">
        <x:f>IFERROR(HYPERLINK(VLOOKUP($B9,'Hack Database'!$A:$J,10,FALSE),"Download"),"")</x:f>
      </x:c>
      <x:c r="P9" s="150"/>
    </x:row>
    <x:row r="10" ht="11" customHeight="1">
      <x:c r="A10" s="134" t="n">
        <x:f>IF(C10="","",COUNTIF($C$2:C10,"&lt;&gt;"))</x:f>
        <x:v>9</x:v>
      </x:c>
      <x:c r="B10" s="145" t="s">
        <x:v>34</x:v>
      </x:c>
      <x:c r="C10" s="143" t="str">
        <x:f>IFERROR(VLOOKUP($B10,'Hack Database'!$A:$J,2,FALSE),"")</x:f>
        <x:v>Quickie World</x:v>
      </x:c>
      <x:c r="D10" s="143" t="str">
        <x:f>IFERROR(VLOOKUP($B10,'Hack Database'!$A:$J,3,FALSE),"")</x:f>
        <x:v>Valdio</x:v>
      </x:c>
      <x:c r="E10" s="142" t="n">
        <x:f>IFERROR(VLOOKUP($B10,'Hack Database'!$A:$J,4,FALSE),"")</x:f>
        <x:v>14</x:v>
      </x:c>
      <x:c r="F10" s="143" t="str">
        <x:f>IFERROR(VLOOKUP($B10,'Hack Database'!$A:$J,5,FALSE),"")</x:f>
        <x:v>Advanced</x:v>
      </x:c>
      <x:c r="G10" s="143" t="str">
        <x:f>IFERROR(VLOOKUP($B10,'Hack Database'!$A:$J,6,FALSE),"")</x:f>
        <x:v>Kaizo</x:v>
      </x:c>
      <x:c r="H10" s="144">
        <x:v>45495</x:v>
      </x:c>
      <x:c r="I10" s="144">
        <x:v>45495</x:v>
      </x:c>
      <x:c r="J10" s="145" t="s">
        <x:v>17</x:v>
      </x:c>
      <x:c r="K10" s="143" t="str">
        <x:f t="shared" si="0"/>
        <x:v>100% Complete</x:v>
      </x:c>
      <x:c r="L10" s="146"/>
      <x:c r="M10" s="147" t="s">
        <x:v>35</x:v>
      </x:c>
      <x:c r="N10" s="148" t="str">
        <x:f>IFERROR(HYPERLINK(VLOOKUP($B10,'Hack Database'!$A:$J,9,FALSE),"Open Page"),"")</x:f>
      </x:c>
      <x:c r="O10" s="148" t="str">
        <x:f>IFERROR(HYPERLINK(VLOOKUP($B10,'Hack Database'!$A:$J,10,FALSE),"Download"),"")</x:f>
      </x:c>
      <x:c r="P10" s="150"/>
    </x:row>
    <x:row r="11" ht="11" customHeight="1">
      <x:c r="A11" s="134" t="n">
        <x:f>IF(C11="","",COUNTIF($C$2:C11,"&lt;&gt;"))</x:f>
        <x:v>10</x:v>
      </x:c>
      <x:c r="B11" s="145" t="s">
        <x:v>36</x:v>
      </x:c>
      <x:c r="C11" s="143" t="str">
        <x:f>IFERROR(VLOOKUP($B11,'Hack Database'!$A:$J,2,FALSE),"")</x:f>
        <x:v>Quickie World 2</x:v>
      </x:c>
      <x:c r="D11" s="143" t="str">
        <x:f>IFERROR(VLOOKUP($B11,'Hack Database'!$A:$J,3,FALSE),"")</x:f>
        <x:v>Valdio</x:v>
      </x:c>
      <x:c r="E11" s="142" t="n">
        <x:f>IFERROR(VLOOKUP($B11,'Hack Database'!$A:$J,4,FALSE),"")</x:f>
        <x:v>22</x:v>
      </x:c>
      <x:c r="F11" s="143" t="str">
        <x:f>IFERROR(VLOOKUP($B11,'Hack Database'!$A:$J,5,FALSE),"")</x:f>
        <x:v>Intermediate</x:v>
      </x:c>
      <x:c r="G11" s="143" t="str">
        <x:f>IFERROR(VLOOKUP($B11,'Hack Database'!$A:$J,6,FALSE),"")</x:f>
        <x:v>Kaizo</x:v>
      </x:c>
      <x:c r="H11" s="144">
        <x:v>45495</x:v>
      </x:c>
      <x:c r="I11" s="144">
        <x:v>45495</x:v>
      </x:c>
      <x:c r="J11" s="145" t="s">
        <x:v>17</x:v>
      </x:c>
      <x:c r="K11" s="143" t="str">
        <x:f t="shared" si="0"/>
        <x:v>100% Complete</x:v>
      </x:c>
      <x:c r="L11" s="146"/>
      <x:c r="M11" s="147" t="s">
        <x:v>37</x:v>
      </x:c>
      <x:c r="N11" s="148" t="str">
        <x:f>IFERROR(HYPERLINK(VLOOKUP($B11,'Hack Database'!$A:$J,9,FALSE),"Open Page"),"")</x:f>
      </x:c>
      <x:c r="O11" s="148" t="str">
        <x:f>IFERROR(HYPERLINK(VLOOKUP($B11,'Hack Database'!$A:$J,10,FALSE),"Download"),"")</x:f>
      </x:c>
      <x:c r="P11" s="150"/>
    </x:row>
    <x:row r="12" ht="11" customHeight="1">
      <x:c r="A12" s="134" t="n">
        <x:f>IF(C12="","",COUNTIF($C$2:C12,"&lt;&gt;"))</x:f>
        <x:v>11</x:v>
      </x:c>
      <x:c r="B12" s="145" t="s">
        <x:v>38</x:v>
      </x:c>
      <x:c r="C12" s="143" t="str">
        <x:f>IFERROR(VLOOKUP($B12,'Hack Database'!$A:$J,2,FALSE),"")</x:f>
        <x:v>Chicanery</x:v>
      </x:c>
      <x:c r="D12" s="143" t="str">
        <x:f>IFERROR(VLOOKUP($B12,'Hack Database'!$A:$J,3,FALSE),"")</x:f>
        <x:v>Buflen, Nirv</x:v>
      </x:c>
      <x:c r="E12" s="142" t="n">
        <x:f>IFERROR(VLOOKUP($B12,'Hack Database'!$A:$J,4,FALSE),"")</x:f>
        <x:v>17</x:v>
      </x:c>
      <x:c r="F12" s="143" t="str">
        <x:f>IFERROR(VLOOKUP($B12,'Hack Database'!$A:$J,5,FALSE),"")</x:f>
        <x:v>Expert</x:v>
      </x:c>
      <x:c r="G12" s="143" t="str">
        <x:f>IFERROR(VLOOKUP($B12,'Hack Database'!$A:$J,6,FALSE),"")</x:f>
        <x:v>Kaizo</x:v>
      </x:c>
      <x:c r="H12" s="144">
        <x:v>45496</x:v>
      </x:c>
      <x:c r="I12" s="144">
        <x:v>45521</x:v>
      </x:c>
      <x:c r="J12" s="145" t="s">
        <x:v>17</x:v>
      </x:c>
      <x:c r="K12" s="143" t="str">
        <x:f t="shared" si="0"/>
        <x:v>100% Complete</x:v>
      </x:c>
      <x:c r="L12" s="146"/>
      <x:c r="M12" s="147" t="s">
        <x:v>39</x:v>
      </x:c>
      <x:c r="N12" s="148" t="str">
        <x:f>IFERROR(HYPERLINK(VLOOKUP($B12,'Hack Database'!$A:$J,9,FALSE),"Open Page"),"")</x:f>
      </x:c>
      <x:c r="O12" s="148" t="str">
        <x:f>IFERROR(HYPERLINK(VLOOKUP($B12,'Hack Database'!$A:$J,10,FALSE),"Download"),"")</x:f>
      </x:c>
      <x:c r="P12" s="150"/>
    </x:row>
    <x:row r="13" ht="11" customHeight="1">
      <x:c r="A13" s="134" t="n">
        <x:f>IF(C13="","",COUNTIF($C$2:C13,"&lt;&gt;"))</x:f>
        <x:v>12</x:v>
      </x:c>
      <x:c r="B13" s="145" t="s">
        <x:v>40</x:v>
      </x:c>
      <x:c r="C13" s="143" t="str">
        <x:f>IFERROR(VLOOKUP($B13,'Hack Database'!$A:$J,2,FALSE),"")</x:f>
        <x:v>Intershellar</x:v>
      </x:c>
      <x:c r="D13" s="143" t="str">
        <x:f>IFERROR(VLOOKUP($B13,'Hack Database'!$A:$J,3,FALSE),"")</x:f>
        <x:v>Dolph1n</x:v>
      </x:c>
      <x:c r="E13" s="142" t="n">
        <x:f>IFERROR(VLOOKUP($B13,'Hack Database'!$A:$J,4,FALSE),"")</x:f>
        <x:v>15</x:v>
      </x:c>
      <x:c r="F13" s="143" t="str">
        <x:f>IFERROR(VLOOKUP($B13,'Hack Database'!$A:$J,5,FALSE),"")</x:f>
        <x:v>Expert</x:v>
      </x:c>
      <x:c r="G13" s="143" t="str">
        <x:f>IFERROR(VLOOKUP($B13,'Hack Database'!$A:$J,6,FALSE),"")</x:f>
        <x:v>Kaizo</x:v>
      </x:c>
      <x:c r="H13" s="144">
        <x:v>45522</x:v>
      </x:c>
      <x:c r="I13" s="144">
        <x:v>45522</x:v>
      </x:c>
      <x:c r="J13" s="145" t="s">
        <x:v>17</x:v>
      </x:c>
      <x:c r="K13" s="143" t="str">
        <x:f t="shared" si="0"/>
        <x:v>100% Complete</x:v>
      </x:c>
      <x:c r="L13" s="146"/>
      <x:c r="M13" s="147" t="s">
        <x:v>41</x:v>
      </x:c>
      <x:c r="N13" s="148" t="str">
        <x:f>IFERROR(HYPERLINK(VLOOKUP($B13,'Hack Database'!$A:$J,9,FALSE),"Open Page"),"")</x:f>
      </x:c>
      <x:c r="O13" s="148" t="str">
        <x:f>IFERROR(HYPERLINK(VLOOKUP($B13,'Hack Database'!$A:$J,10,FALSE),"Download"),"")</x:f>
      </x:c>
      <x:c r="P13" s="150"/>
    </x:row>
    <x:row r="14" ht="11" customHeight="1">
      <x:c r="A14" s="134" t="n">
        <x:f>IF(C14="","",COUNTIF($C$2:C14,"&lt;&gt;"))</x:f>
        <x:v>13</x:v>
      </x:c>
      <x:c r="B14" s="145" t="s">
        <x:v>42</x:v>
      </x:c>
      <x:c r="C14" s="143" t="str">
        <x:f>IFERROR(VLOOKUP($B14,'Hack Database'!$A:$J,2,FALSE),"")</x:f>
        <x:v>Lord Pickle World</x:v>
      </x:c>
      <x:c r="D14" s="143" t="str">
        <x:f>IFERROR(VLOOKUP($B14,'Hack Database'!$A:$J,3,FALSE),"")</x:f>
        <x:v>MarkAlarm</x:v>
      </x:c>
      <x:c r="E14" s="142" t="n">
        <x:f>IFERROR(VLOOKUP($B14,'Hack Database'!$A:$J,4,FALSE),"")</x:f>
        <x:v>23</x:v>
      </x:c>
      <x:c r="F14" s="143" t="str">
        <x:f>IFERROR(VLOOKUP($B14,'Hack Database'!$A:$J,5,FALSE),"")</x:f>
        <x:v>Expert</x:v>
      </x:c>
      <x:c r="G14" s="143" t="str">
        <x:f>IFERROR(VLOOKUP($B14,'Hack Database'!$A:$J,6,FALSE),"")</x:f>
        <x:v>Kaizo</x:v>
      </x:c>
      <x:c r="H14" s="144">
        <x:v>45523</x:v>
      </x:c>
      <x:c r="I14" s="144">
        <x:v>45524</x:v>
      </x:c>
      <x:c r="J14" s="145" t="s">
        <x:v>17</x:v>
      </x:c>
      <x:c r="K14" s="143" t="str">
        <x:f t="shared" si="0"/>
        <x:v>100% Complete</x:v>
      </x:c>
      <x:c r="L14" s="146"/>
      <x:c r="M14" s="147" t="s">
        <x:v>43</x:v>
      </x:c>
      <x:c r="N14" s="148" t="str">
        <x:f>IFERROR(HYPERLINK(VLOOKUP($B14,'Hack Database'!$A:$J,9,FALSE),"Open Page"),"")</x:f>
      </x:c>
      <x:c r="O14" s="148" t="str">
        <x:f>IFERROR(HYPERLINK(VLOOKUP($B14,'Hack Database'!$A:$J,10,FALSE),"Download"),"")</x:f>
      </x:c>
      <x:c r="P14" s="150"/>
    </x:row>
    <x:row r="15" ht="15" customHeight="1">
      <x:c r="A15" s="134" t="n">
        <x:f>IF(C15="","",COUNTIF($C$2:C15,"&lt;&gt;"))</x:f>
        <x:v>14</x:v>
      </x:c>
      <x:c r="B15" s="145" t="s">
        <x:v>44</x:v>
      </x:c>
      <x:c r="C15" s="143" t="str">
        <x:f>IFERROR(VLOOKUP($B15,'Hack Database'!$A:$J,2,FALSE),"")</x:f>
        <x:v>Grand Poo World 2</x:v>
      </x:c>
      <x:c r="D15" s="143" t="str">
        <x:f>IFERROR(VLOOKUP($B15,'Hack Database'!$A:$J,3,FALSE),"")</x:f>
        <x:v>Barbarian</x:v>
      </x:c>
      <x:c r="E15" s="142" t="n">
        <x:f>IFERROR(VLOOKUP($B15,'Hack Database'!$A:$J,4,FALSE),"")</x:f>
        <x:v>23</x:v>
      </x:c>
      <x:c r="F15" s="143" t="str">
        <x:f>IFERROR(VLOOKUP($B15,'Hack Database'!$A:$J,5,FALSE),"")</x:f>
        <x:v>Master</x:v>
      </x:c>
      <x:c r="G15" s="143" t="str">
        <x:f>IFERROR(VLOOKUP($B15,'Hack Database'!$A:$J,6,FALSE),"")</x:f>
        <x:v>Kaizo</x:v>
      </x:c>
      <x:c r="H15" s="144">
        <x:v>45525</x:v>
      </x:c>
      <x:c r="I15" s="144">
        <x:v>45543</x:v>
      </x:c>
      <x:c r="J15" s="145" t="s">
        <x:v>17</x:v>
      </x:c>
      <x:c r="K15" s="143" t="str">
        <x:f t="shared" si="0"/>
        <x:v>100% Complete</x:v>
      </x:c>
      <x:c r="L15" s="146"/>
      <x:c r="M15" s="147" t="s">
        <x:v>45</x:v>
      </x:c>
      <x:c r="N15" s="148" t="str">
        <x:f>IFERROR(HYPERLINK(VLOOKUP($B15,'Hack Database'!$A:$J,9,FALSE),"Open Page"),"")</x:f>
      </x:c>
      <x:c r="O15" s="148" t="str">
        <x:f>IFERROR(HYPERLINK(VLOOKUP($B15,'Hack Database'!$A:$J,10,FALSE),"Download"),"")</x:f>
      </x:c>
      <x:c r="P15" s="150" t="s">
        <x:v>46</x:v>
      </x:c>
    </x:row>
    <x:row r="16" ht="11" customHeight="1">
      <x:c r="A16" s="134" t="n">
        <x:f>IF(C16="","",COUNTIF($C$2:C16,"&lt;&gt;"))</x:f>
        <x:v>15</x:v>
      </x:c>
      <x:c r="B16" s="145" t="s">
        <x:v>47</x:v>
      </x:c>
      <x:c r="C16" s="143" t="str">
        <x:f>IFERROR(VLOOKUP($B16,'Hack Database'!$A:$J,2,FALSE),"")</x:f>
        <x:v>Super Nothing World</x:v>
      </x:c>
      <x:c r="D16" s="143" t="str">
        <x:f>IFERROR(VLOOKUP($B16,'Hack Database'!$A:$J,3,FALSE),"")</x:f>
        <x:v>NewPointless</x:v>
      </x:c>
      <x:c r="E16" s="142" t="n">
        <x:f>IFERROR(VLOOKUP($B16,'Hack Database'!$A:$J,4,FALSE),"")</x:f>
        <x:v>25</x:v>
      </x:c>
      <x:c r="F16" s="143" t="str">
        <x:f>IFERROR(VLOOKUP($B16,'Hack Database'!$A:$J,5,FALSE),"")</x:f>
        <x:v>Advanced</x:v>
      </x:c>
      <x:c r="G16" s="143" t="str">
        <x:f>IFERROR(VLOOKUP($B16,'Hack Database'!$A:$J,6,FALSE),"")</x:f>
        <x:v>Standard, Kaizo</x:v>
      </x:c>
      <x:c r="H16" s="144">
        <x:v>45608</x:v>
      </x:c>
      <x:c r="I16" s="144">
        <x:v>45608</x:v>
      </x:c>
      <x:c r="J16" s="145" t="s">
        <x:v>17</x:v>
      </x:c>
      <x:c r="K16" s="143" t="str">
        <x:f t="shared" si="0"/>
        <x:v>100% Complete</x:v>
      </x:c>
      <x:c r="L16" s="146"/>
      <x:c r="M16" s="147" t="s">
        <x:v>48</x:v>
      </x:c>
      <x:c r="N16" s="148" t="str">
        <x:f>IFERROR(HYPERLINK(VLOOKUP($B16,'Hack Database'!$A:$J,9,FALSE),"Open Page"),"")</x:f>
      </x:c>
      <x:c r="O16" s="148" t="str">
        <x:f>IFERROR(HYPERLINK(VLOOKUP($B16,'Hack Database'!$A:$J,10,FALSE),"Download"),"")</x:f>
      </x:c>
      <x:c r="P16" s="150"/>
    </x:row>
    <x:row r="17" ht="15" customHeight="1">
      <x:c r="A17" s="134" t="n">
        <x:f>IF(C17="","",COUNTIF($C$2:C17,"&lt;&gt;"))</x:f>
        <x:v>16</x:v>
      </x:c>
      <x:c r="B17" s="145" t="s">
        <x:v>49</x:v>
      </x:c>
      <x:c r="C17" s="143" t="str">
        <x:f>IFERROR(VLOOKUP($B17,'Hack Database'!$A:$J,2,FALSE),"")</x:f>
        <x:v>Simpatico</x:v>
      </x:c>
      <x:c r="D17" s="143" t="str">
        <x:f>IFERROR(VLOOKUP($B17,'Hack Database'!$A:$J,3,FALSE),"")</x:f>
        <x:v>BigRedBoy, realbchin</x:v>
      </x:c>
      <x:c r="E17" s="142" t="n">
        <x:f>IFERROR(VLOOKUP($B17,'Hack Database'!$A:$J,4,FALSE),"")</x:f>
        <x:v>26</x:v>
      </x:c>
      <x:c r="F17" s="143" t="str">
        <x:f>IFERROR(VLOOKUP($B17,'Hack Database'!$A:$J,5,FALSE),"")</x:f>
        <x:v>Master</x:v>
      </x:c>
      <x:c r="G17" s="143" t="str">
        <x:f>IFERROR(VLOOKUP($B17,'Hack Database'!$A:$J,6,FALSE),"")</x:f>
        <x:v>Kaizo</x:v>
      </x:c>
      <x:c r="H17" s="144">
        <x:v>45609</x:v>
      </x:c>
      <x:c r="I17" s="144">
        <x:v>45619</x:v>
      </x:c>
      <x:c r="J17" s="145" t="s">
        <x:v>17</x:v>
      </x:c>
      <x:c r="K17" s="143" t="str">
        <x:f t="shared" si="0"/>
        <x:v>100% Complete</x:v>
      </x:c>
      <x:c r="L17" s="146"/>
      <x:c r="M17" s="147" t="s">
        <x:v>50</x:v>
      </x:c>
      <x:c r="N17" s="148" t="str">
        <x:f>IFERROR(HYPERLINK(VLOOKUP($B17,'Hack Database'!$A:$J,9,FALSE),"Open Page"),"")</x:f>
      </x:c>
      <x:c r="O17" s="148" t="str">
        <x:f>IFERROR(HYPERLINK(VLOOKUP($B17,'Hack Database'!$A:$J,10,FALSE),"Download"),"")</x:f>
      </x:c>
      <x:c r="P17" s="150" t="s">
        <x:v>51</x:v>
      </x:c>
    </x:row>
    <x:row r="18" ht="11" customHeight="1">
      <x:c r="A18" s="134" t="n">
        <x:f>IF(C18="","",COUNTIF($C$2:C18,"&lt;&gt;"))</x:f>
        <x:v>17</x:v>
      </x:c>
      <x:c r="B18" s="145" t="s">
        <x:v>52</x:v>
      </x:c>
      <x:c r="C18" s="143" t="str">
        <x:f>IFERROR(VLOOKUP($B18,'Hack Database'!$A:$J,2,FALSE),"")</x:f>
        <x:v>Sauna Mario World</x:v>
      </x:c>
      <x:c r="D18" s="143" t="str">
        <x:f>IFERROR(VLOOKUP($B18,'Hack Database'!$A:$J,3,FALSE),"")</x:f>
        <x:v>pnaha</x:v>
      </x:c>
      <x:c r="E18" s="142" t="n">
        <x:f>IFERROR(VLOOKUP($B18,'Hack Database'!$A:$J,4,FALSE),"")</x:f>
        <x:v>15</x:v>
      </x:c>
      <x:c r="F18" s="143" t="str">
        <x:f>IFERROR(VLOOKUP($B18,'Hack Database'!$A:$J,5,FALSE),"")</x:f>
        <x:v>Advanced</x:v>
      </x:c>
      <x:c r="G18" s="143" t="str">
        <x:f>IFERROR(VLOOKUP($B18,'Hack Database'!$A:$J,6,FALSE),"")</x:f>
        <x:v>Kaizo</x:v>
      </x:c>
      <x:c r="H18" s="144">
        <x:v>45631</x:v>
      </x:c>
      <x:c r="I18" s="144">
        <x:v>45631</x:v>
      </x:c>
      <x:c r="J18" s="145" t="s">
        <x:v>17</x:v>
      </x:c>
      <x:c r="K18" s="143" t="str">
        <x:f t="shared" si="0"/>
        <x:v>100% Complete</x:v>
      </x:c>
      <x:c r="L18" s="146"/>
      <x:c r="M18" s="147" t="s">
        <x:v>53</x:v>
      </x:c>
      <x:c r="N18" s="148" t="str">
        <x:f>IFERROR(HYPERLINK(VLOOKUP($B18,'Hack Database'!$A:$J,9,FALSE),"Open Page"),"")</x:f>
      </x:c>
      <x:c r="O18" s="148" t="str">
        <x:f>IFERROR(HYPERLINK(VLOOKUP($B18,'Hack Database'!$A:$J,10,FALSE),"Download"),"")</x:f>
      </x:c>
      <x:c r="P18" s="150"/>
    </x:row>
    <x:row r="19" ht="11" customHeight="1">
      <x:c r="A19" s="134" t="n">
        <x:f>IF(C19="","",COUNTIF($C$2:C19,"&lt;&gt;"))</x:f>
        <x:v>18</x:v>
      </x:c>
      <x:c r="B19" s="145" t="s">
        <x:v>54</x:v>
      </x:c>
      <x:c r="C19" s="143" t="str">
        <x:f>IFERROR(VLOOKUP($B19,'Hack Database'!$A:$J,2,FALSE),"")</x:f>
        <x:v>Sauna Mario World 2</x:v>
      </x:c>
      <x:c r="D19" s="143" t="str">
        <x:f>IFERROR(VLOOKUP($B19,'Hack Database'!$A:$J,3,FALSE),"")</x:f>
        <x:v>pnaha</x:v>
      </x:c>
      <x:c r="E19" s="142" t="n">
        <x:f>IFERROR(VLOOKUP($B19,'Hack Database'!$A:$J,4,FALSE),"")</x:f>
        <x:v>21</x:v>
      </x:c>
      <x:c r="F19" s="143" t="str">
        <x:f>IFERROR(VLOOKUP($B19,'Hack Database'!$A:$J,5,FALSE),"")</x:f>
        <x:v>Expert</x:v>
      </x:c>
      <x:c r="G19" s="143" t="str">
        <x:f>IFERROR(VLOOKUP($B19,'Hack Database'!$A:$J,6,FALSE),"")</x:f>
        <x:v>Kaizo</x:v>
      </x:c>
      <x:c r="H19" s="144">
        <x:v>45631</x:v>
      </x:c>
      <x:c r="I19" s="144">
        <x:v>45632</x:v>
      </x:c>
      <x:c r="J19" s="145" t="s">
        <x:v>17</x:v>
      </x:c>
      <x:c r="K19" s="143" t="str">
        <x:f t="shared" si="0"/>
        <x:v>100% Complete</x:v>
      </x:c>
      <x:c r="L19" s="146"/>
      <x:c r="M19" s="147" t="s">
        <x:v>55</x:v>
      </x:c>
      <x:c r="N19" s="148" t="str">
        <x:f>IFERROR(HYPERLINK(VLOOKUP($B19,'Hack Database'!$A:$J,9,FALSE),"Open Page"),"")</x:f>
      </x:c>
      <x:c r="O19" s="148" t="str">
        <x:f>IFERROR(HYPERLINK(VLOOKUP($B19,'Hack Database'!$A:$J,10,FALSE),"Download"),"")</x:f>
      </x:c>
      <x:c r="P19" s="150"/>
    </x:row>
    <x:row r="20" ht="11" customHeight="1">
      <x:c r="A20" s="134" t="n">
        <x:f>IF(C20="","",COUNTIF($C$2:C20,"&lt;&gt;"))</x:f>
        <x:v>19</x:v>
      </x:c>
      <x:c r="B20" s="145" t="s">
        <x:v>56</x:v>
      </x:c>
      <x:c r="C20" s="143" t="str">
        <x:f>IFERROR(VLOOKUP($B20,'Hack Database'!$A:$J,2,FALSE),"")</x:f>
        <x:v>Epiphany</x:v>
      </x:c>
      <x:c r="D20" s="143" t="str">
        <x:f>IFERROR(VLOOKUP($B20,'Hack Database'!$A:$J,3,FALSE),"")</x:f>
        <x:v>Saela</x:v>
      </x:c>
      <x:c r="E20" s="142" t="n">
        <x:f>IFERROR(VLOOKUP($B20,'Hack Database'!$A:$J,4,FALSE),"")</x:f>
        <x:v>21</x:v>
      </x:c>
      <x:c r="F20" s="143" t="str">
        <x:f>IFERROR(VLOOKUP($B20,'Hack Database'!$A:$J,5,FALSE),"")</x:f>
        <x:v>Expert</x:v>
      </x:c>
      <x:c r="G20" s="143" t="str">
        <x:f>IFERROR(VLOOKUP($B20,'Hack Database'!$A:$J,6,FALSE),"")</x:f>
        <x:v>Kaizo</x:v>
      </x:c>
      <x:c r="H20" s="144">
        <x:v>45635</x:v>
      </x:c>
      <x:c r="I20" s="144">
        <x:v>45636</x:v>
      </x:c>
      <x:c r="J20" s="145" t="s">
        <x:v>17</x:v>
      </x:c>
      <x:c r="K20" s="143" t="str">
        <x:f t="shared" si="0"/>
        <x:v>100% Complete</x:v>
      </x:c>
      <x:c r="L20" s="146"/>
      <x:c r="M20" s="147" t="s">
        <x:v>57</x:v>
      </x:c>
      <x:c r="N20" s="148" t="str">
        <x:f>IFERROR(HYPERLINK(VLOOKUP($B20,'Hack Database'!$A:$J,9,FALSE),"Open Page"),"")</x:f>
      </x:c>
      <x:c r="O20" s="148" t="str">
        <x:f>IFERROR(HYPERLINK(VLOOKUP($B20,'Hack Database'!$A:$J,10,FALSE),"Download"),"")</x:f>
      </x:c>
      <x:c r="P20" s="150"/>
    </x:row>
    <x:row r="21" ht="11" customHeight="1">
      <x:c r="A21" s="134" t="n">
        <x:f>IF(C21="","",COUNTIF($C$2:C21,"&lt;&gt;"))</x:f>
        <x:v>20</x:v>
      </x:c>
      <x:c r="B21" s="145" t="s">
        <x:v>58</x:v>
      </x:c>
      <x:c r="C21" s="143" t="str">
        <x:f>IFERROR(VLOOKUP($B21,'Hack Database'!$A:$J,2,FALSE),"")</x:f>
        <x:v>Super Joe Bros.</x:v>
      </x:c>
      <x:c r="D21" s="143" t="str">
        <x:f>IFERROR(VLOOKUP($B21,'Hack Database'!$A:$J,3,FALSE),"")</x:f>
        <x:v>Wolfguy423</x:v>
      </x:c>
      <x:c r="E21" s="142" t="n">
        <x:f>IFERROR(VLOOKUP($B21,'Hack Database'!$A:$J,4,FALSE),"")</x:f>
        <x:v>12</x:v>
      </x:c>
      <x:c r="F21" s="143" t="str">
        <x:f>IFERROR(VLOOKUP($B21,'Hack Database'!$A:$J,5,FALSE),"")</x:f>
        <x:v>Intermediate</x:v>
      </x:c>
      <x:c r="G21" s="143" t="str">
        <x:f>IFERROR(VLOOKUP($B21,'Hack Database'!$A:$J,6,FALSE),"")</x:f>
        <x:v>Kaizo</x:v>
      </x:c>
      <x:c r="H21" s="144">
        <x:v>45637</x:v>
      </x:c>
      <x:c r="I21" s="144">
        <x:v>45637</x:v>
      </x:c>
      <x:c r="J21" s="145" t="s">
        <x:v>17</x:v>
      </x:c>
      <x:c r="K21" s="143" t="str">
        <x:f t="shared" si="0"/>
        <x:v>100% Complete</x:v>
      </x:c>
      <x:c r="L21" s="146"/>
      <x:c r="M21" s="147" t="s">
        <x:v>59</x:v>
      </x:c>
      <x:c r="N21" s="148" t="str">
        <x:f>IFERROR(HYPERLINK(VLOOKUP($B21,'Hack Database'!$A:$J,9,FALSE),"Open Page"),"")</x:f>
      </x:c>
      <x:c r="O21" s="148" t="str">
        <x:f>IFERROR(HYPERLINK(VLOOKUP($B21,'Hack Database'!$A:$J,10,FALSE),"Download"),"")</x:f>
      </x:c>
      <x:c r="P21" s="150"/>
    </x:row>
    <x:row r="22" ht="11" customHeight="1">
      <x:c r="A22" s="134" t="n">
        <x:f>IF(C22="","",COUNTIF($C$2:C22,"&lt;&gt;"))</x:f>
        <x:v>21</x:v>
      </x:c>
      <x:c r="B22" s="145" t="s">
        <x:v>60</x:v>
      </x:c>
      <x:c r="C22" s="143" t="str">
        <x:f>IFERROR(VLOOKUP($B22,'Hack Database'!$A:$J,2,FALSE),"")</x:f>
        <x:v>Super Joe Bros. 2</x:v>
      </x:c>
      <x:c r="D22" s="143" t="str">
        <x:f>IFERROR(VLOOKUP($B22,'Hack Database'!$A:$J,3,FALSE),"")</x:f>
        <x:v>Wolfguy423</x:v>
      </x:c>
      <x:c r="E22" s="142" t="n">
        <x:f>IFERROR(VLOOKUP($B22,'Hack Database'!$A:$J,4,FALSE),"")</x:f>
        <x:v>21</x:v>
      </x:c>
      <x:c r="F22" s="143" t="str">
        <x:f>IFERROR(VLOOKUP($B22,'Hack Database'!$A:$J,5,FALSE),"")</x:f>
        <x:v>Advanced</x:v>
      </x:c>
      <x:c r="G22" s="143" t="str">
        <x:f>IFERROR(VLOOKUP($B22,'Hack Database'!$A:$J,6,FALSE),"")</x:f>
        <x:v>Kaizo</x:v>
      </x:c>
      <x:c r="H22" s="144">
        <x:v>45637</x:v>
      </x:c>
      <x:c r="I22" s="144">
        <x:v>45637</x:v>
      </x:c>
      <x:c r="J22" s="145" t="s">
        <x:v>17</x:v>
      </x:c>
      <x:c r="K22" s="143" t="str">
        <x:f t="shared" si="0"/>
        <x:v>100% Complete</x:v>
      </x:c>
      <x:c r="L22" s="146"/>
      <x:c r="M22" s="147" t="s">
        <x:v>61</x:v>
      </x:c>
      <x:c r="N22" s="148" t="str">
        <x:f>IFERROR(HYPERLINK(VLOOKUP($B22,'Hack Database'!$A:$J,9,FALSE),"Open Page"),"")</x:f>
      </x:c>
      <x:c r="O22" s="148" t="str">
        <x:f>IFERROR(HYPERLINK(VLOOKUP($B22,'Hack Database'!$A:$J,10,FALSE),"Download"),"")</x:f>
      </x:c>
      <x:c r="P22" s="150"/>
    </x:row>
    <x:row r="23" ht="11" customHeight="1">
      <x:c r="A23" s="134" t="n">
        <x:f>IF(C23="","",COUNTIF($C$2:C23,"&lt;&gt;"))</x:f>
        <x:v>22</x:v>
      </x:c>
      <x:c r="B23" s="145" t="s">
        <x:v>62</x:v>
      </x:c>
      <x:c r="C23" s="143" t="str">
        <x:f>IFERROR(VLOOKUP($B23,'Hack Database'!$A:$J,2,FALSE),"")</x:f>
        <x:v>Super Joe Bros 3</x:v>
      </x:c>
      <x:c r="D23" s="143" t="str">
        <x:f>IFERROR(VLOOKUP($B23,'Hack Database'!$A:$J,3,FALSE),"")</x:f>
        <x:v>NBSpider, Resnov23, The Voipah, Wolfguy423</x:v>
      </x:c>
      <x:c r="E23" s="142" t="n">
        <x:f>IFERROR(VLOOKUP($B23,'Hack Database'!$A:$J,4,FALSE),"")</x:f>
        <x:v>23</x:v>
      </x:c>
      <x:c r="F23" s="143" t="str">
        <x:f>IFERROR(VLOOKUP($B23,'Hack Database'!$A:$J,5,FALSE),"")</x:f>
        <x:v>Advanced</x:v>
      </x:c>
      <x:c r="G23" s="143" t="str">
        <x:f>IFERROR(VLOOKUP($B23,'Hack Database'!$A:$J,6,FALSE),"")</x:f>
        <x:v>Kaizo</x:v>
      </x:c>
      <x:c r="H23" s="144">
        <x:v>45637</x:v>
      </x:c>
      <x:c r="I23" s="144">
        <x:v>45637</x:v>
      </x:c>
      <x:c r="J23" s="145" t="s">
        <x:v>17</x:v>
      </x:c>
      <x:c r="K23" s="143" t="str">
        <x:f t="shared" si="0"/>
        <x:v>100% Complete</x:v>
      </x:c>
      <x:c r="L23" s="146"/>
      <x:c r="M23" s="147" t="s">
        <x:v>63</x:v>
      </x:c>
      <x:c r="N23" s="148" t="str">
        <x:f>IFERROR(HYPERLINK(VLOOKUP($B23,'Hack Database'!$A:$J,9,FALSE),"Open Page"),"")</x:f>
      </x:c>
      <x:c r="O23" s="148" t="str">
        <x:f>IFERROR(HYPERLINK(VLOOKUP($B23,'Hack Database'!$A:$J,10,FALSE),"Download"),"")</x:f>
      </x:c>
      <x:c r="P23" s="150"/>
    </x:row>
    <x:row r="24" ht="11" customHeight="1">
      <x:c r="A24" s="134" t="n">
        <x:f>IF(C24="","",COUNTIF($C$2:C24,"&lt;&gt;"))</x:f>
        <x:v>23</x:v>
      </x:c>
      <x:c r="B24" s="145" t="s">
        <x:v>64</x:v>
      </x:c>
      <x:c r="C24" s="143" t="str">
        <x:f>IFERROR(VLOOKUP($B24,'Hack Database'!$A:$J,2,FALSE),"")</x:f>
        <x:v>Newbie Kaizo World</x:v>
      </x:c>
      <x:c r="D24" s="143" t="str">
        <x:f>IFERROR(VLOOKUP($B24,'Hack Database'!$A:$J,3,FALSE),"")</x:f>
        <x:v>Azula16</x:v>
      </x:c>
      <x:c r="E24" s="142" t="n">
        <x:f>IFERROR(VLOOKUP($B24,'Hack Database'!$A:$J,4,FALSE),"")</x:f>
        <x:v>11</x:v>
      </x:c>
      <x:c r="F24" s="143" t="str">
        <x:f>IFERROR(VLOOKUP($B24,'Hack Database'!$A:$J,5,FALSE),"")</x:f>
        <x:v>Advanced</x:v>
      </x:c>
      <x:c r="G24" s="143" t="str">
        <x:f>IFERROR(VLOOKUP($B24,'Hack Database'!$A:$J,6,FALSE),"")</x:f>
        <x:v>Kaizo</x:v>
      </x:c>
      <x:c r="H24" s="144">
        <x:v>45638</x:v>
      </x:c>
      <x:c r="I24" s="144">
        <x:v>45638</x:v>
      </x:c>
      <x:c r="J24" s="145" t="s">
        <x:v>17</x:v>
      </x:c>
      <x:c r="K24" s="143" t="str">
        <x:f t="shared" si="0"/>
        <x:v>100% Complete</x:v>
      </x:c>
      <x:c r="L24" s="146"/>
      <x:c r="M24" s="147" t="s">
        <x:v>65</x:v>
      </x:c>
      <x:c r="N24" s="148" t="str">
        <x:f>IFERROR(HYPERLINK(VLOOKUP($B24,'Hack Database'!$A:$J,9,FALSE),"Open Page"),"")</x:f>
      </x:c>
      <x:c r="O24" s="148" t="str">
        <x:f>IFERROR(HYPERLINK(VLOOKUP($B24,'Hack Database'!$A:$J,10,FALSE),"Download"),"")</x:f>
      </x:c>
      <x:c r="P24" s="150"/>
    </x:row>
    <x:row r="25" ht="23" customHeight="1">
      <x:c r="A25" s="134" t="n">
        <x:f>IF(C25="","",COUNTIF($C$2:C25,"&lt;&gt;"))</x:f>
        <x:v>24</x:v>
      </x:c>
      <x:c r="B25" s="145" t="s">
        <x:v>66</x:v>
      </x:c>
      <x:c r="C25" s="143" t="str">
        <x:f>IFERROR(VLOOKUP($B25,'Hack Database'!$A:$J,2,FALSE),"")</x:f>
        <x:v>Grand Poo World 3</x:v>
      </x:c>
      <x:c r="D25" s="143" t="str">
        <x:f>IFERROR(VLOOKUP($B25,'Hack Database'!$A:$J,3,FALSE),"")</x:f>
        <x:v>Barbarian</x:v>
      </x:c>
      <x:c r="E25" s="142" t="n">
        <x:f>IFERROR(VLOOKUP($B25,'Hack Database'!$A:$J,4,FALSE),"")</x:f>
        <x:v>41</x:v>
      </x:c>
      <x:c r="F25" s="143" t="str">
        <x:f>IFERROR(VLOOKUP($B25,'Hack Database'!$A:$J,5,FALSE),"")</x:f>
        <x:v>Unranked</x:v>
      </x:c>
      <x:c r="G25" s="143" t="str">
        <x:f>IFERROR(VLOOKUP($B25,'Hack Database'!$A:$J,6,FALSE),"")</x:f>
        <x:v>Kaizo</x:v>
      </x:c>
      <x:c r="H25" s="144">
        <x:v>46042</x:v>
      </x:c>
      <x:c r="I25" s="144">
        <x:v>46198</x:v>
      </x:c>
      <x:c r="J25" s="145" t="s">
        <x:v>17</x:v>
      </x:c>
      <x:c r="K25" s="143" t="str">
        <x:f t="shared" si="0"/>
        <x:v>100% Complete</x:v>
      </x:c>
      <x:c r="L25" s="146"/>
      <x:c r="M25" s="147" t="s">
        <x:v>67</x:v>
      </x:c>
      <x:c r="N25" s="148" t="str">
        <x:f>IFERROR(HYPERLINK(VLOOKUP($B25,'Hack Database'!$A:$J,9,FALSE),"Open Page"),"")</x:f>
      </x:c>
      <x:c r="O25" s="148" t="str">
        <x:f>IFERROR(HYPERLINK(VLOOKUP($B25,'Hack Database'!$A:$J,10,FALSE),"Download"),"")</x:f>
      </x:c>
      <x:c r="P25" s="150" t="s">
        <x:v>68</x:v>
      </x:c>
    </x:row>
    <x:row r="26" ht="15" customHeight="1">
      <x:c r="A26" s="134" t="n">
        <x:f>IF(C26="","",COUNTIF($C$2:C26,"&lt;&gt;"))</x:f>
        <x:v>25</x:v>
      </x:c>
      <x:c r="B26" s="145" t="s">
        <x:v>69</x:v>
      </x:c>
      <x:c r="C26" s="143" t="str">
        <x:f>IFERROR(VLOOKUP($B26,'Hack Database'!$A:$J,2,FALSE),"")</x:f>
        <x:v>Grand Poo World</x:v>
      </x:c>
      <x:c r="D26" s="143" t="str">
        <x:f>IFERROR(VLOOKUP($B26,'Hack Database'!$A:$J,3,FALSE),"")</x:f>
        <x:v>Barbarian</x:v>
      </x:c>
      <x:c r="E26" s="142" t="n">
        <x:f>IFERROR(VLOOKUP($B26,'Hack Database'!$A:$J,4,FALSE),"")</x:f>
        <x:v>21</x:v>
      </x:c>
      <x:c r="F26" s="143" t="str">
        <x:f>IFERROR(VLOOKUP($B26,'Hack Database'!$A:$J,5,FALSE),"")</x:f>
        <x:v>Master</x:v>
      </x:c>
      <x:c r="G26" s="143" t="str">
        <x:f>IFERROR(VLOOKUP($B26,'Hack Database'!$A:$J,6,FALSE),"")</x:f>
        <x:v>Kaizo</x:v>
      </x:c>
      <x:c r="H26" s="144">
        <x:v>45640</x:v>
      </x:c>
      <x:c r="I26" s="144">
        <x:v>45646</x:v>
      </x:c>
      <x:c r="J26" s="145" t="s">
        <x:v>17</x:v>
      </x:c>
      <x:c r="K26" s="143" t="str">
        <x:f t="shared" si="0"/>
        <x:v>100% Complete</x:v>
      </x:c>
      <x:c r="L26" s="146"/>
      <x:c r="M26" s="147" t="s">
        <x:v>70</x:v>
      </x:c>
      <x:c r="N26" s="148" t="str">
        <x:f>IFERROR(HYPERLINK(VLOOKUP($B26,'Hack Database'!$A:$J,9,FALSE),"Open Page"),"")</x:f>
      </x:c>
      <x:c r="O26" s="148" t="str">
        <x:f>IFERROR(HYPERLINK(VLOOKUP($B26,'Hack Database'!$A:$J,10,FALSE),"Download"),"")</x:f>
      </x:c>
      <x:c r="P26" s="150" t="s">
        <x:v>71</x:v>
      </x:c>
    </x:row>
    <x:row r="27" ht="11" customHeight="1">
      <x:c r="A27" s="134" t="n">
        <x:f>IF(C27="","",COUNTIF($C$2:C27,"&lt;&gt;"))</x:f>
        <x:v>26</x:v>
      </x:c>
      <x:c r="B27" s="145" t="s">
        <x:v>72</x:v>
      </x:c>
      <x:c r="C27" s="143" t="str">
        <x:f>IFERROR(VLOOKUP($B27,'Hack Database'!$A:$J,2,FALSE),"")</x:f>
        <x:v>Obstinate</x:v>
      </x:c>
      <x:c r="D27" s="143" t="str">
        <x:f>IFERROR(VLOOKUP($B27,'Hack Database'!$A:$J,3,FALSE),"")</x:f>
        <x:v>drkrdnk</x:v>
      </x:c>
      <x:c r="E27" s="142" t="n">
        <x:f>IFERROR(VLOOKUP($B27,'Hack Database'!$A:$J,4,FALSE),"")</x:f>
        <x:v>14</x:v>
      </x:c>
      <x:c r="F27" s="143" t="str">
        <x:f>IFERROR(VLOOKUP($B27,'Hack Database'!$A:$J,5,FALSE),"")</x:f>
        <x:v>Expert</x:v>
      </x:c>
      <x:c r="G27" s="143" t="str">
        <x:f>IFERROR(VLOOKUP($B27,'Hack Database'!$A:$J,6,FALSE),"")</x:f>
        <x:v>Kaizo</x:v>
      </x:c>
      <x:c r="H27" s="144">
        <x:v>46030</x:v>
      </x:c>
      <x:c r="I27" s="144">
        <x:v>46032</x:v>
      </x:c>
      <x:c r="J27" s="145" t="s">
        <x:v>17</x:v>
      </x:c>
      <x:c r="K27" s="143" t="str">
        <x:f t="shared" si="0"/>
        <x:v>100% Complete</x:v>
      </x:c>
      <x:c r="L27" s="146"/>
      <x:c r="M27" s="147" t="s">
        <x:v>73</x:v>
      </x:c>
      <x:c r="N27" s="148" t="str">
        <x:f>IFERROR(HYPERLINK(VLOOKUP($B27,'Hack Database'!$A:$J,9,FALSE),"Open Page"),"")</x:f>
      </x:c>
      <x:c r="O27" s="148" t="str">
        <x:f>IFERROR(HYPERLINK(VLOOKUP($B27,'Hack Database'!$A:$J,10,FALSE),"Download"),"")</x:f>
      </x:c>
      <x:c r="P27" s="150"/>
    </x:row>
    <x:row r="28" ht="11" customHeight="1">
      <x:c r="A28" s="134" t="n">
        <x:f>IF(C28="","",COUNTIF($C$2:C28,"&lt;&gt;"))</x:f>
        <x:v>27</x:v>
      </x:c>
      <x:c r="B28" s="145" t="s">
        <x:v>74</x:v>
      </x:c>
      <x:c r="C28" s="143" t="str">
        <x:f>IFERROR(VLOOKUP($B28,'Hack Database'!$A:$J,2,FALSE),"")</x:f>
        <x:v>Luminescent</x:v>
      </x:c>
      <x:c r="D28" s="143" t="str">
        <x:f>IFERROR(VLOOKUP($B28,'Hack Database'!$A:$J,3,FALSE),"")</x:f>
        <x:v>TheBourgyman</x:v>
      </x:c>
      <x:c r="E28" s="142" t="n">
        <x:f>IFERROR(VLOOKUP($B28,'Hack Database'!$A:$J,4,FALSE),"")</x:f>
        <x:v>16</x:v>
      </x:c>
      <x:c r="F28" s="143" t="str">
        <x:f>IFERROR(VLOOKUP($B28,'Hack Database'!$A:$J,5,FALSE),"")</x:f>
        <x:v>Expert</x:v>
      </x:c>
      <x:c r="G28" s="143" t="str">
        <x:f>IFERROR(VLOOKUP($B28,'Hack Database'!$A:$J,6,FALSE),"")</x:f>
        <x:v>Kaizo</x:v>
      </x:c>
      <x:c r="H28" s="144">
        <x:v>46213</x:v>
      </x:c>
      <x:c r="I28" s="144">
        <x:v>46215</x:v>
      </x:c>
      <x:c r="J28" s="145" t="s">
        <x:v>17</x:v>
      </x:c>
      <x:c r="K28" s="143" t="str">
        <x:f t="shared" si="0"/>
        <x:v>100% Complete</x:v>
      </x:c>
      <x:c r="L28" s="146"/>
      <x:c r="M28" s="147" t="s">
        <x:v>75</x:v>
      </x:c>
      <x:c r="N28" s="148" t="str">
        <x:f>IFERROR(HYPERLINK(VLOOKUP($B28,'Hack Database'!$A:$J,9,FALSE),"Open Page"),"")</x:f>
      </x:c>
      <x:c r="O28" s="148" t="str">
        <x:f>IFERROR(HYPERLINK(VLOOKUP($B28,'Hack Database'!$A:$J,10,FALSE),"Download"),"")</x:f>
      </x:c>
      <x:c r="P28" s="150"/>
    </x:row>
    <x:row r="29" ht="11" customHeight="1">
      <x:c r="A29" s="134" t="n">
        <x:f>IF(C29="","",COUNTIF($C$2:C29,"&lt;&gt;"))</x:f>
        <x:v>28</x:v>
      </x:c>
      <x:c r="B29" s="145" t="s">
        <x:v>76</x:v>
      </x:c>
      <x:c r="C29" s="143" t="str">
        <x:f>IFERROR(VLOOKUP($B29,'Hack Database'!$A:$J,2,FALSE),"")</x:f>
        <x:v>Staycation</x:v>
      </x:c>
      <x:c r="D29" s="143" t="str">
        <x:f>IFERROR(VLOOKUP($B29,'Hack Database'!$A:$J,3,FALSE),"")</x:f>
        <x:v>HousemeisterHD</x:v>
      </x:c>
      <x:c r="E29" s="142" t="n">
        <x:f>IFERROR(VLOOKUP($B29,'Hack Database'!$A:$J,4,FALSE),"")</x:f>
        <x:v>22</x:v>
      </x:c>
      <x:c r="F29" s="143" t="str">
        <x:f>IFERROR(VLOOKUP($B29,'Hack Database'!$A:$J,5,FALSE),"")</x:f>
        <x:v>Expert</x:v>
      </x:c>
      <x:c r="G29" s="143" t="str">
        <x:f>IFERROR(VLOOKUP($B29,'Hack Database'!$A:$J,6,FALSE),"")</x:f>
        <x:v>Kaizo</x:v>
      </x:c>
      <x:c r="H29" s="144">
        <x:v>46220</x:v>
      </x:c>
      <x:c r="I29" s="144">
        <x:v>46223</x:v>
      </x:c>
      <x:c r="J29" s="145" t="s">
        <x:v>17</x:v>
      </x:c>
      <x:c r="K29" s="143" t="str">
        <x:f t="shared" si="0"/>
        <x:v>100% Complete</x:v>
      </x:c>
      <x:c r="L29" s="146"/>
      <x:c r="M29" s="147" t="s">
        <x:v>77</x:v>
      </x:c>
      <x:c r="N29" s="148" t="str">
        <x:f>IFERROR(HYPERLINK(VLOOKUP($B29,'Hack Database'!$A:$J,9,FALSE),"Open Page"),"")</x:f>
      </x:c>
      <x:c r="O29" s="148" t="str">
        <x:f>IFERROR(HYPERLINK(VLOOKUP($B29,'Hack Database'!$A:$J,10,FALSE),"Download"),"")</x:f>
      </x:c>
      <x:c r="P29" s="150"/>
    </x:row>
    <x:row r="30" ht="11" customHeight="1">
      <x:c r="A30" s="134" t="str">
        <x:f>IF(C30="","",COUNTIF($C$2:C30,"&lt;&gt;"))</x:f>
      </x:c>
      <x:c r="B30" s="129"/>
      <x:c r="C30" s="127" t="str">
        <x:f>IFERROR(VLOOKUP($B30,'Hack Database'!$A:$J,2,FALSE),"")</x:f>
      </x:c>
      <x:c r="D30" s="127" t="str">
        <x:f>IFERROR(VLOOKUP($B30,'Hack Database'!$A:$J,3,FALSE),"")</x:f>
      </x:c>
      <x:c r="E30" s="126" t="str">
        <x:f>IFERROR(VLOOKUP($B30,'Hack Database'!$A:$J,4,FALSE),"")</x:f>
      </x:c>
      <x:c r="F30" s="127" t="str">
        <x:f>IFERROR(VLOOKUP($B30,'Hack Database'!$A:$J,5,FALSE),"")</x:f>
      </x:c>
      <x:c r="G30" s="127" t="str">
        <x:f>IFERROR(VLOOKUP($B30,'Hack Database'!$A:$J,6,FALSE),"")</x:f>
      </x:c>
      <x:c r="H30" s="128"/>
      <x:c r="I30" s="128"/>
      <x:c r="J30" s="129"/>
      <x:c r="K30" s="127" t="str">
        <x:f t="shared" si="0"/>
      </x:c>
      <x:c r="L30" s="130"/>
      <x:c r="M30" s="131"/>
      <x:c r="N30" s="132" t="str">
        <x:f>IFERROR(HYPERLINK(VLOOKUP($B30,'Hack Database'!$A:$J,9,FALSE),"Open Page"),"")</x:f>
      </x:c>
      <x:c r="O30" s="132" t="str">
        <x:f>IFERROR(HYPERLINK(VLOOKUP($B30,'Hack Database'!$A:$J,10,FALSE),"Download"),"")</x:f>
      </x:c>
      <x:c r="P30" s="151"/>
    </x:row>
    <x:row r="31" ht="11" customHeight="1">
      <x:c r="A31" s="134" t="str">
        <x:f>IF(C31="","",COUNTIF($C$2:C31,"&lt;&gt;"))</x:f>
      </x:c>
      <x:c r="B31" s="4"/>
      <x:c r="C31" s="3" t="str">
        <x:f>IFERROR(VLOOKUP($B31,'Hack Database'!$A:$J,2,FALSE),"")</x:f>
      </x:c>
      <x:c r="D31" s="3" t="str">
        <x:f>IFERROR(VLOOKUP($B31,'Hack Database'!$A:$J,3,FALSE),"")</x:f>
      </x:c>
      <x:c r="E31" s="7" t="str">
        <x:f>IFERROR(VLOOKUP($B31,'Hack Database'!$A:$J,4,FALSE),"")</x:f>
      </x:c>
      <x:c r="F31" s="3" t="str">
        <x:f>IFERROR(VLOOKUP($B31,'Hack Database'!$A:$J,5,FALSE),"")</x:f>
      </x:c>
      <x:c r="G31" s="3" t="str">
        <x:f>IFERROR(VLOOKUP($B31,'Hack Database'!$A:$J,6,FALSE),"")</x:f>
      </x:c>
      <x:c r="H31" s="6"/>
      <x:c r="I31" s="6"/>
      <x:c r="J31" s="4"/>
      <x:c r="K31" s="3" t="str">
        <x:f t="shared" si="0"/>
      </x:c>
      <x:c r="L31" s="8"/>
      <x:c r="M31" s="5"/>
      <x:c r="N31" s="9" t="str">
        <x:f>IFERROR(HYPERLINK(VLOOKUP($B31,'Hack Database'!$A:$J,9,FALSE),"Open Page"),"")</x:f>
      </x:c>
      <x:c r="O31" s="9" t="str">
        <x:f>IFERROR(HYPERLINK(VLOOKUP($B31,'Hack Database'!$A:$J,10,FALSE),"Download"),"")</x:f>
      </x:c>
      <x:c r="P31" s="152"/>
    </x:row>
    <x:row r="32" ht="11" customHeight="1">
      <x:c r="A32" s="134" t="str">
        <x:f>IF(C32="","",COUNTIF($C$2:C32,"&lt;&gt;"))</x:f>
      </x:c>
      <x:c r="B32" s="4"/>
      <x:c r="C32" s="3" t="str">
        <x:f>IFERROR(VLOOKUP($B32,'Hack Database'!$A:$J,2,FALSE),"")</x:f>
      </x:c>
      <x:c r="D32" s="3" t="str">
        <x:f>IFERROR(VLOOKUP($B32,'Hack Database'!$A:$J,3,FALSE),"")</x:f>
      </x:c>
      <x:c r="E32" s="7" t="str">
        <x:f>IFERROR(VLOOKUP($B32,'Hack Database'!$A:$J,4,FALSE),"")</x:f>
      </x:c>
      <x:c r="F32" s="3" t="str">
        <x:f>IFERROR(VLOOKUP($B32,'Hack Database'!$A:$J,5,FALSE),"")</x:f>
      </x:c>
      <x:c r="G32" s="3" t="str">
        <x:f>IFERROR(VLOOKUP($B32,'Hack Database'!$A:$J,6,FALSE),"")</x:f>
      </x:c>
      <x:c r="H32" s="6"/>
      <x:c r="I32" s="6"/>
      <x:c r="J32" s="4"/>
      <x:c r="K32" s="3" t="str">
        <x:f t="shared" si="0"/>
      </x:c>
      <x:c r="L32" s="8"/>
      <x:c r="M32" s="5"/>
      <x:c r="N32" s="9" t="str">
        <x:f>IFERROR(HYPERLINK(VLOOKUP($B32,'Hack Database'!$A:$J,9,FALSE),"Open Page"),"")</x:f>
      </x:c>
      <x:c r="O32" s="9" t="str">
        <x:f>IFERROR(HYPERLINK(VLOOKUP($B32,'Hack Database'!$A:$J,10,FALSE),"Download"),"")</x:f>
      </x:c>
      <x:c r="P32" s="152"/>
    </x:row>
    <x:row r="33" ht="11" customHeight="1">
      <x:c r="A33" s="134" t="str">
        <x:f>IF(C33="","",COUNTIF($C$2:C33,"&lt;&gt;"))</x:f>
      </x:c>
      <x:c r="B33" s="4"/>
      <x:c r="C33" s="3" t="str">
        <x:f>IFERROR(VLOOKUP($B33,'Hack Database'!$A:$J,2,FALSE),"")</x:f>
      </x:c>
      <x:c r="D33" s="3" t="str">
        <x:f>IFERROR(VLOOKUP($B33,'Hack Database'!$A:$J,3,FALSE),"")</x:f>
      </x:c>
      <x:c r="E33" s="7" t="str">
        <x:f>IFERROR(VLOOKUP($B33,'Hack Database'!$A:$J,4,FALSE),"")</x:f>
      </x:c>
      <x:c r="F33" s="3" t="str">
        <x:f>IFERROR(VLOOKUP($B33,'Hack Database'!$A:$J,5,FALSE),"")</x:f>
      </x:c>
      <x:c r="G33" s="3" t="str">
        <x:f>IFERROR(VLOOKUP($B33,'Hack Database'!$A:$J,6,FALSE),"")</x:f>
      </x:c>
      <x:c r="H33" s="6"/>
      <x:c r="I33" s="6"/>
      <x:c r="J33" s="4"/>
      <x:c r="K33" s="3" t="str">
        <x:f t="shared" si="0"/>
      </x:c>
      <x:c r="L33" s="8"/>
      <x:c r="M33" s="5"/>
      <x:c r="N33" s="9" t="str">
        <x:f>IFERROR(HYPERLINK(VLOOKUP($B33,'Hack Database'!$A:$J,9,FALSE),"Open Page"),"")</x:f>
      </x:c>
      <x:c r="O33" s="9" t="str">
        <x:f>IFERROR(HYPERLINK(VLOOKUP($B33,'Hack Database'!$A:$J,10,FALSE),"Download"),"")</x:f>
      </x:c>
      <x:c r="P33" s="152"/>
    </x:row>
    <x:row r="34" ht="11" customHeight="1">
      <x:c r="A34" s="134" t="str">
        <x:f>IF(C34="","",COUNTIF($C$2:C34,"&lt;&gt;"))</x:f>
      </x:c>
      <x:c r="B34" s="4"/>
      <x:c r="C34" s="3" t="str">
        <x:f>IFERROR(VLOOKUP($B34,'Hack Database'!$A:$J,2,FALSE),"")</x:f>
      </x:c>
      <x:c r="D34" s="3" t="str">
        <x:f>IFERROR(VLOOKUP($B34,'Hack Database'!$A:$J,3,FALSE),"")</x:f>
      </x:c>
      <x:c r="E34" s="7" t="str">
        <x:f>IFERROR(VLOOKUP($B34,'Hack Database'!$A:$J,4,FALSE),"")</x:f>
      </x:c>
      <x:c r="F34" s="3" t="str">
        <x:f>IFERROR(VLOOKUP($B34,'Hack Database'!$A:$J,5,FALSE),"")</x:f>
      </x:c>
      <x:c r="G34" s="3" t="str">
        <x:f>IFERROR(VLOOKUP($B34,'Hack Database'!$A:$J,6,FALSE),"")</x:f>
      </x:c>
      <x:c r="H34" s="6"/>
      <x:c r="I34" s="6"/>
      <x:c r="J34" s="4"/>
      <x:c r="K34" s="3" t="str">
        <x:f t="shared" si="0"/>
      </x:c>
      <x:c r="L34" s="8"/>
      <x:c r="M34" s="5"/>
      <x:c r="N34" s="9" t="str">
        <x:f>IFERROR(HYPERLINK(VLOOKUP($B34,'Hack Database'!$A:$J,9,FALSE),"Open Page"),"")</x:f>
      </x:c>
      <x:c r="O34" s="9" t="str">
        <x:f>IFERROR(HYPERLINK(VLOOKUP($B34,'Hack Database'!$A:$J,10,FALSE),"Download"),"")</x:f>
      </x:c>
      <x:c r="P34" s="152"/>
    </x:row>
    <x:row r="35" ht="11" customHeight="1">
      <x:c r="A35" s="134" t="str">
        <x:f>IF(C35="","",COUNTIF($C$2:C35,"&lt;&gt;"))</x:f>
      </x:c>
      <x:c r="B35" s="4"/>
      <x:c r="C35" s="3" t="str">
        <x:f>IFERROR(VLOOKUP($B35,'Hack Database'!$A:$J,2,FALSE),"")</x:f>
      </x:c>
      <x:c r="D35" s="3" t="str">
        <x:f>IFERROR(VLOOKUP($B35,'Hack Database'!$A:$J,3,FALSE),"")</x:f>
      </x:c>
      <x:c r="E35" s="7" t="str">
        <x:f>IFERROR(VLOOKUP($B35,'Hack Database'!$A:$J,4,FALSE),"")</x:f>
      </x:c>
      <x:c r="F35" s="3" t="str">
        <x:f>IFERROR(VLOOKUP($B35,'Hack Database'!$A:$J,5,FALSE),"")</x:f>
      </x:c>
      <x:c r="G35" s="3" t="str">
        <x:f>IFERROR(VLOOKUP($B35,'Hack Database'!$A:$J,6,FALSE),"")</x:f>
      </x:c>
      <x:c r="H35" s="6"/>
      <x:c r="I35" s="6"/>
      <x:c r="J35" s="4"/>
      <x:c r="K35" s="3" t="str">
        <x:f t="shared" si="0"/>
      </x:c>
      <x:c r="L35" s="8"/>
      <x:c r="M35" s="5"/>
      <x:c r="N35" s="9" t="str">
        <x:f>IFERROR(HYPERLINK(VLOOKUP($B35,'Hack Database'!$A:$J,9,FALSE),"Open Page"),"")</x:f>
      </x:c>
      <x:c r="O35" s="9" t="str">
        <x:f>IFERROR(HYPERLINK(VLOOKUP($B35,'Hack Database'!$A:$J,10,FALSE),"Download"),"")</x:f>
      </x:c>
      <x:c r="P35" s="152"/>
    </x:row>
    <x:row r="36" ht="11" customHeight="1">
      <x:c r="A36" s="134" t="str">
        <x:f>IF(C36="","",COUNTIF($C$2:C36,"&lt;&gt;"))</x:f>
      </x:c>
      <x:c r="B36" s="4"/>
      <x:c r="C36" s="3" t="str">
        <x:f>IFERROR(VLOOKUP($B36,'Hack Database'!$A:$J,2,FALSE),"")</x:f>
      </x:c>
      <x:c r="D36" s="3" t="str">
        <x:f>IFERROR(VLOOKUP($B36,'Hack Database'!$A:$J,3,FALSE),"")</x:f>
      </x:c>
      <x:c r="E36" s="7" t="str">
        <x:f>IFERROR(VLOOKUP($B36,'Hack Database'!$A:$J,4,FALSE),"")</x:f>
      </x:c>
      <x:c r="F36" s="3" t="str">
        <x:f>IFERROR(VLOOKUP($B36,'Hack Database'!$A:$J,5,FALSE),"")</x:f>
      </x:c>
      <x:c r="G36" s="3" t="str">
        <x:f>IFERROR(VLOOKUP($B36,'Hack Database'!$A:$J,6,FALSE),"")</x:f>
      </x:c>
      <x:c r="H36" s="6"/>
      <x:c r="I36" s="6"/>
      <x:c r="J36" s="4"/>
      <x:c r="K36" s="3" t="str">
        <x:f t="shared" si="0"/>
      </x:c>
      <x:c r="L36" s="8"/>
      <x:c r="M36" s="5"/>
      <x:c r="N36" s="9" t="str">
        <x:f>IFERROR(HYPERLINK(VLOOKUP($B36,'Hack Database'!$A:$J,9,FALSE),"Open Page"),"")</x:f>
      </x:c>
      <x:c r="O36" s="9" t="str">
        <x:f>IFERROR(HYPERLINK(VLOOKUP($B36,'Hack Database'!$A:$J,10,FALSE),"Download"),"")</x:f>
      </x:c>
      <x:c r="P36" s="152"/>
    </x:row>
    <x:row r="37" ht="11" customHeight="1">
      <x:c r="A37" s="134" t="str">
        <x:f>IF(C37="","",COUNTIF($C$2:C37,"&lt;&gt;"))</x:f>
      </x:c>
      <x:c r="B37" s="4"/>
      <x:c r="C37" s="3" t="str">
        <x:f>IFERROR(VLOOKUP($B37,'Hack Database'!$A:$J,2,FALSE),"")</x:f>
      </x:c>
      <x:c r="D37" s="3" t="str">
        <x:f>IFERROR(VLOOKUP($B37,'Hack Database'!$A:$J,3,FALSE),"")</x:f>
      </x:c>
      <x:c r="E37" s="7" t="str">
        <x:f>IFERROR(VLOOKUP($B37,'Hack Database'!$A:$J,4,FALSE),"")</x:f>
      </x:c>
      <x:c r="F37" s="3" t="str">
        <x:f>IFERROR(VLOOKUP($B37,'Hack Database'!$A:$J,5,FALSE),"")</x:f>
      </x:c>
      <x:c r="G37" s="3" t="str">
        <x:f>IFERROR(VLOOKUP($B37,'Hack Database'!$A:$J,6,FALSE),"")</x:f>
      </x:c>
      <x:c r="H37" s="6"/>
      <x:c r="I37" s="6"/>
      <x:c r="J37" s="4"/>
      <x:c r="K37" s="3" t="str">
        <x:f t="shared" si="0"/>
      </x:c>
      <x:c r="L37" s="8"/>
      <x:c r="M37" s="5"/>
      <x:c r="N37" s="9" t="str">
        <x:f>IFERROR(HYPERLINK(VLOOKUP($B37,'Hack Database'!$A:$J,9,FALSE),"Open Page"),"")</x:f>
      </x:c>
      <x:c r="O37" s="9" t="str">
        <x:f>IFERROR(HYPERLINK(VLOOKUP($B37,'Hack Database'!$A:$J,10,FALSE),"Download"),"")</x:f>
      </x:c>
      <x:c r="P37" s="152"/>
    </x:row>
    <x:row r="38" ht="11" customHeight="1">
      <x:c r="A38" s="134" t="str">
        <x:f>IF(C38="","",COUNTIF($C$2:C38,"&lt;&gt;"))</x:f>
      </x:c>
      <x:c r="B38" s="4"/>
      <x:c r="C38" s="3" t="str">
        <x:f>IFERROR(VLOOKUP($B38,'Hack Database'!$A:$J,2,FALSE),"")</x:f>
      </x:c>
      <x:c r="D38" s="3" t="str">
        <x:f>IFERROR(VLOOKUP($B38,'Hack Database'!$A:$J,3,FALSE),"")</x:f>
      </x:c>
      <x:c r="E38" s="7" t="str">
        <x:f>IFERROR(VLOOKUP($B38,'Hack Database'!$A:$J,4,FALSE),"")</x:f>
      </x:c>
      <x:c r="F38" s="3" t="str">
        <x:f>IFERROR(VLOOKUP($B38,'Hack Database'!$A:$J,5,FALSE),"")</x:f>
      </x:c>
      <x:c r="G38" s="3" t="str">
        <x:f>IFERROR(VLOOKUP($B38,'Hack Database'!$A:$J,6,FALSE),"")</x:f>
      </x:c>
      <x:c r="H38" s="6"/>
      <x:c r="I38" s="6"/>
      <x:c r="J38" s="4"/>
      <x:c r="K38" s="3" t="str">
        <x:f t="shared" si="0"/>
      </x:c>
      <x:c r="L38" s="8"/>
      <x:c r="M38" s="5"/>
      <x:c r="N38" s="9" t="str">
        <x:f>IFERROR(HYPERLINK(VLOOKUP($B38,'Hack Database'!$A:$J,9,FALSE),"Open Page"),"")</x:f>
      </x:c>
      <x:c r="O38" s="9" t="str">
        <x:f>IFERROR(HYPERLINK(VLOOKUP($B38,'Hack Database'!$A:$J,10,FALSE),"Download"),"")</x:f>
      </x:c>
      <x:c r="P38" s="152"/>
    </x:row>
    <x:row r="39" ht="11" customHeight="1">
      <x:c r="A39" s="134" t="str">
        <x:f>IF(C39="","",COUNTIF($C$2:C39,"&lt;&gt;"))</x:f>
      </x:c>
      <x:c r="B39" s="4"/>
      <x:c r="C39" s="3" t="str">
        <x:f>IFERROR(VLOOKUP($B39,'Hack Database'!$A:$J,2,FALSE),"")</x:f>
      </x:c>
      <x:c r="D39" s="3" t="str">
        <x:f>IFERROR(VLOOKUP($B39,'Hack Database'!$A:$J,3,FALSE),"")</x:f>
      </x:c>
      <x:c r="E39" s="7" t="str">
        <x:f>IFERROR(VLOOKUP($B39,'Hack Database'!$A:$J,4,FALSE),"")</x:f>
      </x:c>
      <x:c r="F39" s="3" t="str">
        <x:f>IFERROR(VLOOKUP($B39,'Hack Database'!$A:$J,5,FALSE),"")</x:f>
      </x:c>
      <x:c r="G39" s="3" t="str">
        <x:f>IFERROR(VLOOKUP($B39,'Hack Database'!$A:$J,6,FALSE),"")</x:f>
      </x:c>
      <x:c r="H39" s="6"/>
      <x:c r="I39" s="6"/>
      <x:c r="J39" s="4"/>
      <x:c r="K39" s="3" t="str">
        <x:f t="shared" si="0"/>
      </x:c>
      <x:c r="L39" s="8"/>
      <x:c r="M39" s="5"/>
      <x:c r="N39" s="9" t="str">
        <x:f>IFERROR(HYPERLINK(VLOOKUP($B39,'Hack Database'!$A:$J,9,FALSE),"Open Page"),"")</x:f>
      </x:c>
      <x:c r="O39" s="9" t="str">
        <x:f>IFERROR(HYPERLINK(VLOOKUP($B39,'Hack Database'!$A:$J,10,FALSE),"Download"),"")</x:f>
      </x:c>
      <x:c r="P39" s="152"/>
    </x:row>
    <x:row r="40" ht="11" customHeight="1">
      <x:c r="A40" s="134" t="str">
        <x:f>IF(C40="","",COUNTIF($C$2:C40,"&lt;&gt;"))</x:f>
      </x:c>
      <x:c r="B40" s="4"/>
      <x:c r="C40" s="3" t="str">
        <x:f>IFERROR(VLOOKUP($B40,'Hack Database'!$A:$J,2,FALSE),"")</x:f>
      </x:c>
      <x:c r="D40" s="3" t="str">
        <x:f>IFERROR(VLOOKUP($B40,'Hack Database'!$A:$J,3,FALSE),"")</x:f>
      </x:c>
      <x:c r="E40" s="7" t="str">
        <x:f>IFERROR(VLOOKUP($B40,'Hack Database'!$A:$J,4,FALSE),"")</x:f>
      </x:c>
      <x:c r="F40" s="3" t="str">
        <x:f>IFERROR(VLOOKUP($B40,'Hack Database'!$A:$J,5,FALSE),"")</x:f>
      </x:c>
      <x:c r="G40" s="3" t="str">
        <x:f>IFERROR(VLOOKUP($B40,'Hack Database'!$A:$J,6,FALSE),"")</x:f>
      </x:c>
      <x:c r="H40" s="6"/>
      <x:c r="I40" s="6"/>
      <x:c r="J40" s="4"/>
      <x:c r="K40" s="3" t="str">
        <x:f t="shared" si="0"/>
      </x:c>
      <x:c r="L40" s="8"/>
      <x:c r="M40" s="5"/>
      <x:c r="N40" s="9" t="str">
        <x:f>IFERROR(HYPERLINK(VLOOKUP($B40,'Hack Database'!$A:$J,9,FALSE),"Open Page"),"")</x:f>
      </x:c>
      <x:c r="O40" s="9" t="str">
        <x:f>IFERROR(HYPERLINK(VLOOKUP($B40,'Hack Database'!$A:$J,10,FALSE),"Download"),"")</x:f>
      </x:c>
      <x:c r="P40" s="152"/>
    </x:row>
    <x:row r="41" ht="11" customHeight="1">
      <x:c r="A41" s="134" t="str">
        <x:f>IF(C41="","",COUNTIF($C$2:C41,"&lt;&gt;"))</x:f>
      </x:c>
      <x:c r="B41" s="4"/>
      <x:c r="C41" s="3" t="str">
        <x:f>IFERROR(VLOOKUP($B41,'Hack Database'!$A:$J,2,FALSE),"")</x:f>
      </x:c>
      <x:c r="D41" s="3" t="str">
        <x:f>IFERROR(VLOOKUP($B41,'Hack Database'!$A:$J,3,FALSE),"")</x:f>
      </x:c>
      <x:c r="E41" s="7" t="str">
        <x:f>IFERROR(VLOOKUP($B41,'Hack Database'!$A:$J,4,FALSE),"")</x:f>
      </x:c>
      <x:c r="F41" s="3" t="str">
        <x:f>IFERROR(VLOOKUP($B41,'Hack Database'!$A:$J,5,FALSE),"")</x:f>
      </x:c>
      <x:c r="G41" s="3" t="str">
        <x:f>IFERROR(VLOOKUP($B41,'Hack Database'!$A:$J,6,FALSE),"")</x:f>
      </x:c>
      <x:c r="H41" s="6"/>
      <x:c r="I41" s="6"/>
      <x:c r="J41" s="4"/>
      <x:c r="K41" s="3" t="str">
        <x:f t="shared" si="0"/>
      </x:c>
      <x:c r="L41" s="8"/>
      <x:c r="M41" s="5"/>
      <x:c r="N41" s="9" t="str">
        <x:f>IFERROR(HYPERLINK(VLOOKUP($B41,'Hack Database'!$A:$J,9,FALSE),"Open Page"),"")</x:f>
      </x:c>
      <x:c r="O41" s="9" t="str">
        <x:f>IFERROR(HYPERLINK(VLOOKUP($B41,'Hack Database'!$A:$J,10,FALSE),"Download"),"")</x:f>
      </x:c>
      <x:c r="P41" s="152"/>
    </x:row>
    <x:row r="42" ht="11" customHeight="1">
      <x:c r="A42" s="134" t="str">
        <x:f>IF(C42="","",COUNTIF($C$2:C42,"&lt;&gt;"))</x:f>
      </x:c>
      <x:c r="B42" s="4"/>
      <x:c r="C42" s="3" t="str">
        <x:f>IFERROR(VLOOKUP($B42,'Hack Database'!$A:$J,2,FALSE),"")</x:f>
      </x:c>
      <x:c r="D42" s="3" t="str">
        <x:f>IFERROR(VLOOKUP($B42,'Hack Database'!$A:$J,3,FALSE),"")</x:f>
      </x:c>
      <x:c r="E42" s="7" t="str">
        <x:f>IFERROR(VLOOKUP($B42,'Hack Database'!$A:$J,4,FALSE),"")</x:f>
      </x:c>
      <x:c r="F42" s="3" t="str">
        <x:f>IFERROR(VLOOKUP($B42,'Hack Database'!$A:$J,5,FALSE),"")</x:f>
      </x:c>
      <x:c r="G42" s="3" t="str">
        <x:f>IFERROR(VLOOKUP($B42,'Hack Database'!$A:$J,6,FALSE),"")</x:f>
      </x:c>
      <x:c r="H42" s="6"/>
      <x:c r="I42" s="6"/>
      <x:c r="J42" s="4"/>
      <x:c r="K42" s="3" t="str">
        <x:f t="shared" si="0"/>
      </x:c>
      <x:c r="L42" s="8"/>
      <x:c r="M42" s="5"/>
      <x:c r="N42" s="9" t="str">
        <x:f>IFERROR(HYPERLINK(VLOOKUP($B42,'Hack Database'!$A:$J,9,FALSE),"Open Page"),"")</x:f>
      </x:c>
      <x:c r="O42" s="9" t="str">
        <x:f>IFERROR(HYPERLINK(VLOOKUP($B42,'Hack Database'!$A:$J,10,FALSE),"Download"),"")</x:f>
      </x:c>
      <x:c r="P42" s="152"/>
    </x:row>
    <x:row r="43" ht="11" customHeight="1">
      <x:c r="A43" s="134" t="str">
        <x:f>IF(C43="","",COUNTIF($C$2:C43,"&lt;&gt;"))</x:f>
      </x:c>
      <x:c r="B43" s="4"/>
      <x:c r="C43" s="3" t="str">
        <x:f>IFERROR(VLOOKUP($B43,'Hack Database'!$A:$J,2,FALSE),"")</x:f>
      </x:c>
      <x:c r="D43" s="3" t="str">
        <x:f>IFERROR(VLOOKUP($B43,'Hack Database'!$A:$J,3,FALSE),"")</x:f>
      </x:c>
      <x:c r="E43" s="7" t="str">
        <x:f>IFERROR(VLOOKUP($B43,'Hack Database'!$A:$J,4,FALSE),"")</x:f>
      </x:c>
      <x:c r="F43" s="3" t="str">
        <x:f>IFERROR(VLOOKUP($B43,'Hack Database'!$A:$J,5,FALSE),"")</x:f>
      </x:c>
      <x:c r="G43" s="3" t="str">
        <x:f>IFERROR(VLOOKUP($B43,'Hack Database'!$A:$J,6,FALSE),"")</x:f>
      </x:c>
      <x:c r="H43" s="6"/>
      <x:c r="I43" s="6"/>
      <x:c r="J43" s="4"/>
      <x:c r="K43" s="3" t="str">
        <x:f t="shared" si="0"/>
      </x:c>
      <x:c r="L43" s="8"/>
      <x:c r="M43" s="5"/>
      <x:c r="N43" s="9" t="str">
        <x:f>IFERROR(HYPERLINK(VLOOKUP($B43,'Hack Database'!$A:$J,9,FALSE),"Open Page"),"")</x:f>
      </x:c>
      <x:c r="O43" s="9" t="str">
        <x:f>IFERROR(HYPERLINK(VLOOKUP($B43,'Hack Database'!$A:$J,10,FALSE),"Download"),"")</x:f>
      </x:c>
      <x:c r="P43" s="152"/>
    </x:row>
    <x:row r="44" ht="11" customHeight="1">
      <x:c r="A44" s="134" t="str">
        <x:f>IF(C44="","",COUNTIF($C$2:C44,"&lt;&gt;"))</x:f>
      </x:c>
      <x:c r="B44" s="4"/>
      <x:c r="C44" s="3" t="str">
        <x:f>IFERROR(VLOOKUP($B44,'Hack Database'!$A:$J,2,FALSE),"")</x:f>
      </x:c>
      <x:c r="D44" s="3" t="str">
        <x:f>IFERROR(VLOOKUP($B44,'Hack Database'!$A:$J,3,FALSE),"")</x:f>
      </x:c>
      <x:c r="E44" s="7" t="str">
        <x:f>IFERROR(VLOOKUP($B44,'Hack Database'!$A:$J,4,FALSE),"")</x:f>
      </x:c>
      <x:c r="F44" s="3" t="str">
        <x:f>IFERROR(VLOOKUP($B44,'Hack Database'!$A:$J,5,FALSE),"")</x:f>
      </x:c>
      <x:c r="G44" s="3" t="str">
        <x:f>IFERROR(VLOOKUP($B44,'Hack Database'!$A:$J,6,FALSE),"")</x:f>
      </x:c>
      <x:c r="H44" s="6"/>
      <x:c r="I44" s="6"/>
      <x:c r="J44" s="4"/>
      <x:c r="K44" s="3" t="str">
        <x:f t="shared" si="0"/>
      </x:c>
      <x:c r="L44" s="8"/>
      <x:c r="M44" s="5"/>
      <x:c r="N44" s="9" t="str">
        <x:f>IFERROR(HYPERLINK(VLOOKUP($B44,'Hack Database'!$A:$J,9,FALSE),"Open Page"),"")</x:f>
      </x:c>
      <x:c r="O44" s="9" t="str">
        <x:f>IFERROR(HYPERLINK(VLOOKUP($B44,'Hack Database'!$A:$J,10,FALSE),"Download"),"")</x:f>
      </x:c>
      <x:c r="P44" s="152"/>
    </x:row>
    <x:row r="45" ht="11" customHeight="1">
      <x:c r="A45" s="134" t="str">
        <x:f>IF(C45="","",COUNTIF($C$2:C45,"&lt;&gt;"))</x:f>
      </x:c>
      <x:c r="B45" s="4"/>
      <x:c r="C45" s="3" t="str">
        <x:f>IFERROR(VLOOKUP($B45,'Hack Database'!$A:$J,2,FALSE),"")</x:f>
      </x:c>
      <x:c r="D45" s="3" t="str">
        <x:f>IFERROR(VLOOKUP($B45,'Hack Database'!$A:$J,3,FALSE),"")</x:f>
      </x:c>
      <x:c r="E45" s="7" t="str">
        <x:f>IFERROR(VLOOKUP($B45,'Hack Database'!$A:$J,4,FALSE),"")</x:f>
      </x:c>
      <x:c r="F45" s="3" t="str">
        <x:f>IFERROR(VLOOKUP($B45,'Hack Database'!$A:$J,5,FALSE),"")</x:f>
      </x:c>
      <x:c r="G45" s="3" t="str">
        <x:f>IFERROR(VLOOKUP($B45,'Hack Database'!$A:$J,6,FALSE),"")</x:f>
      </x:c>
      <x:c r="H45" s="6"/>
      <x:c r="I45" s="6"/>
      <x:c r="J45" s="4"/>
      <x:c r="K45" s="3" t="str">
        <x:f t="shared" si="0"/>
      </x:c>
      <x:c r="L45" s="8"/>
      <x:c r="M45" s="5"/>
      <x:c r="N45" s="9" t="str">
        <x:f>IFERROR(HYPERLINK(VLOOKUP($B45,'Hack Database'!$A:$J,9,FALSE),"Open Page"),"")</x:f>
      </x:c>
      <x:c r="O45" s="9" t="str">
        <x:f>IFERROR(HYPERLINK(VLOOKUP($B45,'Hack Database'!$A:$J,10,FALSE),"Download"),"")</x:f>
      </x:c>
      <x:c r="P45" s="152"/>
    </x:row>
    <x:row r="46" ht="11" customHeight="1">
      <x:c r="A46" s="134" t="str">
        <x:f>IF(C46="","",COUNTIF($C$2:C46,"&lt;&gt;"))</x:f>
      </x:c>
      <x:c r="B46" s="4"/>
      <x:c r="C46" s="3" t="str">
        <x:f>IFERROR(VLOOKUP($B46,'Hack Database'!$A:$J,2,FALSE),"")</x:f>
      </x:c>
      <x:c r="D46" s="3" t="str">
        <x:f>IFERROR(VLOOKUP($B46,'Hack Database'!$A:$J,3,FALSE),"")</x:f>
      </x:c>
      <x:c r="E46" s="7" t="str">
        <x:f>IFERROR(VLOOKUP($B46,'Hack Database'!$A:$J,4,FALSE),"")</x:f>
      </x:c>
      <x:c r="F46" s="3" t="str">
        <x:f>IFERROR(VLOOKUP($B46,'Hack Database'!$A:$J,5,FALSE),"")</x:f>
      </x:c>
      <x:c r="G46" s="3" t="str">
        <x:f>IFERROR(VLOOKUP($B46,'Hack Database'!$A:$J,6,FALSE),"")</x:f>
      </x:c>
      <x:c r="H46" s="6"/>
      <x:c r="I46" s="6"/>
      <x:c r="J46" s="4"/>
      <x:c r="K46" s="3" t="str">
        <x:f t="shared" si="0"/>
      </x:c>
      <x:c r="L46" s="8"/>
      <x:c r="M46" s="5"/>
      <x:c r="N46" s="9" t="str">
        <x:f>IFERROR(HYPERLINK(VLOOKUP($B46,'Hack Database'!$A:$J,9,FALSE),"Open Page"),"")</x:f>
      </x:c>
      <x:c r="O46" s="9" t="str">
        <x:f>IFERROR(HYPERLINK(VLOOKUP($B46,'Hack Database'!$A:$J,10,FALSE),"Download"),"")</x:f>
      </x:c>
      <x:c r="P46" s="152"/>
    </x:row>
    <x:row r="47" ht="11" customHeight="1">
      <x:c r="A47" s="134" t="str">
        <x:f>IF(C47="","",COUNTIF($C$2:C47,"&lt;&gt;"))</x:f>
      </x:c>
      <x:c r="B47" s="4"/>
      <x:c r="C47" s="3" t="str">
        <x:f>IFERROR(VLOOKUP($B47,'Hack Database'!$A:$J,2,FALSE),"")</x:f>
      </x:c>
      <x:c r="D47" s="3" t="str">
        <x:f>IFERROR(VLOOKUP($B47,'Hack Database'!$A:$J,3,FALSE),"")</x:f>
      </x:c>
      <x:c r="E47" s="7" t="str">
        <x:f>IFERROR(VLOOKUP($B47,'Hack Database'!$A:$J,4,FALSE),"")</x:f>
      </x:c>
      <x:c r="F47" s="3" t="str">
        <x:f>IFERROR(VLOOKUP($B47,'Hack Database'!$A:$J,5,FALSE),"")</x:f>
      </x:c>
      <x:c r="G47" s="3" t="str">
        <x:f>IFERROR(VLOOKUP($B47,'Hack Database'!$A:$J,6,FALSE),"")</x:f>
      </x:c>
      <x:c r="H47" s="6"/>
      <x:c r="I47" s="6"/>
      <x:c r="J47" s="4"/>
      <x:c r="K47" s="3" t="str">
        <x:f t="shared" si="0"/>
      </x:c>
      <x:c r="L47" s="8"/>
      <x:c r="M47" s="5"/>
      <x:c r="N47" s="9" t="str">
        <x:f>IFERROR(HYPERLINK(VLOOKUP($B47,'Hack Database'!$A:$J,9,FALSE),"Open Page"),"")</x:f>
      </x:c>
      <x:c r="O47" s="9" t="str">
        <x:f>IFERROR(HYPERLINK(VLOOKUP($B47,'Hack Database'!$A:$J,10,FALSE),"Download"),"")</x:f>
      </x:c>
      <x:c r="P47" s="152"/>
    </x:row>
    <x:row r="48" ht="11" customHeight="1">
      <x:c r="A48" s="134" t="str">
        <x:f>IF(C48="","",COUNTIF($C$2:C48,"&lt;&gt;"))</x:f>
      </x:c>
      <x:c r="B48" s="4"/>
      <x:c r="C48" s="3" t="str">
        <x:f>IFERROR(VLOOKUP($B48,'Hack Database'!$A:$J,2,FALSE),"")</x:f>
      </x:c>
      <x:c r="D48" s="3" t="str">
        <x:f>IFERROR(VLOOKUP($B48,'Hack Database'!$A:$J,3,FALSE),"")</x:f>
      </x:c>
      <x:c r="E48" s="7" t="str">
        <x:f>IFERROR(VLOOKUP($B48,'Hack Database'!$A:$J,4,FALSE),"")</x:f>
      </x:c>
      <x:c r="F48" s="3" t="str">
        <x:f>IFERROR(VLOOKUP($B48,'Hack Database'!$A:$J,5,FALSE),"")</x:f>
      </x:c>
      <x:c r="G48" s="3" t="str">
        <x:f>IFERROR(VLOOKUP($B48,'Hack Database'!$A:$J,6,FALSE),"")</x:f>
      </x:c>
      <x:c r="H48" s="6"/>
      <x:c r="I48" s="6"/>
      <x:c r="J48" s="4"/>
      <x:c r="K48" s="3" t="str">
        <x:f t="shared" si="0"/>
      </x:c>
      <x:c r="L48" s="8"/>
      <x:c r="M48" s="5"/>
      <x:c r="N48" s="9" t="str">
        <x:f>IFERROR(HYPERLINK(VLOOKUP($B48,'Hack Database'!$A:$J,9,FALSE),"Open Page"),"")</x:f>
      </x:c>
      <x:c r="O48" s="9" t="str">
        <x:f>IFERROR(HYPERLINK(VLOOKUP($B48,'Hack Database'!$A:$J,10,FALSE),"Download"),"")</x:f>
      </x:c>
      <x:c r="P48" s="152"/>
    </x:row>
    <x:row r="49" ht="11" customHeight="1">
      <x:c r="A49" s="134" t="str">
        <x:f>IF(C49="","",COUNTIF($C$2:C49,"&lt;&gt;"))</x:f>
      </x:c>
      <x:c r="B49" s="4"/>
      <x:c r="C49" s="3" t="str">
        <x:f>IFERROR(VLOOKUP($B49,'Hack Database'!$A:$J,2,FALSE),"")</x:f>
      </x:c>
      <x:c r="D49" s="3" t="str">
        <x:f>IFERROR(VLOOKUP($B49,'Hack Database'!$A:$J,3,FALSE),"")</x:f>
      </x:c>
      <x:c r="E49" s="7" t="str">
        <x:f>IFERROR(VLOOKUP($B49,'Hack Database'!$A:$J,4,FALSE),"")</x:f>
      </x:c>
      <x:c r="F49" s="3" t="str">
        <x:f>IFERROR(VLOOKUP($B49,'Hack Database'!$A:$J,5,FALSE),"")</x:f>
      </x:c>
      <x:c r="G49" s="3" t="str">
        <x:f>IFERROR(VLOOKUP($B49,'Hack Database'!$A:$J,6,FALSE),"")</x:f>
      </x:c>
      <x:c r="H49" s="6"/>
      <x:c r="I49" s="6"/>
      <x:c r="J49" s="4"/>
      <x:c r="K49" s="3" t="str">
        <x:f t="shared" si="0"/>
      </x:c>
      <x:c r="L49" s="8"/>
      <x:c r="M49" s="5"/>
      <x:c r="N49" s="9" t="str">
        <x:f>IFERROR(HYPERLINK(VLOOKUP($B49,'Hack Database'!$A:$J,9,FALSE),"Open Page"),"")</x:f>
      </x:c>
      <x:c r="O49" s="9" t="str">
        <x:f>IFERROR(HYPERLINK(VLOOKUP($B49,'Hack Database'!$A:$J,10,FALSE),"Download"),"")</x:f>
      </x:c>
      <x:c r="P49" s="152"/>
    </x:row>
    <x:row r="50" ht="11" customHeight="1">
      <x:c r="A50" s="134" t="str">
        <x:f>IF(C50="","",COUNTIF($C$2:C50,"&lt;&gt;"))</x:f>
      </x:c>
      <x:c r="B50" s="4"/>
      <x:c r="C50" s="3" t="str">
        <x:f>IFERROR(VLOOKUP($B50,'Hack Database'!$A:$J,2,FALSE),"")</x:f>
      </x:c>
      <x:c r="D50" s="3" t="str">
        <x:f>IFERROR(VLOOKUP($B50,'Hack Database'!$A:$J,3,FALSE),"")</x:f>
      </x:c>
      <x:c r="E50" s="7" t="str">
        <x:f>IFERROR(VLOOKUP($B50,'Hack Database'!$A:$J,4,FALSE),"")</x:f>
      </x:c>
      <x:c r="F50" s="3" t="str">
        <x:f>IFERROR(VLOOKUP($B50,'Hack Database'!$A:$J,5,FALSE),"")</x:f>
      </x:c>
      <x:c r="G50" s="3" t="str">
        <x:f>IFERROR(VLOOKUP($B50,'Hack Database'!$A:$J,6,FALSE),"")</x:f>
      </x:c>
      <x:c r="H50" s="6"/>
      <x:c r="I50" s="6"/>
      <x:c r="J50" s="4"/>
      <x:c r="K50" s="3" t="str">
        <x:f t="shared" si="0"/>
      </x:c>
      <x:c r="L50" s="8"/>
      <x:c r="M50" s="5"/>
      <x:c r="N50" s="9" t="str">
        <x:f>IFERROR(HYPERLINK(VLOOKUP($B50,'Hack Database'!$A:$J,9,FALSE),"Open Page"),"")</x:f>
      </x:c>
      <x:c r="O50" s="9" t="str">
        <x:f>IFERROR(HYPERLINK(VLOOKUP($B50,'Hack Database'!$A:$J,10,FALSE),"Download"),"")</x:f>
      </x:c>
      <x:c r="P50" s="152"/>
    </x:row>
    <x:row r="51" ht="11" customHeight="1">
      <x:c r="A51" s="134" t="str">
        <x:f>IF(C51="","",COUNTIF($C$2:C51,"&lt;&gt;"))</x:f>
      </x:c>
      <x:c r="B51" s="4"/>
      <x:c r="C51" s="3" t="str">
        <x:f>IFERROR(VLOOKUP($B51,'Hack Database'!$A:$J,2,FALSE),"")</x:f>
      </x:c>
      <x:c r="D51" s="3" t="str">
        <x:f>IFERROR(VLOOKUP($B51,'Hack Database'!$A:$J,3,FALSE),"")</x:f>
      </x:c>
      <x:c r="E51" s="7" t="str">
        <x:f>IFERROR(VLOOKUP($B51,'Hack Database'!$A:$J,4,FALSE),"")</x:f>
      </x:c>
      <x:c r="F51" s="3" t="str">
        <x:f>IFERROR(VLOOKUP($B51,'Hack Database'!$A:$J,5,FALSE),"")</x:f>
      </x:c>
      <x:c r="G51" s="3" t="str">
        <x:f>IFERROR(VLOOKUP($B51,'Hack Database'!$A:$J,6,FALSE),"")</x:f>
      </x:c>
      <x:c r="H51" s="6"/>
      <x:c r="I51" s="6"/>
      <x:c r="J51" s="4"/>
      <x:c r="K51" s="3" t="str">
        <x:f t="shared" si="0"/>
      </x:c>
      <x:c r="L51" s="8"/>
      <x:c r="M51" s="5"/>
      <x:c r="N51" s="9" t="str">
        <x:f>IFERROR(HYPERLINK(VLOOKUP($B51,'Hack Database'!$A:$J,9,FALSE),"Open Page"),"")</x:f>
      </x:c>
      <x:c r="O51" s="9" t="str">
        <x:f>IFERROR(HYPERLINK(VLOOKUP($B51,'Hack Database'!$A:$J,10,FALSE),"Download"),"")</x:f>
      </x:c>
      <x:c r="P51" s="152"/>
    </x:row>
    <x:row r="52" ht="11" customHeight="1">
      <x:c r="A52" s="134" t="str">
        <x:f>IF(C52="","",COUNTIF($C$2:C52,"&lt;&gt;"))</x:f>
      </x:c>
      <x:c r="B52" s="4"/>
      <x:c r="C52" s="3" t="str">
        <x:f>IFERROR(VLOOKUP($B52,'Hack Database'!$A:$J,2,FALSE),"")</x:f>
      </x:c>
      <x:c r="D52" s="3" t="str">
        <x:f>IFERROR(VLOOKUP($B52,'Hack Database'!$A:$J,3,FALSE),"")</x:f>
      </x:c>
      <x:c r="E52" s="7" t="str">
        <x:f>IFERROR(VLOOKUP($B52,'Hack Database'!$A:$J,4,FALSE),"")</x:f>
      </x:c>
      <x:c r="F52" s="3" t="str">
        <x:f>IFERROR(VLOOKUP($B52,'Hack Database'!$A:$J,5,FALSE),"")</x:f>
      </x:c>
      <x:c r="G52" s="3" t="str">
        <x:f>IFERROR(VLOOKUP($B52,'Hack Database'!$A:$J,6,FALSE),"")</x:f>
      </x:c>
      <x:c r="H52" s="6"/>
      <x:c r="I52" s="6"/>
      <x:c r="J52" s="4"/>
      <x:c r="K52" s="3" t="str">
        <x:f t="shared" si="0"/>
      </x:c>
      <x:c r="L52" s="8"/>
      <x:c r="M52" s="5"/>
      <x:c r="N52" s="9" t="str">
        <x:f>IFERROR(HYPERLINK(VLOOKUP($B52,'Hack Database'!$A:$J,9,FALSE),"Open Page"),"")</x:f>
      </x:c>
      <x:c r="O52" s="9" t="str">
        <x:f>IFERROR(HYPERLINK(VLOOKUP($B52,'Hack Database'!$A:$J,10,FALSE),"Download"),"")</x:f>
      </x:c>
      <x:c r="P52" s="152"/>
    </x:row>
    <x:row r="53" ht="11" customHeight="1">
      <x:c r="A53" s="134" t="str">
        <x:f>IF(C53="","",COUNTIF($C$2:C53,"&lt;&gt;"))</x:f>
      </x:c>
      <x:c r="B53" s="4"/>
      <x:c r="C53" s="3" t="str">
        <x:f>IFERROR(VLOOKUP($B53,'Hack Database'!$A:$J,2,FALSE),"")</x:f>
      </x:c>
      <x:c r="D53" s="3" t="str">
        <x:f>IFERROR(VLOOKUP($B53,'Hack Database'!$A:$J,3,FALSE),"")</x:f>
      </x:c>
      <x:c r="E53" s="7" t="str">
        <x:f>IFERROR(VLOOKUP($B53,'Hack Database'!$A:$J,4,FALSE),"")</x:f>
      </x:c>
      <x:c r="F53" s="3" t="str">
        <x:f>IFERROR(VLOOKUP($B53,'Hack Database'!$A:$J,5,FALSE),"")</x:f>
      </x:c>
      <x:c r="G53" s="3" t="str">
        <x:f>IFERROR(VLOOKUP($B53,'Hack Database'!$A:$J,6,FALSE),"")</x:f>
      </x:c>
      <x:c r="H53" s="6"/>
      <x:c r="I53" s="6"/>
      <x:c r="J53" s="4"/>
      <x:c r="K53" s="3" t="str">
        <x:f t="shared" si="0"/>
      </x:c>
      <x:c r="L53" s="8"/>
      <x:c r="M53" s="5"/>
      <x:c r="N53" s="9" t="str">
        <x:f>IFERROR(HYPERLINK(VLOOKUP($B53,'Hack Database'!$A:$J,9,FALSE),"Open Page"),"")</x:f>
      </x:c>
      <x:c r="O53" s="9" t="str">
        <x:f>IFERROR(HYPERLINK(VLOOKUP($B53,'Hack Database'!$A:$J,10,FALSE),"Download"),"")</x:f>
      </x:c>
      <x:c r="P53" s="152"/>
    </x:row>
    <x:row r="54" ht="11" customHeight="1">
      <x:c r="A54" s="134" t="str">
        <x:f>IF(C54="","",COUNTIF($C$2:C54,"&lt;&gt;"))</x:f>
      </x:c>
      <x:c r="B54" s="4"/>
      <x:c r="C54" s="3" t="str">
        <x:f>IFERROR(VLOOKUP($B54,'Hack Database'!$A:$J,2,FALSE),"")</x:f>
      </x:c>
      <x:c r="D54" s="3" t="str">
        <x:f>IFERROR(VLOOKUP($B54,'Hack Database'!$A:$J,3,FALSE),"")</x:f>
      </x:c>
      <x:c r="E54" s="7" t="str">
        <x:f>IFERROR(VLOOKUP($B54,'Hack Database'!$A:$J,4,FALSE),"")</x:f>
      </x:c>
      <x:c r="F54" s="3" t="str">
        <x:f>IFERROR(VLOOKUP($B54,'Hack Database'!$A:$J,5,FALSE),"")</x:f>
      </x:c>
      <x:c r="G54" s="3" t="str">
        <x:f>IFERROR(VLOOKUP($B54,'Hack Database'!$A:$J,6,FALSE),"")</x:f>
      </x:c>
      <x:c r="H54" s="6"/>
      <x:c r="I54" s="6"/>
      <x:c r="J54" s="4"/>
      <x:c r="K54" s="3" t="str">
        <x:f t="shared" si="0"/>
      </x:c>
      <x:c r="L54" s="8"/>
      <x:c r="M54" s="5"/>
      <x:c r="N54" s="9" t="str">
        <x:f>IFERROR(HYPERLINK(VLOOKUP($B54,'Hack Database'!$A:$J,9,FALSE),"Open Page"),"")</x:f>
      </x:c>
      <x:c r="O54" s="9" t="str">
        <x:f>IFERROR(HYPERLINK(VLOOKUP($B54,'Hack Database'!$A:$J,10,FALSE),"Download"),"")</x:f>
      </x:c>
      <x:c r="P54" s="152"/>
    </x:row>
    <x:row r="55" ht="11" customHeight="1">
      <x:c r="A55" s="134" t="str">
        <x:f>IF(C55="","",COUNTIF($C$2:C55,"&lt;&gt;"))</x:f>
      </x:c>
      <x:c r="B55" s="4"/>
      <x:c r="C55" s="3" t="str">
        <x:f>IFERROR(VLOOKUP($B55,'Hack Database'!$A:$J,2,FALSE),"")</x:f>
      </x:c>
      <x:c r="D55" s="3" t="str">
        <x:f>IFERROR(VLOOKUP($B55,'Hack Database'!$A:$J,3,FALSE),"")</x:f>
      </x:c>
      <x:c r="E55" s="7" t="str">
        <x:f>IFERROR(VLOOKUP($B55,'Hack Database'!$A:$J,4,FALSE),"")</x:f>
      </x:c>
      <x:c r="F55" s="3" t="str">
        <x:f>IFERROR(VLOOKUP($B55,'Hack Database'!$A:$J,5,FALSE),"")</x:f>
      </x:c>
      <x:c r="G55" s="3" t="str">
        <x:f>IFERROR(VLOOKUP($B55,'Hack Database'!$A:$J,6,FALSE),"")</x:f>
      </x:c>
      <x:c r="H55" s="6"/>
      <x:c r="I55" s="6"/>
      <x:c r="J55" s="4"/>
      <x:c r="K55" s="3" t="str">
        <x:f t="shared" si="0"/>
      </x:c>
      <x:c r="L55" s="8"/>
      <x:c r="M55" s="5"/>
      <x:c r="N55" s="9" t="str">
        <x:f>IFERROR(HYPERLINK(VLOOKUP($B55,'Hack Database'!$A:$J,9,FALSE),"Open Page"),"")</x:f>
      </x:c>
      <x:c r="O55" s="9" t="str">
        <x:f>IFERROR(HYPERLINK(VLOOKUP($B55,'Hack Database'!$A:$J,10,FALSE),"Download"),"")</x:f>
      </x:c>
      <x:c r="P55" s="152"/>
    </x:row>
    <x:row r="56" ht="11" customHeight="1">
      <x:c r="A56" s="134" t="str">
        <x:f>IF(C56="","",COUNTIF($C$2:C56,"&lt;&gt;"))</x:f>
      </x:c>
      <x:c r="B56" s="4"/>
      <x:c r="C56" s="3" t="str">
        <x:f>IFERROR(VLOOKUP($B56,'Hack Database'!$A:$J,2,FALSE),"")</x:f>
      </x:c>
      <x:c r="D56" s="3" t="str">
        <x:f>IFERROR(VLOOKUP($B56,'Hack Database'!$A:$J,3,FALSE),"")</x:f>
      </x:c>
      <x:c r="E56" s="7" t="str">
        <x:f>IFERROR(VLOOKUP($B56,'Hack Database'!$A:$J,4,FALSE),"")</x:f>
      </x:c>
      <x:c r="F56" s="3" t="str">
        <x:f>IFERROR(VLOOKUP($B56,'Hack Database'!$A:$J,5,FALSE),"")</x:f>
      </x:c>
      <x:c r="G56" s="3" t="str">
        <x:f>IFERROR(VLOOKUP($B56,'Hack Database'!$A:$J,6,FALSE),"")</x:f>
      </x:c>
      <x:c r="H56" s="6"/>
      <x:c r="I56" s="6"/>
      <x:c r="J56" s="4"/>
      <x:c r="K56" s="3" t="str">
        <x:f t="shared" si="0"/>
      </x:c>
      <x:c r="L56" s="8"/>
      <x:c r="M56" s="5"/>
      <x:c r="N56" s="9" t="str">
        <x:f>IFERROR(HYPERLINK(VLOOKUP($B56,'Hack Database'!$A:$J,9,FALSE),"Open Page"),"")</x:f>
      </x:c>
      <x:c r="O56" s="9" t="str">
        <x:f>IFERROR(HYPERLINK(VLOOKUP($B56,'Hack Database'!$A:$J,10,FALSE),"Download"),"")</x:f>
      </x:c>
      <x:c r="P56" s="152"/>
    </x:row>
    <x:row r="57" ht="11" customHeight="1">
      <x:c r="A57" s="134" t="str">
        <x:f>IF(C57="","",COUNTIF($C$2:C57,"&lt;&gt;"))</x:f>
      </x:c>
      <x:c r="B57" s="4"/>
      <x:c r="C57" s="3" t="str">
        <x:f>IFERROR(VLOOKUP($B57,'Hack Database'!$A:$J,2,FALSE),"")</x:f>
      </x:c>
      <x:c r="D57" s="3" t="str">
        <x:f>IFERROR(VLOOKUP($B57,'Hack Database'!$A:$J,3,FALSE),"")</x:f>
      </x:c>
      <x:c r="E57" s="7" t="str">
        <x:f>IFERROR(VLOOKUP($B57,'Hack Database'!$A:$J,4,FALSE),"")</x:f>
      </x:c>
      <x:c r="F57" s="3" t="str">
        <x:f>IFERROR(VLOOKUP($B57,'Hack Database'!$A:$J,5,FALSE),"")</x:f>
      </x:c>
      <x:c r="G57" s="3" t="str">
        <x:f>IFERROR(VLOOKUP($B57,'Hack Database'!$A:$J,6,FALSE),"")</x:f>
      </x:c>
      <x:c r="H57" s="6"/>
      <x:c r="I57" s="6"/>
      <x:c r="J57" s="4"/>
      <x:c r="K57" s="3" t="str">
        <x:f t="shared" si="0"/>
      </x:c>
      <x:c r="L57" s="8"/>
      <x:c r="M57" s="5"/>
      <x:c r="N57" s="9" t="str">
        <x:f>IFERROR(HYPERLINK(VLOOKUP($B57,'Hack Database'!$A:$J,9,FALSE),"Open Page"),"")</x:f>
      </x:c>
      <x:c r="O57" s="9" t="str">
        <x:f>IFERROR(HYPERLINK(VLOOKUP($B57,'Hack Database'!$A:$J,10,FALSE),"Download"),"")</x:f>
      </x:c>
      <x:c r="P57" s="152"/>
    </x:row>
    <x:row r="58" ht="11" customHeight="1">
      <x:c r="A58" s="134" t="str">
        <x:f>IF(C58="","",COUNTIF($C$2:C58,"&lt;&gt;"))</x:f>
      </x:c>
      <x:c r="B58" s="4"/>
      <x:c r="C58" s="3" t="str">
        <x:f>IFERROR(VLOOKUP($B58,'Hack Database'!$A:$J,2,FALSE),"")</x:f>
      </x:c>
      <x:c r="D58" s="3" t="str">
        <x:f>IFERROR(VLOOKUP($B58,'Hack Database'!$A:$J,3,FALSE),"")</x:f>
      </x:c>
      <x:c r="E58" s="7" t="str">
        <x:f>IFERROR(VLOOKUP($B58,'Hack Database'!$A:$J,4,FALSE),"")</x:f>
      </x:c>
      <x:c r="F58" s="3" t="str">
        <x:f>IFERROR(VLOOKUP($B58,'Hack Database'!$A:$J,5,FALSE),"")</x:f>
      </x:c>
      <x:c r="G58" s="3" t="str">
        <x:f>IFERROR(VLOOKUP($B58,'Hack Database'!$A:$J,6,FALSE),"")</x:f>
      </x:c>
      <x:c r="H58" s="6"/>
      <x:c r="I58" s="6"/>
      <x:c r="J58" s="4"/>
      <x:c r="K58" s="3" t="str">
        <x:f t="shared" si="0"/>
      </x:c>
      <x:c r="L58" s="8"/>
      <x:c r="M58" s="5"/>
      <x:c r="N58" s="9" t="str">
        <x:f>IFERROR(HYPERLINK(VLOOKUP($B58,'Hack Database'!$A:$J,9,FALSE),"Open Page"),"")</x:f>
      </x:c>
      <x:c r="O58" s="9" t="str">
        <x:f>IFERROR(HYPERLINK(VLOOKUP($B58,'Hack Database'!$A:$J,10,FALSE),"Download"),"")</x:f>
      </x:c>
      <x:c r="P58" s="152"/>
    </x:row>
    <x:row r="59" ht="11" customHeight="1">
      <x:c r="A59" s="134" t="str">
        <x:f>IF(C59="","",COUNTIF($C$2:C59,"&lt;&gt;"))</x:f>
      </x:c>
      <x:c r="B59" s="4"/>
      <x:c r="C59" s="3" t="str">
        <x:f>IFERROR(VLOOKUP($B59,'Hack Database'!$A:$J,2,FALSE),"")</x:f>
      </x:c>
      <x:c r="D59" s="3" t="str">
        <x:f>IFERROR(VLOOKUP($B59,'Hack Database'!$A:$J,3,FALSE),"")</x:f>
      </x:c>
      <x:c r="E59" s="7" t="str">
        <x:f>IFERROR(VLOOKUP($B59,'Hack Database'!$A:$J,4,FALSE),"")</x:f>
      </x:c>
      <x:c r="F59" s="3" t="str">
        <x:f>IFERROR(VLOOKUP($B59,'Hack Database'!$A:$J,5,FALSE),"")</x:f>
      </x:c>
      <x:c r="G59" s="3" t="str">
        <x:f>IFERROR(VLOOKUP($B59,'Hack Database'!$A:$J,6,FALSE),"")</x:f>
      </x:c>
      <x:c r="H59" s="6"/>
      <x:c r="I59" s="6"/>
      <x:c r="J59" s="4"/>
      <x:c r="K59" s="3" t="str">
        <x:f t="shared" si="0"/>
      </x:c>
      <x:c r="L59" s="8"/>
      <x:c r="M59" s="5"/>
      <x:c r="N59" s="9" t="str">
        <x:f>IFERROR(HYPERLINK(VLOOKUP($B59,'Hack Database'!$A:$J,9,FALSE),"Open Page"),"")</x:f>
      </x:c>
      <x:c r="O59" s="9" t="str">
        <x:f>IFERROR(HYPERLINK(VLOOKUP($B59,'Hack Database'!$A:$J,10,FALSE),"Download"),"")</x:f>
      </x:c>
      <x:c r="P59" s="152"/>
    </x:row>
    <x:row r="60" ht="11" customHeight="1">
      <x:c r="A60" s="134" t="str">
        <x:f>IF(C60="","",COUNTIF($C$2:C60,"&lt;&gt;"))</x:f>
      </x:c>
      <x:c r="B60" s="4"/>
      <x:c r="C60" s="3" t="str">
        <x:f>IFERROR(VLOOKUP($B60,'Hack Database'!$A:$J,2,FALSE),"")</x:f>
      </x:c>
      <x:c r="D60" s="3" t="str">
        <x:f>IFERROR(VLOOKUP($B60,'Hack Database'!$A:$J,3,FALSE),"")</x:f>
      </x:c>
      <x:c r="E60" s="7" t="str">
        <x:f>IFERROR(VLOOKUP($B60,'Hack Database'!$A:$J,4,FALSE),"")</x:f>
      </x:c>
      <x:c r="F60" s="3" t="str">
        <x:f>IFERROR(VLOOKUP($B60,'Hack Database'!$A:$J,5,FALSE),"")</x:f>
      </x:c>
      <x:c r="G60" s="3" t="str">
        <x:f>IFERROR(VLOOKUP($B60,'Hack Database'!$A:$J,6,FALSE),"")</x:f>
      </x:c>
      <x:c r="H60" s="6"/>
      <x:c r="I60" s="6"/>
      <x:c r="J60" s="4"/>
      <x:c r="K60" s="3" t="str">
        <x:f t="shared" si="0"/>
      </x:c>
      <x:c r="L60" s="8"/>
      <x:c r="M60" s="5"/>
      <x:c r="N60" s="9" t="str">
        <x:f>IFERROR(HYPERLINK(VLOOKUP($B60,'Hack Database'!$A:$J,9,FALSE),"Open Page"),"")</x:f>
      </x:c>
      <x:c r="O60" s="9" t="str">
        <x:f>IFERROR(HYPERLINK(VLOOKUP($B60,'Hack Database'!$A:$J,10,FALSE),"Download"),"")</x:f>
      </x:c>
      <x:c r="P60" s="152"/>
    </x:row>
    <x:row r="61" ht="11" customHeight="1">
      <x:c r="A61" s="134" t="str">
        <x:f>IF(C61="","",COUNTIF($C$2:C61,"&lt;&gt;"))</x:f>
      </x:c>
      <x:c r="B61" s="4"/>
      <x:c r="C61" s="3" t="str">
        <x:f>IFERROR(VLOOKUP($B61,'Hack Database'!$A:$J,2,FALSE),"")</x:f>
      </x:c>
      <x:c r="D61" s="3" t="str">
        <x:f>IFERROR(VLOOKUP($B61,'Hack Database'!$A:$J,3,FALSE),"")</x:f>
      </x:c>
      <x:c r="E61" s="7" t="str">
        <x:f>IFERROR(VLOOKUP($B61,'Hack Database'!$A:$J,4,FALSE),"")</x:f>
      </x:c>
      <x:c r="F61" s="3" t="str">
        <x:f>IFERROR(VLOOKUP($B61,'Hack Database'!$A:$J,5,FALSE),"")</x:f>
      </x:c>
      <x:c r="G61" s="3" t="str">
        <x:f>IFERROR(VLOOKUP($B61,'Hack Database'!$A:$J,6,FALSE),"")</x:f>
      </x:c>
      <x:c r="H61" s="6"/>
      <x:c r="I61" s="6"/>
      <x:c r="J61" s="4"/>
      <x:c r="K61" s="3" t="str">
        <x:f t="shared" si="0"/>
      </x:c>
      <x:c r="L61" s="8"/>
      <x:c r="M61" s="5"/>
      <x:c r="N61" s="9" t="str">
        <x:f>IFERROR(HYPERLINK(VLOOKUP($B61,'Hack Database'!$A:$J,9,FALSE),"Open Page"),"")</x:f>
      </x:c>
      <x:c r="O61" s="9" t="str">
        <x:f>IFERROR(HYPERLINK(VLOOKUP($B61,'Hack Database'!$A:$J,10,FALSE),"Download"),"")</x:f>
      </x:c>
      <x:c r="P61" s="152"/>
    </x:row>
    <x:row r="62" ht="11" customHeight="1">
      <x:c r="A62" s="134" t="str">
        <x:f>IF(C62="","",COUNTIF($C$2:C62,"&lt;&gt;"))</x:f>
      </x:c>
      <x:c r="B62" s="4"/>
      <x:c r="C62" s="3" t="str">
        <x:f>IFERROR(VLOOKUP($B62,'Hack Database'!$A:$J,2,FALSE),"")</x:f>
      </x:c>
      <x:c r="D62" s="3" t="str">
        <x:f>IFERROR(VLOOKUP($B62,'Hack Database'!$A:$J,3,FALSE),"")</x:f>
      </x:c>
      <x:c r="E62" s="7" t="str">
        <x:f>IFERROR(VLOOKUP($B62,'Hack Database'!$A:$J,4,FALSE),"")</x:f>
      </x:c>
      <x:c r="F62" s="3" t="str">
        <x:f>IFERROR(VLOOKUP($B62,'Hack Database'!$A:$J,5,FALSE),"")</x:f>
      </x:c>
      <x:c r="G62" s="3" t="str">
        <x:f>IFERROR(VLOOKUP($B62,'Hack Database'!$A:$J,6,FALSE),"")</x:f>
      </x:c>
      <x:c r="H62" s="6"/>
      <x:c r="I62" s="6"/>
      <x:c r="J62" s="4"/>
      <x:c r="K62" s="3" t="str">
        <x:f t="shared" si="0"/>
      </x:c>
      <x:c r="L62" s="8"/>
      <x:c r="M62" s="5"/>
      <x:c r="N62" s="9" t="str">
        <x:f>IFERROR(HYPERLINK(VLOOKUP($B62,'Hack Database'!$A:$J,9,FALSE),"Open Page"),"")</x:f>
      </x:c>
      <x:c r="O62" s="9" t="str">
        <x:f>IFERROR(HYPERLINK(VLOOKUP($B62,'Hack Database'!$A:$J,10,FALSE),"Download"),"")</x:f>
      </x:c>
      <x:c r="P62" s="152"/>
    </x:row>
    <x:row r="63" ht="11" customHeight="1">
      <x:c r="A63" s="134" t="str">
        <x:f>IF(C63="","",COUNTIF($C$2:C63,"&lt;&gt;"))</x:f>
      </x:c>
      <x:c r="B63" s="4"/>
      <x:c r="C63" s="3" t="str">
        <x:f>IFERROR(VLOOKUP($B63,'Hack Database'!$A:$J,2,FALSE),"")</x:f>
      </x:c>
      <x:c r="D63" s="3" t="str">
        <x:f>IFERROR(VLOOKUP($B63,'Hack Database'!$A:$J,3,FALSE),"")</x:f>
      </x:c>
      <x:c r="E63" s="7" t="str">
        <x:f>IFERROR(VLOOKUP($B63,'Hack Database'!$A:$J,4,FALSE),"")</x:f>
      </x:c>
      <x:c r="F63" s="3" t="str">
        <x:f>IFERROR(VLOOKUP($B63,'Hack Database'!$A:$J,5,FALSE),"")</x:f>
      </x:c>
      <x:c r="G63" s="3" t="str">
        <x:f>IFERROR(VLOOKUP($B63,'Hack Database'!$A:$J,6,FALSE),"")</x:f>
      </x:c>
      <x:c r="H63" s="6"/>
      <x:c r="I63" s="6"/>
      <x:c r="J63" s="4"/>
      <x:c r="K63" s="3" t="str">
        <x:f t="shared" si="0"/>
      </x:c>
      <x:c r="L63" s="8"/>
      <x:c r="M63" s="5"/>
      <x:c r="N63" s="9" t="str">
        <x:f>IFERROR(HYPERLINK(VLOOKUP($B63,'Hack Database'!$A:$J,9,FALSE),"Open Page"),"")</x:f>
      </x:c>
      <x:c r="O63" s="9" t="str">
        <x:f>IFERROR(HYPERLINK(VLOOKUP($B63,'Hack Database'!$A:$J,10,FALSE),"Download"),"")</x:f>
      </x:c>
      <x:c r="P63" s="152"/>
    </x:row>
    <x:row r="64" ht="11" customHeight="1">
      <x:c r="A64" s="134" t="str">
        <x:f>IF(C64="","",COUNTIF($C$2:C64,"&lt;&gt;"))</x:f>
      </x:c>
      <x:c r="B64" s="4"/>
      <x:c r="C64" s="3" t="str">
        <x:f>IFERROR(VLOOKUP($B64,'Hack Database'!$A:$J,2,FALSE),"")</x:f>
      </x:c>
      <x:c r="D64" s="3" t="str">
        <x:f>IFERROR(VLOOKUP($B64,'Hack Database'!$A:$J,3,FALSE),"")</x:f>
      </x:c>
      <x:c r="E64" s="7" t="str">
        <x:f>IFERROR(VLOOKUP($B64,'Hack Database'!$A:$J,4,FALSE),"")</x:f>
      </x:c>
      <x:c r="F64" s="3" t="str">
        <x:f>IFERROR(VLOOKUP($B64,'Hack Database'!$A:$J,5,FALSE),"")</x:f>
      </x:c>
      <x:c r="G64" s="3" t="str">
        <x:f>IFERROR(VLOOKUP($B64,'Hack Database'!$A:$J,6,FALSE),"")</x:f>
      </x:c>
      <x:c r="H64" s="6"/>
      <x:c r="I64" s="6"/>
      <x:c r="J64" s="4"/>
      <x:c r="K64" s="3" t="str">
        <x:f t="shared" si="0"/>
      </x:c>
      <x:c r="L64" s="8"/>
      <x:c r="M64" s="5"/>
      <x:c r="N64" s="9" t="str">
        <x:f>IFERROR(HYPERLINK(VLOOKUP($B64,'Hack Database'!$A:$J,9,FALSE),"Open Page"),"")</x:f>
      </x:c>
      <x:c r="O64" s="9" t="str">
        <x:f>IFERROR(HYPERLINK(VLOOKUP($B64,'Hack Database'!$A:$J,10,FALSE),"Download"),"")</x:f>
      </x:c>
      <x:c r="P64" s="152"/>
    </x:row>
    <x:row r="65" ht="11" customHeight="1">
      <x:c r="A65" s="134" t="str">
        <x:f>IF(C65="","",COUNTIF($C$2:C65,"&lt;&gt;"))</x:f>
      </x:c>
      <x:c r="B65" s="4"/>
      <x:c r="C65" s="3" t="str">
        <x:f>IFERROR(VLOOKUP($B65,'Hack Database'!$A:$J,2,FALSE),"")</x:f>
      </x:c>
      <x:c r="D65" s="3" t="str">
        <x:f>IFERROR(VLOOKUP($B65,'Hack Database'!$A:$J,3,FALSE),"")</x:f>
      </x:c>
      <x:c r="E65" s="7" t="str">
        <x:f>IFERROR(VLOOKUP($B65,'Hack Database'!$A:$J,4,FALSE),"")</x:f>
      </x:c>
      <x:c r="F65" s="3" t="str">
        <x:f>IFERROR(VLOOKUP($B65,'Hack Database'!$A:$J,5,FALSE),"")</x:f>
      </x:c>
      <x:c r="G65" s="3" t="str">
        <x:f>IFERROR(VLOOKUP($B65,'Hack Database'!$A:$J,6,FALSE),"")</x:f>
      </x:c>
      <x:c r="H65" s="6"/>
      <x:c r="I65" s="6"/>
      <x:c r="J65" s="4"/>
      <x:c r="K65" s="3" t="str">
        <x:f t="shared" si="0"/>
      </x:c>
      <x:c r="L65" s="8"/>
      <x:c r="M65" s="5"/>
      <x:c r="N65" s="9" t="str">
        <x:f>IFERROR(HYPERLINK(VLOOKUP($B65,'Hack Database'!$A:$J,9,FALSE),"Open Page"),"")</x:f>
      </x:c>
      <x:c r="O65" s="9" t="str">
        <x:f>IFERROR(HYPERLINK(VLOOKUP($B65,'Hack Database'!$A:$J,10,FALSE),"Download"),"")</x:f>
      </x:c>
      <x:c r="P65" s="152"/>
    </x:row>
    <x:row r="66" ht="11" customHeight="1">
      <x:c r="A66" s="134" t="str">
        <x:f>IF(C66="","",COUNTIF($C$2:C66,"&lt;&gt;"))</x:f>
      </x:c>
      <x:c r="B66" s="4"/>
      <x:c r="C66" s="3" t="str">
        <x:f>IFERROR(VLOOKUP($B66,'Hack Database'!$A:$J,2,FALSE),"")</x:f>
      </x:c>
      <x:c r="D66" s="3" t="str">
        <x:f>IFERROR(VLOOKUP($B66,'Hack Database'!$A:$J,3,FALSE),"")</x:f>
      </x:c>
      <x:c r="E66" s="7" t="str">
        <x:f>IFERROR(VLOOKUP($B66,'Hack Database'!$A:$J,4,FALSE),"")</x:f>
      </x:c>
      <x:c r="F66" s="3" t="str">
        <x:f>IFERROR(VLOOKUP($B66,'Hack Database'!$A:$J,5,FALSE),"")</x:f>
      </x:c>
      <x:c r="G66" s="3" t="str">
        <x:f>IFERROR(VLOOKUP($B66,'Hack Database'!$A:$J,6,FALSE),"")</x:f>
      </x:c>
      <x:c r="H66" s="6"/>
      <x:c r="I66" s="6"/>
      <x:c r="J66" s="4"/>
      <x:c r="K66" s="3" t="str">
        <x:f t="shared" ref="K66:K129" si="1">IF($B66="","",IF($J66="Yes","100% Complete",IF($H66="","Planned",IF($I66="","In Progress","Finished"))))</x:f>
      </x:c>
      <x:c r="L66" s="8"/>
      <x:c r="M66" s="5"/>
      <x:c r="N66" s="9" t="str">
        <x:f>IFERROR(HYPERLINK(VLOOKUP($B66,'Hack Database'!$A:$J,9,FALSE),"Open Page"),"")</x:f>
      </x:c>
      <x:c r="O66" s="9" t="str">
        <x:f>IFERROR(HYPERLINK(VLOOKUP($B66,'Hack Database'!$A:$J,10,FALSE),"Download"),"")</x:f>
      </x:c>
      <x:c r="P66" s="152"/>
    </x:row>
    <x:row r="67" ht="11" customHeight="1">
      <x:c r="A67" s="134" t="str">
        <x:f>IF(C67="","",COUNTIF($C$2:C67,"&lt;&gt;"))</x:f>
      </x:c>
      <x:c r="B67" s="4"/>
      <x:c r="C67" s="3" t="str">
        <x:f>IFERROR(VLOOKUP($B67,'Hack Database'!$A:$J,2,FALSE),"")</x:f>
      </x:c>
      <x:c r="D67" s="3" t="str">
        <x:f>IFERROR(VLOOKUP($B67,'Hack Database'!$A:$J,3,FALSE),"")</x:f>
      </x:c>
      <x:c r="E67" s="7" t="str">
        <x:f>IFERROR(VLOOKUP($B67,'Hack Database'!$A:$J,4,FALSE),"")</x:f>
      </x:c>
      <x:c r="F67" s="3" t="str">
        <x:f>IFERROR(VLOOKUP($B67,'Hack Database'!$A:$J,5,FALSE),"")</x:f>
      </x:c>
      <x:c r="G67" s="3" t="str">
        <x:f>IFERROR(VLOOKUP($B67,'Hack Database'!$A:$J,6,FALSE),"")</x:f>
      </x:c>
      <x:c r="H67" s="6"/>
      <x:c r="I67" s="6"/>
      <x:c r="J67" s="4"/>
      <x:c r="K67" s="3" t="str">
        <x:f t="shared" si="1"/>
      </x:c>
      <x:c r="L67" s="8"/>
      <x:c r="M67" s="5"/>
      <x:c r="N67" s="9" t="str">
        <x:f>IFERROR(HYPERLINK(VLOOKUP($B67,'Hack Database'!$A:$J,9,FALSE),"Open Page"),"")</x:f>
      </x:c>
      <x:c r="O67" s="9" t="str">
        <x:f>IFERROR(HYPERLINK(VLOOKUP($B67,'Hack Database'!$A:$J,10,FALSE),"Download"),"")</x:f>
      </x:c>
      <x:c r="P67" s="152"/>
    </x:row>
    <x:row r="68" ht="11" customHeight="1">
      <x:c r="A68" s="134" t="str">
        <x:f>IF(C68="","",COUNTIF($C$2:C68,"&lt;&gt;"))</x:f>
      </x:c>
      <x:c r="B68" s="4"/>
      <x:c r="C68" s="3" t="str">
        <x:f>IFERROR(VLOOKUP($B68,'Hack Database'!$A:$J,2,FALSE),"")</x:f>
      </x:c>
      <x:c r="D68" s="3" t="str">
        <x:f>IFERROR(VLOOKUP($B68,'Hack Database'!$A:$J,3,FALSE),"")</x:f>
      </x:c>
      <x:c r="E68" s="7" t="str">
        <x:f>IFERROR(VLOOKUP($B68,'Hack Database'!$A:$J,4,FALSE),"")</x:f>
      </x:c>
      <x:c r="F68" s="3" t="str">
        <x:f>IFERROR(VLOOKUP($B68,'Hack Database'!$A:$J,5,FALSE),"")</x:f>
      </x:c>
      <x:c r="G68" s="3" t="str">
        <x:f>IFERROR(VLOOKUP($B68,'Hack Database'!$A:$J,6,FALSE),"")</x:f>
      </x:c>
      <x:c r="H68" s="6"/>
      <x:c r="I68" s="6"/>
      <x:c r="J68" s="4"/>
      <x:c r="K68" s="3" t="str">
        <x:f t="shared" si="1"/>
      </x:c>
      <x:c r="L68" s="8"/>
      <x:c r="M68" s="5"/>
      <x:c r="N68" s="9" t="str">
        <x:f>IFERROR(HYPERLINK(VLOOKUP($B68,'Hack Database'!$A:$J,9,FALSE),"Open Page"),"")</x:f>
      </x:c>
      <x:c r="O68" s="9" t="str">
        <x:f>IFERROR(HYPERLINK(VLOOKUP($B68,'Hack Database'!$A:$J,10,FALSE),"Download"),"")</x:f>
      </x:c>
      <x:c r="P68" s="152"/>
    </x:row>
    <x:row r="69" ht="11" customHeight="1">
      <x:c r="A69" s="134" t="str">
        <x:f>IF(C69="","",COUNTIF($C$2:C69,"&lt;&gt;"))</x:f>
      </x:c>
      <x:c r="B69" s="4"/>
      <x:c r="C69" s="3" t="str">
        <x:f>IFERROR(VLOOKUP($B69,'Hack Database'!$A:$J,2,FALSE),"")</x:f>
      </x:c>
      <x:c r="D69" s="3" t="str">
        <x:f>IFERROR(VLOOKUP($B69,'Hack Database'!$A:$J,3,FALSE),"")</x:f>
      </x:c>
      <x:c r="E69" s="7" t="str">
        <x:f>IFERROR(VLOOKUP($B69,'Hack Database'!$A:$J,4,FALSE),"")</x:f>
      </x:c>
      <x:c r="F69" s="3" t="str">
        <x:f>IFERROR(VLOOKUP($B69,'Hack Database'!$A:$J,5,FALSE),"")</x:f>
      </x:c>
      <x:c r="G69" s="3" t="str">
        <x:f>IFERROR(VLOOKUP($B69,'Hack Database'!$A:$J,6,FALSE),"")</x:f>
      </x:c>
      <x:c r="H69" s="6"/>
      <x:c r="I69" s="6"/>
      <x:c r="J69" s="4"/>
      <x:c r="K69" s="3" t="str">
        <x:f t="shared" si="1"/>
      </x:c>
      <x:c r="L69" s="8"/>
      <x:c r="M69" s="5"/>
      <x:c r="N69" s="9" t="str">
        <x:f>IFERROR(HYPERLINK(VLOOKUP($B69,'Hack Database'!$A:$J,9,FALSE),"Open Page"),"")</x:f>
      </x:c>
      <x:c r="O69" s="9" t="str">
        <x:f>IFERROR(HYPERLINK(VLOOKUP($B69,'Hack Database'!$A:$J,10,FALSE),"Download"),"")</x:f>
      </x:c>
      <x:c r="P69" s="152"/>
    </x:row>
    <x:row r="70" ht="11" customHeight="1">
      <x:c r="A70" s="134" t="str">
        <x:f>IF(C70="","",COUNTIF($C$2:C70,"&lt;&gt;"))</x:f>
      </x:c>
      <x:c r="B70" s="4"/>
      <x:c r="C70" s="3" t="str">
        <x:f>IFERROR(VLOOKUP($B70,'Hack Database'!$A:$J,2,FALSE),"")</x:f>
      </x:c>
      <x:c r="D70" s="3" t="str">
        <x:f>IFERROR(VLOOKUP($B70,'Hack Database'!$A:$J,3,FALSE),"")</x:f>
      </x:c>
      <x:c r="E70" s="7" t="str">
        <x:f>IFERROR(VLOOKUP($B70,'Hack Database'!$A:$J,4,FALSE),"")</x:f>
      </x:c>
      <x:c r="F70" s="3" t="str">
        <x:f>IFERROR(VLOOKUP($B70,'Hack Database'!$A:$J,5,FALSE),"")</x:f>
      </x:c>
      <x:c r="G70" s="3" t="str">
        <x:f>IFERROR(VLOOKUP($B70,'Hack Database'!$A:$J,6,FALSE),"")</x:f>
      </x:c>
      <x:c r="H70" s="6"/>
      <x:c r="I70" s="6"/>
      <x:c r="J70" s="4"/>
      <x:c r="K70" s="3" t="str">
        <x:f t="shared" si="1"/>
      </x:c>
      <x:c r="L70" s="8"/>
      <x:c r="M70" s="5"/>
      <x:c r="N70" s="9" t="str">
        <x:f>IFERROR(HYPERLINK(VLOOKUP($B70,'Hack Database'!$A:$J,9,FALSE),"Open Page"),"")</x:f>
      </x:c>
      <x:c r="O70" s="9" t="str">
        <x:f>IFERROR(HYPERLINK(VLOOKUP($B70,'Hack Database'!$A:$J,10,FALSE),"Download"),"")</x:f>
      </x:c>
      <x:c r="P70" s="152"/>
    </x:row>
    <x:row r="71" ht="11" customHeight="1">
      <x:c r="A71" s="134" t="str">
        <x:f>IF(C71="","",COUNTIF($C$2:C71,"&lt;&gt;"))</x:f>
      </x:c>
      <x:c r="B71" s="4"/>
      <x:c r="C71" s="3" t="str">
        <x:f>IFERROR(VLOOKUP($B71,'Hack Database'!$A:$J,2,FALSE),"")</x:f>
      </x:c>
      <x:c r="D71" s="3" t="str">
        <x:f>IFERROR(VLOOKUP($B71,'Hack Database'!$A:$J,3,FALSE),"")</x:f>
      </x:c>
      <x:c r="E71" s="7" t="str">
        <x:f>IFERROR(VLOOKUP($B71,'Hack Database'!$A:$J,4,FALSE),"")</x:f>
      </x:c>
      <x:c r="F71" s="3" t="str">
        <x:f>IFERROR(VLOOKUP($B71,'Hack Database'!$A:$J,5,FALSE),"")</x:f>
      </x:c>
      <x:c r="G71" s="3" t="str">
        <x:f>IFERROR(VLOOKUP($B71,'Hack Database'!$A:$J,6,FALSE),"")</x:f>
      </x:c>
      <x:c r="H71" s="6"/>
      <x:c r="I71" s="6"/>
      <x:c r="J71" s="4"/>
      <x:c r="K71" s="3" t="str">
        <x:f t="shared" si="1"/>
      </x:c>
      <x:c r="L71" s="8"/>
      <x:c r="M71" s="5"/>
      <x:c r="N71" s="9" t="str">
        <x:f>IFERROR(HYPERLINK(VLOOKUP($B71,'Hack Database'!$A:$J,9,FALSE),"Open Page"),"")</x:f>
      </x:c>
      <x:c r="O71" s="9" t="str">
        <x:f>IFERROR(HYPERLINK(VLOOKUP($B71,'Hack Database'!$A:$J,10,FALSE),"Download"),"")</x:f>
      </x:c>
      <x:c r="P71" s="152"/>
    </x:row>
    <x:row r="72" ht="11" customHeight="1">
      <x:c r="A72" s="134" t="str">
        <x:f>IF(C72="","",COUNTIF($C$2:C72,"&lt;&gt;"))</x:f>
      </x:c>
      <x:c r="B72" s="4"/>
      <x:c r="C72" s="3" t="str">
        <x:f>IFERROR(VLOOKUP($B72,'Hack Database'!$A:$J,2,FALSE),"")</x:f>
      </x:c>
      <x:c r="D72" s="3" t="str">
        <x:f>IFERROR(VLOOKUP($B72,'Hack Database'!$A:$J,3,FALSE),"")</x:f>
      </x:c>
      <x:c r="E72" s="7" t="str">
        <x:f>IFERROR(VLOOKUP($B72,'Hack Database'!$A:$J,4,FALSE),"")</x:f>
      </x:c>
      <x:c r="F72" s="3" t="str">
        <x:f>IFERROR(VLOOKUP($B72,'Hack Database'!$A:$J,5,FALSE),"")</x:f>
      </x:c>
      <x:c r="G72" s="3" t="str">
        <x:f>IFERROR(VLOOKUP($B72,'Hack Database'!$A:$J,6,FALSE),"")</x:f>
      </x:c>
      <x:c r="H72" s="6"/>
      <x:c r="I72" s="6"/>
      <x:c r="J72" s="4"/>
      <x:c r="K72" s="3" t="str">
        <x:f t="shared" si="1"/>
      </x:c>
      <x:c r="L72" s="8"/>
      <x:c r="M72" s="5"/>
      <x:c r="N72" s="9" t="str">
        <x:f>IFERROR(HYPERLINK(VLOOKUP($B72,'Hack Database'!$A:$J,9,FALSE),"Open Page"),"")</x:f>
      </x:c>
      <x:c r="O72" s="9" t="str">
        <x:f>IFERROR(HYPERLINK(VLOOKUP($B72,'Hack Database'!$A:$J,10,FALSE),"Download"),"")</x:f>
      </x:c>
      <x:c r="P72" s="152"/>
    </x:row>
    <x:row r="73" ht="11" customHeight="1">
      <x:c r="A73" s="134" t="str">
        <x:f>IF(C73="","",COUNTIF($C$2:C73,"&lt;&gt;"))</x:f>
      </x:c>
      <x:c r="B73" s="4"/>
      <x:c r="C73" s="3" t="str">
        <x:f>IFERROR(VLOOKUP($B73,'Hack Database'!$A:$J,2,FALSE),"")</x:f>
      </x:c>
      <x:c r="D73" s="3" t="str">
        <x:f>IFERROR(VLOOKUP($B73,'Hack Database'!$A:$J,3,FALSE),"")</x:f>
      </x:c>
      <x:c r="E73" s="7" t="str">
        <x:f>IFERROR(VLOOKUP($B73,'Hack Database'!$A:$J,4,FALSE),"")</x:f>
      </x:c>
      <x:c r="F73" s="3" t="str">
        <x:f>IFERROR(VLOOKUP($B73,'Hack Database'!$A:$J,5,FALSE),"")</x:f>
      </x:c>
      <x:c r="G73" s="3" t="str">
        <x:f>IFERROR(VLOOKUP($B73,'Hack Database'!$A:$J,6,FALSE),"")</x:f>
      </x:c>
      <x:c r="H73" s="6"/>
      <x:c r="I73" s="6"/>
      <x:c r="J73" s="4"/>
      <x:c r="K73" s="3" t="str">
        <x:f t="shared" si="1"/>
      </x:c>
      <x:c r="L73" s="8"/>
      <x:c r="M73" s="5"/>
      <x:c r="N73" s="9" t="str">
        <x:f>IFERROR(HYPERLINK(VLOOKUP($B73,'Hack Database'!$A:$J,9,FALSE),"Open Page"),"")</x:f>
      </x:c>
      <x:c r="O73" s="9" t="str">
        <x:f>IFERROR(HYPERLINK(VLOOKUP($B73,'Hack Database'!$A:$J,10,FALSE),"Download"),"")</x:f>
      </x:c>
      <x:c r="P73" s="152"/>
    </x:row>
    <x:row r="74" ht="11" customHeight="1">
      <x:c r="A74" s="134" t="str">
        <x:f>IF(C74="","",COUNTIF($C$2:C74,"&lt;&gt;"))</x:f>
      </x:c>
      <x:c r="B74" s="4"/>
      <x:c r="C74" s="3" t="str">
        <x:f>IFERROR(VLOOKUP($B74,'Hack Database'!$A:$J,2,FALSE),"")</x:f>
      </x:c>
      <x:c r="D74" s="3" t="str">
        <x:f>IFERROR(VLOOKUP($B74,'Hack Database'!$A:$J,3,FALSE),"")</x:f>
      </x:c>
      <x:c r="E74" s="7" t="str">
        <x:f>IFERROR(VLOOKUP($B74,'Hack Database'!$A:$J,4,FALSE),"")</x:f>
      </x:c>
      <x:c r="F74" s="3" t="str">
        <x:f>IFERROR(VLOOKUP($B74,'Hack Database'!$A:$J,5,FALSE),"")</x:f>
      </x:c>
      <x:c r="G74" s="3" t="str">
        <x:f>IFERROR(VLOOKUP($B74,'Hack Database'!$A:$J,6,FALSE),"")</x:f>
      </x:c>
      <x:c r="H74" s="6"/>
      <x:c r="I74" s="6"/>
      <x:c r="J74" s="4"/>
      <x:c r="K74" s="3" t="str">
        <x:f t="shared" si="1"/>
      </x:c>
      <x:c r="L74" s="8"/>
      <x:c r="M74" s="5"/>
      <x:c r="N74" s="9" t="str">
        <x:f>IFERROR(HYPERLINK(VLOOKUP($B74,'Hack Database'!$A:$J,9,FALSE),"Open Page"),"")</x:f>
      </x:c>
      <x:c r="O74" s="9" t="str">
        <x:f>IFERROR(HYPERLINK(VLOOKUP($B74,'Hack Database'!$A:$J,10,FALSE),"Download"),"")</x:f>
      </x:c>
      <x:c r="P74" s="152"/>
    </x:row>
    <x:row r="75" ht="11" customHeight="1">
      <x:c r="A75" s="134" t="str">
        <x:f>IF(C75="","",COUNTIF($C$2:C75,"&lt;&gt;"))</x:f>
      </x:c>
      <x:c r="B75" s="4"/>
      <x:c r="C75" s="3" t="str">
        <x:f>IFERROR(VLOOKUP($B75,'Hack Database'!$A:$J,2,FALSE),"")</x:f>
      </x:c>
      <x:c r="D75" s="3" t="str">
        <x:f>IFERROR(VLOOKUP($B75,'Hack Database'!$A:$J,3,FALSE),"")</x:f>
      </x:c>
      <x:c r="E75" s="7" t="str">
        <x:f>IFERROR(VLOOKUP($B75,'Hack Database'!$A:$J,4,FALSE),"")</x:f>
      </x:c>
      <x:c r="F75" s="3" t="str">
        <x:f>IFERROR(VLOOKUP($B75,'Hack Database'!$A:$J,5,FALSE),"")</x:f>
      </x:c>
      <x:c r="G75" s="3" t="str">
        <x:f>IFERROR(VLOOKUP($B75,'Hack Database'!$A:$J,6,FALSE),"")</x:f>
      </x:c>
      <x:c r="H75" s="6"/>
      <x:c r="I75" s="6"/>
      <x:c r="J75" s="4"/>
      <x:c r="K75" s="3" t="str">
        <x:f t="shared" si="1"/>
      </x:c>
      <x:c r="L75" s="8"/>
      <x:c r="M75" s="5"/>
      <x:c r="N75" s="9" t="str">
        <x:f>IFERROR(HYPERLINK(VLOOKUP($B75,'Hack Database'!$A:$J,9,FALSE),"Open Page"),"")</x:f>
      </x:c>
      <x:c r="O75" s="9" t="str">
        <x:f>IFERROR(HYPERLINK(VLOOKUP($B75,'Hack Database'!$A:$J,10,FALSE),"Download"),"")</x:f>
      </x:c>
      <x:c r="P75" s="152"/>
    </x:row>
    <x:row r="76" ht="11" customHeight="1">
      <x:c r="A76" s="134" t="str">
        <x:f>IF(C76="","",COUNTIF($C$2:C76,"&lt;&gt;"))</x:f>
      </x:c>
      <x:c r="B76" s="4"/>
      <x:c r="C76" s="3" t="str">
        <x:f>IFERROR(VLOOKUP($B76,'Hack Database'!$A:$J,2,FALSE),"")</x:f>
      </x:c>
      <x:c r="D76" s="3" t="str">
        <x:f>IFERROR(VLOOKUP($B76,'Hack Database'!$A:$J,3,FALSE),"")</x:f>
      </x:c>
      <x:c r="E76" s="7" t="str">
        <x:f>IFERROR(VLOOKUP($B76,'Hack Database'!$A:$J,4,FALSE),"")</x:f>
      </x:c>
      <x:c r="F76" s="3" t="str">
        <x:f>IFERROR(VLOOKUP($B76,'Hack Database'!$A:$J,5,FALSE),"")</x:f>
      </x:c>
      <x:c r="G76" s="3" t="str">
        <x:f>IFERROR(VLOOKUP($B76,'Hack Database'!$A:$J,6,FALSE),"")</x:f>
      </x:c>
      <x:c r="H76" s="6"/>
      <x:c r="I76" s="6"/>
      <x:c r="J76" s="4"/>
      <x:c r="K76" s="3" t="str">
        <x:f t="shared" si="1"/>
      </x:c>
      <x:c r="L76" s="8"/>
      <x:c r="M76" s="5"/>
      <x:c r="N76" s="9" t="str">
        <x:f>IFERROR(HYPERLINK(VLOOKUP($B76,'Hack Database'!$A:$J,9,FALSE),"Open Page"),"")</x:f>
      </x:c>
      <x:c r="O76" s="9" t="str">
        <x:f>IFERROR(HYPERLINK(VLOOKUP($B76,'Hack Database'!$A:$J,10,FALSE),"Download"),"")</x:f>
      </x:c>
      <x:c r="P76" s="152"/>
    </x:row>
    <x:row r="77" ht="11" customHeight="1">
      <x:c r="A77" s="134" t="str">
        <x:f>IF(C77="","",COUNTIF($C$2:C77,"&lt;&gt;"))</x:f>
      </x:c>
      <x:c r="B77" s="4"/>
      <x:c r="C77" s="3" t="str">
        <x:f>IFERROR(VLOOKUP($B77,'Hack Database'!$A:$J,2,FALSE),"")</x:f>
      </x:c>
      <x:c r="D77" s="3" t="str">
        <x:f>IFERROR(VLOOKUP($B77,'Hack Database'!$A:$J,3,FALSE),"")</x:f>
      </x:c>
      <x:c r="E77" s="7" t="str">
        <x:f>IFERROR(VLOOKUP($B77,'Hack Database'!$A:$J,4,FALSE),"")</x:f>
      </x:c>
      <x:c r="F77" s="3" t="str">
        <x:f>IFERROR(VLOOKUP($B77,'Hack Database'!$A:$J,5,FALSE),"")</x:f>
      </x:c>
      <x:c r="G77" s="3" t="str">
        <x:f>IFERROR(VLOOKUP($B77,'Hack Database'!$A:$J,6,FALSE),"")</x:f>
      </x:c>
      <x:c r="H77" s="6"/>
      <x:c r="I77" s="6"/>
      <x:c r="J77" s="4"/>
      <x:c r="K77" s="3" t="str">
        <x:f t="shared" si="1"/>
      </x:c>
      <x:c r="L77" s="8"/>
      <x:c r="M77" s="5"/>
      <x:c r="N77" s="9" t="str">
        <x:f>IFERROR(HYPERLINK(VLOOKUP($B77,'Hack Database'!$A:$J,9,FALSE),"Open Page"),"")</x:f>
      </x:c>
      <x:c r="O77" s="9" t="str">
        <x:f>IFERROR(HYPERLINK(VLOOKUP($B77,'Hack Database'!$A:$J,10,FALSE),"Download"),"")</x:f>
      </x:c>
      <x:c r="P77" s="152"/>
    </x:row>
    <x:row r="78" ht="11" customHeight="1">
      <x:c r="A78" s="134" t="str">
        <x:f>IF(C78="","",COUNTIF($C$2:C78,"&lt;&gt;"))</x:f>
      </x:c>
      <x:c r="B78" s="4"/>
      <x:c r="C78" s="3" t="str">
        <x:f>IFERROR(VLOOKUP($B78,'Hack Database'!$A:$J,2,FALSE),"")</x:f>
      </x:c>
      <x:c r="D78" s="3" t="str">
        <x:f>IFERROR(VLOOKUP($B78,'Hack Database'!$A:$J,3,FALSE),"")</x:f>
      </x:c>
      <x:c r="E78" s="7" t="str">
        <x:f>IFERROR(VLOOKUP($B78,'Hack Database'!$A:$J,4,FALSE),"")</x:f>
      </x:c>
      <x:c r="F78" s="3" t="str">
        <x:f>IFERROR(VLOOKUP($B78,'Hack Database'!$A:$J,5,FALSE),"")</x:f>
      </x:c>
      <x:c r="G78" s="3" t="str">
        <x:f>IFERROR(VLOOKUP($B78,'Hack Database'!$A:$J,6,FALSE),"")</x:f>
      </x:c>
      <x:c r="H78" s="6"/>
      <x:c r="I78" s="6"/>
      <x:c r="J78" s="4"/>
      <x:c r="K78" s="3" t="str">
        <x:f t="shared" si="1"/>
      </x:c>
      <x:c r="L78" s="8"/>
      <x:c r="M78" s="5"/>
      <x:c r="N78" s="9" t="str">
        <x:f>IFERROR(HYPERLINK(VLOOKUP($B78,'Hack Database'!$A:$J,9,FALSE),"Open Page"),"")</x:f>
      </x:c>
      <x:c r="O78" s="9" t="str">
        <x:f>IFERROR(HYPERLINK(VLOOKUP($B78,'Hack Database'!$A:$J,10,FALSE),"Download"),"")</x:f>
      </x:c>
      <x:c r="P78" s="152"/>
    </x:row>
    <x:row r="79" ht="11" customHeight="1">
      <x:c r="A79" s="134" t="str">
        <x:f>IF(C79="","",COUNTIF($C$2:C79,"&lt;&gt;"))</x:f>
      </x:c>
      <x:c r="B79" s="4"/>
      <x:c r="C79" s="3" t="str">
        <x:f>IFERROR(VLOOKUP($B79,'Hack Database'!$A:$J,2,FALSE),"")</x:f>
      </x:c>
      <x:c r="D79" s="3" t="str">
        <x:f>IFERROR(VLOOKUP($B79,'Hack Database'!$A:$J,3,FALSE),"")</x:f>
      </x:c>
      <x:c r="E79" s="7" t="str">
        <x:f>IFERROR(VLOOKUP($B79,'Hack Database'!$A:$J,4,FALSE),"")</x:f>
      </x:c>
      <x:c r="F79" s="3" t="str">
        <x:f>IFERROR(VLOOKUP($B79,'Hack Database'!$A:$J,5,FALSE),"")</x:f>
      </x:c>
      <x:c r="G79" s="3" t="str">
        <x:f>IFERROR(VLOOKUP($B79,'Hack Database'!$A:$J,6,FALSE),"")</x:f>
      </x:c>
      <x:c r="H79" s="6"/>
      <x:c r="I79" s="6"/>
      <x:c r="J79" s="4"/>
      <x:c r="K79" s="3" t="str">
        <x:f t="shared" si="1"/>
      </x:c>
      <x:c r="L79" s="8"/>
      <x:c r="M79" s="5"/>
      <x:c r="N79" s="9" t="str">
        <x:f>IFERROR(HYPERLINK(VLOOKUP($B79,'Hack Database'!$A:$J,9,FALSE),"Open Page"),"")</x:f>
      </x:c>
      <x:c r="O79" s="9" t="str">
        <x:f>IFERROR(HYPERLINK(VLOOKUP($B79,'Hack Database'!$A:$J,10,FALSE),"Download"),"")</x:f>
      </x:c>
      <x:c r="P79" s="152"/>
    </x:row>
    <x:row r="80" ht="11" customHeight="1">
      <x:c r="A80" s="134" t="str">
        <x:f>IF(C80="","",COUNTIF($C$2:C80,"&lt;&gt;"))</x:f>
      </x:c>
      <x:c r="B80" s="4"/>
      <x:c r="C80" s="3" t="str">
        <x:f>IFERROR(VLOOKUP($B80,'Hack Database'!$A:$J,2,FALSE),"")</x:f>
      </x:c>
      <x:c r="D80" s="3" t="str">
        <x:f>IFERROR(VLOOKUP($B80,'Hack Database'!$A:$J,3,FALSE),"")</x:f>
      </x:c>
      <x:c r="E80" s="7" t="str">
        <x:f>IFERROR(VLOOKUP($B80,'Hack Database'!$A:$J,4,FALSE),"")</x:f>
      </x:c>
      <x:c r="F80" s="3" t="str">
        <x:f>IFERROR(VLOOKUP($B80,'Hack Database'!$A:$J,5,FALSE),"")</x:f>
      </x:c>
      <x:c r="G80" s="3" t="str">
        <x:f>IFERROR(VLOOKUP($B80,'Hack Database'!$A:$J,6,FALSE),"")</x:f>
      </x:c>
      <x:c r="H80" s="6"/>
      <x:c r="I80" s="6"/>
      <x:c r="J80" s="4"/>
      <x:c r="K80" s="3" t="str">
        <x:f t="shared" si="1"/>
      </x:c>
      <x:c r="L80" s="8"/>
      <x:c r="M80" s="5"/>
      <x:c r="N80" s="9" t="str">
        <x:f>IFERROR(HYPERLINK(VLOOKUP($B80,'Hack Database'!$A:$J,9,FALSE),"Open Page"),"")</x:f>
      </x:c>
      <x:c r="O80" s="9" t="str">
        <x:f>IFERROR(HYPERLINK(VLOOKUP($B80,'Hack Database'!$A:$J,10,FALSE),"Download"),"")</x:f>
      </x:c>
      <x:c r="P80" s="152"/>
    </x:row>
    <x:row r="81" ht="11" customHeight="1">
      <x:c r="A81" s="134" t="str">
        <x:f>IF(C81="","",COUNTIF($C$2:C81,"&lt;&gt;"))</x:f>
      </x:c>
      <x:c r="B81" s="4"/>
      <x:c r="C81" s="3" t="str">
        <x:f>IFERROR(VLOOKUP($B81,'Hack Database'!$A:$J,2,FALSE),"")</x:f>
      </x:c>
      <x:c r="D81" s="3" t="str">
        <x:f>IFERROR(VLOOKUP($B81,'Hack Database'!$A:$J,3,FALSE),"")</x:f>
      </x:c>
      <x:c r="E81" s="7" t="str">
        <x:f>IFERROR(VLOOKUP($B81,'Hack Database'!$A:$J,4,FALSE),"")</x:f>
      </x:c>
      <x:c r="F81" s="3" t="str">
        <x:f>IFERROR(VLOOKUP($B81,'Hack Database'!$A:$J,5,FALSE),"")</x:f>
      </x:c>
      <x:c r="G81" s="3" t="str">
        <x:f>IFERROR(VLOOKUP($B81,'Hack Database'!$A:$J,6,FALSE),"")</x:f>
      </x:c>
      <x:c r="H81" s="6"/>
      <x:c r="I81" s="6"/>
      <x:c r="J81" s="4"/>
      <x:c r="K81" s="3" t="str">
        <x:f t="shared" si="1"/>
      </x:c>
      <x:c r="L81" s="8"/>
      <x:c r="M81" s="5"/>
      <x:c r="N81" s="9" t="str">
        <x:f>IFERROR(HYPERLINK(VLOOKUP($B81,'Hack Database'!$A:$J,9,FALSE),"Open Page"),"")</x:f>
      </x:c>
      <x:c r="O81" s="9" t="str">
        <x:f>IFERROR(HYPERLINK(VLOOKUP($B81,'Hack Database'!$A:$J,10,FALSE),"Download"),"")</x:f>
      </x:c>
      <x:c r="P81" s="152"/>
    </x:row>
    <x:row r="82" ht="11" customHeight="1">
      <x:c r="A82" s="134" t="str">
        <x:f>IF(C82="","",COUNTIF($C$2:C82,"&lt;&gt;"))</x:f>
      </x:c>
      <x:c r="B82" s="4"/>
      <x:c r="C82" s="3" t="str">
        <x:f>IFERROR(VLOOKUP($B82,'Hack Database'!$A:$J,2,FALSE),"")</x:f>
      </x:c>
      <x:c r="D82" s="3" t="str">
        <x:f>IFERROR(VLOOKUP($B82,'Hack Database'!$A:$J,3,FALSE),"")</x:f>
      </x:c>
      <x:c r="E82" s="7" t="str">
        <x:f>IFERROR(VLOOKUP($B82,'Hack Database'!$A:$J,4,FALSE),"")</x:f>
      </x:c>
      <x:c r="F82" s="3" t="str">
        <x:f>IFERROR(VLOOKUP($B82,'Hack Database'!$A:$J,5,FALSE),"")</x:f>
      </x:c>
      <x:c r="G82" s="3" t="str">
        <x:f>IFERROR(VLOOKUP($B82,'Hack Database'!$A:$J,6,FALSE),"")</x:f>
      </x:c>
      <x:c r="H82" s="6"/>
      <x:c r="I82" s="6"/>
      <x:c r="J82" s="4"/>
      <x:c r="K82" s="3" t="str">
        <x:f t="shared" si="1"/>
      </x:c>
      <x:c r="L82" s="8"/>
      <x:c r="M82" s="5"/>
      <x:c r="N82" s="9" t="str">
        <x:f>IFERROR(HYPERLINK(VLOOKUP($B82,'Hack Database'!$A:$J,9,FALSE),"Open Page"),"")</x:f>
      </x:c>
      <x:c r="O82" s="9" t="str">
        <x:f>IFERROR(HYPERLINK(VLOOKUP($B82,'Hack Database'!$A:$J,10,FALSE),"Download"),"")</x:f>
      </x:c>
      <x:c r="P82" s="152"/>
    </x:row>
    <x:row r="83" ht="11" customHeight="1">
      <x:c r="A83" s="134" t="str">
        <x:f>IF(C83="","",COUNTIF($C$2:C83,"&lt;&gt;"))</x:f>
      </x:c>
      <x:c r="B83" s="4"/>
      <x:c r="C83" s="3" t="str">
        <x:f>IFERROR(VLOOKUP($B83,'Hack Database'!$A:$J,2,FALSE),"")</x:f>
      </x:c>
      <x:c r="D83" s="3" t="str">
        <x:f>IFERROR(VLOOKUP($B83,'Hack Database'!$A:$J,3,FALSE),"")</x:f>
      </x:c>
      <x:c r="E83" s="7" t="str">
        <x:f>IFERROR(VLOOKUP($B83,'Hack Database'!$A:$J,4,FALSE),"")</x:f>
      </x:c>
      <x:c r="F83" s="3" t="str">
        <x:f>IFERROR(VLOOKUP($B83,'Hack Database'!$A:$J,5,FALSE),"")</x:f>
      </x:c>
      <x:c r="G83" s="3" t="str">
        <x:f>IFERROR(VLOOKUP($B83,'Hack Database'!$A:$J,6,FALSE),"")</x:f>
      </x:c>
      <x:c r="H83" s="6"/>
      <x:c r="I83" s="6"/>
      <x:c r="J83" s="4"/>
      <x:c r="K83" s="3" t="str">
        <x:f t="shared" si="1"/>
      </x:c>
      <x:c r="L83" s="8"/>
      <x:c r="M83" s="5"/>
      <x:c r="N83" s="9" t="str">
        <x:f>IFERROR(HYPERLINK(VLOOKUP($B83,'Hack Database'!$A:$J,9,FALSE),"Open Page"),"")</x:f>
      </x:c>
      <x:c r="O83" s="9" t="str">
        <x:f>IFERROR(HYPERLINK(VLOOKUP($B83,'Hack Database'!$A:$J,10,FALSE),"Download"),"")</x:f>
      </x:c>
      <x:c r="P83" s="152"/>
    </x:row>
    <x:row r="84" ht="11" customHeight="1">
      <x:c r="A84" s="134" t="str">
        <x:f>IF(C84="","",COUNTIF($C$2:C84,"&lt;&gt;"))</x:f>
      </x:c>
      <x:c r="B84" s="4"/>
      <x:c r="C84" s="3" t="str">
        <x:f>IFERROR(VLOOKUP($B84,'Hack Database'!$A:$J,2,FALSE),"")</x:f>
      </x:c>
      <x:c r="D84" s="3" t="str">
        <x:f>IFERROR(VLOOKUP($B84,'Hack Database'!$A:$J,3,FALSE),"")</x:f>
      </x:c>
      <x:c r="E84" s="7" t="str">
        <x:f>IFERROR(VLOOKUP($B84,'Hack Database'!$A:$J,4,FALSE),"")</x:f>
      </x:c>
      <x:c r="F84" s="3" t="str">
        <x:f>IFERROR(VLOOKUP($B84,'Hack Database'!$A:$J,5,FALSE),"")</x:f>
      </x:c>
      <x:c r="G84" s="3" t="str">
        <x:f>IFERROR(VLOOKUP($B84,'Hack Database'!$A:$J,6,FALSE),"")</x:f>
      </x:c>
      <x:c r="H84" s="6"/>
      <x:c r="I84" s="6"/>
      <x:c r="J84" s="4"/>
      <x:c r="K84" s="3" t="str">
        <x:f t="shared" si="1"/>
      </x:c>
      <x:c r="L84" s="8"/>
      <x:c r="M84" s="5"/>
      <x:c r="N84" s="9" t="str">
        <x:f>IFERROR(HYPERLINK(VLOOKUP($B84,'Hack Database'!$A:$J,9,FALSE),"Open Page"),"")</x:f>
      </x:c>
      <x:c r="O84" s="9" t="str">
        <x:f>IFERROR(HYPERLINK(VLOOKUP($B84,'Hack Database'!$A:$J,10,FALSE),"Download"),"")</x:f>
      </x:c>
      <x:c r="P84" s="152"/>
    </x:row>
    <x:row r="85" ht="11" customHeight="1">
      <x:c r="A85" s="134" t="str">
        <x:f>IF(C85="","",COUNTIF($C$2:C85,"&lt;&gt;"))</x:f>
      </x:c>
      <x:c r="B85" s="4"/>
      <x:c r="C85" s="3" t="str">
        <x:f>IFERROR(VLOOKUP($B85,'Hack Database'!$A:$J,2,FALSE),"")</x:f>
      </x:c>
      <x:c r="D85" s="3" t="str">
        <x:f>IFERROR(VLOOKUP($B85,'Hack Database'!$A:$J,3,FALSE),"")</x:f>
      </x:c>
      <x:c r="E85" s="7" t="str">
        <x:f>IFERROR(VLOOKUP($B85,'Hack Database'!$A:$J,4,FALSE),"")</x:f>
      </x:c>
      <x:c r="F85" s="3" t="str">
        <x:f>IFERROR(VLOOKUP($B85,'Hack Database'!$A:$J,5,FALSE),"")</x:f>
      </x:c>
      <x:c r="G85" s="3" t="str">
        <x:f>IFERROR(VLOOKUP($B85,'Hack Database'!$A:$J,6,FALSE),"")</x:f>
      </x:c>
      <x:c r="H85" s="6"/>
      <x:c r="I85" s="6"/>
      <x:c r="J85" s="4"/>
      <x:c r="K85" s="3" t="str">
        <x:f t="shared" si="1"/>
      </x:c>
      <x:c r="L85" s="8"/>
      <x:c r="M85" s="5"/>
      <x:c r="N85" s="9" t="str">
        <x:f>IFERROR(HYPERLINK(VLOOKUP($B85,'Hack Database'!$A:$J,9,FALSE),"Open Page"),"")</x:f>
      </x:c>
      <x:c r="O85" s="9" t="str">
        <x:f>IFERROR(HYPERLINK(VLOOKUP($B85,'Hack Database'!$A:$J,10,FALSE),"Download"),"")</x:f>
      </x:c>
      <x:c r="P85" s="152"/>
    </x:row>
    <x:row r="86" ht="11" customHeight="1">
      <x:c r="A86" s="134" t="str">
        <x:f>IF(C86="","",COUNTIF($C$2:C86,"&lt;&gt;"))</x:f>
      </x:c>
      <x:c r="B86" s="4"/>
      <x:c r="C86" s="3" t="str">
        <x:f>IFERROR(VLOOKUP($B86,'Hack Database'!$A:$J,2,FALSE),"")</x:f>
      </x:c>
      <x:c r="D86" s="3" t="str">
        <x:f>IFERROR(VLOOKUP($B86,'Hack Database'!$A:$J,3,FALSE),"")</x:f>
      </x:c>
      <x:c r="E86" s="7" t="str">
        <x:f>IFERROR(VLOOKUP($B86,'Hack Database'!$A:$J,4,FALSE),"")</x:f>
      </x:c>
      <x:c r="F86" s="3" t="str">
        <x:f>IFERROR(VLOOKUP($B86,'Hack Database'!$A:$J,5,FALSE),"")</x:f>
      </x:c>
      <x:c r="G86" s="3" t="str">
        <x:f>IFERROR(VLOOKUP($B86,'Hack Database'!$A:$J,6,FALSE),"")</x:f>
      </x:c>
      <x:c r="H86" s="6"/>
      <x:c r="I86" s="6"/>
      <x:c r="J86" s="4"/>
      <x:c r="K86" s="3" t="str">
        <x:f t="shared" si="1"/>
      </x:c>
      <x:c r="L86" s="8"/>
      <x:c r="M86" s="5"/>
      <x:c r="N86" s="9" t="str">
        <x:f>IFERROR(HYPERLINK(VLOOKUP($B86,'Hack Database'!$A:$J,9,FALSE),"Open Page"),"")</x:f>
      </x:c>
      <x:c r="O86" s="9" t="str">
        <x:f>IFERROR(HYPERLINK(VLOOKUP($B86,'Hack Database'!$A:$J,10,FALSE),"Download"),"")</x:f>
      </x:c>
      <x:c r="P86" s="152"/>
    </x:row>
    <x:row r="87" ht="11" customHeight="1">
      <x:c r="A87" s="134" t="str">
        <x:f>IF(C87="","",COUNTIF($C$2:C87,"&lt;&gt;"))</x:f>
      </x:c>
      <x:c r="B87" s="4"/>
      <x:c r="C87" s="3" t="str">
        <x:f>IFERROR(VLOOKUP($B87,'Hack Database'!$A:$J,2,FALSE),"")</x:f>
      </x:c>
      <x:c r="D87" s="3" t="str">
        <x:f>IFERROR(VLOOKUP($B87,'Hack Database'!$A:$J,3,FALSE),"")</x:f>
      </x:c>
      <x:c r="E87" s="7" t="str">
        <x:f>IFERROR(VLOOKUP($B87,'Hack Database'!$A:$J,4,FALSE),"")</x:f>
      </x:c>
      <x:c r="F87" s="3" t="str">
        <x:f>IFERROR(VLOOKUP($B87,'Hack Database'!$A:$J,5,FALSE),"")</x:f>
      </x:c>
      <x:c r="G87" s="3" t="str">
        <x:f>IFERROR(VLOOKUP($B87,'Hack Database'!$A:$J,6,FALSE),"")</x:f>
      </x:c>
      <x:c r="H87" s="6"/>
      <x:c r="I87" s="6"/>
      <x:c r="J87" s="4"/>
      <x:c r="K87" s="3" t="str">
        <x:f t="shared" si="1"/>
      </x:c>
      <x:c r="L87" s="8"/>
      <x:c r="M87" s="5"/>
      <x:c r="N87" s="9" t="str">
        <x:f>IFERROR(HYPERLINK(VLOOKUP($B87,'Hack Database'!$A:$J,9,FALSE),"Open Page"),"")</x:f>
      </x:c>
      <x:c r="O87" s="9" t="str">
        <x:f>IFERROR(HYPERLINK(VLOOKUP($B87,'Hack Database'!$A:$J,10,FALSE),"Download"),"")</x:f>
      </x:c>
      <x:c r="P87" s="152"/>
    </x:row>
    <x:row r="88" ht="11" customHeight="1">
      <x:c r="A88" s="134" t="str">
        <x:f>IF(C88="","",COUNTIF($C$2:C88,"&lt;&gt;"))</x:f>
      </x:c>
      <x:c r="B88" s="4"/>
      <x:c r="C88" s="3" t="str">
        <x:f>IFERROR(VLOOKUP($B88,'Hack Database'!$A:$J,2,FALSE),"")</x:f>
      </x:c>
      <x:c r="D88" s="3" t="str">
        <x:f>IFERROR(VLOOKUP($B88,'Hack Database'!$A:$J,3,FALSE),"")</x:f>
      </x:c>
      <x:c r="E88" s="7" t="str">
        <x:f>IFERROR(VLOOKUP($B88,'Hack Database'!$A:$J,4,FALSE),"")</x:f>
      </x:c>
      <x:c r="F88" s="3" t="str">
        <x:f>IFERROR(VLOOKUP($B88,'Hack Database'!$A:$J,5,FALSE),"")</x:f>
      </x:c>
      <x:c r="G88" s="3" t="str">
        <x:f>IFERROR(VLOOKUP($B88,'Hack Database'!$A:$J,6,FALSE),"")</x:f>
      </x:c>
      <x:c r="H88" s="6"/>
      <x:c r="I88" s="6"/>
      <x:c r="J88" s="4"/>
      <x:c r="K88" s="3" t="str">
        <x:f t="shared" si="1"/>
      </x:c>
      <x:c r="L88" s="8"/>
      <x:c r="M88" s="5"/>
      <x:c r="N88" s="9" t="str">
        <x:f>IFERROR(HYPERLINK(VLOOKUP($B88,'Hack Database'!$A:$J,9,FALSE),"Open Page"),"")</x:f>
      </x:c>
      <x:c r="O88" s="9" t="str">
        <x:f>IFERROR(HYPERLINK(VLOOKUP($B88,'Hack Database'!$A:$J,10,FALSE),"Download"),"")</x:f>
      </x:c>
      <x:c r="P88" s="152"/>
    </x:row>
    <x:row r="89" ht="11" customHeight="1">
      <x:c r="A89" s="134" t="str">
        <x:f>IF(C89="","",COUNTIF($C$2:C89,"&lt;&gt;"))</x:f>
      </x:c>
      <x:c r="B89" s="4"/>
      <x:c r="C89" s="3" t="str">
        <x:f>IFERROR(VLOOKUP($B89,'Hack Database'!$A:$J,2,FALSE),"")</x:f>
      </x:c>
      <x:c r="D89" s="3" t="str">
        <x:f>IFERROR(VLOOKUP($B89,'Hack Database'!$A:$J,3,FALSE),"")</x:f>
      </x:c>
      <x:c r="E89" s="7" t="str">
        <x:f>IFERROR(VLOOKUP($B89,'Hack Database'!$A:$J,4,FALSE),"")</x:f>
      </x:c>
      <x:c r="F89" s="3" t="str">
        <x:f>IFERROR(VLOOKUP($B89,'Hack Database'!$A:$J,5,FALSE),"")</x:f>
      </x:c>
      <x:c r="G89" s="3" t="str">
        <x:f>IFERROR(VLOOKUP($B89,'Hack Database'!$A:$J,6,FALSE),"")</x:f>
      </x:c>
      <x:c r="H89" s="6"/>
      <x:c r="I89" s="6"/>
      <x:c r="J89" s="4"/>
      <x:c r="K89" s="3" t="str">
        <x:f t="shared" si="1"/>
      </x:c>
      <x:c r="L89" s="8"/>
      <x:c r="M89" s="5"/>
      <x:c r="N89" s="9" t="str">
        <x:f>IFERROR(HYPERLINK(VLOOKUP($B89,'Hack Database'!$A:$J,9,FALSE),"Open Page"),"")</x:f>
      </x:c>
      <x:c r="O89" s="9" t="str">
        <x:f>IFERROR(HYPERLINK(VLOOKUP($B89,'Hack Database'!$A:$J,10,FALSE),"Download"),"")</x:f>
      </x:c>
      <x:c r="P89" s="152"/>
    </x:row>
    <x:row r="90" ht="11" customHeight="1">
      <x:c r="A90" s="134" t="str">
        <x:f>IF(C90="","",COUNTIF($C$2:C90,"&lt;&gt;"))</x:f>
      </x:c>
      <x:c r="B90" s="4"/>
      <x:c r="C90" s="3" t="str">
        <x:f>IFERROR(VLOOKUP($B90,'Hack Database'!$A:$J,2,FALSE),"")</x:f>
      </x:c>
      <x:c r="D90" s="3" t="str">
        <x:f>IFERROR(VLOOKUP($B90,'Hack Database'!$A:$J,3,FALSE),"")</x:f>
      </x:c>
      <x:c r="E90" s="7" t="str">
        <x:f>IFERROR(VLOOKUP($B90,'Hack Database'!$A:$J,4,FALSE),"")</x:f>
      </x:c>
      <x:c r="F90" s="3" t="str">
        <x:f>IFERROR(VLOOKUP($B90,'Hack Database'!$A:$J,5,FALSE),"")</x:f>
      </x:c>
      <x:c r="G90" s="3" t="str">
        <x:f>IFERROR(VLOOKUP($B90,'Hack Database'!$A:$J,6,FALSE),"")</x:f>
      </x:c>
      <x:c r="H90" s="6"/>
      <x:c r="I90" s="6"/>
      <x:c r="J90" s="4"/>
      <x:c r="K90" s="3" t="str">
        <x:f t="shared" si="1"/>
      </x:c>
      <x:c r="L90" s="8"/>
      <x:c r="M90" s="5"/>
      <x:c r="N90" s="9" t="str">
        <x:f>IFERROR(HYPERLINK(VLOOKUP($B90,'Hack Database'!$A:$J,9,FALSE),"Open Page"),"")</x:f>
      </x:c>
      <x:c r="O90" s="9" t="str">
        <x:f>IFERROR(HYPERLINK(VLOOKUP($B90,'Hack Database'!$A:$J,10,FALSE),"Download"),"")</x:f>
      </x:c>
      <x:c r="P90" s="152"/>
    </x:row>
    <x:row r="91" ht="11" customHeight="1">
      <x:c r="A91" s="134" t="str">
        <x:f>IF(C91="","",COUNTIF($C$2:C91,"&lt;&gt;"))</x:f>
      </x:c>
      <x:c r="B91" s="4"/>
      <x:c r="C91" s="3" t="str">
        <x:f>IFERROR(VLOOKUP($B91,'Hack Database'!$A:$J,2,FALSE),"")</x:f>
      </x:c>
      <x:c r="D91" s="3" t="str">
        <x:f>IFERROR(VLOOKUP($B91,'Hack Database'!$A:$J,3,FALSE),"")</x:f>
      </x:c>
      <x:c r="E91" s="7" t="str">
        <x:f>IFERROR(VLOOKUP($B91,'Hack Database'!$A:$J,4,FALSE),"")</x:f>
      </x:c>
      <x:c r="F91" s="3" t="str">
        <x:f>IFERROR(VLOOKUP($B91,'Hack Database'!$A:$J,5,FALSE),"")</x:f>
      </x:c>
      <x:c r="G91" s="3" t="str">
        <x:f>IFERROR(VLOOKUP($B91,'Hack Database'!$A:$J,6,FALSE),"")</x:f>
      </x:c>
      <x:c r="H91" s="6"/>
      <x:c r="I91" s="6"/>
      <x:c r="J91" s="4"/>
      <x:c r="K91" s="3" t="str">
        <x:f t="shared" si="1"/>
      </x:c>
      <x:c r="L91" s="8"/>
      <x:c r="M91" s="5"/>
      <x:c r="N91" s="9" t="str">
        <x:f>IFERROR(HYPERLINK(VLOOKUP($B91,'Hack Database'!$A:$J,9,FALSE),"Open Page"),"")</x:f>
      </x:c>
      <x:c r="O91" s="9" t="str">
        <x:f>IFERROR(HYPERLINK(VLOOKUP($B91,'Hack Database'!$A:$J,10,FALSE),"Download"),"")</x:f>
      </x:c>
      <x:c r="P91" s="152"/>
    </x:row>
    <x:row r="92" ht="11" customHeight="1">
      <x:c r="A92" s="134" t="str">
        <x:f>IF(C92="","",COUNTIF($C$2:C92,"&lt;&gt;"))</x:f>
      </x:c>
      <x:c r="B92" s="4"/>
      <x:c r="C92" s="3" t="str">
        <x:f>IFERROR(VLOOKUP($B92,'Hack Database'!$A:$J,2,FALSE),"")</x:f>
      </x:c>
      <x:c r="D92" s="3" t="str">
        <x:f>IFERROR(VLOOKUP($B92,'Hack Database'!$A:$J,3,FALSE),"")</x:f>
      </x:c>
      <x:c r="E92" s="7" t="str">
        <x:f>IFERROR(VLOOKUP($B92,'Hack Database'!$A:$J,4,FALSE),"")</x:f>
      </x:c>
      <x:c r="F92" s="3" t="str">
        <x:f>IFERROR(VLOOKUP($B92,'Hack Database'!$A:$J,5,FALSE),"")</x:f>
      </x:c>
      <x:c r="G92" s="3" t="str">
        <x:f>IFERROR(VLOOKUP($B92,'Hack Database'!$A:$J,6,FALSE),"")</x:f>
      </x:c>
      <x:c r="H92" s="6"/>
      <x:c r="I92" s="6"/>
      <x:c r="J92" s="4"/>
      <x:c r="K92" s="3" t="str">
        <x:f t="shared" si="1"/>
      </x:c>
      <x:c r="L92" s="8"/>
      <x:c r="M92" s="5"/>
      <x:c r="N92" s="9" t="str">
        <x:f>IFERROR(HYPERLINK(VLOOKUP($B92,'Hack Database'!$A:$J,9,FALSE),"Open Page"),"")</x:f>
      </x:c>
      <x:c r="O92" s="9" t="str">
        <x:f>IFERROR(HYPERLINK(VLOOKUP($B92,'Hack Database'!$A:$J,10,FALSE),"Download"),"")</x:f>
      </x:c>
      <x:c r="P92" s="152"/>
    </x:row>
    <x:row r="93" ht="11" customHeight="1">
      <x:c r="A93" s="134" t="str">
        <x:f>IF(C93="","",COUNTIF($C$2:C93,"&lt;&gt;"))</x:f>
      </x:c>
      <x:c r="B93" s="4"/>
      <x:c r="C93" s="3" t="str">
        <x:f>IFERROR(VLOOKUP($B93,'Hack Database'!$A:$J,2,FALSE),"")</x:f>
      </x:c>
      <x:c r="D93" s="3" t="str">
        <x:f>IFERROR(VLOOKUP($B93,'Hack Database'!$A:$J,3,FALSE),"")</x:f>
      </x:c>
      <x:c r="E93" s="7" t="str">
        <x:f>IFERROR(VLOOKUP($B93,'Hack Database'!$A:$J,4,FALSE),"")</x:f>
      </x:c>
      <x:c r="F93" s="3" t="str">
        <x:f>IFERROR(VLOOKUP($B93,'Hack Database'!$A:$J,5,FALSE),"")</x:f>
      </x:c>
      <x:c r="G93" s="3" t="str">
        <x:f>IFERROR(VLOOKUP($B93,'Hack Database'!$A:$J,6,FALSE),"")</x:f>
      </x:c>
      <x:c r="H93" s="6"/>
      <x:c r="I93" s="6"/>
      <x:c r="J93" s="4"/>
      <x:c r="K93" s="3" t="str">
        <x:f t="shared" si="1"/>
      </x:c>
      <x:c r="L93" s="8"/>
      <x:c r="M93" s="5"/>
      <x:c r="N93" s="9" t="str">
        <x:f>IFERROR(HYPERLINK(VLOOKUP($B93,'Hack Database'!$A:$J,9,FALSE),"Open Page"),"")</x:f>
      </x:c>
      <x:c r="O93" s="9" t="str">
        <x:f>IFERROR(HYPERLINK(VLOOKUP($B93,'Hack Database'!$A:$J,10,FALSE),"Download"),"")</x:f>
      </x:c>
      <x:c r="P93" s="152"/>
    </x:row>
    <x:row r="94" ht="11" customHeight="1">
      <x:c r="A94" s="134" t="str">
        <x:f>IF(C94="","",COUNTIF($C$2:C94,"&lt;&gt;"))</x:f>
      </x:c>
      <x:c r="B94" s="4"/>
      <x:c r="C94" s="3" t="str">
        <x:f>IFERROR(VLOOKUP($B94,'Hack Database'!$A:$J,2,FALSE),"")</x:f>
      </x:c>
      <x:c r="D94" s="3" t="str">
        <x:f>IFERROR(VLOOKUP($B94,'Hack Database'!$A:$J,3,FALSE),"")</x:f>
      </x:c>
      <x:c r="E94" s="7" t="str">
        <x:f>IFERROR(VLOOKUP($B94,'Hack Database'!$A:$J,4,FALSE),"")</x:f>
      </x:c>
      <x:c r="F94" s="3" t="str">
        <x:f>IFERROR(VLOOKUP($B94,'Hack Database'!$A:$J,5,FALSE),"")</x:f>
      </x:c>
      <x:c r="G94" s="3" t="str">
        <x:f>IFERROR(VLOOKUP($B94,'Hack Database'!$A:$J,6,FALSE),"")</x:f>
      </x:c>
      <x:c r="H94" s="6"/>
      <x:c r="I94" s="6"/>
      <x:c r="J94" s="4"/>
      <x:c r="K94" s="3" t="str">
        <x:f t="shared" si="1"/>
      </x:c>
      <x:c r="L94" s="8"/>
      <x:c r="M94" s="5"/>
      <x:c r="N94" s="9" t="str">
        <x:f>IFERROR(HYPERLINK(VLOOKUP($B94,'Hack Database'!$A:$J,9,FALSE),"Open Page"),"")</x:f>
      </x:c>
      <x:c r="O94" s="9" t="str">
        <x:f>IFERROR(HYPERLINK(VLOOKUP($B94,'Hack Database'!$A:$J,10,FALSE),"Download"),"")</x:f>
      </x:c>
      <x:c r="P94" s="152"/>
    </x:row>
    <x:row r="95" ht="11" customHeight="1">
      <x:c r="A95" s="134" t="str">
        <x:f>IF(C95="","",COUNTIF($C$2:C95,"&lt;&gt;"))</x:f>
      </x:c>
      <x:c r="B95" s="4"/>
      <x:c r="C95" s="3" t="str">
        <x:f>IFERROR(VLOOKUP($B95,'Hack Database'!$A:$J,2,FALSE),"")</x:f>
      </x:c>
      <x:c r="D95" s="3" t="str">
        <x:f>IFERROR(VLOOKUP($B95,'Hack Database'!$A:$J,3,FALSE),"")</x:f>
      </x:c>
      <x:c r="E95" s="7" t="str">
        <x:f>IFERROR(VLOOKUP($B95,'Hack Database'!$A:$J,4,FALSE),"")</x:f>
      </x:c>
      <x:c r="F95" s="3" t="str">
        <x:f>IFERROR(VLOOKUP($B95,'Hack Database'!$A:$J,5,FALSE),"")</x:f>
      </x:c>
      <x:c r="G95" s="3" t="str">
        <x:f>IFERROR(VLOOKUP($B95,'Hack Database'!$A:$J,6,FALSE),"")</x:f>
      </x:c>
      <x:c r="H95" s="6"/>
      <x:c r="I95" s="6"/>
      <x:c r="J95" s="4"/>
      <x:c r="K95" s="3" t="str">
        <x:f t="shared" si="1"/>
      </x:c>
      <x:c r="L95" s="8"/>
      <x:c r="M95" s="5"/>
      <x:c r="N95" s="9" t="str">
        <x:f>IFERROR(HYPERLINK(VLOOKUP($B95,'Hack Database'!$A:$J,9,FALSE),"Open Page"),"")</x:f>
      </x:c>
      <x:c r="O95" s="9" t="str">
        <x:f>IFERROR(HYPERLINK(VLOOKUP($B95,'Hack Database'!$A:$J,10,FALSE),"Download"),"")</x:f>
      </x:c>
      <x:c r="P95" s="152"/>
    </x:row>
    <x:row r="96" ht="11" customHeight="1">
      <x:c r="A96" s="134" t="str">
        <x:f>IF(C96="","",COUNTIF($C$2:C96,"&lt;&gt;"))</x:f>
      </x:c>
      <x:c r="B96" s="4"/>
      <x:c r="C96" s="3" t="str">
        <x:f>IFERROR(VLOOKUP($B96,'Hack Database'!$A:$J,2,FALSE),"")</x:f>
      </x:c>
      <x:c r="D96" s="3" t="str">
        <x:f>IFERROR(VLOOKUP($B96,'Hack Database'!$A:$J,3,FALSE),"")</x:f>
      </x:c>
      <x:c r="E96" s="7" t="str">
        <x:f>IFERROR(VLOOKUP($B96,'Hack Database'!$A:$J,4,FALSE),"")</x:f>
      </x:c>
      <x:c r="F96" s="3" t="str">
        <x:f>IFERROR(VLOOKUP($B96,'Hack Database'!$A:$J,5,FALSE),"")</x:f>
      </x:c>
      <x:c r="G96" s="3" t="str">
        <x:f>IFERROR(VLOOKUP($B96,'Hack Database'!$A:$J,6,FALSE),"")</x:f>
      </x:c>
      <x:c r="H96" s="6"/>
      <x:c r="I96" s="6"/>
      <x:c r="J96" s="4"/>
      <x:c r="K96" s="3" t="str">
        <x:f t="shared" si="1"/>
      </x:c>
      <x:c r="L96" s="8"/>
      <x:c r="M96" s="5"/>
      <x:c r="N96" s="9" t="str">
        <x:f>IFERROR(HYPERLINK(VLOOKUP($B96,'Hack Database'!$A:$J,9,FALSE),"Open Page"),"")</x:f>
      </x:c>
      <x:c r="O96" s="9" t="str">
        <x:f>IFERROR(HYPERLINK(VLOOKUP($B96,'Hack Database'!$A:$J,10,FALSE),"Download"),"")</x:f>
      </x:c>
      <x:c r="P96" s="152"/>
    </x:row>
    <x:row r="97" ht="11" customHeight="1">
      <x:c r="A97" s="134" t="str">
        <x:f>IF(C97="","",COUNTIF($C$2:C97,"&lt;&gt;"))</x:f>
      </x:c>
      <x:c r="B97" s="4"/>
      <x:c r="C97" s="3" t="str">
        <x:f>IFERROR(VLOOKUP($B97,'Hack Database'!$A:$J,2,FALSE),"")</x:f>
      </x:c>
      <x:c r="D97" s="3" t="str">
        <x:f>IFERROR(VLOOKUP($B97,'Hack Database'!$A:$J,3,FALSE),"")</x:f>
      </x:c>
      <x:c r="E97" s="7" t="str">
        <x:f>IFERROR(VLOOKUP($B97,'Hack Database'!$A:$J,4,FALSE),"")</x:f>
      </x:c>
      <x:c r="F97" s="3" t="str">
        <x:f>IFERROR(VLOOKUP($B97,'Hack Database'!$A:$J,5,FALSE),"")</x:f>
      </x:c>
      <x:c r="G97" s="3" t="str">
        <x:f>IFERROR(VLOOKUP($B97,'Hack Database'!$A:$J,6,FALSE),"")</x:f>
      </x:c>
      <x:c r="H97" s="6"/>
      <x:c r="I97" s="6"/>
      <x:c r="J97" s="4"/>
      <x:c r="K97" s="3" t="str">
        <x:f t="shared" si="1"/>
      </x:c>
      <x:c r="L97" s="8"/>
      <x:c r="M97" s="5"/>
      <x:c r="N97" s="9" t="str">
        <x:f>IFERROR(HYPERLINK(VLOOKUP($B97,'Hack Database'!$A:$J,9,FALSE),"Open Page"),"")</x:f>
      </x:c>
      <x:c r="O97" s="9" t="str">
        <x:f>IFERROR(HYPERLINK(VLOOKUP($B97,'Hack Database'!$A:$J,10,FALSE),"Download"),"")</x:f>
      </x:c>
      <x:c r="P97" s="152"/>
    </x:row>
    <x:row r="98" ht="11" customHeight="1">
      <x:c r="A98" s="134" t="str">
        <x:f>IF(C98="","",COUNTIF($C$2:C98,"&lt;&gt;"))</x:f>
      </x:c>
      <x:c r="B98" s="4"/>
      <x:c r="C98" s="3" t="str">
        <x:f>IFERROR(VLOOKUP($B98,'Hack Database'!$A:$J,2,FALSE),"")</x:f>
      </x:c>
      <x:c r="D98" s="3" t="str">
        <x:f>IFERROR(VLOOKUP($B98,'Hack Database'!$A:$J,3,FALSE),"")</x:f>
      </x:c>
      <x:c r="E98" s="7" t="str">
        <x:f>IFERROR(VLOOKUP($B98,'Hack Database'!$A:$J,4,FALSE),"")</x:f>
      </x:c>
      <x:c r="F98" s="3" t="str">
        <x:f>IFERROR(VLOOKUP($B98,'Hack Database'!$A:$J,5,FALSE),"")</x:f>
      </x:c>
      <x:c r="G98" s="3" t="str">
        <x:f>IFERROR(VLOOKUP($B98,'Hack Database'!$A:$J,6,FALSE),"")</x:f>
      </x:c>
      <x:c r="H98" s="6"/>
      <x:c r="I98" s="6"/>
      <x:c r="J98" s="4"/>
      <x:c r="K98" s="3" t="str">
        <x:f t="shared" si="1"/>
      </x:c>
      <x:c r="L98" s="8"/>
      <x:c r="M98" s="5"/>
      <x:c r="N98" s="9" t="str">
        <x:f>IFERROR(HYPERLINK(VLOOKUP($B98,'Hack Database'!$A:$J,9,FALSE),"Open Page"),"")</x:f>
      </x:c>
      <x:c r="O98" s="9" t="str">
        <x:f>IFERROR(HYPERLINK(VLOOKUP($B98,'Hack Database'!$A:$J,10,FALSE),"Download"),"")</x:f>
      </x:c>
      <x:c r="P98" s="152"/>
    </x:row>
    <x:row r="99" ht="11" customHeight="1">
      <x:c r="A99" s="134" t="str">
        <x:f>IF(C99="","",COUNTIF($C$2:C99,"&lt;&gt;"))</x:f>
      </x:c>
      <x:c r="B99" s="4"/>
      <x:c r="C99" s="3" t="str">
        <x:f>IFERROR(VLOOKUP($B99,'Hack Database'!$A:$J,2,FALSE),"")</x:f>
      </x:c>
      <x:c r="D99" s="3" t="str">
        <x:f>IFERROR(VLOOKUP($B99,'Hack Database'!$A:$J,3,FALSE),"")</x:f>
      </x:c>
      <x:c r="E99" s="7" t="str">
        <x:f>IFERROR(VLOOKUP($B99,'Hack Database'!$A:$J,4,FALSE),"")</x:f>
      </x:c>
      <x:c r="F99" s="3" t="str">
        <x:f>IFERROR(VLOOKUP($B99,'Hack Database'!$A:$J,5,FALSE),"")</x:f>
      </x:c>
      <x:c r="G99" s="3" t="str">
        <x:f>IFERROR(VLOOKUP($B99,'Hack Database'!$A:$J,6,FALSE),"")</x:f>
      </x:c>
      <x:c r="H99" s="6"/>
      <x:c r="I99" s="6"/>
      <x:c r="J99" s="4"/>
      <x:c r="K99" s="3" t="str">
        <x:f t="shared" si="1"/>
      </x:c>
      <x:c r="L99" s="8"/>
      <x:c r="M99" s="5"/>
      <x:c r="N99" s="9" t="str">
        <x:f>IFERROR(HYPERLINK(VLOOKUP($B99,'Hack Database'!$A:$J,9,FALSE),"Open Page"),"")</x:f>
      </x:c>
      <x:c r="O99" s="9" t="str">
        <x:f>IFERROR(HYPERLINK(VLOOKUP($B99,'Hack Database'!$A:$J,10,FALSE),"Download"),"")</x:f>
      </x:c>
      <x:c r="P99" s="152"/>
    </x:row>
    <x:row r="100" ht="11" customHeight="1">
      <x:c r="A100" s="134" t="str">
        <x:f>IF(C100="","",COUNTIF($C$2:C100,"&lt;&gt;"))</x:f>
      </x:c>
      <x:c r="B100" s="4"/>
      <x:c r="C100" s="3" t="str">
        <x:f>IFERROR(VLOOKUP($B100,'Hack Database'!$A:$J,2,FALSE),"")</x:f>
      </x:c>
      <x:c r="D100" s="3" t="str">
        <x:f>IFERROR(VLOOKUP($B100,'Hack Database'!$A:$J,3,FALSE),"")</x:f>
      </x:c>
      <x:c r="E100" s="7" t="str">
        <x:f>IFERROR(VLOOKUP($B100,'Hack Database'!$A:$J,4,FALSE),"")</x:f>
      </x:c>
      <x:c r="F100" s="3" t="str">
        <x:f>IFERROR(VLOOKUP($B100,'Hack Database'!$A:$J,5,FALSE),"")</x:f>
      </x:c>
      <x:c r="G100" s="3" t="str">
        <x:f>IFERROR(VLOOKUP($B100,'Hack Database'!$A:$J,6,FALSE),"")</x:f>
      </x:c>
      <x:c r="H100" s="6"/>
      <x:c r="I100" s="6"/>
      <x:c r="J100" s="4"/>
      <x:c r="K100" s="3" t="str">
        <x:f t="shared" si="1"/>
      </x:c>
      <x:c r="L100" s="8"/>
      <x:c r="M100" s="5"/>
      <x:c r="N100" s="9" t="str">
        <x:f>IFERROR(HYPERLINK(VLOOKUP($B100,'Hack Database'!$A:$J,9,FALSE),"Open Page"),"")</x:f>
      </x:c>
      <x:c r="O100" s="9" t="str">
        <x:f>IFERROR(HYPERLINK(VLOOKUP($B100,'Hack Database'!$A:$J,10,FALSE),"Download"),"")</x:f>
      </x:c>
      <x:c r="P100" s="152"/>
    </x:row>
    <x:row r="101" ht="11" customHeight="1">
      <x:c r="A101" s="134" t="str">
        <x:f>IF(C101="","",COUNTIF($C$2:C101,"&lt;&gt;"))</x:f>
      </x:c>
      <x:c r="B101" s="4"/>
      <x:c r="C101" s="3" t="str">
        <x:f>IFERROR(VLOOKUP($B101,'Hack Database'!$A:$J,2,FALSE),"")</x:f>
      </x:c>
      <x:c r="D101" s="3" t="str">
        <x:f>IFERROR(VLOOKUP($B101,'Hack Database'!$A:$J,3,FALSE),"")</x:f>
      </x:c>
      <x:c r="E101" s="7" t="str">
        <x:f>IFERROR(VLOOKUP($B101,'Hack Database'!$A:$J,4,FALSE),"")</x:f>
      </x:c>
      <x:c r="F101" s="3" t="str">
        <x:f>IFERROR(VLOOKUP($B101,'Hack Database'!$A:$J,5,FALSE),"")</x:f>
      </x:c>
      <x:c r="G101" s="3" t="str">
        <x:f>IFERROR(VLOOKUP($B101,'Hack Database'!$A:$J,6,FALSE),"")</x:f>
      </x:c>
      <x:c r="H101" s="6"/>
      <x:c r="I101" s="6"/>
      <x:c r="J101" s="4"/>
      <x:c r="K101" s="3" t="str">
        <x:f t="shared" si="1"/>
      </x:c>
      <x:c r="L101" s="8"/>
      <x:c r="M101" s="5"/>
      <x:c r="N101" s="9" t="str">
        <x:f>IFERROR(HYPERLINK(VLOOKUP($B101,'Hack Database'!$A:$J,9,FALSE),"Open Page"),"")</x:f>
      </x:c>
      <x:c r="O101" s="9" t="str">
        <x:f>IFERROR(HYPERLINK(VLOOKUP($B101,'Hack Database'!$A:$J,10,FALSE),"Download"),"")</x:f>
      </x:c>
      <x:c r="P101" s="152"/>
    </x:row>
    <x:row r="102" ht="11" customHeight="1">
      <x:c r="A102" s="134" t="str">
        <x:f>IF(C102="","",COUNTIF($C$2:C102,"&lt;&gt;"))</x:f>
      </x:c>
      <x:c r="B102" s="4"/>
      <x:c r="C102" s="3" t="str">
        <x:f>IFERROR(VLOOKUP($B102,'Hack Database'!$A:$J,2,FALSE),"")</x:f>
      </x:c>
      <x:c r="D102" s="3" t="str">
        <x:f>IFERROR(VLOOKUP($B102,'Hack Database'!$A:$J,3,FALSE),"")</x:f>
      </x:c>
      <x:c r="E102" s="7" t="str">
        <x:f>IFERROR(VLOOKUP($B102,'Hack Database'!$A:$J,4,FALSE),"")</x:f>
      </x:c>
      <x:c r="F102" s="3" t="str">
        <x:f>IFERROR(VLOOKUP($B102,'Hack Database'!$A:$J,5,FALSE),"")</x:f>
      </x:c>
      <x:c r="G102" s="3" t="str">
        <x:f>IFERROR(VLOOKUP($B102,'Hack Database'!$A:$J,6,FALSE),"")</x:f>
      </x:c>
      <x:c r="H102" s="6"/>
      <x:c r="I102" s="6"/>
      <x:c r="J102" s="4"/>
      <x:c r="K102" s="3" t="str">
        <x:f t="shared" si="1"/>
      </x:c>
      <x:c r="L102" s="8"/>
      <x:c r="M102" s="5"/>
      <x:c r="N102" s="9" t="str">
        <x:f>IFERROR(HYPERLINK(VLOOKUP($B102,'Hack Database'!$A:$J,9,FALSE),"Open Page"),"")</x:f>
      </x:c>
      <x:c r="O102" s="9" t="str">
        <x:f>IFERROR(HYPERLINK(VLOOKUP($B102,'Hack Database'!$A:$J,10,FALSE),"Download"),"")</x:f>
      </x:c>
      <x:c r="P102" s="152"/>
    </x:row>
    <x:row r="103" ht="11" customHeight="1">
      <x:c r="A103" s="134" t="str">
        <x:f>IF(C103="","",COUNTIF($C$2:C103,"&lt;&gt;"))</x:f>
      </x:c>
      <x:c r="B103" s="4"/>
      <x:c r="C103" s="3" t="str">
        <x:f>IFERROR(VLOOKUP($B103,'Hack Database'!$A:$J,2,FALSE),"")</x:f>
      </x:c>
      <x:c r="D103" s="3" t="str">
        <x:f>IFERROR(VLOOKUP($B103,'Hack Database'!$A:$J,3,FALSE),"")</x:f>
      </x:c>
      <x:c r="E103" s="7" t="str">
        <x:f>IFERROR(VLOOKUP($B103,'Hack Database'!$A:$J,4,FALSE),"")</x:f>
      </x:c>
      <x:c r="F103" s="3" t="str">
        <x:f>IFERROR(VLOOKUP($B103,'Hack Database'!$A:$J,5,FALSE),"")</x:f>
      </x:c>
      <x:c r="G103" s="3" t="str">
        <x:f>IFERROR(VLOOKUP($B103,'Hack Database'!$A:$J,6,FALSE),"")</x:f>
      </x:c>
      <x:c r="H103" s="6"/>
      <x:c r="I103" s="6"/>
      <x:c r="J103" s="4"/>
      <x:c r="K103" s="3" t="str">
        <x:f t="shared" si="1"/>
      </x:c>
      <x:c r="L103" s="8"/>
      <x:c r="M103" s="5"/>
      <x:c r="N103" s="9" t="str">
        <x:f>IFERROR(HYPERLINK(VLOOKUP($B103,'Hack Database'!$A:$J,9,FALSE),"Open Page"),"")</x:f>
      </x:c>
      <x:c r="O103" s="9" t="str">
        <x:f>IFERROR(HYPERLINK(VLOOKUP($B103,'Hack Database'!$A:$J,10,FALSE),"Download"),"")</x:f>
      </x:c>
      <x:c r="P103" s="152"/>
    </x:row>
    <x:row r="104" ht="11" customHeight="1">
      <x:c r="A104" s="134" t="str">
        <x:f>IF(C104="","",COUNTIF($C$2:C104,"&lt;&gt;"))</x:f>
      </x:c>
      <x:c r="B104" s="4"/>
      <x:c r="C104" s="3" t="str">
        <x:f>IFERROR(VLOOKUP($B104,'Hack Database'!$A:$J,2,FALSE),"")</x:f>
      </x:c>
      <x:c r="D104" s="3" t="str">
        <x:f>IFERROR(VLOOKUP($B104,'Hack Database'!$A:$J,3,FALSE),"")</x:f>
      </x:c>
      <x:c r="E104" s="7" t="str">
        <x:f>IFERROR(VLOOKUP($B104,'Hack Database'!$A:$J,4,FALSE),"")</x:f>
      </x:c>
      <x:c r="F104" s="3" t="str">
        <x:f>IFERROR(VLOOKUP($B104,'Hack Database'!$A:$J,5,FALSE),"")</x:f>
      </x:c>
      <x:c r="G104" s="3" t="str">
        <x:f>IFERROR(VLOOKUP($B104,'Hack Database'!$A:$J,6,FALSE),"")</x:f>
      </x:c>
      <x:c r="H104" s="6"/>
      <x:c r="I104" s="6"/>
      <x:c r="J104" s="4"/>
      <x:c r="K104" s="3" t="str">
        <x:f t="shared" si="1"/>
      </x:c>
      <x:c r="L104" s="8"/>
      <x:c r="M104" s="5"/>
      <x:c r="N104" s="9" t="str">
        <x:f>IFERROR(HYPERLINK(VLOOKUP($B104,'Hack Database'!$A:$J,9,FALSE),"Open Page"),"")</x:f>
      </x:c>
      <x:c r="O104" s="9" t="str">
        <x:f>IFERROR(HYPERLINK(VLOOKUP($B104,'Hack Database'!$A:$J,10,FALSE),"Download"),"")</x:f>
      </x:c>
      <x:c r="P104" s="152"/>
    </x:row>
    <x:row r="105" ht="11" customHeight="1">
      <x:c r="A105" s="134" t="str">
        <x:f>IF(C105="","",COUNTIF($C$2:C105,"&lt;&gt;"))</x:f>
      </x:c>
      <x:c r="B105" s="4"/>
      <x:c r="C105" s="3" t="str">
        <x:f>IFERROR(VLOOKUP($B105,'Hack Database'!$A:$J,2,FALSE),"")</x:f>
      </x:c>
      <x:c r="D105" s="3" t="str">
        <x:f>IFERROR(VLOOKUP($B105,'Hack Database'!$A:$J,3,FALSE),"")</x:f>
      </x:c>
      <x:c r="E105" s="7" t="str">
        <x:f>IFERROR(VLOOKUP($B105,'Hack Database'!$A:$J,4,FALSE),"")</x:f>
      </x:c>
      <x:c r="F105" s="3" t="str">
        <x:f>IFERROR(VLOOKUP($B105,'Hack Database'!$A:$J,5,FALSE),"")</x:f>
      </x:c>
      <x:c r="G105" s="3" t="str">
        <x:f>IFERROR(VLOOKUP($B105,'Hack Database'!$A:$J,6,FALSE),"")</x:f>
      </x:c>
      <x:c r="H105" s="6"/>
      <x:c r="I105" s="6"/>
      <x:c r="J105" s="4"/>
      <x:c r="K105" s="3" t="str">
        <x:f t="shared" si="1"/>
      </x:c>
      <x:c r="L105" s="8"/>
      <x:c r="M105" s="5"/>
      <x:c r="N105" s="9" t="str">
        <x:f>IFERROR(HYPERLINK(VLOOKUP($B105,'Hack Database'!$A:$J,9,FALSE),"Open Page"),"")</x:f>
      </x:c>
      <x:c r="O105" s="9" t="str">
        <x:f>IFERROR(HYPERLINK(VLOOKUP($B105,'Hack Database'!$A:$J,10,FALSE),"Download"),"")</x:f>
      </x:c>
      <x:c r="P105" s="152"/>
    </x:row>
    <x:row r="106" ht="11" customHeight="1">
      <x:c r="A106" s="134" t="str">
        <x:f>IF(C106="","",COUNTIF($C$2:C106,"&lt;&gt;"))</x:f>
      </x:c>
      <x:c r="B106" s="4"/>
      <x:c r="C106" s="3" t="str">
        <x:f>IFERROR(VLOOKUP($B106,'Hack Database'!$A:$J,2,FALSE),"")</x:f>
      </x:c>
      <x:c r="D106" s="3" t="str">
        <x:f>IFERROR(VLOOKUP($B106,'Hack Database'!$A:$J,3,FALSE),"")</x:f>
      </x:c>
      <x:c r="E106" s="7" t="str">
        <x:f>IFERROR(VLOOKUP($B106,'Hack Database'!$A:$J,4,FALSE),"")</x:f>
      </x:c>
      <x:c r="F106" s="3" t="str">
        <x:f>IFERROR(VLOOKUP($B106,'Hack Database'!$A:$J,5,FALSE),"")</x:f>
      </x:c>
      <x:c r="G106" s="3" t="str">
        <x:f>IFERROR(VLOOKUP($B106,'Hack Database'!$A:$J,6,FALSE),"")</x:f>
      </x:c>
      <x:c r="H106" s="6"/>
      <x:c r="I106" s="6"/>
      <x:c r="J106" s="4"/>
      <x:c r="K106" s="3" t="str">
        <x:f t="shared" si="1"/>
      </x:c>
      <x:c r="L106" s="8"/>
      <x:c r="M106" s="5"/>
      <x:c r="N106" s="9" t="str">
        <x:f>IFERROR(HYPERLINK(VLOOKUP($B106,'Hack Database'!$A:$J,9,FALSE),"Open Page"),"")</x:f>
      </x:c>
      <x:c r="O106" s="9" t="str">
        <x:f>IFERROR(HYPERLINK(VLOOKUP($B106,'Hack Database'!$A:$J,10,FALSE),"Download"),"")</x:f>
      </x:c>
      <x:c r="P106" s="152"/>
    </x:row>
    <x:row r="107" ht="11" customHeight="1">
      <x:c r="A107" s="134" t="str">
        <x:f>IF(C107="","",COUNTIF($C$2:C107,"&lt;&gt;"))</x:f>
      </x:c>
      <x:c r="B107" s="4"/>
      <x:c r="C107" s="3" t="str">
        <x:f>IFERROR(VLOOKUP($B107,'Hack Database'!$A:$J,2,FALSE),"")</x:f>
      </x:c>
      <x:c r="D107" s="3" t="str">
        <x:f>IFERROR(VLOOKUP($B107,'Hack Database'!$A:$J,3,FALSE),"")</x:f>
      </x:c>
      <x:c r="E107" s="7" t="str">
        <x:f>IFERROR(VLOOKUP($B107,'Hack Database'!$A:$J,4,FALSE),"")</x:f>
      </x:c>
      <x:c r="F107" s="3" t="str">
        <x:f>IFERROR(VLOOKUP($B107,'Hack Database'!$A:$J,5,FALSE),"")</x:f>
      </x:c>
      <x:c r="G107" s="3" t="str">
        <x:f>IFERROR(VLOOKUP($B107,'Hack Database'!$A:$J,6,FALSE),"")</x:f>
      </x:c>
      <x:c r="H107" s="6"/>
      <x:c r="I107" s="6"/>
      <x:c r="J107" s="4"/>
      <x:c r="K107" s="3" t="str">
        <x:f t="shared" si="1"/>
      </x:c>
      <x:c r="L107" s="8"/>
      <x:c r="M107" s="5"/>
      <x:c r="N107" s="9" t="str">
        <x:f>IFERROR(HYPERLINK(VLOOKUP($B107,'Hack Database'!$A:$J,9,FALSE),"Open Page"),"")</x:f>
      </x:c>
      <x:c r="O107" s="9" t="str">
        <x:f>IFERROR(HYPERLINK(VLOOKUP($B107,'Hack Database'!$A:$J,10,FALSE),"Download"),"")</x:f>
      </x:c>
      <x:c r="P107" s="152"/>
    </x:row>
    <x:row r="108" ht="11" customHeight="1">
      <x:c r="A108" s="134" t="str">
        <x:f>IF(C108="","",COUNTIF($C$2:C108,"&lt;&gt;"))</x:f>
      </x:c>
      <x:c r="B108" s="4"/>
      <x:c r="C108" s="3" t="str">
        <x:f>IFERROR(VLOOKUP($B108,'Hack Database'!$A:$J,2,FALSE),"")</x:f>
      </x:c>
      <x:c r="D108" s="3" t="str">
        <x:f>IFERROR(VLOOKUP($B108,'Hack Database'!$A:$J,3,FALSE),"")</x:f>
      </x:c>
      <x:c r="E108" s="7" t="str">
        <x:f>IFERROR(VLOOKUP($B108,'Hack Database'!$A:$J,4,FALSE),"")</x:f>
      </x:c>
      <x:c r="F108" s="3" t="str">
        <x:f>IFERROR(VLOOKUP($B108,'Hack Database'!$A:$J,5,FALSE),"")</x:f>
      </x:c>
      <x:c r="G108" s="3" t="str">
        <x:f>IFERROR(VLOOKUP($B108,'Hack Database'!$A:$J,6,FALSE),"")</x:f>
      </x:c>
      <x:c r="H108" s="6"/>
      <x:c r="I108" s="6"/>
      <x:c r="J108" s="4"/>
      <x:c r="K108" s="3" t="str">
        <x:f t="shared" si="1"/>
      </x:c>
      <x:c r="L108" s="8"/>
      <x:c r="M108" s="5"/>
      <x:c r="N108" s="9" t="str">
        <x:f>IFERROR(HYPERLINK(VLOOKUP($B108,'Hack Database'!$A:$J,9,FALSE),"Open Page"),"")</x:f>
      </x:c>
      <x:c r="O108" s="9" t="str">
        <x:f>IFERROR(HYPERLINK(VLOOKUP($B108,'Hack Database'!$A:$J,10,FALSE),"Download"),"")</x:f>
      </x:c>
      <x:c r="P108" s="152"/>
    </x:row>
    <x:row r="109" ht="11" customHeight="1">
      <x:c r="A109" s="134" t="str">
        <x:f>IF(C109="","",COUNTIF($C$2:C109,"&lt;&gt;"))</x:f>
      </x:c>
      <x:c r="B109" s="4"/>
      <x:c r="C109" s="3" t="str">
        <x:f>IFERROR(VLOOKUP($B109,'Hack Database'!$A:$J,2,FALSE),"")</x:f>
      </x:c>
      <x:c r="D109" s="3" t="str">
        <x:f>IFERROR(VLOOKUP($B109,'Hack Database'!$A:$J,3,FALSE),"")</x:f>
      </x:c>
      <x:c r="E109" s="7" t="str">
        <x:f>IFERROR(VLOOKUP($B109,'Hack Database'!$A:$J,4,FALSE),"")</x:f>
      </x:c>
      <x:c r="F109" s="3" t="str">
        <x:f>IFERROR(VLOOKUP($B109,'Hack Database'!$A:$J,5,FALSE),"")</x:f>
      </x:c>
      <x:c r="G109" s="3" t="str">
        <x:f>IFERROR(VLOOKUP($B109,'Hack Database'!$A:$J,6,FALSE),"")</x:f>
      </x:c>
      <x:c r="H109" s="6"/>
      <x:c r="I109" s="6"/>
      <x:c r="J109" s="4"/>
      <x:c r="K109" s="3" t="str">
        <x:f t="shared" si="1"/>
      </x:c>
      <x:c r="L109" s="8"/>
      <x:c r="M109" s="5"/>
      <x:c r="N109" s="9" t="str">
        <x:f>IFERROR(HYPERLINK(VLOOKUP($B109,'Hack Database'!$A:$J,9,FALSE),"Open Page"),"")</x:f>
      </x:c>
      <x:c r="O109" s="9" t="str">
        <x:f>IFERROR(HYPERLINK(VLOOKUP($B109,'Hack Database'!$A:$J,10,FALSE),"Download"),"")</x:f>
      </x:c>
      <x:c r="P109" s="152"/>
    </x:row>
    <x:row r="110" ht="11" customHeight="1">
      <x:c r="A110" s="134" t="str">
        <x:f>IF(C110="","",COUNTIF($C$2:C110,"&lt;&gt;"))</x:f>
      </x:c>
      <x:c r="B110" s="4"/>
      <x:c r="C110" s="3" t="str">
        <x:f>IFERROR(VLOOKUP($B110,'Hack Database'!$A:$J,2,FALSE),"")</x:f>
      </x:c>
      <x:c r="D110" s="3" t="str">
        <x:f>IFERROR(VLOOKUP($B110,'Hack Database'!$A:$J,3,FALSE),"")</x:f>
      </x:c>
      <x:c r="E110" s="7" t="str">
        <x:f>IFERROR(VLOOKUP($B110,'Hack Database'!$A:$J,4,FALSE),"")</x:f>
      </x:c>
      <x:c r="F110" s="3" t="str">
        <x:f>IFERROR(VLOOKUP($B110,'Hack Database'!$A:$J,5,FALSE),"")</x:f>
      </x:c>
      <x:c r="G110" s="3" t="str">
        <x:f>IFERROR(VLOOKUP($B110,'Hack Database'!$A:$J,6,FALSE),"")</x:f>
      </x:c>
      <x:c r="H110" s="6"/>
      <x:c r="I110" s="6"/>
      <x:c r="J110" s="4"/>
      <x:c r="K110" s="3" t="str">
        <x:f t="shared" si="1"/>
      </x:c>
      <x:c r="L110" s="8"/>
      <x:c r="M110" s="5"/>
      <x:c r="N110" s="9" t="str">
        <x:f>IFERROR(HYPERLINK(VLOOKUP($B110,'Hack Database'!$A:$J,9,FALSE),"Open Page"),"")</x:f>
      </x:c>
      <x:c r="O110" s="9" t="str">
        <x:f>IFERROR(HYPERLINK(VLOOKUP($B110,'Hack Database'!$A:$J,10,FALSE),"Download"),"")</x:f>
      </x:c>
      <x:c r="P110" s="152"/>
    </x:row>
    <x:row r="111" ht="11" customHeight="1">
      <x:c r="A111" s="134" t="str">
        <x:f>IF(C111="","",COUNTIF($C$2:C111,"&lt;&gt;"))</x:f>
      </x:c>
      <x:c r="B111" s="4"/>
      <x:c r="C111" s="3" t="str">
        <x:f>IFERROR(VLOOKUP($B111,'Hack Database'!$A:$J,2,FALSE),"")</x:f>
      </x:c>
      <x:c r="D111" s="3" t="str">
        <x:f>IFERROR(VLOOKUP($B111,'Hack Database'!$A:$J,3,FALSE),"")</x:f>
      </x:c>
      <x:c r="E111" s="7" t="str">
        <x:f>IFERROR(VLOOKUP($B111,'Hack Database'!$A:$J,4,FALSE),"")</x:f>
      </x:c>
      <x:c r="F111" s="3" t="str">
        <x:f>IFERROR(VLOOKUP($B111,'Hack Database'!$A:$J,5,FALSE),"")</x:f>
      </x:c>
      <x:c r="G111" s="3" t="str">
        <x:f>IFERROR(VLOOKUP($B111,'Hack Database'!$A:$J,6,FALSE),"")</x:f>
      </x:c>
      <x:c r="H111" s="6"/>
      <x:c r="I111" s="6"/>
      <x:c r="J111" s="4"/>
      <x:c r="K111" s="3" t="str">
        <x:f t="shared" si="1"/>
      </x:c>
      <x:c r="L111" s="8"/>
      <x:c r="M111" s="5"/>
      <x:c r="N111" s="9" t="str">
        <x:f>IFERROR(HYPERLINK(VLOOKUP($B111,'Hack Database'!$A:$J,9,FALSE),"Open Page"),"")</x:f>
      </x:c>
      <x:c r="O111" s="9" t="str">
        <x:f>IFERROR(HYPERLINK(VLOOKUP($B111,'Hack Database'!$A:$J,10,FALSE),"Download"),"")</x:f>
      </x:c>
      <x:c r="P111" s="152"/>
    </x:row>
    <x:row r="112" ht="11" customHeight="1">
      <x:c r="A112" s="134" t="str">
        <x:f>IF(C112="","",COUNTIF($C$2:C112,"&lt;&gt;"))</x:f>
      </x:c>
      <x:c r="B112" s="4"/>
      <x:c r="C112" s="3" t="str">
        <x:f>IFERROR(VLOOKUP($B112,'Hack Database'!$A:$J,2,FALSE),"")</x:f>
      </x:c>
      <x:c r="D112" s="3" t="str">
        <x:f>IFERROR(VLOOKUP($B112,'Hack Database'!$A:$J,3,FALSE),"")</x:f>
      </x:c>
      <x:c r="E112" s="7" t="str">
        <x:f>IFERROR(VLOOKUP($B112,'Hack Database'!$A:$J,4,FALSE),"")</x:f>
      </x:c>
      <x:c r="F112" s="3" t="str">
        <x:f>IFERROR(VLOOKUP($B112,'Hack Database'!$A:$J,5,FALSE),"")</x:f>
      </x:c>
      <x:c r="G112" s="3" t="str">
        <x:f>IFERROR(VLOOKUP($B112,'Hack Database'!$A:$J,6,FALSE),"")</x:f>
      </x:c>
      <x:c r="H112" s="6"/>
      <x:c r="I112" s="6"/>
      <x:c r="J112" s="4"/>
      <x:c r="K112" s="3" t="str">
        <x:f t="shared" si="1"/>
      </x:c>
      <x:c r="L112" s="8"/>
      <x:c r="M112" s="5"/>
      <x:c r="N112" s="9" t="str">
        <x:f>IFERROR(HYPERLINK(VLOOKUP($B112,'Hack Database'!$A:$J,9,FALSE),"Open Page"),"")</x:f>
      </x:c>
      <x:c r="O112" s="9" t="str">
        <x:f>IFERROR(HYPERLINK(VLOOKUP($B112,'Hack Database'!$A:$J,10,FALSE),"Download"),"")</x:f>
      </x:c>
      <x:c r="P112" s="152"/>
    </x:row>
    <x:row r="113" ht="11" customHeight="1">
      <x:c r="A113" s="134" t="str">
        <x:f>IF(C113="","",COUNTIF($C$2:C113,"&lt;&gt;"))</x:f>
      </x:c>
      <x:c r="B113" s="4"/>
      <x:c r="C113" s="3" t="str">
        <x:f>IFERROR(VLOOKUP($B113,'Hack Database'!$A:$J,2,FALSE),"")</x:f>
      </x:c>
      <x:c r="D113" s="3" t="str">
        <x:f>IFERROR(VLOOKUP($B113,'Hack Database'!$A:$J,3,FALSE),"")</x:f>
      </x:c>
      <x:c r="E113" s="7" t="str">
        <x:f>IFERROR(VLOOKUP($B113,'Hack Database'!$A:$J,4,FALSE),"")</x:f>
      </x:c>
      <x:c r="F113" s="3" t="str">
        <x:f>IFERROR(VLOOKUP($B113,'Hack Database'!$A:$J,5,FALSE),"")</x:f>
      </x:c>
      <x:c r="G113" s="3" t="str">
        <x:f>IFERROR(VLOOKUP($B113,'Hack Database'!$A:$J,6,FALSE),"")</x:f>
      </x:c>
      <x:c r="H113" s="6"/>
      <x:c r="I113" s="6"/>
      <x:c r="J113" s="4"/>
      <x:c r="K113" s="3" t="str">
        <x:f t="shared" si="1"/>
      </x:c>
      <x:c r="L113" s="8"/>
      <x:c r="M113" s="5"/>
      <x:c r="N113" s="9" t="str">
        <x:f>IFERROR(HYPERLINK(VLOOKUP($B113,'Hack Database'!$A:$J,9,FALSE),"Open Page"),"")</x:f>
      </x:c>
      <x:c r="O113" s="9" t="str">
        <x:f>IFERROR(HYPERLINK(VLOOKUP($B113,'Hack Database'!$A:$J,10,FALSE),"Download"),"")</x:f>
      </x:c>
      <x:c r="P113" s="152"/>
    </x:row>
    <x:row r="114" ht="11" customHeight="1">
      <x:c r="A114" s="134" t="str">
        <x:f>IF(C114="","",COUNTIF($C$2:C114,"&lt;&gt;"))</x:f>
      </x:c>
      <x:c r="B114" s="4"/>
      <x:c r="C114" s="3" t="str">
        <x:f>IFERROR(VLOOKUP($B114,'Hack Database'!$A:$J,2,FALSE),"")</x:f>
      </x:c>
      <x:c r="D114" s="3" t="str">
        <x:f>IFERROR(VLOOKUP($B114,'Hack Database'!$A:$J,3,FALSE),"")</x:f>
      </x:c>
      <x:c r="E114" s="7" t="str">
        <x:f>IFERROR(VLOOKUP($B114,'Hack Database'!$A:$J,4,FALSE),"")</x:f>
      </x:c>
      <x:c r="F114" s="3" t="str">
        <x:f>IFERROR(VLOOKUP($B114,'Hack Database'!$A:$J,5,FALSE),"")</x:f>
      </x:c>
      <x:c r="G114" s="3" t="str">
        <x:f>IFERROR(VLOOKUP($B114,'Hack Database'!$A:$J,6,FALSE),"")</x:f>
      </x:c>
      <x:c r="H114" s="6"/>
      <x:c r="I114" s="6"/>
      <x:c r="J114" s="4"/>
      <x:c r="K114" s="3" t="str">
        <x:f t="shared" si="1"/>
      </x:c>
      <x:c r="L114" s="8"/>
      <x:c r="M114" s="5"/>
      <x:c r="N114" s="9" t="str">
        <x:f>IFERROR(HYPERLINK(VLOOKUP($B114,'Hack Database'!$A:$J,9,FALSE),"Open Page"),"")</x:f>
      </x:c>
      <x:c r="O114" s="9" t="str">
        <x:f>IFERROR(HYPERLINK(VLOOKUP($B114,'Hack Database'!$A:$J,10,FALSE),"Download"),"")</x:f>
      </x:c>
      <x:c r="P114" s="152"/>
    </x:row>
    <x:row r="115" ht="11" customHeight="1">
      <x:c r="A115" s="134" t="str">
        <x:f>IF(C115="","",COUNTIF($C$2:C115,"&lt;&gt;"))</x:f>
      </x:c>
      <x:c r="B115" s="4"/>
      <x:c r="C115" s="3" t="str">
        <x:f>IFERROR(VLOOKUP($B115,'Hack Database'!$A:$J,2,FALSE),"")</x:f>
      </x:c>
      <x:c r="D115" s="3" t="str">
        <x:f>IFERROR(VLOOKUP($B115,'Hack Database'!$A:$J,3,FALSE),"")</x:f>
      </x:c>
      <x:c r="E115" s="7" t="str">
        <x:f>IFERROR(VLOOKUP($B115,'Hack Database'!$A:$J,4,FALSE),"")</x:f>
      </x:c>
      <x:c r="F115" s="3" t="str">
        <x:f>IFERROR(VLOOKUP($B115,'Hack Database'!$A:$J,5,FALSE),"")</x:f>
      </x:c>
      <x:c r="G115" s="3" t="str">
        <x:f>IFERROR(VLOOKUP($B115,'Hack Database'!$A:$J,6,FALSE),"")</x:f>
      </x:c>
      <x:c r="H115" s="6"/>
      <x:c r="I115" s="6"/>
      <x:c r="J115" s="4"/>
      <x:c r="K115" s="3" t="str">
        <x:f t="shared" si="1"/>
      </x:c>
      <x:c r="L115" s="8"/>
      <x:c r="M115" s="5"/>
      <x:c r="N115" s="9" t="str">
        <x:f>IFERROR(HYPERLINK(VLOOKUP($B115,'Hack Database'!$A:$J,9,FALSE),"Open Page"),"")</x:f>
      </x:c>
      <x:c r="O115" s="9" t="str">
        <x:f>IFERROR(HYPERLINK(VLOOKUP($B115,'Hack Database'!$A:$J,10,FALSE),"Download"),"")</x:f>
      </x:c>
      <x:c r="P115" s="152"/>
    </x:row>
    <x:row r="116" ht="11" customHeight="1">
      <x:c r="A116" s="134" t="str">
        <x:f>IF(C116="","",COUNTIF($C$2:C116,"&lt;&gt;"))</x:f>
      </x:c>
      <x:c r="B116" s="4"/>
      <x:c r="C116" s="3" t="str">
        <x:f>IFERROR(VLOOKUP($B116,'Hack Database'!$A:$J,2,FALSE),"")</x:f>
      </x:c>
      <x:c r="D116" s="3" t="str">
        <x:f>IFERROR(VLOOKUP($B116,'Hack Database'!$A:$J,3,FALSE),"")</x:f>
      </x:c>
      <x:c r="E116" s="7" t="str">
        <x:f>IFERROR(VLOOKUP($B116,'Hack Database'!$A:$J,4,FALSE),"")</x:f>
      </x:c>
      <x:c r="F116" s="3" t="str">
        <x:f>IFERROR(VLOOKUP($B116,'Hack Database'!$A:$J,5,FALSE),"")</x:f>
      </x:c>
      <x:c r="G116" s="3" t="str">
        <x:f>IFERROR(VLOOKUP($B116,'Hack Database'!$A:$J,6,FALSE),"")</x:f>
      </x:c>
      <x:c r="H116" s="6"/>
      <x:c r="I116" s="6"/>
      <x:c r="J116" s="4"/>
      <x:c r="K116" s="3" t="str">
        <x:f t="shared" si="1"/>
      </x:c>
      <x:c r="L116" s="8"/>
      <x:c r="M116" s="5"/>
      <x:c r="N116" s="9" t="str">
        <x:f>IFERROR(HYPERLINK(VLOOKUP($B116,'Hack Database'!$A:$J,9,FALSE),"Open Page"),"")</x:f>
      </x:c>
      <x:c r="O116" s="9" t="str">
        <x:f>IFERROR(HYPERLINK(VLOOKUP($B116,'Hack Database'!$A:$J,10,FALSE),"Download"),"")</x:f>
      </x:c>
      <x:c r="P116" s="152"/>
    </x:row>
    <x:row r="117" ht="11" customHeight="1">
      <x:c r="A117" s="134" t="str">
        <x:f>IF(C117="","",COUNTIF($C$2:C117,"&lt;&gt;"))</x:f>
      </x:c>
      <x:c r="B117" s="4"/>
      <x:c r="C117" s="3" t="str">
        <x:f>IFERROR(VLOOKUP($B117,'Hack Database'!$A:$J,2,FALSE),"")</x:f>
      </x:c>
      <x:c r="D117" s="3" t="str">
        <x:f>IFERROR(VLOOKUP($B117,'Hack Database'!$A:$J,3,FALSE),"")</x:f>
      </x:c>
      <x:c r="E117" s="7" t="str">
        <x:f>IFERROR(VLOOKUP($B117,'Hack Database'!$A:$J,4,FALSE),"")</x:f>
      </x:c>
      <x:c r="F117" s="3" t="str">
        <x:f>IFERROR(VLOOKUP($B117,'Hack Database'!$A:$J,5,FALSE),"")</x:f>
      </x:c>
      <x:c r="G117" s="3" t="str">
        <x:f>IFERROR(VLOOKUP($B117,'Hack Database'!$A:$J,6,FALSE),"")</x:f>
      </x:c>
      <x:c r="H117" s="6"/>
      <x:c r="I117" s="6"/>
      <x:c r="J117" s="4"/>
      <x:c r="K117" s="3" t="str">
        <x:f t="shared" si="1"/>
      </x:c>
      <x:c r="L117" s="8"/>
      <x:c r="M117" s="5"/>
      <x:c r="N117" s="9" t="str">
        <x:f>IFERROR(HYPERLINK(VLOOKUP($B117,'Hack Database'!$A:$J,9,FALSE),"Open Page"),"")</x:f>
      </x:c>
      <x:c r="O117" s="9" t="str">
        <x:f>IFERROR(HYPERLINK(VLOOKUP($B117,'Hack Database'!$A:$J,10,FALSE),"Download"),"")</x:f>
      </x:c>
      <x:c r="P117" s="152"/>
    </x:row>
    <x:row r="118" ht="11" customHeight="1">
      <x:c r="A118" s="134" t="str">
        <x:f>IF(C118="","",COUNTIF($C$2:C118,"&lt;&gt;"))</x:f>
      </x:c>
      <x:c r="B118" s="4"/>
      <x:c r="C118" s="3" t="str">
        <x:f>IFERROR(VLOOKUP($B118,'Hack Database'!$A:$J,2,FALSE),"")</x:f>
      </x:c>
      <x:c r="D118" s="3" t="str">
        <x:f>IFERROR(VLOOKUP($B118,'Hack Database'!$A:$J,3,FALSE),"")</x:f>
      </x:c>
      <x:c r="E118" s="7" t="str">
        <x:f>IFERROR(VLOOKUP($B118,'Hack Database'!$A:$J,4,FALSE),"")</x:f>
      </x:c>
      <x:c r="F118" s="3" t="str">
        <x:f>IFERROR(VLOOKUP($B118,'Hack Database'!$A:$J,5,FALSE),"")</x:f>
      </x:c>
      <x:c r="G118" s="3" t="str">
        <x:f>IFERROR(VLOOKUP($B118,'Hack Database'!$A:$J,6,FALSE),"")</x:f>
      </x:c>
      <x:c r="H118" s="6"/>
      <x:c r="I118" s="6"/>
      <x:c r="J118" s="4"/>
      <x:c r="K118" s="3" t="str">
        <x:f t="shared" si="1"/>
      </x:c>
      <x:c r="L118" s="8"/>
      <x:c r="M118" s="5"/>
      <x:c r="N118" s="9" t="str">
        <x:f>IFERROR(HYPERLINK(VLOOKUP($B118,'Hack Database'!$A:$J,9,FALSE),"Open Page"),"")</x:f>
      </x:c>
      <x:c r="O118" s="9" t="str">
        <x:f>IFERROR(HYPERLINK(VLOOKUP($B118,'Hack Database'!$A:$J,10,FALSE),"Download"),"")</x:f>
      </x:c>
      <x:c r="P118" s="152"/>
    </x:row>
    <x:row r="119" ht="11" customHeight="1">
      <x:c r="A119" s="134" t="str">
        <x:f>IF(C119="","",COUNTIF($C$2:C119,"&lt;&gt;"))</x:f>
      </x:c>
      <x:c r="B119" s="4"/>
      <x:c r="C119" s="3" t="str">
        <x:f>IFERROR(VLOOKUP($B119,'Hack Database'!$A:$J,2,FALSE),"")</x:f>
      </x:c>
      <x:c r="D119" s="3" t="str">
        <x:f>IFERROR(VLOOKUP($B119,'Hack Database'!$A:$J,3,FALSE),"")</x:f>
      </x:c>
      <x:c r="E119" s="7" t="str">
        <x:f>IFERROR(VLOOKUP($B119,'Hack Database'!$A:$J,4,FALSE),"")</x:f>
      </x:c>
      <x:c r="F119" s="3" t="str">
        <x:f>IFERROR(VLOOKUP($B119,'Hack Database'!$A:$J,5,FALSE),"")</x:f>
      </x:c>
      <x:c r="G119" s="3" t="str">
        <x:f>IFERROR(VLOOKUP($B119,'Hack Database'!$A:$J,6,FALSE),"")</x:f>
      </x:c>
      <x:c r="H119" s="6"/>
      <x:c r="I119" s="6"/>
      <x:c r="J119" s="4"/>
      <x:c r="K119" s="3" t="str">
        <x:f t="shared" si="1"/>
      </x:c>
      <x:c r="L119" s="8"/>
      <x:c r="M119" s="5"/>
      <x:c r="N119" s="9" t="str">
        <x:f>IFERROR(HYPERLINK(VLOOKUP($B119,'Hack Database'!$A:$J,9,FALSE),"Open Page"),"")</x:f>
      </x:c>
      <x:c r="O119" s="9" t="str">
        <x:f>IFERROR(HYPERLINK(VLOOKUP($B119,'Hack Database'!$A:$J,10,FALSE),"Download"),"")</x:f>
      </x:c>
      <x:c r="P119" s="152"/>
    </x:row>
    <x:row r="120" ht="11" customHeight="1">
      <x:c r="A120" s="134" t="str">
        <x:f>IF(C120="","",COUNTIF($C$2:C120,"&lt;&gt;"))</x:f>
      </x:c>
      <x:c r="B120" s="4"/>
      <x:c r="C120" s="3" t="str">
        <x:f>IFERROR(VLOOKUP($B120,'Hack Database'!$A:$J,2,FALSE),"")</x:f>
      </x:c>
      <x:c r="D120" s="3" t="str">
        <x:f>IFERROR(VLOOKUP($B120,'Hack Database'!$A:$J,3,FALSE),"")</x:f>
      </x:c>
      <x:c r="E120" s="7" t="str">
        <x:f>IFERROR(VLOOKUP($B120,'Hack Database'!$A:$J,4,FALSE),"")</x:f>
      </x:c>
      <x:c r="F120" s="3" t="str">
        <x:f>IFERROR(VLOOKUP($B120,'Hack Database'!$A:$J,5,FALSE),"")</x:f>
      </x:c>
      <x:c r="G120" s="3" t="str">
        <x:f>IFERROR(VLOOKUP($B120,'Hack Database'!$A:$J,6,FALSE),"")</x:f>
      </x:c>
      <x:c r="H120" s="6"/>
      <x:c r="I120" s="6"/>
      <x:c r="J120" s="4"/>
      <x:c r="K120" s="3" t="str">
        <x:f t="shared" si="1"/>
      </x:c>
      <x:c r="L120" s="8"/>
      <x:c r="M120" s="5"/>
      <x:c r="N120" s="9" t="str">
        <x:f>IFERROR(HYPERLINK(VLOOKUP($B120,'Hack Database'!$A:$J,9,FALSE),"Open Page"),"")</x:f>
      </x:c>
      <x:c r="O120" s="9" t="str">
        <x:f>IFERROR(HYPERLINK(VLOOKUP($B120,'Hack Database'!$A:$J,10,FALSE),"Download"),"")</x:f>
      </x:c>
      <x:c r="P120" s="152"/>
    </x:row>
    <x:row r="121" ht="11" customHeight="1">
      <x:c r="A121" s="134" t="str">
        <x:f>IF(C121="","",COUNTIF($C$2:C121,"&lt;&gt;"))</x:f>
      </x:c>
      <x:c r="B121" s="4"/>
      <x:c r="C121" s="3" t="str">
        <x:f>IFERROR(VLOOKUP($B121,'Hack Database'!$A:$J,2,FALSE),"")</x:f>
      </x:c>
      <x:c r="D121" s="3" t="str">
        <x:f>IFERROR(VLOOKUP($B121,'Hack Database'!$A:$J,3,FALSE),"")</x:f>
      </x:c>
      <x:c r="E121" s="7" t="str">
        <x:f>IFERROR(VLOOKUP($B121,'Hack Database'!$A:$J,4,FALSE),"")</x:f>
      </x:c>
      <x:c r="F121" s="3" t="str">
        <x:f>IFERROR(VLOOKUP($B121,'Hack Database'!$A:$J,5,FALSE),"")</x:f>
      </x:c>
      <x:c r="G121" s="3" t="str">
        <x:f>IFERROR(VLOOKUP($B121,'Hack Database'!$A:$J,6,FALSE),"")</x:f>
      </x:c>
      <x:c r="H121" s="6"/>
      <x:c r="I121" s="6"/>
      <x:c r="J121" s="4"/>
      <x:c r="K121" s="3" t="str">
        <x:f t="shared" si="1"/>
      </x:c>
      <x:c r="L121" s="8"/>
      <x:c r="M121" s="5"/>
      <x:c r="N121" s="9" t="str">
        <x:f>IFERROR(HYPERLINK(VLOOKUP($B121,'Hack Database'!$A:$J,9,FALSE),"Open Page"),"")</x:f>
      </x:c>
      <x:c r="O121" s="9" t="str">
        <x:f>IFERROR(HYPERLINK(VLOOKUP($B121,'Hack Database'!$A:$J,10,FALSE),"Download"),"")</x:f>
      </x:c>
      <x:c r="P121" s="152"/>
    </x:row>
    <x:row r="122" ht="11" customHeight="1">
      <x:c r="A122" s="134" t="str">
        <x:f>IF(C122="","",COUNTIF($C$2:C122,"&lt;&gt;"))</x:f>
      </x:c>
      <x:c r="B122" s="4"/>
      <x:c r="C122" s="3" t="str">
        <x:f>IFERROR(VLOOKUP($B122,'Hack Database'!$A:$J,2,FALSE),"")</x:f>
      </x:c>
      <x:c r="D122" s="3" t="str">
        <x:f>IFERROR(VLOOKUP($B122,'Hack Database'!$A:$J,3,FALSE),"")</x:f>
      </x:c>
      <x:c r="E122" s="7" t="str">
        <x:f>IFERROR(VLOOKUP($B122,'Hack Database'!$A:$J,4,FALSE),"")</x:f>
      </x:c>
      <x:c r="F122" s="3" t="str">
        <x:f>IFERROR(VLOOKUP($B122,'Hack Database'!$A:$J,5,FALSE),"")</x:f>
      </x:c>
      <x:c r="G122" s="3" t="str">
        <x:f>IFERROR(VLOOKUP($B122,'Hack Database'!$A:$J,6,FALSE),"")</x:f>
      </x:c>
      <x:c r="H122" s="6"/>
      <x:c r="I122" s="6"/>
      <x:c r="J122" s="4"/>
      <x:c r="K122" s="3" t="str">
        <x:f t="shared" si="1"/>
      </x:c>
      <x:c r="L122" s="8"/>
      <x:c r="M122" s="5"/>
      <x:c r="N122" s="9" t="str">
        <x:f>IFERROR(HYPERLINK(VLOOKUP($B122,'Hack Database'!$A:$J,9,FALSE),"Open Page"),"")</x:f>
      </x:c>
      <x:c r="O122" s="9" t="str">
        <x:f>IFERROR(HYPERLINK(VLOOKUP($B122,'Hack Database'!$A:$J,10,FALSE),"Download"),"")</x:f>
      </x:c>
      <x:c r="P122" s="152"/>
    </x:row>
    <x:row r="123" ht="11" customHeight="1">
      <x:c r="A123" s="134" t="str">
        <x:f>IF(C123="","",COUNTIF($C$2:C123,"&lt;&gt;"))</x:f>
      </x:c>
      <x:c r="B123" s="4"/>
      <x:c r="C123" s="3" t="str">
        <x:f>IFERROR(VLOOKUP($B123,'Hack Database'!$A:$J,2,FALSE),"")</x:f>
      </x:c>
      <x:c r="D123" s="3" t="str">
        <x:f>IFERROR(VLOOKUP($B123,'Hack Database'!$A:$J,3,FALSE),"")</x:f>
      </x:c>
      <x:c r="E123" s="7" t="str">
        <x:f>IFERROR(VLOOKUP($B123,'Hack Database'!$A:$J,4,FALSE),"")</x:f>
      </x:c>
      <x:c r="F123" s="3" t="str">
        <x:f>IFERROR(VLOOKUP($B123,'Hack Database'!$A:$J,5,FALSE),"")</x:f>
      </x:c>
      <x:c r="G123" s="3" t="str">
        <x:f>IFERROR(VLOOKUP($B123,'Hack Database'!$A:$J,6,FALSE),"")</x:f>
      </x:c>
      <x:c r="H123" s="6"/>
      <x:c r="I123" s="6"/>
      <x:c r="J123" s="4"/>
      <x:c r="K123" s="3" t="str">
        <x:f t="shared" si="1"/>
      </x:c>
      <x:c r="L123" s="8"/>
      <x:c r="M123" s="5"/>
      <x:c r="N123" s="9" t="str">
        <x:f>IFERROR(HYPERLINK(VLOOKUP($B123,'Hack Database'!$A:$J,9,FALSE),"Open Page"),"")</x:f>
      </x:c>
      <x:c r="O123" s="9" t="str">
        <x:f>IFERROR(HYPERLINK(VLOOKUP($B123,'Hack Database'!$A:$J,10,FALSE),"Download"),"")</x:f>
      </x:c>
      <x:c r="P123" s="152"/>
    </x:row>
    <x:row r="124" ht="11" customHeight="1">
      <x:c r="A124" s="134" t="str">
        <x:f>IF(C124="","",COUNTIF($C$2:C124,"&lt;&gt;"))</x:f>
      </x:c>
      <x:c r="B124" s="4"/>
      <x:c r="C124" s="3" t="str">
        <x:f>IFERROR(VLOOKUP($B124,'Hack Database'!$A:$J,2,FALSE),"")</x:f>
      </x:c>
      <x:c r="D124" s="3" t="str">
        <x:f>IFERROR(VLOOKUP($B124,'Hack Database'!$A:$J,3,FALSE),"")</x:f>
      </x:c>
      <x:c r="E124" s="7" t="str">
        <x:f>IFERROR(VLOOKUP($B124,'Hack Database'!$A:$J,4,FALSE),"")</x:f>
      </x:c>
      <x:c r="F124" s="3" t="str">
        <x:f>IFERROR(VLOOKUP($B124,'Hack Database'!$A:$J,5,FALSE),"")</x:f>
      </x:c>
      <x:c r="G124" s="3" t="str">
        <x:f>IFERROR(VLOOKUP($B124,'Hack Database'!$A:$J,6,FALSE),"")</x:f>
      </x:c>
      <x:c r="H124" s="6"/>
      <x:c r="I124" s="6"/>
      <x:c r="J124" s="4"/>
      <x:c r="K124" s="3" t="str">
        <x:f t="shared" si="1"/>
      </x:c>
      <x:c r="L124" s="8"/>
      <x:c r="M124" s="5"/>
      <x:c r="N124" s="9" t="str">
        <x:f>IFERROR(HYPERLINK(VLOOKUP($B124,'Hack Database'!$A:$J,9,FALSE),"Open Page"),"")</x:f>
      </x:c>
      <x:c r="O124" s="9" t="str">
        <x:f>IFERROR(HYPERLINK(VLOOKUP($B124,'Hack Database'!$A:$J,10,FALSE),"Download"),"")</x:f>
      </x:c>
      <x:c r="P124" s="152"/>
    </x:row>
    <x:row r="125" ht="11" customHeight="1">
      <x:c r="A125" s="134" t="str">
        <x:f>IF(C125="","",COUNTIF($C$2:C125,"&lt;&gt;"))</x:f>
      </x:c>
      <x:c r="B125" s="4"/>
      <x:c r="C125" s="3" t="str">
        <x:f>IFERROR(VLOOKUP($B125,'Hack Database'!$A:$J,2,FALSE),"")</x:f>
      </x:c>
      <x:c r="D125" s="3" t="str">
        <x:f>IFERROR(VLOOKUP($B125,'Hack Database'!$A:$J,3,FALSE),"")</x:f>
      </x:c>
      <x:c r="E125" s="7" t="str">
        <x:f>IFERROR(VLOOKUP($B125,'Hack Database'!$A:$J,4,FALSE),"")</x:f>
      </x:c>
      <x:c r="F125" s="3" t="str">
        <x:f>IFERROR(VLOOKUP($B125,'Hack Database'!$A:$J,5,FALSE),"")</x:f>
      </x:c>
      <x:c r="G125" s="3" t="str">
        <x:f>IFERROR(VLOOKUP($B125,'Hack Database'!$A:$J,6,FALSE),"")</x:f>
      </x:c>
      <x:c r="H125" s="6"/>
      <x:c r="I125" s="6"/>
      <x:c r="J125" s="4"/>
      <x:c r="K125" s="3" t="str">
        <x:f t="shared" si="1"/>
      </x:c>
      <x:c r="L125" s="8"/>
      <x:c r="M125" s="5"/>
      <x:c r="N125" s="9" t="str">
        <x:f>IFERROR(HYPERLINK(VLOOKUP($B125,'Hack Database'!$A:$J,9,FALSE),"Open Page"),"")</x:f>
      </x:c>
      <x:c r="O125" s="9" t="str">
        <x:f>IFERROR(HYPERLINK(VLOOKUP($B125,'Hack Database'!$A:$J,10,FALSE),"Download"),"")</x:f>
      </x:c>
      <x:c r="P125" s="152"/>
    </x:row>
    <x:row r="126" ht="11" customHeight="1">
      <x:c r="A126" s="134" t="str">
        <x:f>IF(C126="","",COUNTIF($C$2:C126,"&lt;&gt;"))</x:f>
      </x:c>
      <x:c r="B126" s="4"/>
      <x:c r="C126" s="3" t="str">
        <x:f>IFERROR(VLOOKUP($B126,'Hack Database'!$A:$J,2,FALSE),"")</x:f>
      </x:c>
      <x:c r="D126" s="3" t="str">
        <x:f>IFERROR(VLOOKUP($B126,'Hack Database'!$A:$J,3,FALSE),"")</x:f>
      </x:c>
      <x:c r="E126" s="7" t="str">
        <x:f>IFERROR(VLOOKUP($B126,'Hack Database'!$A:$J,4,FALSE),"")</x:f>
      </x:c>
      <x:c r="F126" s="3" t="str">
        <x:f>IFERROR(VLOOKUP($B126,'Hack Database'!$A:$J,5,FALSE),"")</x:f>
      </x:c>
      <x:c r="G126" s="3" t="str">
        <x:f>IFERROR(VLOOKUP($B126,'Hack Database'!$A:$J,6,FALSE),"")</x:f>
      </x:c>
      <x:c r="H126" s="6"/>
      <x:c r="I126" s="6"/>
      <x:c r="J126" s="4"/>
      <x:c r="K126" s="3" t="str">
        <x:f t="shared" si="1"/>
      </x:c>
      <x:c r="L126" s="8"/>
      <x:c r="M126" s="5"/>
      <x:c r="N126" s="9" t="str">
        <x:f>IFERROR(HYPERLINK(VLOOKUP($B126,'Hack Database'!$A:$J,9,FALSE),"Open Page"),"")</x:f>
      </x:c>
      <x:c r="O126" s="9" t="str">
        <x:f>IFERROR(HYPERLINK(VLOOKUP($B126,'Hack Database'!$A:$J,10,FALSE),"Download"),"")</x:f>
      </x:c>
      <x:c r="P126" s="152"/>
    </x:row>
    <x:row r="127" ht="11" customHeight="1">
      <x:c r="A127" s="134" t="str">
        <x:f>IF(C127="","",COUNTIF($C$2:C127,"&lt;&gt;"))</x:f>
      </x:c>
      <x:c r="B127" s="4"/>
      <x:c r="C127" s="3" t="str">
        <x:f>IFERROR(VLOOKUP($B127,'Hack Database'!$A:$J,2,FALSE),"")</x:f>
      </x:c>
      <x:c r="D127" s="3" t="str">
        <x:f>IFERROR(VLOOKUP($B127,'Hack Database'!$A:$J,3,FALSE),"")</x:f>
      </x:c>
      <x:c r="E127" s="7" t="str">
        <x:f>IFERROR(VLOOKUP($B127,'Hack Database'!$A:$J,4,FALSE),"")</x:f>
      </x:c>
      <x:c r="F127" s="3" t="str">
        <x:f>IFERROR(VLOOKUP($B127,'Hack Database'!$A:$J,5,FALSE),"")</x:f>
      </x:c>
      <x:c r="G127" s="3" t="str">
        <x:f>IFERROR(VLOOKUP($B127,'Hack Database'!$A:$J,6,FALSE),"")</x:f>
      </x:c>
      <x:c r="H127" s="6"/>
      <x:c r="I127" s="6"/>
      <x:c r="J127" s="4"/>
      <x:c r="K127" s="3" t="str">
        <x:f t="shared" si="1"/>
      </x:c>
      <x:c r="L127" s="8"/>
      <x:c r="M127" s="5"/>
      <x:c r="N127" s="9" t="str">
        <x:f>IFERROR(HYPERLINK(VLOOKUP($B127,'Hack Database'!$A:$J,9,FALSE),"Open Page"),"")</x:f>
      </x:c>
      <x:c r="O127" s="9" t="str">
        <x:f>IFERROR(HYPERLINK(VLOOKUP($B127,'Hack Database'!$A:$J,10,FALSE),"Download"),"")</x:f>
      </x:c>
      <x:c r="P127" s="152"/>
    </x:row>
    <x:row r="128" ht="11" customHeight="1">
      <x:c r="A128" s="134" t="str">
        <x:f>IF(C128="","",COUNTIF($C$2:C128,"&lt;&gt;"))</x:f>
      </x:c>
      <x:c r="B128" s="4"/>
      <x:c r="C128" s="3" t="str">
        <x:f>IFERROR(VLOOKUP($B128,'Hack Database'!$A:$J,2,FALSE),"")</x:f>
      </x:c>
      <x:c r="D128" s="3" t="str">
        <x:f>IFERROR(VLOOKUP($B128,'Hack Database'!$A:$J,3,FALSE),"")</x:f>
      </x:c>
      <x:c r="E128" s="7" t="str">
        <x:f>IFERROR(VLOOKUP($B128,'Hack Database'!$A:$J,4,FALSE),"")</x:f>
      </x:c>
      <x:c r="F128" s="3" t="str">
        <x:f>IFERROR(VLOOKUP($B128,'Hack Database'!$A:$J,5,FALSE),"")</x:f>
      </x:c>
      <x:c r="G128" s="3" t="str">
        <x:f>IFERROR(VLOOKUP($B128,'Hack Database'!$A:$J,6,FALSE),"")</x:f>
      </x:c>
      <x:c r="H128" s="6"/>
      <x:c r="I128" s="6"/>
      <x:c r="J128" s="4"/>
      <x:c r="K128" s="3" t="str">
        <x:f t="shared" si="1"/>
      </x:c>
      <x:c r="L128" s="8"/>
      <x:c r="M128" s="5"/>
      <x:c r="N128" s="9" t="str">
        <x:f>IFERROR(HYPERLINK(VLOOKUP($B128,'Hack Database'!$A:$J,9,FALSE),"Open Page"),"")</x:f>
      </x:c>
      <x:c r="O128" s="9" t="str">
        <x:f>IFERROR(HYPERLINK(VLOOKUP($B128,'Hack Database'!$A:$J,10,FALSE),"Download"),"")</x:f>
      </x:c>
      <x:c r="P128" s="152"/>
    </x:row>
    <x:row r="129" ht="11" customHeight="1">
      <x:c r="A129" s="134" t="str">
        <x:f>IF(C129="","",COUNTIF($C$2:C129,"&lt;&gt;"))</x:f>
      </x:c>
      <x:c r="B129" s="4"/>
      <x:c r="C129" s="3" t="str">
        <x:f>IFERROR(VLOOKUP($B129,'Hack Database'!$A:$J,2,FALSE),"")</x:f>
      </x:c>
      <x:c r="D129" s="3" t="str">
        <x:f>IFERROR(VLOOKUP($B129,'Hack Database'!$A:$J,3,FALSE),"")</x:f>
      </x:c>
      <x:c r="E129" s="7" t="str">
        <x:f>IFERROR(VLOOKUP($B129,'Hack Database'!$A:$J,4,FALSE),"")</x:f>
      </x:c>
      <x:c r="F129" s="3" t="str">
        <x:f>IFERROR(VLOOKUP($B129,'Hack Database'!$A:$J,5,FALSE),"")</x:f>
      </x:c>
      <x:c r="G129" s="3" t="str">
        <x:f>IFERROR(VLOOKUP($B129,'Hack Database'!$A:$J,6,FALSE),"")</x:f>
      </x:c>
      <x:c r="H129" s="6"/>
      <x:c r="I129" s="6"/>
      <x:c r="J129" s="4"/>
      <x:c r="K129" s="3" t="str">
        <x:f t="shared" si="1"/>
      </x:c>
      <x:c r="L129" s="8"/>
      <x:c r="M129" s="5"/>
      <x:c r="N129" s="9" t="str">
        <x:f>IFERROR(HYPERLINK(VLOOKUP($B129,'Hack Database'!$A:$J,9,FALSE),"Open Page"),"")</x:f>
      </x:c>
      <x:c r="O129" s="9" t="str">
        <x:f>IFERROR(HYPERLINK(VLOOKUP($B129,'Hack Database'!$A:$J,10,FALSE),"Download"),"")</x:f>
      </x:c>
      <x:c r="P129" s="152"/>
    </x:row>
    <x:row r="130" ht="11" customHeight="1">
      <x:c r="A130" s="134" t="str">
        <x:f>IF(C130="","",COUNTIF($C$2:C130,"&lt;&gt;"))</x:f>
      </x:c>
      <x:c r="B130" s="4"/>
      <x:c r="C130" s="3" t="str">
        <x:f>IFERROR(VLOOKUP($B130,'Hack Database'!$A:$J,2,FALSE),"")</x:f>
      </x:c>
      <x:c r="D130" s="3" t="str">
        <x:f>IFERROR(VLOOKUP($B130,'Hack Database'!$A:$J,3,FALSE),"")</x:f>
      </x:c>
      <x:c r="E130" s="7" t="str">
        <x:f>IFERROR(VLOOKUP($B130,'Hack Database'!$A:$J,4,FALSE),"")</x:f>
      </x:c>
      <x:c r="F130" s="3" t="str">
        <x:f>IFERROR(VLOOKUP($B130,'Hack Database'!$A:$J,5,FALSE),"")</x:f>
      </x:c>
      <x:c r="G130" s="3" t="str">
        <x:f>IFERROR(VLOOKUP($B130,'Hack Database'!$A:$J,6,FALSE),"")</x:f>
      </x:c>
      <x:c r="H130" s="6"/>
      <x:c r="I130" s="6"/>
      <x:c r="J130" s="4"/>
      <x:c r="K130" s="3" t="str">
        <x:f t="shared" ref="K130:K193" si="2">IF($B130="","",IF($J130="Yes","100% Complete",IF($H130="","Planned",IF($I130="","In Progress","Finished"))))</x:f>
      </x:c>
      <x:c r="L130" s="8"/>
      <x:c r="M130" s="5"/>
      <x:c r="N130" s="9" t="str">
        <x:f>IFERROR(HYPERLINK(VLOOKUP($B130,'Hack Database'!$A:$J,9,FALSE),"Open Page"),"")</x:f>
      </x:c>
      <x:c r="O130" s="9" t="str">
        <x:f>IFERROR(HYPERLINK(VLOOKUP($B130,'Hack Database'!$A:$J,10,FALSE),"Download"),"")</x:f>
      </x:c>
      <x:c r="P130" s="152"/>
    </x:row>
    <x:row r="131" ht="11" customHeight="1">
      <x:c r="A131" s="134" t="str">
        <x:f>IF(C131="","",COUNTIF($C$2:C131,"&lt;&gt;"))</x:f>
      </x:c>
      <x:c r="B131" s="4"/>
      <x:c r="C131" s="3" t="str">
        <x:f>IFERROR(VLOOKUP($B131,'Hack Database'!$A:$J,2,FALSE),"")</x:f>
      </x:c>
      <x:c r="D131" s="3" t="str">
        <x:f>IFERROR(VLOOKUP($B131,'Hack Database'!$A:$J,3,FALSE),"")</x:f>
      </x:c>
      <x:c r="E131" s="7" t="str">
        <x:f>IFERROR(VLOOKUP($B131,'Hack Database'!$A:$J,4,FALSE),"")</x:f>
      </x:c>
      <x:c r="F131" s="3" t="str">
        <x:f>IFERROR(VLOOKUP($B131,'Hack Database'!$A:$J,5,FALSE),"")</x:f>
      </x:c>
      <x:c r="G131" s="3" t="str">
        <x:f>IFERROR(VLOOKUP($B131,'Hack Database'!$A:$J,6,FALSE),"")</x:f>
      </x:c>
      <x:c r="H131" s="6"/>
      <x:c r="I131" s="6"/>
      <x:c r="J131" s="4"/>
      <x:c r="K131" s="3" t="str">
        <x:f t="shared" si="2"/>
      </x:c>
      <x:c r="L131" s="8"/>
      <x:c r="M131" s="5"/>
      <x:c r="N131" s="9" t="str">
        <x:f>IFERROR(HYPERLINK(VLOOKUP($B131,'Hack Database'!$A:$J,9,FALSE),"Open Page"),"")</x:f>
      </x:c>
      <x:c r="O131" s="9" t="str">
        <x:f>IFERROR(HYPERLINK(VLOOKUP($B131,'Hack Database'!$A:$J,10,FALSE),"Download"),"")</x:f>
      </x:c>
      <x:c r="P131" s="152"/>
    </x:row>
    <x:row r="132" ht="11" customHeight="1">
      <x:c r="A132" s="134" t="str">
        <x:f>IF(C132="","",COUNTIF($C$2:C132,"&lt;&gt;"))</x:f>
      </x:c>
      <x:c r="B132" s="4"/>
      <x:c r="C132" s="3" t="str">
        <x:f>IFERROR(VLOOKUP($B132,'Hack Database'!$A:$J,2,FALSE),"")</x:f>
      </x:c>
      <x:c r="D132" s="3" t="str">
        <x:f>IFERROR(VLOOKUP($B132,'Hack Database'!$A:$J,3,FALSE),"")</x:f>
      </x:c>
      <x:c r="E132" s="7" t="str">
        <x:f>IFERROR(VLOOKUP($B132,'Hack Database'!$A:$J,4,FALSE),"")</x:f>
      </x:c>
      <x:c r="F132" s="3" t="str">
        <x:f>IFERROR(VLOOKUP($B132,'Hack Database'!$A:$J,5,FALSE),"")</x:f>
      </x:c>
      <x:c r="G132" s="3" t="str">
        <x:f>IFERROR(VLOOKUP($B132,'Hack Database'!$A:$J,6,FALSE),"")</x:f>
      </x:c>
      <x:c r="H132" s="6"/>
      <x:c r="I132" s="6"/>
      <x:c r="J132" s="4"/>
      <x:c r="K132" s="3" t="str">
        <x:f t="shared" si="2"/>
      </x:c>
      <x:c r="L132" s="8"/>
      <x:c r="M132" s="5"/>
      <x:c r="N132" s="9" t="str">
        <x:f>IFERROR(HYPERLINK(VLOOKUP($B132,'Hack Database'!$A:$J,9,FALSE),"Open Page"),"")</x:f>
      </x:c>
      <x:c r="O132" s="9" t="str">
        <x:f>IFERROR(HYPERLINK(VLOOKUP($B132,'Hack Database'!$A:$J,10,FALSE),"Download"),"")</x:f>
      </x:c>
      <x:c r="P132" s="152"/>
    </x:row>
    <x:row r="133" ht="11" customHeight="1">
      <x:c r="A133" s="134" t="str">
        <x:f>IF(C133="","",COUNTIF($C$2:C133,"&lt;&gt;"))</x:f>
      </x:c>
      <x:c r="B133" s="4"/>
      <x:c r="C133" s="3" t="str">
        <x:f>IFERROR(VLOOKUP($B133,'Hack Database'!$A:$J,2,FALSE),"")</x:f>
      </x:c>
      <x:c r="D133" s="3" t="str">
        <x:f>IFERROR(VLOOKUP($B133,'Hack Database'!$A:$J,3,FALSE),"")</x:f>
      </x:c>
      <x:c r="E133" s="7" t="str">
        <x:f>IFERROR(VLOOKUP($B133,'Hack Database'!$A:$J,4,FALSE),"")</x:f>
      </x:c>
      <x:c r="F133" s="3" t="str">
        <x:f>IFERROR(VLOOKUP($B133,'Hack Database'!$A:$J,5,FALSE),"")</x:f>
      </x:c>
      <x:c r="G133" s="3" t="str">
        <x:f>IFERROR(VLOOKUP($B133,'Hack Database'!$A:$J,6,FALSE),"")</x:f>
      </x:c>
      <x:c r="H133" s="6"/>
      <x:c r="I133" s="6"/>
      <x:c r="J133" s="4"/>
      <x:c r="K133" s="3" t="str">
        <x:f t="shared" si="2"/>
      </x:c>
      <x:c r="L133" s="8"/>
      <x:c r="M133" s="5"/>
      <x:c r="N133" s="9" t="str">
        <x:f>IFERROR(HYPERLINK(VLOOKUP($B133,'Hack Database'!$A:$J,9,FALSE),"Open Page"),"")</x:f>
      </x:c>
      <x:c r="O133" s="9" t="str">
        <x:f>IFERROR(HYPERLINK(VLOOKUP($B133,'Hack Database'!$A:$J,10,FALSE),"Download"),"")</x:f>
      </x:c>
      <x:c r="P133" s="152"/>
    </x:row>
    <x:row r="134" ht="11" customHeight="1">
      <x:c r="A134" s="134" t="str">
        <x:f>IF(C134="","",COUNTIF($C$2:C134,"&lt;&gt;"))</x:f>
      </x:c>
      <x:c r="B134" s="4"/>
      <x:c r="C134" s="3" t="str">
        <x:f>IFERROR(VLOOKUP($B134,'Hack Database'!$A:$J,2,FALSE),"")</x:f>
      </x:c>
      <x:c r="D134" s="3" t="str">
        <x:f>IFERROR(VLOOKUP($B134,'Hack Database'!$A:$J,3,FALSE),"")</x:f>
      </x:c>
      <x:c r="E134" s="7" t="str">
        <x:f>IFERROR(VLOOKUP($B134,'Hack Database'!$A:$J,4,FALSE),"")</x:f>
      </x:c>
      <x:c r="F134" s="3" t="str">
        <x:f>IFERROR(VLOOKUP($B134,'Hack Database'!$A:$J,5,FALSE),"")</x:f>
      </x:c>
      <x:c r="G134" s="3" t="str">
        <x:f>IFERROR(VLOOKUP($B134,'Hack Database'!$A:$J,6,FALSE),"")</x:f>
      </x:c>
      <x:c r="H134" s="6"/>
      <x:c r="I134" s="6"/>
      <x:c r="J134" s="4"/>
      <x:c r="K134" s="3" t="str">
        <x:f t="shared" si="2"/>
      </x:c>
      <x:c r="L134" s="8"/>
      <x:c r="M134" s="5"/>
      <x:c r="N134" s="9" t="str">
        <x:f>IFERROR(HYPERLINK(VLOOKUP($B134,'Hack Database'!$A:$J,9,FALSE),"Open Page"),"")</x:f>
      </x:c>
      <x:c r="O134" s="9" t="str">
        <x:f>IFERROR(HYPERLINK(VLOOKUP($B134,'Hack Database'!$A:$J,10,FALSE),"Download"),"")</x:f>
      </x:c>
      <x:c r="P134" s="152"/>
    </x:row>
    <x:row r="135" ht="11" customHeight="1">
      <x:c r="A135" s="134" t="str">
        <x:f>IF(C135="","",COUNTIF($C$2:C135,"&lt;&gt;"))</x:f>
      </x:c>
      <x:c r="B135" s="4"/>
      <x:c r="C135" s="3" t="str">
        <x:f>IFERROR(VLOOKUP($B135,'Hack Database'!$A:$J,2,FALSE),"")</x:f>
      </x:c>
      <x:c r="D135" s="3" t="str">
        <x:f>IFERROR(VLOOKUP($B135,'Hack Database'!$A:$J,3,FALSE),"")</x:f>
      </x:c>
      <x:c r="E135" s="7" t="str">
        <x:f>IFERROR(VLOOKUP($B135,'Hack Database'!$A:$J,4,FALSE),"")</x:f>
      </x:c>
      <x:c r="F135" s="3" t="str">
        <x:f>IFERROR(VLOOKUP($B135,'Hack Database'!$A:$J,5,FALSE),"")</x:f>
      </x:c>
      <x:c r="G135" s="3" t="str">
        <x:f>IFERROR(VLOOKUP($B135,'Hack Database'!$A:$J,6,FALSE),"")</x:f>
      </x:c>
      <x:c r="H135" s="6"/>
      <x:c r="I135" s="6"/>
      <x:c r="J135" s="4"/>
      <x:c r="K135" s="3" t="str">
        <x:f t="shared" si="2"/>
      </x:c>
      <x:c r="L135" s="8"/>
      <x:c r="M135" s="5"/>
      <x:c r="N135" s="9" t="str">
        <x:f>IFERROR(HYPERLINK(VLOOKUP($B135,'Hack Database'!$A:$J,9,FALSE),"Open Page"),"")</x:f>
      </x:c>
      <x:c r="O135" s="9" t="str">
        <x:f>IFERROR(HYPERLINK(VLOOKUP($B135,'Hack Database'!$A:$J,10,FALSE),"Download"),"")</x:f>
      </x:c>
      <x:c r="P135" s="152"/>
    </x:row>
    <x:row r="136" ht="11" customHeight="1">
      <x:c r="A136" s="134" t="str">
        <x:f>IF(C136="","",COUNTIF($C$2:C136,"&lt;&gt;"))</x:f>
      </x:c>
      <x:c r="B136" s="4"/>
      <x:c r="C136" s="3" t="str">
        <x:f>IFERROR(VLOOKUP($B136,'Hack Database'!$A:$J,2,FALSE),"")</x:f>
      </x:c>
      <x:c r="D136" s="3" t="str">
        <x:f>IFERROR(VLOOKUP($B136,'Hack Database'!$A:$J,3,FALSE),"")</x:f>
      </x:c>
      <x:c r="E136" s="7" t="str">
        <x:f>IFERROR(VLOOKUP($B136,'Hack Database'!$A:$J,4,FALSE),"")</x:f>
      </x:c>
      <x:c r="F136" s="3" t="str">
        <x:f>IFERROR(VLOOKUP($B136,'Hack Database'!$A:$J,5,FALSE),"")</x:f>
      </x:c>
      <x:c r="G136" s="3" t="str">
        <x:f>IFERROR(VLOOKUP($B136,'Hack Database'!$A:$J,6,FALSE),"")</x:f>
      </x:c>
      <x:c r="H136" s="6"/>
      <x:c r="I136" s="6"/>
      <x:c r="J136" s="4"/>
      <x:c r="K136" s="3" t="str">
        <x:f t="shared" si="2"/>
      </x:c>
      <x:c r="L136" s="8"/>
      <x:c r="M136" s="5"/>
      <x:c r="N136" s="9" t="str">
        <x:f>IFERROR(HYPERLINK(VLOOKUP($B136,'Hack Database'!$A:$J,9,FALSE),"Open Page"),"")</x:f>
      </x:c>
      <x:c r="O136" s="9" t="str">
        <x:f>IFERROR(HYPERLINK(VLOOKUP($B136,'Hack Database'!$A:$J,10,FALSE),"Download"),"")</x:f>
      </x:c>
      <x:c r="P136" s="152"/>
    </x:row>
    <x:row r="137" ht="11" customHeight="1">
      <x:c r="A137" s="134" t="str">
        <x:f>IF(C137="","",COUNTIF($C$2:C137,"&lt;&gt;"))</x:f>
      </x:c>
      <x:c r="B137" s="4"/>
      <x:c r="C137" s="3" t="str">
        <x:f>IFERROR(VLOOKUP($B137,'Hack Database'!$A:$J,2,FALSE),"")</x:f>
      </x:c>
      <x:c r="D137" s="3" t="str">
        <x:f>IFERROR(VLOOKUP($B137,'Hack Database'!$A:$J,3,FALSE),"")</x:f>
      </x:c>
      <x:c r="E137" s="7" t="str">
        <x:f>IFERROR(VLOOKUP($B137,'Hack Database'!$A:$J,4,FALSE),"")</x:f>
      </x:c>
      <x:c r="F137" s="3" t="str">
        <x:f>IFERROR(VLOOKUP($B137,'Hack Database'!$A:$J,5,FALSE),"")</x:f>
      </x:c>
      <x:c r="G137" s="3" t="str">
        <x:f>IFERROR(VLOOKUP($B137,'Hack Database'!$A:$J,6,FALSE),"")</x:f>
      </x:c>
      <x:c r="H137" s="6"/>
      <x:c r="I137" s="6"/>
      <x:c r="J137" s="4"/>
      <x:c r="K137" s="3" t="str">
        <x:f t="shared" si="2"/>
      </x:c>
      <x:c r="L137" s="8"/>
      <x:c r="M137" s="5"/>
      <x:c r="N137" s="9" t="str">
        <x:f>IFERROR(HYPERLINK(VLOOKUP($B137,'Hack Database'!$A:$J,9,FALSE),"Open Page"),"")</x:f>
      </x:c>
      <x:c r="O137" s="9" t="str">
        <x:f>IFERROR(HYPERLINK(VLOOKUP($B137,'Hack Database'!$A:$J,10,FALSE),"Download"),"")</x:f>
      </x:c>
      <x:c r="P137" s="152"/>
    </x:row>
    <x:row r="138" ht="11" customHeight="1">
      <x:c r="A138" s="134" t="str">
        <x:f>IF(C138="","",COUNTIF($C$2:C138,"&lt;&gt;"))</x:f>
      </x:c>
      <x:c r="B138" s="4"/>
      <x:c r="C138" s="3" t="str">
        <x:f>IFERROR(VLOOKUP($B138,'Hack Database'!$A:$J,2,FALSE),"")</x:f>
      </x:c>
      <x:c r="D138" s="3" t="str">
        <x:f>IFERROR(VLOOKUP($B138,'Hack Database'!$A:$J,3,FALSE),"")</x:f>
      </x:c>
      <x:c r="E138" s="7" t="str">
        <x:f>IFERROR(VLOOKUP($B138,'Hack Database'!$A:$J,4,FALSE),"")</x:f>
      </x:c>
      <x:c r="F138" s="3" t="str">
        <x:f>IFERROR(VLOOKUP($B138,'Hack Database'!$A:$J,5,FALSE),"")</x:f>
      </x:c>
      <x:c r="G138" s="3" t="str">
        <x:f>IFERROR(VLOOKUP($B138,'Hack Database'!$A:$J,6,FALSE),"")</x:f>
      </x:c>
      <x:c r="H138" s="6"/>
      <x:c r="I138" s="6"/>
      <x:c r="J138" s="4"/>
      <x:c r="K138" s="3" t="str">
        <x:f t="shared" si="2"/>
      </x:c>
      <x:c r="L138" s="8"/>
      <x:c r="M138" s="5"/>
      <x:c r="N138" s="9" t="str">
        <x:f>IFERROR(HYPERLINK(VLOOKUP($B138,'Hack Database'!$A:$J,9,FALSE),"Open Page"),"")</x:f>
      </x:c>
      <x:c r="O138" s="9" t="str">
        <x:f>IFERROR(HYPERLINK(VLOOKUP($B138,'Hack Database'!$A:$J,10,FALSE),"Download"),"")</x:f>
      </x:c>
      <x:c r="P138" s="152"/>
    </x:row>
    <x:row r="139" ht="11" customHeight="1">
      <x:c r="A139" s="134" t="str">
        <x:f>IF(C139="","",COUNTIF($C$2:C139,"&lt;&gt;"))</x:f>
      </x:c>
      <x:c r="B139" s="4"/>
      <x:c r="C139" s="3" t="str">
        <x:f>IFERROR(VLOOKUP($B139,'Hack Database'!$A:$J,2,FALSE),"")</x:f>
      </x:c>
      <x:c r="D139" s="3" t="str">
        <x:f>IFERROR(VLOOKUP($B139,'Hack Database'!$A:$J,3,FALSE),"")</x:f>
      </x:c>
      <x:c r="E139" s="7" t="str">
        <x:f>IFERROR(VLOOKUP($B139,'Hack Database'!$A:$J,4,FALSE),"")</x:f>
      </x:c>
      <x:c r="F139" s="3" t="str">
        <x:f>IFERROR(VLOOKUP($B139,'Hack Database'!$A:$J,5,FALSE),"")</x:f>
      </x:c>
      <x:c r="G139" s="3" t="str">
        <x:f>IFERROR(VLOOKUP($B139,'Hack Database'!$A:$J,6,FALSE),"")</x:f>
      </x:c>
      <x:c r="H139" s="6"/>
      <x:c r="I139" s="6"/>
      <x:c r="J139" s="4"/>
      <x:c r="K139" s="3" t="str">
        <x:f t="shared" si="2"/>
      </x:c>
      <x:c r="L139" s="8"/>
      <x:c r="M139" s="5"/>
      <x:c r="N139" s="9" t="str">
        <x:f>IFERROR(HYPERLINK(VLOOKUP($B139,'Hack Database'!$A:$J,9,FALSE),"Open Page"),"")</x:f>
      </x:c>
      <x:c r="O139" s="9" t="str">
        <x:f>IFERROR(HYPERLINK(VLOOKUP($B139,'Hack Database'!$A:$J,10,FALSE),"Download"),"")</x:f>
      </x:c>
      <x:c r="P139" s="152"/>
    </x:row>
    <x:row r="140" ht="11" customHeight="1">
      <x:c r="A140" s="134" t="str">
        <x:f>IF(C140="","",COUNTIF($C$2:C140,"&lt;&gt;"))</x:f>
      </x:c>
      <x:c r="B140" s="4"/>
      <x:c r="C140" s="3" t="str">
        <x:f>IFERROR(VLOOKUP($B140,'Hack Database'!$A:$J,2,FALSE),"")</x:f>
      </x:c>
      <x:c r="D140" s="3" t="str">
        <x:f>IFERROR(VLOOKUP($B140,'Hack Database'!$A:$J,3,FALSE),"")</x:f>
      </x:c>
      <x:c r="E140" s="7" t="str">
        <x:f>IFERROR(VLOOKUP($B140,'Hack Database'!$A:$J,4,FALSE),"")</x:f>
      </x:c>
      <x:c r="F140" s="3" t="str">
        <x:f>IFERROR(VLOOKUP($B140,'Hack Database'!$A:$J,5,FALSE),"")</x:f>
      </x:c>
      <x:c r="G140" s="3" t="str">
        <x:f>IFERROR(VLOOKUP($B140,'Hack Database'!$A:$J,6,FALSE),"")</x:f>
      </x:c>
      <x:c r="H140" s="6"/>
      <x:c r="I140" s="6"/>
      <x:c r="J140" s="4"/>
      <x:c r="K140" s="3" t="str">
        <x:f t="shared" si="2"/>
      </x:c>
      <x:c r="L140" s="8"/>
      <x:c r="M140" s="5"/>
      <x:c r="N140" s="9" t="str">
        <x:f>IFERROR(HYPERLINK(VLOOKUP($B140,'Hack Database'!$A:$J,9,FALSE),"Open Page"),"")</x:f>
      </x:c>
      <x:c r="O140" s="9" t="str">
        <x:f>IFERROR(HYPERLINK(VLOOKUP($B140,'Hack Database'!$A:$J,10,FALSE),"Download"),"")</x:f>
      </x:c>
      <x:c r="P140" s="152"/>
    </x:row>
    <x:row r="141" ht="11" customHeight="1">
      <x:c r="A141" s="134" t="str">
        <x:f>IF(C141="","",COUNTIF($C$2:C141,"&lt;&gt;"))</x:f>
      </x:c>
      <x:c r="B141" s="4"/>
      <x:c r="C141" s="3" t="str">
        <x:f>IFERROR(VLOOKUP($B141,'Hack Database'!$A:$J,2,FALSE),"")</x:f>
      </x:c>
      <x:c r="D141" s="3" t="str">
        <x:f>IFERROR(VLOOKUP($B141,'Hack Database'!$A:$J,3,FALSE),"")</x:f>
      </x:c>
      <x:c r="E141" s="7" t="str">
        <x:f>IFERROR(VLOOKUP($B141,'Hack Database'!$A:$J,4,FALSE),"")</x:f>
      </x:c>
      <x:c r="F141" s="3" t="str">
        <x:f>IFERROR(VLOOKUP($B141,'Hack Database'!$A:$J,5,FALSE),"")</x:f>
      </x:c>
      <x:c r="G141" s="3" t="str">
        <x:f>IFERROR(VLOOKUP($B141,'Hack Database'!$A:$J,6,FALSE),"")</x:f>
      </x:c>
      <x:c r="H141" s="6"/>
      <x:c r="I141" s="6"/>
      <x:c r="J141" s="4"/>
      <x:c r="K141" s="3" t="str">
        <x:f t="shared" si="2"/>
      </x:c>
      <x:c r="L141" s="8"/>
      <x:c r="M141" s="5"/>
      <x:c r="N141" s="9" t="str">
        <x:f>IFERROR(HYPERLINK(VLOOKUP($B141,'Hack Database'!$A:$J,9,FALSE),"Open Page"),"")</x:f>
      </x:c>
      <x:c r="O141" s="9" t="str">
        <x:f>IFERROR(HYPERLINK(VLOOKUP($B141,'Hack Database'!$A:$J,10,FALSE),"Download"),"")</x:f>
      </x:c>
      <x:c r="P141" s="152"/>
    </x:row>
    <x:row r="142" ht="11" customHeight="1">
      <x:c r="A142" s="134" t="str">
        <x:f>IF(C142="","",COUNTIF($C$2:C142,"&lt;&gt;"))</x:f>
      </x:c>
      <x:c r="B142" s="4"/>
      <x:c r="C142" s="3" t="str">
        <x:f>IFERROR(VLOOKUP($B142,'Hack Database'!$A:$J,2,FALSE),"")</x:f>
      </x:c>
      <x:c r="D142" s="3" t="str">
        <x:f>IFERROR(VLOOKUP($B142,'Hack Database'!$A:$J,3,FALSE),"")</x:f>
      </x:c>
      <x:c r="E142" s="7" t="str">
        <x:f>IFERROR(VLOOKUP($B142,'Hack Database'!$A:$J,4,FALSE),"")</x:f>
      </x:c>
      <x:c r="F142" s="3" t="str">
        <x:f>IFERROR(VLOOKUP($B142,'Hack Database'!$A:$J,5,FALSE),"")</x:f>
      </x:c>
      <x:c r="G142" s="3" t="str">
        <x:f>IFERROR(VLOOKUP($B142,'Hack Database'!$A:$J,6,FALSE),"")</x:f>
      </x:c>
      <x:c r="H142" s="6"/>
      <x:c r="I142" s="6"/>
      <x:c r="J142" s="4"/>
      <x:c r="K142" s="3" t="str">
        <x:f t="shared" si="2"/>
      </x:c>
      <x:c r="L142" s="8"/>
      <x:c r="M142" s="5"/>
      <x:c r="N142" s="9" t="str">
        <x:f>IFERROR(HYPERLINK(VLOOKUP($B142,'Hack Database'!$A:$J,9,FALSE),"Open Page"),"")</x:f>
      </x:c>
      <x:c r="O142" s="9" t="str">
        <x:f>IFERROR(HYPERLINK(VLOOKUP($B142,'Hack Database'!$A:$J,10,FALSE),"Download"),"")</x:f>
      </x:c>
      <x:c r="P142" s="152"/>
    </x:row>
    <x:row r="143" ht="11" customHeight="1">
      <x:c r="A143" s="134" t="str">
        <x:f>IF(C143="","",COUNTIF($C$2:C143,"&lt;&gt;"))</x:f>
      </x:c>
      <x:c r="B143" s="4"/>
      <x:c r="C143" s="3" t="str">
        <x:f>IFERROR(VLOOKUP($B143,'Hack Database'!$A:$J,2,FALSE),"")</x:f>
      </x:c>
      <x:c r="D143" s="3" t="str">
        <x:f>IFERROR(VLOOKUP($B143,'Hack Database'!$A:$J,3,FALSE),"")</x:f>
      </x:c>
      <x:c r="E143" s="7" t="str">
        <x:f>IFERROR(VLOOKUP($B143,'Hack Database'!$A:$J,4,FALSE),"")</x:f>
      </x:c>
      <x:c r="F143" s="3" t="str">
        <x:f>IFERROR(VLOOKUP($B143,'Hack Database'!$A:$J,5,FALSE),"")</x:f>
      </x:c>
      <x:c r="G143" s="3" t="str">
        <x:f>IFERROR(VLOOKUP($B143,'Hack Database'!$A:$J,6,FALSE),"")</x:f>
      </x:c>
      <x:c r="H143" s="6"/>
      <x:c r="I143" s="6"/>
      <x:c r="J143" s="4"/>
      <x:c r="K143" s="3" t="str">
        <x:f t="shared" si="2"/>
      </x:c>
      <x:c r="L143" s="8"/>
      <x:c r="M143" s="5"/>
      <x:c r="N143" s="9" t="str">
        <x:f>IFERROR(HYPERLINK(VLOOKUP($B143,'Hack Database'!$A:$J,9,FALSE),"Open Page"),"")</x:f>
      </x:c>
      <x:c r="O143" s="9" t="str">
        <x:f>IFERROR(HYPERLINK(VLOOKUP($B143,'Hack Database'!$A:$J,10,FALSE),"Download"),"")</x:f>
      </x:c>
      <x:c r="P143" s="152"/>
    </x:row>
    <x:row r="144" ht="11" customHeight="1">
      <x:c r="A144" s="134" t="str">
        <x:f>IF(C144="","",COUNTIF($C$2:C144,"&lt;&gt;"))</x:f>
      </x:c>
      <x:c r="B144" s="4"/>
      <x:c r="C144" s="3" t="str">
        <x:f>IFERROR(VLOOKUP($B144,'Hack Database'!$A:$J,2,FALSE),"")</x:f>
      </x:c>
      <x:c r="D144" s="3" t="str">
        <x:f>IFERROR(VLOOKUP($B144,'Hack Database'!$A:$J,3,FALSE),"")</x:f>
      </x:c>
      <x:c r="E144" s="7" t="str">
        <x:f>IFERROR(VLOOKUP($B144,'Hack Database'!$A:$J,4,FALSE),"")</x:f>
      </x:c>
      <x:c r="F144" s="3" t="str">
        <x:f>IFERROR(VLOOKUP($B144,'Hack Database'!$A:$J,5,FALSE),"")</x:f>
      </x:c>
      <x:c r="G144" s="3" t="str">
        <x:f>IFERROR(VLOOKUP($B144,'Hack Database'!$A:$J,6,FALSE),"")</x:f>
      </x:c>
      <x:c r="H144" s="6"/>
      <x:c r="I144" s="6"/>
      <x:c r="J144" s="4"/>
      <x:c r="K144" s="3" t="str">
        <x:f t="shared" si="2"/>
      </x:c>
      <x:c r="L144" s="8"/>
      <x:c r="M144" s="5"/>
      <x:c r="N144" s="9" t="str">
        <x:f>IFERROR(HYPERLINK(VLOOKUP($B144,'Hack Database'!$A:$J,9,FALSE),"Open Page"),"")</x:f>
      </x:c>
      <x:c r="O144" s="9" t="str">
        <x:f>IFERROR(HYPERLINK(VLOOKUP($B144,'Hack Database'!$A:$J,10,FALSE),"Download"),"")</x:f>
      </x:c>
      <x:c r="P144" s="152"/>
    </x:row>
    <x:row r="145" ht="11" customHeight="1">
      <x:c r="A145" s="134" t="str">
        <x:f>IF(C145="","",COUNTIF($C$2:C145,"&lt;&gt;"))</x:f>
      </x:c>
      <x:c r="B145" s="4"/>
      <x:c r="C145" s="3" t="str">
        <x:f>IFERROR(VLOOKUP($B145,'Hack Database'!$A:$J,2,FALSE),"")</x:f>
      </x:c>
      <x:c r="D145" s="3" t="str">
        <x:f>IFERROR(VLOOKUP($B145,'Hack Database'!$A:$J,3,FALSE),"")</x:f>
      </x:c>
      <x:c r="E145" s="7" t="str">
        <x:f>IFERROR(VLOOKUP($B145,'Hack Database'!$A:$J,4,FALSE),"")</x:f>
      </x:c>
      <x:c r="F145" s="3" t="str">
        <x:f>IFERROR(VLOOKUP($B145,'Hack Database'!$A:$J,5,FALSE),"")</x:f>
      </x:c>
      <x:c r="G145" s="3" t="str">
        <x:f>IFERROR(VLOOKUP($B145,'Hack Database'!$A:$J,6,FALSE),"")</x:f>
      </x:c>
      <x:c r="H145" s="6"/>
      <x:c r="I145" s="6"/>
      <x:c r="J145" s="4"/>
      <x:c r="K145" s="3" t="str">
        <x:f t="shared" si="2"/>
      </x:c>
      <x:c r="L145" s="8"/>
      <x:c r="M145" s="5"/>
      <x:c r="N145" s="9" t="str">
        <x:f>IFERROR(HYPERLINK(VLOOKUP($B145,'Hack Database'!$A:$J,9,FALSE),"Open Page"),"")</x:f>
      </x:c>
      <x:c r="O145" s="9" t="str">
        <x:f>IFERROR(HYPERLINK(VLOOKUP($B145,'Hack Database'!$A:$J,10,FALSE),"Download"),"")</x:f>
      </x:c>
      <x:c r="P145" s="152"/>
    </x:row>
    <x:row r="146" ht="11" customHeight="1">
      <x:c r="A146" s="134" t="str">
        <x:f>IF(C146="","",COUNTIF($C$2:C146,"&lt;&gt;"))</x:f>
      </x:c>
      <x:c r="B146" s="4"/>
      <x:c r="C146" s="3" t="str">
        <x:f>IFERROR(VLOOKUP($B146,'Hack Database'!$A:$J,2,FALSE),"")</x:f>
      </x:c>
      <x:c r="D146" s="3" t="str">
        <x:f>IFERROR(VLOOKUP($B146,'Hack Database'!$A:$J,3,FALSE),"")</x:f>
      </x:c>
      <x:c r="E146" s="7" t="str">
        <x:f>IFERROR(VLOOKUP($B146,'Hack Database'!$A:$J,4,FALSE),"")</x:f>
      </x:c>
      <x:c r="F146" s="3" t="str">
        <x:f>IFERROR(VLOOKUP($B146,'Hack Database'!$A:$J,5,FALSE),"")</x:f>
      </x:c>
      <x:c r="G146" s="3" t="str">
        <x:f>IFERROR(VLOOKUP($B146,'Hack Database'!$A:$J,6,FALSE),"")</x:f>
      </x:c>
      <x:c r="H146" s="6"/>
      <x:c r="I146" s="6"/>
      <x:c r="J146" s="4"/>
      <x:c r="K146" s="3" t="str">
        <x:f t="shared" si="2"/>
      </x:c>
      <x:c r="L146" s="8"/>
      <x:c r="M146" s="5"/>
      <x:c r="N146" s="9" t="str">
        <x:f>IFERROR(HYPERLINK(VLOOKUP($B146,'Hack Database'!$A:$J,9,FALSE),"Open Page"),"")</x:f>
      </x:c>
      <x:c r="O146" s="9" t="str">
        <x:f>IFERROR(HYPERLINK(VLOOKUP($B146,'Hack Database'!$A:$J,10,FALSE),"Download"),"")</x:f>
      </x:c>
      <x:c r="P146" s="152"/>
    </x:row>
    <x:row r="147" ht="11" customHeight="1">
      <x:c r="A147" s="134" t="str">
        <x:f>IF(C147="","",COUNTIF($C$2:C147,"&lt;&gt;"))</x:f>
      </x:c>
      <x:c r="B147" s="4"/>
      <x:c r="C147" s="3" t="str">
        <x:f>IFERROR(VLOOKUP($B147,'Hack Database'!$A:$J,2,FALSE),"")</x:f>
      </x:c>
      <x:c r="D147" s="3" t="str">
        <x:f>IFERROR(VLOOKUP($B147,'Hack Database'!$A:$J,3,FALSE),"")</x:f>
      </x:c>
      <x:c r="E147" s="7" t="str">
        <x:f>IFERROR(VLOOKUP($B147,'Hack Database'!$A:$J,4,FALSE),"")</x:f>
      </x:c>
      <x:c r="F147" s="3" t="str">
        <x:f>IFERROR(VLOOKUP($B147,'Hack Database'!$A:$J,5,FALSE),"")</x:f>
      </x:c>
      <x:c r="G147" s="3" t="str">
        <x:f>IFERROR(VLOOKUP($B147,'Hack Database'!$A:$J,6,FALSE),"")</x:f>
      </x:c>
      <x:c r="H147" s="6"/>
      <x:c r="I147" s="6"/>
      <x:c r="J147" s="4"/>
      <x:c r="K147" s="3" t="str">
        <x:f t="shared" si="2"/>
      </x:c>
      <x:c r="L147" s="8"/>
      <x:c r="M147" s="5"/>
      <x:c r="N147" s="9" t="str">
        <x:f>IFERROR(HYPERLINK(VLOOKUP($B147,'Hack Database'!$A:$J,9,FALSE),"Open Page"),"")</x:f>
      </x:c>
      <x:c r="O147" s="9" t="str">
        <x:f>IFERROR(HYPERLINK(VLOOKUP($B147,'Hack Database'!$A:$J,10,FALSE),"Download"),"")</x:f>
      </x:c>
      <x:c r="P147" s="152"/>
    </x:row>
    <x:row r="148" ht="11" customHeight="1">
      <x:c r="A148" s="134" t="str">
        <x:f>IF(C148="","",COUNTIF($C$2:C148,"&lt;&gt;"))</x:f>
      </x:c>
      <x:c r="B148" s="4"/>
      <x:c r="C148" s="3" t="str">
        <x:f>IFERROR(VLOOKUP($B148,'Hack Database'!$A:$J,2,FALSE),"")</x:f>
      </x:c>
      <x:c r="D148" s="3" t="str">
        <x:f>IFERROR(VLOOKUP($B148,'Hack Database'!$A:$J,3,FALSE),"")</x:f>
      </x:c>
      <x:c r="E148" s="7" t="str">
        <x:f>IFERROR(VLOOKUP($B148,'Hack Database'!$A:$J,4,FALSE),"")</x:f>
      </x:c>
      <x:c r="F148" s="3" t="str">
        <x:f>IFERROR(VLOOKUP($B148,'Hack Database'!$A:$J,5,FALSE),"")</x:f>
      </x:c>
      <x:c r="G148" s="3" t="str">
        <x:f>IFERROR(VLOOKUP($B148,'Hack Database'!$A:$J,6,FALSE),"")</x:f>
      </x:c>
      <x:c r="H148" s="6"/>
      <x:c r="I148" s="6"/>
      <x:c r="J148" s="4"/>
      <x:c r="K148" s="3" t="str">
        <x:f t="shared" si="2"/>
      </x:c>
      <x:c r="L148" s="8"/>
      <x:c r="M148" s="5"/>
      <x:c r="N148" s="9" t="str">
        <x:f>IFERROR(HYPERLINK(VLOOKUP($B148,'Hack Database'!$A:$J,9,FALSE),"Open Page"),"")</x:f>
      </x:c>
      <x:c r="O148" s="9" t="str">
        <x:f>IFERROR(HYPERLINK(VLOOKUP($B148,'Hack Database'!$A:$J,10,FALSE),"Download"),"")</x:f>
      </x:c>
      <x:c r="P148" s="152"/>
    </x:row>
    <x:row r="149" ht="11" customHeight="1">
      <x:c r="A149" s="134" t="str">
        <x:f>IF(C149="","",COUNTIF($C$2:C149,"&lt;&gt;"))</x:f>
      </x:c>
      <x:c r="B149" s="4"/>
      <x:c r="C149" s="3" t="str">
        <x:f>IFERROR(VLOOKUP($B149,'Hack Database'!$A:$J,2,FALSE),"")</x:f>
      </x:c>
      <x:c r="D149" s="3" t="str">
        <x:f>IFERROR(VLOOKUP($B149,'Hack Database'!$A:$J,3,FALSE),"")</x:f>
      </x:c>
      <x:c r="E149" s="7" t="str">
        <x:f>IFERROR(VLOOKUP($B149,'Hack Database'!$A:$J,4,FALSE),"")</x:f>
      </x:c>
      <x:c r="F149" s="3" t="str">
        <x:f>IFERROR(VLOOKUP($B149,'Hack Database'!$A:$J,5,FALSE),"")</x:f>
      </x:c>
      <x:c r="G149" s="3" t="str">
        <x:f>IFERROR(VLOOKUP($B149,'Hack Database'!$A:$J,6,FALSE),"")</x:f>
      </x:c>
      <x:c r="H149" s="6"/>
      <x:c r="I149" s="6"/>
      <x:c r="J149" s="4"/>
      <x:c r="K149" s="3" t="str">
        <x:f t="shared" si="2"/>
      </x:c>
      <x:c r="L149" s="8"/>
      <x:c r="M149" s="5"/>
      <x:c r="N149" s="9" t="str">
        <x:f>IFERROR(HYPERLINK(VLOOKUP($B149,'Hack Database'!$A:$J,9,FALSE),"Open Page"),"")</x:f>
      </x:c>
      <x:c r="O149" s="9" t="str">
        <x:f>IFERROR(HYPERLINK(VLOOKUP($B149,'Hack Database'!$A:$J,10,FALSE),"Download"),"")</x:f>
      </x:c>
      <x:c r="P149" s="152"/>
    </x:row>
    <x:row r="150" ht="11" customHeight="1">
      <x:c r="A150" s="134" t="str">
        <x:f>IF(C150="","",COUNTIF($C$2:C150,"&lt;&gt;"))</x:f>
      </x:c>
      <x:c r="B150" s="4"/>
      <x:c r="C150" s="3" t="str">
        <x:f>IFERROR(VLOOKUP($B150,'Hack Database'!$A:$J,2,FALSE),"")</x:f>
      </x:c>
      <x:c r="D150" s="3" t="str">
        <x:f>IFERROR(VLOOKUP($B150,'Hack Database'!$A:$J,3,FALSE),"")</x:f>
      </x:c>
      <x:c r="E150" s="7" t="str">
        <x:f>IFERROR(VLOOKUP($B150,'Hack Database'!$A:$J,4,FALSE),"")</x:f>
      </x:c>
      <x:c r="F150" s="3" t="str">
        <x:f>IFERROR(VLOOKUP($B150,'Hack Database'!$A:$J,5,FALSE),"")</x:f>
      </x:c>
      <x:c r="G150" s="3" t="str">
        <x:f>IFERROR(VLOOKUP($B150,'Hack Database'!$A:$J,6,FALSE),"")</x:f>
      </x:c>
      <x:c r="H150" s="6"/>
      <x:c r="I150" s="6"/>
      <x:c r="J150" s="4"/>
      <x:c r="K150" s="3" t="str">
        <x:f t="shared" si="2"/>
      </x:c>
      <x:c r="L150" s="8"/>
      <x:c r="M150" s="5"/>
      <x:c r="N150" s="9" t="str">
        <x:f>IFERROR(HYPERLINK(VLOOKUP($B150,'Hack Database'!$A:$J,9,FALSE),"Open Page"),"")</x:f>
      </x:c>
      <x:c r="O150" s="9" t="str">
        <x:f>IFERROR(HYPERLINK(VLOOKUP($B150,'Hack Database'!$A:$J,10,FALSE),"Download"),"")</x:f>
      </x:c>
      <x:c r="P150" s="152"/>
    </x:row>
    <x:row r="151" ht="11" customHeight="1">
      <x:c r="A151" s="134" t="str">
        <x:f>IF(C151="","",COUNTIF($C$2:C151,"&lt;&gt;"))</x:f>
      </x:c>
      <x:c r="B151" s="4"/>
      <x:c r="C151" s="3" t="str">
        <x:f>IFERROR(VLOOKUP($B151,'Hack Database'!$A:$J,2,FALSE),"")</x:f>
      </x:c>
      <x:c r="D151" s="3" t="str">
        <x:f>IFERROR(VLOOKUP($B151,'Hack Database'!$A:$J,3,FALSE),"")</x:f>
      </x:c>
      <x:c r="E151" s="7" t="str">
        <x:f>IFERROR(VLOOKUP($B151,'Hack Database'!$A:$J,4,FALSE),"")</x:f>
      </x:c>
      <x:c r="F151" s="3" t="str">
        <x:f>IFERROR(VLOOKUP($B151,'Hack Database'!$A:$J,5,FALSE),"")</x:f>
      </x:c>
      <x:c r="G151" s="3" t="str">
        <x:f>IFERROR(VLOOKUP($B151,'Hack Database'!$A:$J,6,FALSE),"")</x:f>
      </x:c>
      <x:c r="H151" s="6"/>
      <x:c r="I151" s="6"/>
      <x:c r="J151" s="4"/>
      <x:c r="K151" s="3" t="str">
        <x:f t="shared" si="2"/>
      </x:c>
      <x:c r="L151" s="8"/>
      <x:c r="M151" s="5"/>
      <x:c r="N151" s="9" t="str">
        <x:f>IFERROR(HYPERLINK(VLOOKUP($B151,'Hack Database'!$A:$J,9,FALSE),"Open Page"),"")</x:f>
      </x:c>
      <x:c r="O151" s="9" t="str">
        <x:f>IFERROR(HYPERLINK(VLOOKUP($B151,'Hack Database'!$A:$J,10,FALSE),"Download"),"")</x:f>
      </x:c>
      <x:c r="P151" s="152"/>
    </x:row>
    <x:row r="152" ht="11" customHeight="1">
      <x:c r="A152" s="134" t="str">
        <x:f>IF(C152="","",COUNTIF($C$2:C152,"&lt;&gt;"))</x:f>
      </x:c>
      <x:c r="B152" s="4"/>
      <x:c r="C152" s="3" t="str">
        <x:f>IFERROR(VLOOKUP($B152,'Hack Database'!$A:$J,2,FALSE),"")</x:f>
      </x:c>
      <x:c r="D152" s="3" t="str">
        <x:f>IFERROR(VLOOKUP($B152,'Hack Database'!$A:$J,3,FALSE),"")</x:f>
      </x:c>
      <x:c r="E152" s="7" t="str">
        <x:f>IFERROR(VLOOKUP($B152,'Hack Database'!$A:$J,4,FALSE),"")</x:f>
      </x:c>
      <x:c r="F152" s="3" t="str">
        <x:f>IFERROR(VLOOKUP($B152,'Hack Database'!$A:$J,5,FALSE),"")</x:f>
      </x:c>
      <x:c r="G152" s="3" t="str">
        <x:f>IFERROR(VLOOKUP($B152,'Hack Database'!$A:$J,6,FALSE),"")</x:f>
      </x:c>
      <x:c r="H152" s="6"/>
      <x:c r="I152" s="6"/>
      <x:c r="J152" s="4"/>
      <x:c r="K152" s="3" t="str">
        <x:f t="shared" si="2"/>
      </x:c>
      <x:c r="L152" s="8"/>
      <x:c r="M152" s="5"/>
      <x:c r="N152" s="9" t="str">
        <x:f>IFERROR(HYPERLINK(VLOOKUP($B152,'Hack Database'!$A:$J,9,FALSE),"Open Page"),"")</x:f>
      </x:c>
      <x:c r="O152" s="9" t="str">
        <x:f>IFERROR(HYPERLINK(VLOOKUP($B152,'Hack Database'!$A:$J,10,FALSE),"Download"),"")</x:f>
      </x:c>
      <x:c r="P152" s="152"/>
    </x:row>
    <x:row r="153" ht="11" customHeight="1">
      <x:c r="A153" s="134" t="str">
        <x:f>IF(C153="","",COUNTIF($C$2:C153,"&lt;&gt;"))</x:f>
      </x:c>
      <x:c r="B153" s="4"/>
      <x:c r="C153" s="3" t="str">
        <x:f>IFERROR(VLOOKUP($B153,'Hack Database'!$A:$J,2,FALSE),"")</x:f>
      </x:c>
      <x:c r="D153" s="3" t="str">
        <x:f>IFERROR(VLOOKUP($B153,'Hack Database'!$A:$J,3,FALSE),"")</x:f>
      </x:c>
      <x:c r="E153" s="7" t="str">
        <x:f>IFERROR(VLOOKUP($B153,'Hack Database'!$A:$J,4,FALSE),"")</x:f>
      </x:c>
      <x:c r="F153" s="3" t="str">
        <x:f>IFERROR(VLOOKUP($B153,'Hack Database'!$A:$J,5,FALSE),"")</x:f>
      </x:c>
      <x:c r="G153" s="3" t="str">
        <x:f>IFERROR(VLOOKUP($B153,'Hack Database'!$A:$J,6,FALSE),"")</x:f>
      </x:c>
      <x:c r="H153" s="6"/>
      <x:c r="I153" s="6"/>
      <x:c r="J153" s="4"/>
      <x:c r="K153" s="3" t="str">
        <x:f t="shared" si="2"/>
      </x:c>
      <x:c r="L153" s="8"/>
      <x:c r="M153" s="5"/>
      <x:c r="N153" s="9" t="str">
        <x:f>IFERROR(HYPERLINK(VLOOKUP($B153,'Hack Database'!$A:$J,9,FALSE),"Open Page"),"")</x:f>
      </x:c>
      <x:c r="O153" s="9" t="str">
        <x:f>IFERROR(HYPERLINK(VLOOKUP($B153,'Hack Database'!$A:$J,10,FALSE),"Download"),"")</x:f>
      </x:c>
      <x:c r="P153" s="152"/>
    </x:row>
    <x:row r="154" ht="11" customHeight="1">
      <x:c r="A154" s="134" t="str">
        <x:f>IF(C154="","",COUNTIF($C$2:C154,"&lt;&gt;"))</x:f>
      </x:c>
      <x:c r="B154" s="4"/>
      <x:c r="C154" s="3" t="str">
        <x:f>IFERROR(VLOOKUP($B154,'Hack Database'!$A:$J,2,FALSE),"")</x:f>
      </x:c>
      <x:c r="D154" s="3" t="str">
        <x:f>IFERROR(VLOOKUP($B154,'Hack Database'!$A:$J,3,FALSE),"")</x:f>
      </x:c>
      <x:c r="E154" s="7" t="str">
        <x:f>IFERROR(VLOOKUP($B154,'Hack Database'!$A:$J,4,FALSE),"")</x:f>
      </x:c>
      <x:c r="F154" s="3" t="str">
        <x:f>IFERROR(VLOOKUP($B154,'Hack Database'!$A:$J,5,FALSE),"")</x:f>
      </x:c>
      <x:c r="G154" s="3" t="str">
        <x:f>IFERROR(VLOOKUP($B154,'Hack Database'!$A:$J,6,FALSE),"")</x:f>
      </x:c>
      <x:c r="H154" s="6"/>
      <x:c r="I154" s="6"/>
      <x:c r="J154" s="4"/>
      <x:c r="K154" s="3" t="str">
        <x:f t="shared" si="2"/>
      </x:c>
      <x:c r="L154" s="8"/>
      <x:c r="M154" s="5"/>
      <x:c r="N154" s="9" t="str">
        <x:f>IFERROR(HYPERLINK(VLOOKUP($B154,'Hack Database'!$A:$J,9,FALSE),"Open Page"),"")</x:f>
      </x:c>
      <x:c r="O154" s="9" t="str">
        <x:f>IFERROR(HYPERLINK(VLOOKUP($B154,'Hack Database'!$A:$J,10,FALSE),"Download"),"")</x:f>
      </x:c>
      <x:c r="P154" s="152"/>
    </x:row>
    <x:row r="155" ht="11" customHeight="1">
      <x:c r="A155" s="134" t="str">
        <x:f>IF(C155="","",COUNTIF($C$2:C155,"&lt;&gt;"))</x:f>
      </x:c>
      <x:c r="B155" s="4"/>
      <x:c r="C155" s="3" t="str">
        <x:f>IFERROR(VLOOKUP($B155,'Hack Database'!$A:$J,2,FALSE),"")</x:f>
      </x:c>
      <x:c r="D155" s="3" t="str">
        <x:f>IFERROR(VLOOKUP($B155,'Hack Database'!$A:$J,3,FALSE),"")</x:f>
      </x:c>
      <x:c r="E155" s="7" t="str">
        <x:f>IFERROR(VLOOKUP($B155,'Hack Database'!$A:$J,4,FALSE),"")</x:f>
      </x:c>
      <x:c r="F155" s="3" t="str">
        <x:f>IFERROR(VLOOKUP($B155,'Hack Database'!$A:$J,5,FALSE),"")</x:f>
      </x:c>
      <x:c r="G155" s="3" t="str">
        <x:f>IFERROR(VLOOKUP($B155,'Hack Database'!$A:$J,6,FALSE),"")</x:f>
      </x:c>
      <x:c r="H155" s="6"/>
      <x:c r="I155" s="6"/>
      <x:c r="J155" s="4"/>
      <x:c r="K155" s="3" t="str">
        <x:f t="shared" si="2"/>
      </x:c>
      <x:c r="L155" s="8"/>
      <x:c r="M155" s="5"/>
      <x:c r="N155" s="9" t="str">
        <x:f>IFERROR(HYPERLINK(VLOOKUP($B155,'Hack Database'!$A:$J,9,FALSE),"Open Page"),"")</x:f>
      </x:c>
      <x:c r="O155" s="9" t="str">
        <x:f>IFERROR(HYPERLINK(VLOOKUP($B155,'Hack Database'!$A:$J,10,FALSE),"Download"),"")</x:f>
      </x:c>
      <x:c r="P155" s="152"/>
    </x:row>
    <x:row r="156" ht="11" customHeight="1">
      <x:c r="A156" s="134" t="str">
        <x:f>IF(C156="","",COUNTIF($C$2:C156,"&lt;&gt;"))</x:f>
      </x:c>
      <x:c r="B156" s="4"/>
      <x:c r="C156" s="3" t="str">
        <x:f>IFERROR(VLOOKUP($B156,'Hack Database'!$A:$J,2,FALSE),"")</x:f>
      </x:c>
      <x:c r="D156" s="3" t="str">
        <x:f>IFERROR(VLOOKUP($B156,'Hack Database'!$A:$J,3,FALSE),"")</x:f>
      </x:c>
      <x:c r="E156" s="7" t="str">
        <x:f>IFERROR(VLOOKUP($B156,'Hack Database'!$A:$J,4,FALSE),"")</x:f>
      </x:c>
      <x:c r="F156" s="3" t="str">
        <x:f>IFERROR(VLOOKUP($B156,'Hack Database'!$A:$J,5,FALSE),"")</x:f>
      </x:c>
      <x:c r="G156" s="3" t="str">
        <x:f>IFERROR(VLOOKUP($B156,'Hack Database'!$A:$J,6,FALSE),"")</x:f>
      </x:c>
      <x:c r="H156" s="6"/>
      <x:c r="I156" s="6"/>
      <x:c r="J156" s="4"/>
      <x:c r="K156" s="3" t="str">
        <x:f t="shared" si="2"/>
      </x:c>
      <x:c r="L156" s="8"/>
      <x:c r="M156" s="5"/>
      <x:c r="N156" s="9" t="str">
        <x:f>IFERROR(HYPERLINK(VLOOKUP($B156,'Hack Database'!$A:$J,9,FALSE),"Open Page"),"")</x:f>
      </x:c>
      <x:c r="O156" s="9" t="str">
        <x:f>IFERROR(HYPERLINK(VLOOKUP($B156,'Hack Database'!$A:$J,10,FALSE),"Download"),"")</x:f>
      </x:c>
      <x:c r="P156" s="152"/>
    </x:row>
    <x:row r="157" ht="11" customHeight="1">
      <x:c r="A157" s="134" t="str">
        <x:f>IF(C157="","",COUNTIF($C$2:C157,"&lt;&gt;"))</x:f>
      </x:c>
      <x:c r="B157" s="4"/>
      <x:c r="C157" s="3" t="str">
        <x:f>IFERROR(VLOOKUP($B157,'Hack Database'!$A:$J,2,FALSE),"")</x:f>
      </x:c>
      <x:c r="D157" s="3" t="str">
        <x:f>IFERROR(VLOOKUP($B157,'Hack Database'!$A:$J,3,FALSE),"")</x:f>
      </x:c>
      <x:c r="E157" s="7" t="str">
        <x:f>IFERROR(VLOOKUP($B157,'Hack Database'!$A:$J,4,FALSE),"")</x:f>
      </x:c>
      <x:c r="F157" s="3" t="str">
        <x:f>IFERROR(VLOOKUP($B157,'Hack Database'!$A:$J,5,FALSE),"")</x:f>
      </x:c>
      <x:c r="G157" s="3" t="str">
        <x:f>IFERROR(VLOOKUP($B157,'Hack Database'!$A:$J,6,FALSE),"")</x:f>
      </x:c>
      <x:c r="H157" s="6"/>
      <x:c r="I157" s="6"/>
      <x:c r="J157" s="4"/>
      <x:c r="K157" s="3" t="str">
        <x:f t="shared" si="2"/>
      </x:c>
      <x:c r="L157" s="8"/>
      <x:c r="M157" s="5"/>
      <x:c r="N157" s="9" t="str">
        <x:f>IFERROR(HYPERLINK(VLOOKUP($B157,'Hack Database'!$A:$J,9,FALSE),"Open Page"),"")</x:f>
      </x:c>
      <x:c r="O157" s="9" t="str">
        <x:f>IFERROR(HYPERLINK(VLOOKUP($B157,'Hack Database'!$A:$J,10,FALSE),"Download"),"")</x:f>
      </x:c>
      <x:c r="P157" s="152"/>
    </x:row>
    <x:row r="158" ht="11" customHeight="1">
      <x:c r="A158" s="134" t="str">
        <x:f>IF(C158="","",COUNTIF($C$2:C158,"&lt;&gt;"))</x:f>
      </x:c>
      <x:c r="B158" s="4"/>
      <x:c r="C158" s="3" t="str">
        <x:f>IFERROR(VLOOKUP($B158,'Hack Database'!$A:$J,2,FALSE),"")</x:f>
      </x:c>
      <x:c r="D158" s="3" t="str">
        <x:f>IFERROR(VLOOKUP($B158,'Hack Database'!$A:$J,3,FALSE),"")</x:f>
      </x:c>
      <x:c r="E158" s="7" t="str">
        <x:f>IFERROR(VLOOKUP($B158,'Hack Database'!$A:$J,4,FALSE),"")</x:f>
      </x:c>
      <x:c r="F158" s="3" t="str">
        <x:f>IFERROR(VLOOKUP($B158,'Hack Database'!$A:$J,5,FALSE),"")</x:f>
      </x:c>
      <x:c r="G158" s="3" t="str">
        <x:f>IFERROR(VLOOKUP($B158,'Hack Database'!$A:$J,6,FALSE),"")</x:f>
      </x:c>
      <x:c r="H158" s="6"/>
      <x:c r="I158" s="6"/>
      <x:c r="J158" s="4"/>
      <x:c r="K158" s="3" t="str">
        <x:f t="shared" si="2"/>
      </x:c>
      <x:c r="L158" s="8"/>
      <x:c r="M158" s="5"/>
      <x:c r="N158" s="9" t="str">
        <x:f>IFERROR(HYPERLINK(VLOOKUP($B158,'Hack Database'!$A:$J,9,FALSE),"Open Page"),"")</x:f>
      </x:c>
      <x:c r="O158" s="9" t="str">
        <x:f>IFERROR(HYPERLINK(VLOOKUP($B158,'Hack Database'!$A:$J,10,FALSE),"Download"),"")</x:f>
      </x:c>
      <x:c r="P158" s="152"/>
    </x:row>
    <x:row r="159" ht="11" customHeight="1">
      <x:c r="A159" s="134" t="str">
        <x:f>IF(C159="","",COUNTIF($C$2:C159,"&lt;&gt;"))</x:f>
      </x:c>
      <x:c r="B159" s="4"/>
      <x:c r="C159" s="3" t="str">
        <x:f>IFERROR(VLOOKUP($B159,'Hack Database'!$A:$J,2,FALSE),"")</x:f>
      </x:c>
      <x:c r="D159" s="3" t="str">
        <x:f>IFERROR(VLOOKUP($B159,'Hack Database'!$A:$J,3,FALSE),"")</x:f>
      </x:c>
      <x:c r="E159" s="7" t="str">
        <x:f>IFERROR(VLOOKUP($B159,'Hack Database'!$A:$J,4,FALSE),"")</x:f>
      </x:c>
      <x:c r="F159" s="3" t="str">
        <x:f>IFERROR(VLOOKUP($B159,'Hack Database'!$A:$J,5,FALSE),"")</x:f>
      </x:c>
      <x:c r="G159" s="3" t="str">
        <x:f>IFERROR(VLOOKUP($B159,'Hack Database'!$A:$J,6,FALSE),"")</x:f>
      </x:c>
      <x:c r="H159" s="6"/>
      <x:c r="I159" s="6"/>
      <x:c r="J159" s="4"/>
      <x:c r="K159" s="3" t="str">
        <x:f t="shared" si="2"/>
      </x:c>
      <x:c r="L159" s="8"/>
      <x:c r="M159" s="5"/>
      <x:c r="N159" s="9" t="str">
        <x:f>IFERROR(HYPERLINK(VLOOKUP($B159,'Hack Database'!$A:$J,9,FALSE),"Open Page"),"")</x:f>
      </x:c>
      <x:c r="O159" s="9" t="str">
        <x:f>IFERROR(HYPERLINK(VLOOKUP($B159,'Hack Database'!$A:$J,10,FALSE),"Download"),"")</x:f>
      </x:c>
      <x:c r="P159" s="152"/>
    </x:row>
    <x:row r="160" ht="11" customHeight="1">
      <x:c r="A160" s="134" t="str">
        <x:f>IF(C160="","",COUNTIF($C$2:C160,"&lt;&gt;"))</x:f>
      </x:c>
      <x:c r="B160" s="4"/>
      <x:c r="C160" s="3" t="str">
        <x:f>IFERROR(VLOOKUP($B160,'Hack Database'!$A:$J,2,FALSE),"")</x:f>
      </x:c>
      <x:c r="D160" s="3" t="str">
        <x:f>IFERROR(VLOOKUP($B160,'Hack Database'!$A:$J,3,FALSE),"")</x:f>
      </x:c>
      <x:c r="E160" s="7" t="str">
        <x:f>IFERROR(VLOOKUP($B160,'Hack Database'!$A:$J,4,FALSE),"")</x:f>
      </x:c>
      <x:c r="F160" s="3" t="str">
        <x:f>IFERROR(VLOOKUP($B160,'Hack Database'!$A:$J,5,FALSE),"")</x:f>
      </x:c>
      <x:c r="G160" s="3" t="str">
        <x:f>IFERROR(VLOOKUP($B160,'Hack Database'!$A:$J,6,FALSE),"")</x:f>
      </x:c>
      <x:c r="H160" s="6"/>
      <x:c r="I160" s="6"/>
      <x:c r="J160" s="4"/>
      <x:c r="K160" s="3" t="str">
        <x:f t="shared" si="2"/>
      </x:c>
      <x:c r="L160" s="8"/>
      <x:c r="M160" s="5"/>
      <x:c r="N160" s="9" t="str">
        <x:f>IFERROR(HYPERLINK(VLOOKUP($B160,'Hack Database'!$A:$J,9,FALSE),"Open Page"),"")</x:f>
      </x:c>
      <x:c r="O160" s="9" t="str">
        <x:f>IFERROR(HYPERLINK(VLOOKUP($B160,'Hack Database'!$A:$J,10,FALSE),"Download"),"")</x:f>
      </x:c>
      <x:c r="P160" s="152"/>
    </x:row>
    <x:row r="161" ht="11" customHeight="1">
      <x:c r="A161" s="134" t="str">
        <x:f>IF(C161="","",COUNTIF($C$2:C161,"&lt;&gt;"))</x:f>
      </x:c>
      <x:c r="B161" s="4"/>
      <x:c r="C161" s="3" t="str">
        <x:f>IFERROR(VLOOKUP($B161,'Hack Database'!$A:$J,2,FALSE),"")</x:f>
      </x:c>
      <x:c r="D161" s="3" t="str">
        <x:f>IFERROR(VLOOKUP($B161,'Hack Database'!$A:$J,3,FALSE),"")</x:f>
      </x:c>
      <x:c r="E161" s="7" t="str">
        <x:f>IFERROR(VLOOKUP($B161,'Hack Database'!$A:$J,4,FALSE),"")</x:f>
      </x:c>
      <x:c r="F161" s="3" t="str">
        <x:f>IFERROR(VLOOKUP($B161,'Hack Database'!$A:$J,5,FALSE),"")</x:f>
      </x:c>
      <x:c r="G161" s="3" t="str">
        <x:f>IFERROR(VLOOKUP($B161,'Hack Database'!$A:$J,6,FALSE),"")</x:f>
      </x:c>
      <x:c r="H161" s="6"/>
      <x:c r="I161" s="6"/>
      <x:c r="J161" s="4"/>
      <x:c r="K161" s="3" t="str">
        <x:f t="shared" si="2"/>
      </x:c>
      <x:c r="L161" s="8"/>
      <x:c r="M161" s="5"/>
      <x:c r="N161" s="9" t="str">
        <x:f>IFERROR(HYPERLINK(VLOOKUP($B161,'Hack Database'!$A:$J,9,FALSE),"Open Page"),"")</x:f>
      </x:c>
      <x:c r="O161" s="9" t="str">
        <x:f>IFERROR(HYPERLINK(VLOOKUP($B161,'Hack Database'!$A:$J,10,FALSE),"Download"),"")</x:f>
      </x:c>
      <x:c r="P161" s="152"/>
    </x:row>
    <x:row r="162" ht="11" customHeight="1">
      <x:c r="A162" s="134" t="str">
        <x:f>IF(C162="","",COUNTIF($C$2:C162,"&lt;&gt;"))</x:f>
      </x:c>
      <x:c r="B162" s="4"/>
      <x:c r="C162" s="3" t="str">
        <x:f>IFERROR(VLOOKUP($B162,'Hack Database'!$A:$J,2,FALSE),"")</x:f>
      </x:c>
      <x:c r="D162" s="3" t="str">
        <x:f>IFERROR(VLOOKUP($B162,'Hack Database'!$A:$J,3,FALSE),"")</x:f>
      </x:c>
      <x:c r="E162" s="7" t="str">
        <x:f>IFERROR(VLOOKUP($B162,'Hack Database'!$A:$J,4,FALSE),"")</x:f>
      </x:c>
      <x:c r="F162" s="3" t="str">
        <x:f>IFERROR(VLOOKUP($B162,'Hack Database'!$A:$J,5,FALSE),"")</x:f>
      </x:c>
      <x:c r="G162" s="3" t="str">
        <x:f>IFERROR(VLOOKUP($B162,'Hack Database'!$A:$J,6,FALSE),"")</x:f>
      </x:c>
      <x:c r="H162" s="6"/>
      <x:c r="I162" s="6"/>
      <x:c r="J162" s="4"/>
      <x:c r="K162" s="3" t="str">
        <x:f t="shared" si="2"/>
      </x:c>
      <x:c r="L162" s="8"/>
      <x:c r="M162" s="5"/>
      <x:c r="N162" s="9" t="str">
        <x:f>IFERROR(HYPERLINK(VLOOKUP($B162,'Hack Database'!$A:$J,9,FALSE),"Open Page"),"")</x:f>
      </x:c>
      <x:c r="O162" s="9" t="str">
        <x:f>IFERROR(HYPERLINK(VLOOKUP($B162,'Hack Database'!$A:$J,10,FALSE),"Download"),"")</x:f>
      </x:c>
      <x:c r="P162" s="152"/>
    </x:row>
    <x:row r="163" ht="11" customHeight="1">
      <x:c r="A163" s="134" t="str">
        <x:f>IF(C163="","",COUNTIF($C$2:C163,"&lt;&gt;"))</x:f>
      </x:c>
      <x:c r="B163" s="4"/>
      <x:c r="C163" s="3" t="str">
        <x:f>IFERROR(VLOOKUP($B163,'Hack Database'!$A:$J,2,FALSE),"")</x:f>
      </x:c>
      <x:c r="D163" s="3" t="str">
        <x:f>IFERROR(VLOOKUP($B163,'Hack Database'!$A:$J,3,FALSE),"")</x:f>
      </x:c>
      <x:c r="E163" s="7" t="str">
        <x:f>IFERROR(VLOOKUP($B163,'Hack Database'!$A:$J,4,FALSE),"")</x:f>
      </x:c>
      <x:c r="F163" s="3" t="str">
        <x:f>IFERROR(VLOOKUP($B163,'Hack Database'!$A:$J,5,FALSE),"")</x:f>
      </x:c>
      <x:c r="G163" s="3" t="str">
        <x:f>IFERROR(VLOOKUP($B163,'Hack Database'!$A:$J,6,FALSE),"")</x:f>
      </x:c>
      <x:c r="H163" s="6"/>
      <x:c r="I163" s="6"/>
      <x:c r="J163" s="4"/>
      <x:c r="K163" s="3" t="str">
        <x:f t="shared" si="2"/>
      </x:c>
      <x:c r="L163" s="8"/>
      <x:c r="M163" s="5"/>
      <x:c r="N163" s="9" t="str">
        <x:f>IFERROR(HYPERLINK(VLOOKUP($B163,'Hack Database'!$A:$J,9,FALSE),"Open Page"),"")</x:f>
      </x:c>
      <x:c r="O163" s="9" t="str">
        <x:f>IFERROR(HYPERLINK(VLOOKUP($B163,'Hack Database'!$A:$J,10,FALSE),"Download"),"")</x:f>
      </x:c>
      <x:c r="P163" s="152"/>
    </x:row>
    <x:row r="164" ht="11" customHeight="1">
      <x:c r="A164" s="134" t="str">
        <x:f>IF(C164="","",COUNTIF($C$2:C164,"&lt;&gt;"))</x:f>
      </x:c>
      <x:c r="B164" s="4"/>
      <x:c r="C164" s="3" t="str">
        <x:f>IFERROR(VLOOKUP($B164,'Hack Database'!$A:$J,2,FALSE),"")</x:f>
      </x:c>
      <x:c r="D164" s="3" t="str">
        <x:f>IFERROR(VLOOKUP($B164,'Hack Database'!$A:$J,3,FALSE),"")</x:f>
      </x:c>
      <x:c r="E164" s="7" t="str">
        <x:f>IFERROR(VLOOKUP($B164,'Hack Database'!$A:$J,4,FALSE),"")</x:f>
      </x:c>
      <x:c r="F164" s="3" t="str">
        <x:f>IFERROR(VLOOKUP($B164,'Hack Database'!$A:$J,5,FALSE),"")</x:f>
      </x:c>
      <x:c r="G164" s="3" t="str">
        <x:f>IFERROR(VLOOKUP($B164,'Hack Database'!$A:$J,6,FALSE),"")</x:f>
      </x:c>
      <x:c r="H164" s="6"/>
      <x:c r="I164" s="6"/>
      <x:c r="J164" s="4"/>
      <x:c r="K164" s="3" t="str">
        <x:f t="shared" si="2"/>
      </x:c>
      <x:c r="L164" s="8"/>
      <x:c r="M164" s="5"/>
      <x:c r="N164" s="9" t="str">
        <x:f>IFERROR(HYPERLINK(VLOOKUP($B164,'Hack Database'!$A:$J,9,FALSE),"Open Page"),"")</x:f>
      </x:c>
      <x:c r="O164" s="9" t="str">
        <x:f>IFERROR(HYPERLINK(VLOOKUP($B164,'Hack Database'!$A:$J,10,FALSE),"Download"),"")</x:f>
      </x:c>
      <x:c r="P164" s="152"/>
    </x:row>
    <x:row r="165" ht="11" customHeight="1">
      <x:c r="A165" s="134" t="str">
        <x:f>IF(C165="","",COUNTIF($C$2:C165,"&lt;&gt;"))</x:f>
      </x:c>
      <x:c r="B165" s="4"/>
      <x:c r="C165" s="3" t="str">
        <x:f>IFERROR(VLOOKUP($B165,'Hack Database'!$A:$J,2,FALSE),"")</x:f>
      </x:c>
      <x:c r="D165" s="3" t="str">
        <x:f>IFERROR(VLOOKUP($B165,'Hack Database'!$A:$J,3,FALSE),"")</x:f>
      </x:c>
      <x:c r="E165" s="7" t="str">
        <x:f>IFERROR(VLOOKUP($B165,'Hack Database'!$A:$J,4,FALSE),"")</x:f>
      </x:c>
      <x:c r="F165" s="3" t="str">
        <x:f>IFERROR(VLOOKUP($B165,'Hack Database'!$A:$J,5,FALSE),"")</x:f>
      </x:c>
      <x:c r="G165" s="3" t="str">
        <x:f>IFERROR(VLOOKUP($B165,'Hack Database'!$A:$J,6,FALSE),"")</x:f>
      </x:c>
      <x:c r="H165" s="6"/>
      <x:c r="I165" s="6"/>
      <x:c r="J165" s="4"/>
      <x:c r="K165" s="3" t="str">
        <x:f t="shared" si="2"/>
      </x:c>
      <x:c r="L165" s="8"/>
      <x:c r="M165" s="5"/>
      <x:c r="N165" s="9" t="str">
        <x:f>IFERROR(HYPERLINK(VLOOKUP($B165,'Hack Database'!$A:$J,9,FALSE),"Open Page"),"")</x:f>
      </x:c>
      <x:c r="O165" s="9" t="str">
        <x:f>IFERROR(HYPERLINK(VLOOKUP($B165,'Hack Database'!$A:$J,10,FALSE),"Download"),"")</x:f>
      </x:c>
      <x:c r="P165" s="152"/>
    </x:row>
    <x:row r="166" ht="11" customHeight="1">
      <x:c r="A166" s="134" t="str">
        <x:f>IF(C166="","",COUNTIF($C$2:C166,"&lt;&gt;"))</x:f>
      </x:c>
      <x:c r="B166" s="4"/>
      <x:c r="C166" s="3" t="str">
        <x:f>IFERROR(VLOOKUP($B166,'Hack Database'!$A:$J,2,FALSE),"")</x:f>
      </x:c>
      <x:c r="D166" s="3" t="str">
        <x:f>IFERROR(VLOOKUP($B166,'Hack Database'!$A:$J,3,FALSE),"")</x:f>
      </x:c>
      <x:c r="E166" s="7" t="str">
        <x:f>IFERROR(VLOOKUP($B166,'Hack Database'!$A:$J,4,FALSE),"")</x:f>
      </x:c>
      <x:c r="F166" s="3" t="str">
        <x:f>IFERROR(VLOOKUP($B166,'Hack Database'!$A:$J,5,FALSE),"")</x:f>
      </x:c>
      <x:c r="G166" s="3" t="str">
        <x:f>IFERROR(VLOOKUP($B166,'Hack Database'!$A:$J,6,FALSE),"")</x:f>
      </x:c>
      <x:c r="H166" s="6"/>
      <x:c r="I166" s="6"/>
      <x:c r="J166" s="4"/>
      <x:c r="K166" s="3" t="str">
        <x:f t="shared" si="2"/>
      </x:c>
      <x:c r="L166" s="8"/>
      <x:c r="M166" s="5"/>
      <x:c r="N166" s="9" t="str">
        <x:f>IFERROR(HYPERLINK(VLOOKUP($B166,'Hack Database'!$A:$J,9,FALSE),"Open Page"),"")</x:f>
      </x:c>
      <x:c r="O166" s="9" t="str">
        <x:f>IFERROR(HYPERLINK(VLOOKUP($B166,'Hack Database'!$A:$J,10,FALSE),"Download"),"")</x:f>
      </x:c>
      <x:c r="P166" s="152"/>
    </x:row>
    <x:row r="167" ht="11" customHeight="1">
      <x:c r="A167" s="134" t="str">
        <x:f>IF(C167="","",COUNTIF($C$2:C167,"&lt;&gt;"))</x:f>
      </x:c>
      <x:c r="B167" s="4"/>
      <x:c r="C167" s="3" t="str">
        <x:f>IFERROR(VLOOKUP($B167,'Hack Database'!$A:$J,2,FALSE),"")</x:f>
      </x:c>
      <x:c r="D167" s="3" t="str">
        <x:f>IFERROR(VLOOKUP($B167,'Hack Database'!$A:$J,3,FALSE),"")</x:f>
      </x:c>
      <x:c r="E167" s="7" t="str">
        <x:f>IFERROR(VLOOKUP($B167,'Hack Database'!$A:$J,4,FALSE),"")</x:f>
      </x:c>
      <x:c r="F167" s="3" t="str">
        <x:f>IFERROR(VLOOKUP($B167,'Hack Database'!$A:$J,5,FALSE),"")</x:f>
      </x:c>
      <x:c r="G167" s="3" t="str">
        <x:f>IFERROR(VLOOKUP($B167,'Hack Database'!$A:$J,6,FALSE),"")</x:f>
      </x:c>
      <x:c r="H167" s="6"/>
      <x:c r="I167" s="6"/>
      <x:c r="J167" s="4"/>
      <x:c r="K167" s="3" t="str">
        <x:f t="shared" si="2"/>
      </x:c>
      <x:c r="L167" s="8"/>
      <x:c r="M167" s="5"/>
      <x:c r="N167" s="9" t="str">
        <x:f>IFERROR(HYPERLINK(VLOOKUP($B167,'Hack Database'!$A:$J,9,FALSE),"Open Page"),"")</x:f>
      </x:c>
      <x:c r="O167" s="9" t="str">
        <x:f>IFERROR(HYPERLINK(VLOOKUP($B167,'Hack Database'!$A:$J,10,FALSE),"Download"),"")</x:f>
      </x:c>
      <x:c r="P167" s="152"/>
    </x:row>
    <x:row r="168" ht="11" customHeight="1">
      <x:c r="A168" s="134" t="str">
        <x:f>IF(C168="","",COUNTIF($C$2:C168,"&lt;&gt;"))</x:f>
      </x:c>
      <x:c r="B168" s="4"/>
      <x:c r="C168" s="3" t="str">
        <x:f>IFERROR(VLOOKUP($B168,'Hack Database'!$A:$J,2,FALSE),"")</x:f>
      </x:c>
      <x:c r="D168" s="3" t="str">
        <x:f>IFERROR(VLOOKUP($B168,'Hack Database'!$A:$J,3,FALSE),"")</x:f>
      </x:c>
      <x:c r="E168" s="7" t="str">
        <x:f>IFERROR(VLOOKUP($B168,'Hack Database'!$A:$J,4,FALSE),"")</x:f>
      </x:c>
      <x:c r="F168" s="3" t="str">
        <x:f>IFERROR(VLOOKUP($B168,'Hack Database'!$A:$J,5,FALSE),"")</x:f>
      </x:c>
      <x:c r="G168" s="3" t="str">
        <x:f>IFERROR(VLOOKUP($B168,'Hack Database'!$A:$J,6,FALSE),"")</x:f>
      </x:c>
      <x:c r="H168" s="6"/>
      <x:c r="I168" s="6"/>
      <x:c r="J168" s="4"/>
      <x:c r="K168" s="3" t="str">
        <x:f t="shared" si="2"/>
      </x:c>
      <x:c r="L168" s="8"/>
      <x:c r="M168" s="5"/>
      <x:c r="N168" s="9" t="str">
        <x:f>IFERROR(HYPERLINK(VLOOKUP($B168,'Hack Database'!$A:$J,9,FALSE),"Open Page"),"")</x:f>
      </x:c>
      <x:c r="O168" s="9" t="str">
        <x:f>IFERROR(HYPERLINK(VLOOKUP($B168,'Hack Database'!$A:$J,10,FALSE),"Download"),"")</x:f>
      </x:c>
      <x:c r="P168" s="152"/>
    </x:row>
    <x:row r="169" ht="11" customHeight="1">
      <x:c r="A169" s="134" t="str">
        <x:f>IF(C169="","",COUNTIF($C$2:C169,"&lt;&gt;"))</x:f>
      </x:c>
      <x:c r="B169" s="4"/>
      <x:c r="C169" s="3" t="str">
        <x:f>IFERROR(VLOOKUP($B169,'Hack Database'!$A:$J,2,FALSE),"")</x:f>
      </x:c>
      <x:c r="D169" s="3" t="str">
        <x:f>IFERROR(VLOOKUP($B169,'Hack Database'!$A:$J,3,FALSE),"")</x:f>
      </x:c>
      <x:c r="E169" s="7" t="str">
        <x:f>IFERROR(VLOOKUP($B169,'Hack Database'!$A:$J,4,FALSE),"")</x:f>
      </x:c>
      <x:c r="F169" s="3" t="str">
        <x:f>IFERROR(VLOOKUP($B169,'Hack Database'!$A:$J,5,FALSE),"")</x:f>
      </x:c>
      <x:c r="G169" s="3" t="str">
        <x:f>IFERROR(VLOOKUP($B169,'Hack Database'!$A:$J,6,FALSE),"")</x:f>
      </x:c>
      <x:c r="H169" s="6"/>
      <x:c r="I169" s="6"/>
      <x:c r="J169" s="4"/>
      <x:c r="K169" s="3" t="str">
        <x:f t="shared" si="2"/>
      </x:c>
      <x:c r="L169" s="8"/>
      <x:c r="M169" s="5"/>
      <x:c r="N169" s="9" t="str">
        <x:f>IFERROR(HYPERLINK(VLOOKUP($B169,'Hack Database'!$A:$J,9,FALSE),"Open Page"),"")</x:f>
      </x:c>
      <x:c r="O169" s="9" t="str">
        <x:f>IFERROR(HYPERLINK(VLOOKUP($B169,'Hack Database'!$A:$J,10,FALSE),"Download"),"")</x:f>
      </x:c>
      <x:c r="P169" s="152"/>
    </x:row>
    <x:row r="170" ht="11" customHeight="1">
      <x:c r="A170" s="134" t="str">
        <x:f>IF(C170="","",COUNTIF($C$2:C170,"&lt;&gt;"))</x:f>
      </x:c>
      <x:c r="B170" s="4"/>
      <x:c r="C170" s="3" t="str">
        <x:f>IFERROR(VLOOKUP($B170,'Hack Database'!$A:$J,2,FALSE),"")</x:f>
      </x:c>
      <x:c r="D170" s="3" t="str">
        <x:f>IFERROR(VLOOKUP($B170,'Hack Database'!$A:$J,3,FALSE),"")</x:f>
      </x:c>
      <x:c r="E170" s="7" t="str">
        <x:f>IFERROR(VLOOKUP($B170,'Hack Database'!$A:$J,4,FALSE),"")</x:f>
      </x:c>
      <x:c r="F170" s="3" t="str">
        <x:f>IFERROR(VLOOKUP($B170,'Hack Database'!$A:$J,5,FALSE),"")</x:f>
      </x:c>
      <x:c r="G170" s="3" t="str">
        <x:f>IFERROR(VLOOKUP($B170,'Hack Database'!$A:$J,6,FALSE),"")</x:f>
      </x:c>
      <x:c r="H170" s="6"/>
      <x:c r="I170" s="6"/>
      <x:c r="J170" s="4"/>
      <x:c r="K170" s="3" t="str">
        <x:f t="shared" si="2"/>
      </x:c>
      <x:c r="L170" s="8"/>
      <x:c r="M170" s="5"/>
      <x:c r="N170" s="9" t="str">
        <x:f>IFERROR(HYPERLINK(VLOOKUP($B170,'Hack Database'!$A:$J,9,FALSE),"Open Page"),"")</x:f>
      </x:c>
      <x:c r="O170" s="9" t="str">
        <x:f>IFERROR(HYPERLINK(VLOOKUP($B170,'Hack Database'!$A:$J,10,FALSE),"Download"),"")</x:f>
      </x:c>
      <x:c r="P170" s="152"/>
    </x:row>
    <x:row r="171" ht="11" customHeight="1">
      <x:c r="A171" s="134" t="str">
        <x:f>IF(C171="","",COUNTIF($C$2:C171,"&lt;&gt;"))</x:f>
      </x:c>
      <x:c r="B171" s="4"/>
      <x:c r="C171" s="3" t="str">
        <x:f>IFERROR(VLOOKUP($B171,'Hack Database'!$A:$J,2,FALSE),"")</x:f>
      </x:c>
      <x:c r="D171" s="3" t="str">
        <x:f>IFERROR(VLOOKUP($B171,'Hack Database'!$A:$J,3,FALSE),"")</x:f>
      </x:c>
      <x:c r="E171" s="7" t="str">
        <x:f>IFERROR(VLOOKUP($B171,'Hack Database'!$A:$J,4,FALSE),"")</x:f>
      </x:c>
      <x:c r="F171" s="3" t="str">
        <x:f>IFERROR(VLOOKUP($B171,'Hack Database'!$A:$J,5,FALSE),"")</x:f>
      </x:c>
      <x:c r="G171" s="3" t="str">
        <x:f>IFERROR(VLOOKUP($B171,'Hack Database'!$A:$J,6,FALSE),"")</x:f>
      </x:c>
      <x:c r="H171" s="6"/>
      <x:c r="I171" s="6"/>
      <x:c r="J171" s="4"/>
      <x:c r="K171" s="3" t="str">
        <x:f t="shared" si="2"/>
      </x:c>
      <x:c r="L171" s="8"/>
      <x:c r="M171" s="5"/>
      <x:c r="N171" s="9" t="str">
        <x:f>IFERROR(HYPERLINK(VLOOKUP($B171,'Hack Database'!$A:$J,9,FALSE),"Open Page"),"")</x:f>
      </x:c>
      <x:c r="O171" s="9" t="str">
        <x:f>IFERROR(HYPERLINK(VLOOKUP($B171,'Hack Database'!$A:$J,10,FALSE),"Download"),"")</x:f>
      </x:c>
      <x:c r="P171" s="152"/>
    </x:row>
    <x:row r="172" ht="11" customHeight="1">
      <x:c r="A172" s="134" t="str">
        <x:f>IF(C172="","",COUNTIF($C$2:C172,"&lt;&gt;"))</x:f>
      </x:c>
      <x:c r="B172" s="4"/>
      <x:c r="C172" s="3" t="str">
        <x:f>IFERROR(VLOOKUP($B172,'Hack Database'!$A:$J,2,FALSE),"")</x:f>
      </x:c>
      <x:c r="D172" s="3" t="str">
        <x:f>IFERROR(VLOOKUP($B172,'Hack Database'!$A:$J,3,FALSE),"")</x:f>
      </x:c>
      <x:c r="E172" s="7" t="str">
        <x:f>IFERROR(VLOOKUP($B172,'Hack Database'!$A:$J,4,FALSE),"")</x:f>
      </x:c>
      <x:c r="F172" s="3" t="str">
        <x:f>IFERROR(VLOOKUP($B172,'Hack Database'!$A:$J,5,FALSE),"")</x:f>
      </x:c>
      <x:c r="G172" s="3" t="str">
        <x:f>IFERROR(VLOOKUP($B172,'Hack Database'!$A:$J,6,FALSE),"")</x:f>
      </x:c>
      <x:c r="H172" s="6"/>
      <x:c r="I172" s="6"/>
      <x:c r="J172" s="4"/>
      <x:c r="K172" s="3" t="str">
        <x:f t="shared" si="2"/>
      </x:c>
      <x:c r="L172" s="8"/>
      <x:c r="M172" s="5"/>
      <x:c r="N172" s="9" t="str">
        <x:f>IFERROR(HYPERLINK(VLOOKUP($B172,'Hack Database'!$A:$J,9,FALSE),"Open Page"),"")</x:f>
      </x:c>
      <x:c r="O172" s="9" t="str">
        <x:f>IFERROR(HYPERLINK(VLOOKUP($B172,'Hack Database'!$A:$J,10,FALSE),"Download"),"")</x:f>
      </x:c>
      <x:c r="P172" s="152"/>
    </x:row>
    <x:row r="173" ht="11" customHeight="1">
      <x:c r="A173" s="134" t="str">
        <x:f>IF(C173="","",COUNTIF($C$2:C173,"&lt;&gt;"))</x:f>
      </x:c>
      <x:c r="B173" s="4"/>
      <x:c r="C173" s="3" t="str">
        <x:f>IFERROR(VLOOKUP($B173,'Hack Database'!$A:$J,2,FALSE),"")</x:f>
      </x:c>
      <x:c r="D173" s="3" t="str">
        <x:f>IFERROR(VLOOKUP($B173,'Hack Database'!$A:$J,3,FALSE),"")</x:f>
      </x:c>
      <x:c r="E173" s="7" t="str">
        <x:f>IFERROR(VLOOKUP($B173,'Hack Database'!$A:$J,4,FALSE),"")</x:f>
      </x:c>
      <x:c r="F173" s="3" t="str">
        <x:f>IFERROR(VLOOKUP($B173,'Hack Database'!$A:$J,5,FALSE),"")</x:f>
      </x:c>
      <x:c r="G173" s="3" t="str">
        <x:f>IFERROR(VLOOKUP($B173,'Hack Database'!$A:$J,6,FALSE),"")</x:f>
      </x:c>
      <x:c r="H173" s="6"/>
      <x:c r="I173" s="6"/>
      <x:c r="J173" s="4"/>
      <x:c r="K173" s="3" t="str">
        <x:f t="shared" si="2"/>
      </x:c>
      <x:c r="L173" s="8"/>
      <x:c r="M173" s="5"/>
      <x:c r="N173" s="9" t="str">
        <x:f>IFERROR(HYPERLINK(VLOOKUP($B173,'Hack Database'!$A:$J,9,FALSE),"Open Page"),"")</x:f>
      </x:c>
      <x:c r="O173" s="9" t="str">
        <x:f>IFERROR(HYPERLINK(VLOOKUP($B173,'Hack Database'!$A:$J,10,FALSE),"Download"),"")</x:f>
      </x:c>
      <x:c r="P173" s="152"/>
    </x:row>
    <x:row r="174" ht="11" customHeight="1">
      <x:c r="A174" s="134" t="str">
        <x:f>IF(C174="","",COUNTIF($C$2:C174,"&lt;&gt;"))</x:f>
      </x:c>
      <x:c r="B174" s="4"/>
      <x:c r="C174" s="3" t="str">
        <x:f>IFERROR(VLOOKUP($B174,'Hack Database'!$A:$J,2,FALSE),"")</x:f>
      </x:c>
      <x:c r="D174" s="3" t="str">
        <x:f>IFERROR(VLOOKUP($B174,'Hack Database'!$A:$J,3,FALSE),"")</x:f>
      </x:c>
      <x:c r="E174" s="7" t="str">
        <x:f>IFERROR(VLOOKUP($B174,'Hack Database'!$A:$J,4,FALSE),"")</x:f>
      </x:c>
      <x:c r="F174" s="3" t="str">
        <x:f>IFERROR(VLOOKUP($B174,'Hack Database'!$A:$J,5,FALSE),"")</x:f>
      </x:c>
      <x:c r="G174" s="3" t="str">
        <x:f>IFERROR(VLOOKUP($B174,'Hack Database'!$A:$J,6,FALSE),"")</x:f>
      </x:c>
      <x:c r="H174" s="6"/>
      <x:c r="I174" s="6"/>
      <x:c r="J174" s="4"/>
      <x:c r="K174" s="3" t="str">
        <x:f t="shared" si="2"/>
      </x:c>
      <x:c r="L174" s="8"/>
      <x:c r="M174" s="5"/>
      <x:c r="N174" s="9" t="str">
        <x:f>IFERROR(HYPERLINK(VLOOKUP($B174,'Hack Database'!$A:$J,9,FALSE),"Open Page"),"")</x:f>
      </x:c>
      <x:c r="O174" s="9" t="str">
        <x:f>IFERROR(HYPERLINK(VLOOKUP($B174,'Hack Database'!$A:$J,10,FALSE),"Download"),"")</x:f>
      </x:c>
      <x:c r="P174" s="152"/>
    </x:row>
    <x:row r="175" ht="11" customHeight="1">
      <x:c r="A175" s="134" t="str">
        <x:f>IF(C175="","",COUNTIF($C$2:C175,"&lt;&gt;"))</x:f>
      </x:c>
      <x:c r="B175" s="4"/>
      <x:c r="C175" s="3" t="str">
        <x:f>IFERROR(VLOOKUP($B175,'Hack Database'!$A:$J,2,FALSE),"")</x:f>
      </x:c>
      <x:c r="D175" s="3" t="str">
        <x:f>IFERROR(VLOOKUP($B175,'Hack Database'!$A:$J,3,FALSE),"")</x:f>
      </x:c>
      <x:c r="E175" s="7" t="str">
        <x:f>IFERROR(VLOOKUP($B175,'Hack Database'!$A:$J,4,FALSE),"")</x:f>
      </x:c>
      <x:c r="F175" s="3" t="str">
        <x:f>IFERROR(VLOOKUP($B175,'Hack Database'!$A:$J,5,FALSE),"")</x:f>
      </x:c>
      <x:c r="G175" s="3" t="str">
        <x:f>IFERROR(VLOOKUP($B175,'Hack Database'!$A:$J,6,FALSE),"")</x:f>
      </x:c>
      <x:c r="H175" s="6"/>
      <x:c r="I175" s="6"/>
      <x:c r="J175" s="4"/>
      <x:c r="K175" s="3" t="str">
        <x:f t="shared" si="2"/>
      </x:c>
      <x:c r="L175" s="8"/>
      <x:c r="M175" s="5"/>
      <x:c r="N175" s="9" t="str">
        <x:f>IFERROR(HYPERLINK(VLOOKUP($B175,'Hack Database'!$A:$J,9,FALSE),"Open Page"),"")</x:f>
      </x:c>
      <x:c r="O175" s="9" t="str">
        <x:f>IFERROR(HYPERLINK(VLOOKUP($B175,'Hack Database'!$A:$J,10,FALSE),"Download"),"")</x:f>
      </x:c>
      <x:c r="P175" s="152"/>
    </x:row>
    <x:row r="176" ht="11" customHeight="1">
      <x:c r="A176" s="134" t="str">
        <x:f>IF(C176="","",COUNTIF($C$2:C176,"&lt;&gt;"))</x:f>
      </x:c>
      <x:c r="B176" s="4"/>
      <x:c r="C176" s="3" t="str">
        <x:f>IFERROR(VLOOKUP($B176,'Hack Database'!$A:$J,2,FALSE),"")</x:f>
      </x:c>
      <x:c r="D176" s="3" t="str">
        <x:f>IFERROR(VLOOKUP($B176,'Hack Database'!$A:$J,3,FALSE),"")</x:f>
      </x:c>
      <x:c r="E176" s="7" t="str">
        <x:f>IFERROR(VLOOKUP($B176,'Hack Database'!$A:$J,4,FALSE),"")</x:f>
      </x:c>
      <x:c r="F176" s="3" t="str">
        <x:f>IFERROR(VLOOKUP($B176,'Hack Database'!$A:$J,5,FALSE),"")</x:f>
      </x:c>
      <x:c r="G176" s="3" t="str">
        <x:f>IFERROR(VLOOKUP($B176,'Hack Database'!$A:$J,6,FALSE),"")</x:f>
      </x:c>
      <x:c r="H176" s="6"/>
      <x:c r="I176" s="6"/>
      <x:c r="J176" s="4"/>
      <x:c r="K176" s="3" t="str">
        <x:f t="shared" si="2"/>
      </x:c>
      <x:c r="L176" s="8"/>
      <x:c r="M176" s="5"/>
      <x:c r="N176" s="9" t="str">
        <x:f>IFERROR(HYPERLINK(VLOOKUP($B176,'Hack Database'!$A:$J,9,FALSE),"Open Page"),"")</x:f>
      </x:c>
      <x:c r="O176" s="9" t="str">
        <x:f>IFERROR(HYPERLINK(VLOOKUP($B176,'Hack Database'!$A:$J,10,FALSE),"Download"),"")</x:f>
      </x:c>
      <x:c r="P176" s="152"/>
    </x:row>
    <x:row r="177" ht="11" customHeight="1">
      <x:c r="A177" s="134" t="str">
        <x:f>IF(C177="","",COUNTIF($C$2:C177,"&lt;&gt;"))</x:f>
      </x:c>
      <x:c r="B177" s="4"/>
      <x:c r="C177" s="3" t="str">
        <x:f>IFERROR(VLOOKUP($B177,'Hack Database'!$A:$J,2,FALSE),"")</x:f>
      </x:c>
      <x:c r="D177" s="3" t="str">
        <x:f>IFERROR(VLOOKUP($B177,'Hack Database'!$A:$J,3,FALSE),"")</x:f>
      </x:c>
      <x:c r="E177" s="7" t="str">
        <x:f>IFERROR(VLOOKUP($B177,'Hack Database'!$A:$J,4,FALSE),"")</x:f>
      </x:c>
      <x:c r="F177" s="3" t="str">
        <x:f>IFERROR(VLOOKUP($B177,'Hack Database'!$A:$J,5,FALSE),"")</x:f>
      </x:c>
      <x:c r="G177" s="3" t="str">
        <x:f>IFERROR(VLOOKUP($B177,'Hack Database'!$A:$J,6,FALSE),"")</x:f>
      </x:c>
      <x:c r="H177" s="6"/>
      <x:c r="I177" s="6"/>
      <x:c r="J177" s="4"/>
      <x:c r="K177" s="3" t="str">
        <x:f t="shared" si="2"/>
      </x:c>
      <x:c r="L177" s="8"/>
      <x:c r="M177" s="5"/>
      <x:c r="N177" s="9" t="str">
        <x:f>IFERROR(HYPERLINK(VLOOKUP($B177,'Hack Database'!$A:$J,9,FALSE),"Open Page"),"")</x:f>
      </x:c>
      <x:c r="O177" s="9" t="str">
        <x:f>IFERROR(HYPERLINK(VLOOKUP($B177,'Hack Database'!$A:$J,10,FALSE),"Download"),"")</x:f>
      </x:c>
      <x:c r="P177" s="152"/>
    </x:row>
    <x:row r="178" ht="11" customHeight="1">
      <x:c r="A178" s="134" t="str">
        <x:f>IF(C178="","",COUNTIF($C$2:C178,"&lt;&gt;"))</x:f>
      </x:c>
      <x:c r="B178" s="4"/>
      <x:c r="C178" s="3" t="str">
        <x:f>IFERROR(VLOOKUP($B178,'Hack Database'!$A:$J,2,FALSE),"")</x:f>
      </x:c>
      <x:c r="D178" s="3" t="str">
        <x:f>IFERROR(VLOOKUP($B178,'Hack Database'!$A:$J,3,FALSE),"")</x:f>
      </x:c>
      <x:c r="E178" s="7" t="str">
        <x:f>IFERROR(VLOOKUP($B178,'Hack Database'!$A:$J,4,FALSE),"")</x:f>
      </x:c>
      <x:c r="F178" s="3" t="str">
        <x:f>IFERROR(VLOOKUP($B178,'Hack Database'!$A:$J,5,FALSE),"")</x:f>
      </x:c>
      <x:c r="G178" s="3" t="str">
        <x:f>IFERROR(VLOOKUP($B178,'Hack Database'!$A:$J,6,FALSE),"")</x:f>
      </x:c>
      <x:c r="H178" s="6"/>
      <x:c r="I178" s="6"/>
      <x:c r="J178" s="4"/>
      <x:c r="K178" s="3" t="str">
        <x:f t="shared" si="2"/>
      </x:c>
      <x:c r="L178" s="8"/>
      <x:c r="M178" s="5"/>
      <x:c r="N178" s="9" t="str">
        <x:f>IFERROR(HYPERLINK(VLOOKUP($B178,'Hack Database'!$A:$J,9,FALSE),"Open Page"),"")</x:f>
      </x:c>
      <x:c r="O178" s="9" t="str">
        <x:f>IFERROR(HYPERLINK(VLOOKUP($B178,'Hack Database'!$A:$J,10,FALSE),"Download"),"")</x:f>
      </x:c>
      <x:c r="P178" s="152"/>
    </x:row>
    <x:row r="179" ht="11" customHeight="1">
      <x:c r="A179" s="134" t="str">
        <x:f>IF(C179="","",COUNTIF($C$2:C179,"&lt;&gt;"))</x:f>
      </x:c>
      <x:c r="B179" s="4"/>
      <x:c r="C179" s="3" t="str">
        <x:f>IFERROR(VLOOKUP($B179,'Hack Database'!$A:$J,2,FALSE),"")</x:f>
      </x:c>
      <x:c r="D179" s="3" t="str">
        <x:f>IFERROR(VLOOKUP($B179,'Hack Database'!$A:$J,3,FALSE),"")</x:f>
      </x:c>
      <x:c r="E179" s="7" t="str">
        <x:f>IFERROR(VLOOKUP($B179,'Hack Database'!$A:$J,4,FALSE),"")</x:f>
      </x:c>
      <x:c r="F179" s="3" t="str">
        <x:f>IFERROR(VLOOKUP($B179,'Hack Database'!$A:$J,5,FALSE),"")</x:f>
      </x:c>
      <x:c r="G179" s="3" t="str">
        <x:f>IFERROR(VLOOKUP($B179,'Hack Database'!$A:$J,6,FALSE),"")</x:f>
      </x:c>
      <x:c r="H179" s="6"/>
      <x:c r="I179" s="6"/>
      <x:c r="J179" s="4"/>
      <x:c r="K179" s="3" t="str">
        <x:f t="shared" si="2"/>
      </x:c>
      <x:c r="L179" s="8"/>
      <x:c r="M179" s="5"/>
      <x:c r="N179" s="9" t="str">
        <x:f>IFERROR(HYPERLINK(VLOOKUP($B179,'Hack Database'!$A:$J,9,FALSE),"Open Page"),"")</x:f>
      </x:c>
      <x:c r="O179" s="9" t="str">
        <x:f>IFERROR(HYPERLINK(VLOOKUP($B179,'Hack Database'!$A:$J,10,FALSE),"Download"),"")</x:f>
      </x:c>
      <x:c r="P179" s="152"/>
    </x:row>
    <x:row r="180" ht="11" customHeight="1">
      <x:c r="A180" s="134" t="str">
        <x:f>IF(C180="","",COUNTIF($C$2:C180,"&lt;&gt;"))</x:f>
      </x:c>
      <x:c r="B180" s="4"/>
      <x:c r="C180" s="3" t="str">
        <x:f>IFERROR(VLOOKUP($B180,'Hack Database'!$A:$J,2,FALSE),"")</x:f>
      </x:c>
      <x:c r="D180" s="3" t="str">
        <x:f>IFERROR(VLOOKUP($B180,'Hack Database'!$A:$J,3,FALSE),"")</x:f>
      </x:c>
      <x:c r="E180" s="7" t="str">
        <x:f>IFERROR(VLOOKUP($B180,'Hack Database'!$A:$J,4,FALSE),"")</x:f>
      </x:c>
      <x:c r="F180" s="3" t="str">
        <x:f>IFERROR(VLOOKUP($B180,'Hack Database'!$A:$J,5,FALSE),"")</x:f>
      </x:c>
      <x:c r="G180" s="3" t="str">
        <x:f>IFERROR(VLOOKUP($B180,'Hack Database'!$A:$J,6,FALSE),"")</x:f>
      </x:c>
      <x:c r="H180" s="6"/>
      <x:c r="I180" s="6"/>
      <x:c r="J180" s="4"/>
      <x:c r="K180" s="3" t="str">
        <x:f t="shared" si="2"/>
      </x:c>
      <x:c r="L180" s="8"/>
      <x:c r="M180" s="5"/>
      <x:c r="N180" s="9" t="str">
        <x:f>IFERROR(HYPERLINK(VLOOKUP($B180,'Hack Database'!$A:$J,9,FALSE),"Open Page"),"")</x:f>
      </x:c>
      <x:c r="O180" s="9" t="str">
        <x:f>IFERROR(HYPERLINK(VLOOKUP($B180,'Hack Database'!$A:$J,10,FALSE),"Download"),"")</x:f>
      </x:c>
      <x:c r="P180" s="152"/>
    </x:row>
    <x:row r="181" ht="11" customHeight="1">
      <x:c r="A181" s="134" t="str">
        <x:f>IF(C181="","",COUNTIF($C$2:C181,"&lt;&gt;"))</x:f>
      </x:c>
      <x:c r="B181" s="4"/>
      <x:c r="C181" s="3" t="str">
        <x:f>IFERROR(VLOOKUP($B181,'Hack Database'!$A:$J,2,FALSE),"")</x:f>
      </x:c>
      <x:c r="D181" s="3" t="str">
        <x:f>IFERROR(VLOOKUP($B181,'Hack Database'!$A:$J,3,FALSE),"")</x:f>
      </x:c>
      <x:c r="E181" s="7" t="str">
        <x:f>IFERROR(VLOOKUP($B181,'Hack Database'!$A:$J,4,FALSE),"")</x:f>
      </x:c>
      <x:c r="F181" s="3" t="str">
        <x:f>IFERROR(VLOOKUP($B181,'Hack Database'!$A:$J,5,FALSE),"")</x:f>
      </x:c>
      <x:c r="G181" s="3" t="str">
        <x:f>IFERROR(VLOOKUP($B181,'Hack Database'!$A:$J,6,FALSE),"")</x:f>
      </x:c>
      <x:c r="H181" s="6"/>
      <x:c r="I181" s="6"/>
      <x:c r="J181" s="4"/>
      <x:c r="K181" s="3" t="str">
        <x:f t="shared" si="2"/>
      </x:c>
      <x:c r="L181" s="8"/>
      <x:c r="M181" s="5"/>
      <x:c r="N181" s="9" t="str">
        <x:f>IFERROR(HYPERLINK(VLOOKUP($B181,'Hack Database'!$A:$J,9,FALSE),"Open Page"),"")</x:f>
      </x:c>
      <x:c r="O181" s="9" t="str">
        <x:f>IFERROR(HYPERLINK(VLOOKUP($B181,'Hack Database'!$A:$J,10,FALSE),"Download"),"")</x:f>
      </x:c>
      <x:c r="P181" s="152"/>
    </x:row>
    <x:row r="182" ht="11" customHeight="1">
      <x:c r="A182" s="134" t="str">
        <x:f>IF(C182="","",COUNTIF($C$2:C182,"&lt;&gt;"))</x:f>
      </x:c>
      <x:c r="B182" s="4"/>
      <x:c r="C182" s="3" t="str">
        <x:f>IFERROR(VLOOKUP($B182,'Hack Database'!$A:$J,2,FALSE),"")</x:f>
      </x:c>
      <x:c r="D182" s="3" t="str">
        <x:f>IFERROR(VLOOKUP($B182,'Hack Database'!$A:$J,3,FALSE),"")</x:f>
      </x:c>
      <x:c r="E182" s="7" t="str">
        <x:f>IFERROR(VLOOKUP($B182,'Hack Database'!$A:$J,4,FALSE),"")</x:f>
      </x:c>
      <x:c r="F182" s="3" t="str">
        <x:f>IFERROR(VLOOKUP($B182,'Hack Database'!$A:$J,5,FALSE),"")</x:f>
      </x:c>
      <x:c r="G182" s="3" t="str">
        <x:f>IFERROR(VLOOKUP($B182,'Hack Database'!$A:$J,6,FALSE),"")</x:f>
      </x:c>
      <x:c r="H182" s="6"/>
      <x:c r="I182" s="6"/>
      <x:c r="J182" s="4"/>
      <x:c r="K182" s="3" t="str">
        <x:f t="shared" si="2"/>
      </x:c>
      <x:c r="L182" s="8"/>
      <x:c r="M182" s="5"/>
      <x:c r="N182" s="9" t="str">
        <x:f>IFERROR(HYPERLINK(VLOOKUP($B182,'Hack Database'!$A:$J,9,FALSE),"Open Page"),"")</x:f>
      </x:c>
      <x:c r="O182" s="9" t="str">
        <x:f>IFERROR(HYPERLINK(VLOOKUP($B182,'Hack Database'!$A:$J,10,FALSE),"Download"),"")</x:f>
      </x:c>
      <x:c r="P182" s="152"/>
    </x:row>
    <x:row r="183" ht="11" customHeight="1">
      <x:c r="A183" s="134" t="str">
        <x:f>IF(C183="","",COUNTIF($C$2:C183,"&lt;&gt;"))</x:f>
      </x:c>
      <x:c r="B183" s="4"/>
      <x:c r="C183" s="3" t="str">
        <x:f>IFERROR(VLOOKUP($B183,'Hack Database'!$A:$J,2,FALSE),"")</x:f>
      </x:c>
      <x:c r="D183" s="3" t="str">
        <x:f>IFERROR(VLOOKUP($B183,'Hack Database'!$A:$J,3,FALSE),"")</x:f>
      </x:c>
      <x:c r="E183" s="7" t="str">
        <x:f>IFERROR(VLOOKUP($B183,'Hack Database'!$A:$J,4,FALSE),"")</x:f>
      </x:c>
      <x:c r="F183" s="3" t="str">
        <x:f>IFERROR(VLOOKUP($B183,'Hack Database'!$A:$J,5,FALSE),"")</x:f>
      </x:c>
      <x:c r="G183" s="3" t="str">
        <x:f>IFERROR(VLOOKUP($B183,'Hack Database'!$A:$J,6,FALSE),"")</x:f>
      </x:c>
      <x:c r="H183" s="6"/>
      <x:c r="I183" s="6"/>
      <x:c r="J183" s="4"/>
      <x:c r="K183" s="3" t="str">
        <x:f t="shared" si="2"/>
      </x:c>
      <x:c r="L183" s="8"/>
      <x:c r="M183" s="5"/>
      <x:c r="N183" s="9" t="str">
        <x:f>IFERROR(HYPERLINK(VLOOKUP($B183,'Hack Database'!$A:$J,9,FALSE),"Open Page"),"")</x:f>
      </x:c>
      <x:c r="O183" s="9" t="str">
        <x:f>IFERROR(HYPERLINK(VLOOKUP($B183,'Hack Database'!$A:$J,10,FALSE),"Download"),"")</x:f>
      </x:c>
      <x:c r="P183" s="152"/>
    </x:row>
    <x:row r="184" ht="11" customHeight="1">
      <x:c r="A184" s="134" t="str">
        <x:f>IF(C184="","",COUNTIF($C$2:C184,"&lt;&gt;"))</x:f>
      </x:c>
      <x:c r="B184" s="4"/>
      <x:c r="C184" s="3" t="str">
        <x:f>IFERROR(VLOOKUP($B184,'Hack Database'!$A:$J,2,FALSE),"")</x:f>
      </x:c>
      <x:c r="D184" s="3" t="str">
        <x:f>IFERROR(VLOOKUP($B184,'Hack Database'!$A:$J,3,FALSE),"")</x:f>
      </x:c>
      <x:c r="E184" s="7" t="str">
        <x:f>IFERROR(VLOOKUP($B184,'Hack Database'!$A:$J,4,FALSE),"")</x:f>
      </x:c>
      <x:c r="F184" s="3" t="str">
        <x:f>IFERROR(VLOOKUP($B184,'Hack Database'!$A:$J,5,FALSE),"")</x:f>
      </x:c>
      <x:c r="G184" s="3" t="str">
        <x:f>IFERROR(VLOOKUP($B184,'Hack Database'!$A:$J,6,FALSE),"")</x:f>
      </x:c>
      <x:c r="H184" s="6"/>
      <x:c r="I184" s="6"/>
      <x:c r="J184" s="4"/>
      <x:c r="K184" s="3" t="str">
        <x:f t="shared" si="2"/>
      </x:c>
      <x:c r="L184" s="8"/>
      <x:c r="M184" s="5"/>
      <x:c r="N184" s="9" t="str">
        <x:f>IFERROR(HYPERLINK(VLOOKUP($B184,'Hack Database'!$A:$J,9,FALSE),"Open Page"),"")</x:f>
      </x:c>
      <x:c r="O184" s="9" t="str">
        <x:f>IFERROR(HYPERLINK(VLOOKUP($B184,'Hack Database'!$A:$J,10,FALSE),"Download"),"")</x:f>
      </x:c>
      <x:c r="P184" s="152"/>
    </x:row>
    <x:row r="185" ht="11" customHeight="1">
      <x:c r="A185" s="134" t="str">
        <x:f>IF(C185="","",COUNTIF($C$2:C185,"&lt;&gt;"))</x:f>
      </x:c>
      <x:c r="B185" s="4"/>
      <x:c r="C185" s="3" t="str">
        <x:f>IFERROR(VLOOKUP($B185,'Hack Database'!$A:$J,2,FALSE),"")</x:f>
      </x:c>
      <x:c r="D185" s="3" t="str">
        <x:f>IFERROR(VLOOKUP($B185,'Hack Database'!$A:$J,3,FALSE),"")</x:f>
      </x:c>
      <x:c r="E185" s="7" t="str">
        <x:f>IFERROR(VLOOKUP($B185,'Hack Database'!$A:$J,4,FALSE),"")</x:f>
      </x:c>
      <x:c r="F185" s="3" t="str">
        <x:f>IFERROR(VLOOKUP($B185,'Hack Database'!$A:$J,5,FALSE),"")</x:f>
      </x:c>
      <x:c r="G185" s="3" t="str">
        <x:f>IFERROR(VLOOKUP($B185,'Hack Database'!$A:$J,6,FALSE),"")</x:f>
      </x:c>
      <x:c r="H185" s="6"/>
      <x:c r="I185" s="6"/>
      <x:c r="J185" s="4"/>
      <x:c r="K185" s="3" t="str">
        <x:f t="shared" si="2"/>
      </x:c>
      <x:c r="L185" s="8"/>
      <x:c r="M185" s="5"/>
      <x:c r="N185" s="9" t="str">
        <x:f>IFERROR(HYPERLINK(VLOOKUP($B185,'Hack Database'!$A:$J,9,FALSE),"Open Page"),"")</x:f>
      </x:c>
      <x:c r="O185" s="9" t="str">
        <x:f>IFERROR(HYPERLINK(VLOOKUP($B185,'Hack Database'!$A:$J,10,FALSE),"Download"),"")</x:f>
      </x:c>
      <x:c r="P185" s="152"/>
    </x:row>
    <x:row r="186" ht="11" customHeight="1">
      <x:c r="A186" s="134" t="str">
        <x:f>IF(C186="","",COUNTIF($C$2:C186,"&lt;&gt;"))</x:f>
      </x:c>
      <x:c r="B186" s="4"/>
      <x:c r="C186" s="3" t="str">
        <x:f>IFERROR(VLOOKUP($B186,'Hack Database'!$A:$J,2,FALSE),"")</x:f>
      </x:c>
      <x:c r="D186" s="3" t="str">
        <x:f>IFERROR(VLOOKUP($B186,'Hack Database'!$A:$J,3,FALSE),"")</x:f>
      </x:c>
      <x:c r="E186" s="7" t="str">
        <x:f>IFERROR(VLOOKUP($B186,'Hack Database'!$A:$J,4,FALSE),"")</x:f>
      </x:c>
      <x:c r="F186" s="3" t="str">
        <x:f>IFERROR(VLOOKUP($B186,'Hack Database'!$A:$J,5,FALSE),"")</x:f>
      </x:c>
      <x:c r="G186" s="3" t="str">
        <x:f>IFERROR(VLOOKUP($B186,'Hack Database'!$A:$J,6,FALSE),"")</x:f>
      </x:c>
      <x:c r="H186" s="6"/>
      <x:c r="I186" s="6"/>
      <x:c r="J186" s="4"/>
      <x:c r="K186" s="3" t="str">
        <x:f t="shared" si="2"/>
      </x:c>
      <x:c r="L186" s="8"/>
      <x:c r="M186" s="5"/>
      <x:c r="N186" s="9" t="str">
        <x:f>IFERROR(HYPERLINK(VLOOKUP($B186,'Hack Database'!$A:$J,9,FALSE),"Open Page"),"")</x:f>
      </x:c>
      <x:c r="O186" s="9" t="str">
        <x:f>IFERROR(HYPERLINK(VLOOKUP($B186,'Hack Database'!$A:$J,10,FALSE),"Download"),"")</x:f>
      </x:c>
      <x:c r="P186" s="152"/>
    </x:row>
    <x:row r="187" ht="11" customHeight="1">
      <x:c r="A187" s="134" t="str">
        <x:f>IF(C187="","",COUNTIF($C$2:C187,"&lt;&gt;"))</x:f>
      </x:c>
      <x:c r="B187" s="4"/>
      <x:c r="C187" s="3" t="str">
        <x:f>IFERROR(VLOOKUP($B187,'Hack Database'!$A:$J,2,FALSE),"")</x:f>
      </x:c>
      <x:c r="D187" s="3" t="str">
        <x:f>IFERROR(VLOOKUP($B187,'Hack Database'!$A:$J,3,FALSE),"")</x:f>
      </x:c>
      <x:c r="E187" s="7" t="str">
        <x:f>IFERROR(VLOOKUP($B187,'Hack Database'!$A:$J,4,FALSE),"")</x:f>
      </x:c>
      <x:c r="F187" s="3" t="str">
        <x:f>IFERROR(VLOOKUP($B187,'Hack Database'!$A:$J,5,FALSE),"")</x:f>
      </x:c>
      <x:c r="G187" s="3" t="str">
        <x:f>IFERROR(VLOOKUP($B187,'Hack Database'!$A:$J,6,FALSE),"")</x:f>
      </x:c>
      <x:c r="H187" s="6"/>
      <x:c r="I187" s="6"/>
      <x:c r="J187" s="4"/>
      <x:c r="K187" s="3" t="str">
        <x:f t="shared" si="2"/>
      </x:c>
      <x:c r="L187" s="8"/>
      <x:c r="M187" s="5"/>
      <x:c r="N187" s="9" t="str">
        <x:f>IFERROR(HYPERLINK(VLOOKUP($B187,'Hack Database'!$A:$J,9,FALSE),"Open Page"),"")</x:f>
      </x:c>
      <x:c r="O187" s="9" t="str">
        <x:f>IFERROR(HYPERLINK(VLOOKUP($B187,'Hack Database'!$A:$J,10,FALSE),"Download"),"")</x:f>
      </x:c>
      <x:c r="P187" s="152"/>
    </x:row>
    <x:row r="188" ht="11" customHeight="1">
      <x:c r="A188" s="134" t="str">
        <x:f>IF(C188="","",COUNTIF($C$2:C188,"&lt;&gt;"))</x:f>
      </x:c>
      <x:c r="B188" s="4"/>
      <x:c r="C188" s="3" t="str">
        <x:f>IFERROR(VLOOKUP($B188,'Hack Database'!$A:$J,2,FALSE),"")</x:f>
      </x:c>
      <x:c r="D188" s="3" t="str">
        <x:f>IFERROR(VLOOKUP($B188,'Hack Database'!$A:$J,3,FALSE),"")</x:f>
      </x:c>
      <x:c r="E188" s="7" t="str">
        <x:f>IFERROR(VLOOKUP($B188,'Hack Database'!$A:$J,4,FALSE),"")</x:f>
      </x:c>
      <x:c r="F188" s="3" t="str">
        <x:f>IFERROR(VLOOKUP($B188,'Hack Database'!$A:$J,5,FALSE),"")</x:f>
      </x:c>
      <x:c r="G188" s="3" t="str">
        <x:f>IFERROR(VLOOKUP($B188,'Hack Database'!$A:$J,6,FALSE),"")</x:f>
      </x:c>
      <x:c r="H188" s="6"/>
      <x:c r="I188" s="6"/>
      <x:c r="J188" s="4"/>
      <x:c r="K188" s="3" t="str">
        <x:f t="shared" si="2"/>
      </x:c>
      <x:c r="L188" s="8"/>
      <x:c r="M188" s="5"/>
      <x:c r="N188" s="9" t="str">
        <x:f>IFERROR(HYPERLINK(VLOOKUP($B188,'Hack Database'!$A:$J,9,FALSE),"Open Page"),"")</x:f>
      </x:c>
      <x:c r="O188" s="9" t="str">
        <x:f>IFERROR(HYPERLINK(VLOOKUP($B188,'Hack Database'!$A:$J,10,FALSE),"Download"),"")</x:f>
      </x:c>
      <x:c r="P188" s="152"/>
    </x:row>
    <x:row r="189" ht="11" customHeight="1">
      <x:c r="A189" s="134" t="str">
        <x:f>IF(C189="","",COUNTIF($C$2:C189,"&lt;&gt;"))</x:f>
      </x:c>
      <x:c r="B189" s="4"/>
      <x:c r="C189" s="3" t="str">
        <x:f>IFERROR(VLOOKUP($B189,'Hack Database'!$A:$J,2,FALSE),"")</x:f>
      </x:c>
      <x:c r="D189" s="3" t="str">
        <x:f>IFERROR(VLOOKUP($B189,'Hack Database'!$A:$J,3,FALSE),"")</x:f>
      </x:c>
      <x:c r="E189" s="7" t="str">
        <x:f>IFERROR(VLOOKUP($B189,'Hack Database'!$A:$J,4,FALSE),"")</x:f>
      </x:c>
      <x:c r="F189" s="3" t="str">
        <x:f>IFERROR(VLOOKUP($B189,'Hack Database'!$A:$J,5,FALSE),"")</x:f>
      </x:c>
      <x:c r="G189" s="3" t="str">
        <x:f>IFERROR(VLOOKUP($B189,'Hack Database'!$A:$J,6,FALSE),"")</x:f>
      </x:c>
      <x:c r="H189" s="6"/>
      <x:c r="I189" s="6"/>
      <x:c r="J189" s="4"/>
      <x:c r="K189" s="3" t="str">
        <x:f t="shared" si="2"/>
      </x:c>
      <x:c r="L189" s="8"/>
      <x:c r="M189" s="5"/>
      <x:c r="N189" s="9" t="str">
        <x:f>IFERROR(HYPERLINK(VLOOKUP($B189,'Hack Database'!$A:$J,9,FALSE),"Open Page"),"")</x:f>
      </x:c>
      <x:c r="O189" s="9" t="str">
        <x:f>IFERROR(HYPERLINK(VLOOKUP($B189,'Hack Database'!$A:$J,10,FALSE),"Download"),"")</x:f>
      </x:c>
      <x:c r="P189" s="152"/>
    </x:row>
    <x:row r="190" ht="11" customHeight="1">
      <x:c r="A190" s="134" t="str">
        <x:f>IF(C190="","",COUNTIF($C$2:C190,"&lt;&gt;"))</x:f>
      </x:c>
      <x:c r="B190" s="4"/>
      <x:c r="C190" s="3" t="str">
        <x:f>IFERROR(VLOOKUP($B190,'Hack Database'!$A:$J,2,FALSE),"")</x:f>
      </x:c>
      <x:c r="D190" s="3" t="str">
        <x:f>IFERROR(VLOOKUP($B190,'Hack Database'!$A:$J,3,FALSE),"")</x:f>
      </x:c>
      <x:c r="E190" s="7" t="str">
        <x:f>IFERROR(VLOOKUP($B190,'Hack Database'!$A:$J,4,FALSE),"")</x:f>
      </x:c>
      <x:c r="F190" s="3" t="str">
        <x:f>IFERROR(VLOOKUP($B190,'Hack Database'!$A:$J,5,FALSE),"")</x:f>
      </x:c>
      <x:c r="G190" s="3" t="str">
        <x:f>IFERROR(VLOOKUP($B190,'Hack Database'!$A:$J,6,FALSE),"")</x:f>
      </x:c>
      <x:c r="H190" s="6"/>
      <x:c r="I190" s="6"/>
      <x:c r="J190" s="4"/>
      <x:c r="K190" s="3" t="str">
        <x:f t="shared" si="2"/>
      </x:c>
      <x:c r="L190" s="8"/>
      <x:c r="M190" s="5"/>
      <x:c r="N190" s="9" t="str">
        <x:f>IFERROR(HYPERLINK(VLOOKUP($B190,'Hack Database'!$A:$J,9,FALSE),"Open Page"),"")</x:f>
      </x:c>
      <x:c r="O190" s="9" t="str">
        <x:f>IFERROR(HYPERLINK(VLOOKUP($B190,'Hack Database'!$A:$J,10,FALSE),"Download"),"")</x:f>
      </x:c>
      <x:c r="P190" s="152"/>
    </x:row>
    <x:row r="191" ht="11" customHeight="1">
      <x:c r="A191" s="134" t="str">
        <x:f>IF(C191="","",COUNTIF($C$2:C191,"&lt;&gt;"))</x:f>
      </x:c>
      <x:c r="B191" s="4"/>
      <x:c r="C191" s="3" t="str">
        <x:f>IFERROR(VLOOKUP($B191,'Hack Database'!$A:$J,2,FALSE),"")</x:f>
      </x:c>
      <x:c r="D191" s="3" t="str">
        <x:f>IFERROR(VLOOKUP($B191,'Hack Database'!$A:$J,3,FALSE),"")</x:f>
      </x:c>
      <x:c r="E191" s="7" t="str">
        <x:f>IFERROR(VLOOKUP($B191,'Hack Database'!$A:$J,4,FALSE),"")</x:f>
      </x:c>
      <x:c r="F191" s="3" t="str">
        <x:f>IFERROR(VLOOKUP($B191,'Hack Database'!$A:$J,5,FALSE),"")</x:f>
      </x:c>
      <x:c r="G191" s="3" t="str">
        <x:f>IFERROR(VLOOKUP($B191,'Hack Database'!$A:$J,6,FALSE),"")</x:f>
      </x:c>
      <x:c r="H191" s="6"/>
      <x:c r="I191" s="6"/>
      <x:c r="J191" s="4"/>
      <x:c r="K191" s="3" t="str">
        <x:f t="shared" si="2"/>
      </x:c>
      <x:c r="L191" s="8"/>
      <x:c r="M191" s="5"/>
      <x:c r="N191" s="9" t="str">
        <x:f>IFERROR(HYPERLINK(VLOOKUP($B191,'Hack Database'!$A:$J,9,FALSE),"Open Page"),"")</x:f>
      </x:c>
      <x:c r="O191" s="9" t="str">
        <x:f>IFERROR(HYPERLINK(VLOOKUP($B191,'Hack Database'!$A:$J,10,FALSE),"Download"),"")</x:f>
      </x:c>
      <x:c r="P191" s="152"/>
    </x:row>
    <x:row r="192" ht="11" customHeight="1">
      <x:c r="A192" s="134" t="str">
        <x:f>IF(C192="","",COUNTIF($C$2:C192,"&lt;&gt;"))</x:f>
      </x:c>
      <x:c r="B192" s="4"/>
      <x:c r="C192" s="3" t="str">
        <x:f>IFERROR(VLOOKUP($B192,'Hack Database'!$A:$J,2,FALSE),"")</x:f>
      </x:c>
      <x:c r="D192" s="3" t="str">
        <x:f>IFERROR(VLOOKUP($B192,'Hack Database'!$A:$J,3,FALSE),"")</x:f>
      </x:c>
      <x:c r="E192" s="7" t="str">
        <x:f>IFERROR(VLOOKUP($B192,'Hack Database'!$A:$J,4,FALSE),"")</x:f>
      </x:c>
      <x:c r="F192" s="3" t="str">
        <x:f>IFERROR(VLOOKUP($B192,'Hack Database'!$A:$J,5,FALSE),"")</x:f>
      </x:c>
      <x:c r="G192" s="3" t="str">
        <x:f>IFERROR(VLOOKUP($B192,'Hack Database'!$A:$J,6,FALSE),"")</x:f>
      </x:c>
      <x:c r="H192" s="6"/>
      <x:c r="I192" s="6"/>
      <x:c r="J192" s="4"/>
      <x:c r="K192" s="3" t="str">
        <x:f t="shared" si="2"/>
      </x:c>
      <x:c r="L192" s="8"/>
      <x:c r="M192" s="5"/>
      <x:c r="N192" s="9" t="str">
        <x:f>IFERROR(HYPERLINK(VLOOKUP($B192,'Hack Database'!$A:$J,9,FALSE),"Open Page"),"")</x:f>
      </x:c>
      <x:c r="O192" s="9" t="str">
        <x:f>IFERROR(HYPERLINK(VLOOKUP($B192,'Hack Database'!$A:$J,10,FALSE),"Download"),"")</x:f>
      </x:c>
      <x:c r="P192" s="152"/>
    </x:row>
    <x:row r="193" ht="11" customHeight="1">
      <x:c r="A193" s="134" t="str">
        <x:f>IF(C193="","",COUNTIF($C$2:C193,"&lt;&gt;"))</x:f>
      </x:c>
      <x:c r="B193" s="4"/>
      <x:c r="C193" s="3" t="str">
        <x:f>IFERROR(VLOOKUP($B193,'Hack Database'!$A:$J,2,FALSE),"")</x:f>
      </x:c>
      <x:c r="D193" s="3" t="str">
        <x:f>IFERROR(VLOOKUP($B193,'Hack Database'!$A:$J,3,FALSE),"")</x:f>
      </x:c>
      <x:c r="E193" s="7" t="str">
        <x:f>IFERROR(VLOOKUP($B193,'Hack Database'!$A:$J,4,FALSE),"")</x:f>
      </x:c>
      <x:c r="F193" s="3" t="str">
        <x:f>IFERROR(VLOOKUP($B193,'Hack Database'!$A:$J,5,FALSE),"")</x:f>
      </x:c>
      <x:c r="G193" s="3" t="str">
        <x:f>IFERROR(VLOOKUP($B193,'Hack Database'!$A:$J,6,FALSE),"")</x:f>
      </x:c>
      <x:c r="H193" s="6"/>
      <x:c r="I193" s="6"/>
      <x:c r="J193" s="4"/>
      <x:c r="K193" s="3" t="str">
        <x:f t="shared" si="2"/>
      </x:c>
      <x:c r="L193" s="8"/>
      <x:c r="M193" s="5"/>
      <x:c r="N193" s="9" t="str">
        <x:f>IFERROR(HYPERLINK(VLOOKUP($B193,'Hack Database'!$A:$J,9,FALSE),"Open Page"),"")</x:f>
      </x:c>
      <x:c r="O193" s="9" t="str">
        <x:f>IFERROR(HYPERLINK(VLOOKUP($B193,'Hack Database'!$A:$J,10,FALSE),"Download"),"")</x:f>
      </x:c>
      <x:c r="P193" s="152"/>
    </x:row>
    <x:row r="194" ht="11" customHeight="1">
      <x:c r="A194" s="134" t="str">
        <x:f>IF(C194="","",COUNTIF($C$2:C194,"&lt;&gt;"))</x:f>
      </x:c>
      <x:c r="B194" s="4"/>
      <x:c r="C194" s="3" t="str">
        <x:f>IFERROR(VLOOKUP($B194,'Hack Database'!$A:$J,2,FALSE),"")</x:f>
      </x:c>
      <x:c r="D194" s="3" t="str">
        <x:f>IFERROR(VLOOKUP($B194,'Hack Database'!$A:$J,3,FALSE),"")</x:f>
      </x:c>
      <x:c r="E194" s="7" t="str">
        <x:f>IFERROR(VLOOKUP($B194,'Hack Database'!$A:$J,4,FALSE),"")</x:f>
      </x:c>
      <x:c r="F194" s="3" t="str">
        <x:f>IFERROR(VLOOKUP($B194,'Hack Database'!$A:$J,5,FALSE),"")</x:f>
      </x:c>
      <x:c r="G194" s="3" t="str">
        <x:f>IFERROR(VLOOKUP($B194,'Hack Database'!$A:$J,6,FALSE),"")</x:f>
      </x:c>
      <x:c r="H194" s="6"/>
      <x:c r="I194" s="6"/>
      <x:c r="J194" s="4"/>
      <x:c r="K194" s="3" t="str">
        <x:f t="shared" ref="K194:K257" si="3">IF($B194="","",IF($J194="Yes","100% Complete",IF($H194="","Planned",IF($I194="","In Progress","Finished"))))</x:f>
      </x:c>
      <x:c r="L194" s="8"/>
      <x:c r="M194" s="5"/>
      <x:c r="N194" s="9" t="str">
        <x:f>IFERROR(HYPERLINK(VLOOKUP($B194,'Hack Database'!$A:$J,9,FALSE),"Open Page"),"")</x:f>
      </x:c>
      <x:c r="O194" s="9" t="str">
        <x:f>IFERROR(HYPERLINK(VLOOKUP($B194,'Hack Database'!$A:$J,10,FALSE),"Download"),"")</x:f>
      </x:c>
      <x:c r="P194" s="152"/>
    </x:row>
    <x:row r="195" ht="11" customHeight="1">
      <x:c r="A195" s="134" t="str">
        <x:f>IF(C195="","",COUNTIF($C$2:C195,"&lt;&gt;"))</x:f>
      </x:c>
      <x:c r="B195" s="4"/>
      <x:c r="C195" s="3" t="str">
        <x:f>IFERROR(VLOOKUP($B195,'Hack Database'!$A:$J,2,FALSE),"")</x:f>
      </x:c>
      <x:c r="D195" s="3" t="str">
        <x:f>IFERROR(VLOOKUP($B195,'Hack Database'!$A:$J,3,FALSE),"")</x:f>
      </x:c>
      <x:c r="E195" s="7" t="str">
        <x:f>IFERROR(VLOOKUP($B195,'Hack Database'!$A:$J,4,FALSE),"")</x:f>
      </x:c>
      <x:c r="F195" s="3" t="str">
        <x:f>IFERROR(VLOOKUP($B195,'Hack Database'!$A:$J,5,FALSE),"")</x:f>
      </x:c>
      <x:c r="G195" s="3" t="str">
        <x:f>IFERROR(VLOOKUP($B195,'Hack Database'!$A:$J,6,FALSE),"")</x:f>
      </x:c>
      <x:c r="H195" s="6"/>
      <x:c r="I195" s="6"/>
      <x:c r="J195" s="4"/>
      <x:c r="K195" s="3" t="str">
        <x:f t="shared" si="3"/>
      </x:c>
      <x:c r="L195" s="8"/>
      <x:c r="M195" s="5"/>
      <x:c r="N195" s="9" t="str">
        <x:f>IFERROR(HYPERLINK(VLOOKUP($B195,'Hack Database'!$A:$J,9,FALSE),"Open Page"),"")</x:f>
      </x:c>
      <x:c r="O195" s="9" t="str">
        <x:f>IFERROR(HYPERLINK(VLOOKUP($B195,'Hack Database'!$A:$J,10,FALSE),"Download"),"")</x:f>
      </x:c>
      <x:c r="P195" s="152"/>
    </x:row>
    <x:row r="196" ht="11" customHeight="1">
      <x:c r="A196" s="134" t="str">
        <x:f>IF(C196="","",COUNTIF($C$2:C196,"&lt;&gt;"))</x:f>
      </x:c>
      <x:c r="B196" s="4"/>
      <x:c r="C196" s="3" t="str">
        <x:f>IFERROR(VLOOKUP($B196,'Hack Database'!$A:$J,2,FALSE),"")</x:f>
      </x:c>
      <x:c r="D196" s="3" t="str">
        <x:f>IFERROR(VLOOKUP($B196,'Hack Database'!$A:$J,3,FALSE),"")</x:f>
      </x:c>
      <x:c r="E196" s="7" t="str">
        <x:f>IFERROR(VLOOKUP($B196,'Hack Database'!$A:$J,4,FALSE),"")</x:f>
      </x:c>
      <x:c r="F196" s="3" t="str">
        <x:f>IFERROR(VLOOKUP($B196,'Hack Database'!$A:$J,5,FALSE),"")</x:f>
      </x:c>
      <x:c r="G196" s="3" t="str">
        <x:f>IFERROR(VLOOKUP($B196,'Hack Database'!$A:$J,6,FALSE),"")</x:f>
      </x:c>
      <x:c r="H196" s="6"/>
      <x:c r="I196" s="6"/>
      <x:c r="J196" s="4"/>
      <x:c r="K196" s="3" t="str">
        <x:f t="shared" si="3"/>
      </x:c>
      <x:c r="L196" s="8"/>
      <x:c r="M196" s="5"/>
      <x:c r="N196" s="9" t="str">
        <x:f>IFERROR(HYPERLINK(VLOOKUP($B196,'Hack Database'!$A:$J,9,FALSE),"Open Page"),"")</x:f>
      </x:c>
      <x:c r="O196" s="9" t="str">
        <x:f>IFERROR(HYPERLINK(VLOOKUP($B196,'Hack Database'!$A:$J,10,FALSE),"Download"),"")</x:f>
      </x:c>
      <x:c r="P196" s="152"/>
    </x:row>
    <x:row r="197" ht="11" customHeight="1">
      <x:c r="A197" s="134" t="str">
        <x:f>IF(C197="","",COUNTIF($C$2:C197,"&lt;&gt;"))</x:f>
      </x:c>
      <x:c r="B197" s="4"/>
      <x:c r="C197" s="3" t="str">
        <x:f>IFERROR(VLOOKUP($B197,'Hack Database'!$A:$J,2,FALSE),"")</x:f>
      </x:c>
      <x:c r="D197" s="3" t="str">
        <x:f>IFERROR(VLOOKUP($B197,'Hack Database'!$A:$J,3,FALSE),"")</x:f>
      </x:c>
      <x:c r="E197" s="7" t="str">
        <x:f>IFERROR(VLOOKUP($B197,'Hack Database'!$A:$J,4,FALSE),"")</x:f>
      </x:c>
      <x:c r="F197" s="3" t="str">
        <x:f>IFERROR(VLOOKUP($B197,'Hack Database'!$A:$J,5,FALSE),"")</x:f>
      </x:c>
      <x:c r="G197" s="3" t="str">
        <x:f>IFERROR(VLOOKUP($B197,'Hack Database'!$A:$J,6,FALSE),"")</x:f>
      </x:c>
      <x:c r="H197" s="6"/>
      <x:c r="I197" s="6"/>
      <x:c r="J197" s="4"/>
      <x:c r="K197" s="3" t="str">
        <x:f t="shared" si="3"/>
      </x:c>
      <x:c r="L197" s="8"/>
      <x:c r="M197" s="5"/>
      <x:c r="N197" s="9" t="str">
        <x:f>IFERROR(HYPERLINK(VLOOKUP($B197,'Hack Database'!$A:$J,9,FALSE),"Open Page"),"")</x:f>
      </x:c>
      <x:c r="O197" s="9" t="str">
        <x:f>IFERROR(HYPERLINK(VLOOKUP($B197,'Hack Database'!$A:$J,10,FALSE),"Download"),"")</x:f>
      </x:c>
      <x:c r="P197" s="152"/>
    </x:row>
    <x:row r="198" ht="11" customHeight="1">
      <x:c r="A198" s="134" t="str">
        <x:f>IF(C198="","",COUNTIF($C$2:C198,"&lt;&gt;"))</x:f>
      </x:c>
      <x:c r="B198" s="4"/>
      <x:c r="C198" s="3" t="str">
        <x:f>IFERROR(VLOOKUP($B198,'Hack Database'!$A:$J,2,FALSE),"")</x:f>
      </x:c>
      <x:c r="D198" s="3" t="str">
        <x:f>IFERROR(VLOOKUP($B198,'Hack Database'!$A:$J,3,FALSE),"")</x:f>
      </x:c>
      <x:c r="E198" s="7" t="str">
        <x:f>IFERROR(VLOOKUP($B198,'Hack Database'!$A:$J,4,FALSE),"")</x:f>
      </x:c>
      <x:c r="F198" s="3" t="str">
        <x:f>IFERROR(VLOOKUP($B198,'Hack Database'!$A:$J,5,FALSE),"")</x:f>
      </x:c>
      <x:c r="G198" s="3" t="str">
        <x:f>IFERROR(VLOOKUP($B198,'Hack Database'!$A:$J,6,FALSE),"")</x:f>
      </x:c>
      <x:c r="H198" s="6"/>
      <x:c r="I198" s="6"/>
      <x:c r="J198" s="4"/>
      <x:c r="K198" s="3" t="str">
        <x:f t="shared" si="3"/>
      </x:c>
      <x:c r="L198" s="8"/>
      <x:c r="M198" s="5"/>
      <x:c r="N198" s="9" t="str">
        <x:f>IFERROR(HYPERLINK(VLOOKUP($B198,'Hack Database'!$A:$J,9,FALSE),"Open Page"),"")</x:f>
      </x:c>
      <x:c r="O198" s="9" t="str">
        <x:f>IFERROR(HYPERLINK(VLOOKUP($B198,'Hack Database'!$A:$J,10,FALSE),"Download"),"")</x:f>
      </x:c>
      <x:c r="P198" s="152"/>
    </x:row>
    <x:row r="199" ht="11" customHeight="1">
      <x:c r="A199" s="134" t="str">
        <x:f>IF(C199="","",COUNTIF($C$2:C199,"&lt;&gt;"))</x:f>
      </x:c>
      <x:c r="B199" s="4"/>
      <x:c r="C199" s="3" t="str">
        <x:f>IFERROR(VLOOKUP($B199,'Hack Database'!$A:$J,2,FALSE),"")</x:f>
      </x:c>
      <x:c r="D199" s="3" t="str">
        <x:f>IFERROR(VLOOKUP($B199,'Hack Database'!$A:$J,3,FALSE),"")</x:f>
      </x:c>
      <x:c r="E199" s="7" t="str">
        <x:f>IFERROR(VLOOKUP($B199,'Hack Database'!$A:$J,4,FALSE),"")</x:f>
      </x:c>
      <x:c r="F199" s="3" t="str">
        <x:f>IFERROR(VLOOKUP($B199,'Hack Database'!$A:$J,5,FALSE),"")</x:f>
      </x:c>
      <x:c r="G199" s="3" t="str">
        <x:f>IFERROR(VLOOKUP($B199,'Hack Database'!$A:$J,6,FALSE),"")</x:f>
      </x:c>
      <x:c r="H199" s="6"/>
      <x:c r="I199" s="6"/>
      <x:c r="J199" s="4"/>
      <x:c r="K199" s="3" t="str">
        <x:f t="shared" si="3"/>
      </x:c>
      <x:c r="L199" s="8"/>
      <x:c r="M199" s="5"/>
      <x:c r="N199" s="9" t="str">
        <x:f>IFERROR(HYPERLINK(VLOOKUP($B199,'Hack Database'!$A:$J,9,FALSE),"Open Page"),"")</x:f>
      </x:c>
      <x:c r="O199" s="9" t="str">
        <x:f>IFERROR(HYPERLINK(VLOOKUP($B199,'Hack Database'!$A:$J,10,FALSE),"Download"),"")</x:f>
      </x:c>
      <x:c r="P199" s="152"/>
    </x:row>
    <x:row r="200" ht="11" customHeight="1">
      <x:c r="A200" s="134" t="str">
        <x:f>IF(C200="","",COUNTIF($C$2:C200,"&lt;&gt;"))</x:f>
      </x:c>
      <x:c r="B200" s="4"/>
      <x:c r="C200" s="3" t="str">
        <x:f>IFERROR(VLOOKUP($B200,'Hack Database'!$A:$J,2,FALSE),"")</x:f>
      </x:c>
      <x:c r="D200" s="3" t="str">
        <x:f>IFERROR(VLOOKUP($B200,'Hack Database'!$A:$J,3,FALSE),"")</x:f>
      </x:c>
      <x:c r="E200" s="7" t="str">
        <x:f>IFERROR(VLOOKUP($B200,'Hack Database'!$A:$J,4,FALSE),"")</x:f>
      </x:c>
      <x:c r="F200" s="3" t="str">
        <x:f>IFERROR(VLOOKUP($B200,'Hack Database'!$A:$J,5,FALSE),"")</x:f>
      </x:c>
      <x:c r="G200" s="3" t="str">
        <x:f>IFERROR(VLOOKUP($B200,'Hack Database'!$A:$J,6,FALSE),"")</x:f>
      </x:c>
      <x:c r="H200" s="6"/>
      <x:c r="I200" s="6"/>
      <x:c r="J200" s="4"/>
      <x:c r="K200" s="3" t="str">
        <x:f t="shared" si="3"/>
      </x:c>
      <x:c r="L200" s="8"/>
      <x:c r="M200" s="5"/>
      <x:c r="N200" s="9" t="str">
        <x:f>IFERROR(HYPERLINK(VLOOKUP($B200,'Hack Database'!$A:$J,9,FALSE),"Open Page"),"")</x:f>
      </x:c>
      <x:c r="O200" s="9" t="str">
        <x:f>IFERROR(HYPERLINK(VLOOKUP($B200,'Hack Database'!$A:$J,10,FALSE),"Download"),"")</x:f>
      </x:c>
      <x:c r="P200" s="152"/>
    </x:row>
    <x:row r="201" ht="11" customHeight="1">
      <x:c r="A201" s="134" t="str">
        <x:f>IF(C201="","",COUNTIF($C$2:C201,"&lt;&gt;"))</x:f>
      </x:c>
      <x:c r="B201" s="4"/>
      <x:c r="C201" s="3" t="str">
        <x:f>IFERROR(VLOOKUP($B201,'Hack Database'!$A:$J,2,FALSE),"")</x:f>
      </x:c>
      <x:c r="D201" s="3" t="str">
        <x:f>IFERROR(VLOOKUP($B201,'Hack Database'!$A:$J,3,FALSE),"")</x:f>
      </x:c>
      <x:c r="E201" s="7" t="str">
        <x:f>IFERROR(VLOOKUP($B201,'Hack Database'!$A:$J,4,FALSE),"")</x:f>
      </x:c>
      <x:c r="F201" s="3" t="str">
        <x:f>IFERROR(VLOOKUP($B201,'Hack Database'!$A:$J,5,FALSE),"")</x:f>
      </x:c>
      <x:c r="G201" s="3" t="str">
        <x:f>IFERROR(VLOOKUP($B201,'Hack Database'!$A:$J,6,FALSE),"")</x:f>
      </x:c>
      <x:c r="H201" s="6"/>
      <x:c r="I201" s="6"/>
      <x:c r="J201" s="4"/>
      <x:c r="K201" s="3" t="str">
        <x:f t="shared" si="3"/>
      </x:c>
      <x:c r="L201" s="8"/>
      <x:c r="M201" s="5"/>
      <x:c r="N201" s="9" t="str">
        <x:f>IFERROR(HYPERLINK(VLOOKUP($B201,'Hack Database'!$A:$J,9,FALSE),"Open Page"),"")</x:f>
      </x:c>
      <x:c r="O201" s="9" t="str">
        <x:f>IFERROR(HYPERLINK(VLOOKUP($B201,'Hack Database'!$A:$J,10,FALSE),"Download"),"")</x:f>
      </x:c>
      <x:c r="P201" s="152"/>
    </x:row>
    <x:row r="202" ht="11" customHeight="1">
      <x:c r="A202" s="134" t="str">
        <x:f>IF(C202="","",COUNTIF($C$2:C202,"&lt;&gt;"))</x:f>
      </x:c>
      <x:c r="B202" s="4"/>
      <x:c r="C202" s="3" t="str">
        <x:f>IFERROR(VLOOKUP($B202,'Hack Database'!$A:$J,2,FALSE),"")</x:f>
      </x:c>
      <x:c r="D202" s="3" t="str">
        <x:f>IFERROR(VLOOKUP($B202,'Hack Database'!$A:$J,3,FALSE),"")</x:f>
      </x:c>
      <x:c r="E202" s="7" t="str">
        <x:f>IFERROR(VLOOKUP($B202,'Hack Database'!$A:$J,4,FALSE),"")</x:f>
      </x:c>
      <x:c r="F202" s="3" t="str">
        <x:f>IFERROR(VLOOKUP($B202,'Hack Database'!$A:$J,5,FALSE),"")</x:f>
      </x:c>
      <x:c r="G202" s="3" t="str">
        <x:f>IFERROR(VLOOKUP($B202,'Hack Database'!$A:$J,6,FALSE),"")</x:f>
      </x:c>
      <x:c r="H202" s="6"/>
      <x:c r="I202" s="6"/>
      <x:c r="J202" s="4"/>
      <x:c r="K202" s="3" t="str">
        <x:f t="shared" si="3"/>
      </x:c>
      <x:c r="L202" s="8"/>
      <x:c r="M202" s="5"/>
      <x:c r="N202" s="9" t="str">
        <x:f>IFERROR(HYPERLINK(VLOOKUP($B202,'Hack Database'!$A:$J,9,FALSE),"Open Page"),"")</x:f>
      </x:c>
      <x:c r="O202" s="9" t="str">
        <x:f>IFERROR(HYPERLINK(VLOOKUP($B202,'Hack Database'!$A:$J,10,FALSE),"Download"),"")</x:f>
      </x:c>
      <x:c r="P202" s="152"/>
    </x:row>
    <x:row r="203" ht="11" customHeight="1">
      <x:c r="A203" s="134" t="str">
        <x:f>IF(C203="","",COUNTIF($C$2:C203,"&lt;&gt;"))</x:f>
      </x:c>
      <x:c r="B203" s="4"/>
      <x:c r="C203" s="3" t="str">
        <x:f>IFERROR(VLOOKUP($B203,'Hack Database'!$A:$J,2,FALSE),"")</x:f>
      </x:c>
      <x:c r="D203" s="3" t="str">
        <x:f>IFERROR(VLOOKUP($B203,'Hack Database'!$A:$J,3,FALSE),"")</x:f>
      </x:c>
      <x:c r="E203" s="7" t="str">
        <x:f>IFERROR(VLOOKUP($B203,'Hack Database'!$A:$J,4,FALSE),"")</x:f>
      </x:c>
      <x:c r="F203" s="3" t="str">
        <x:f>IFERROR(VLOOKUP($B203,'Hack Database'!$A:$J,5,FALSE),"")</x:f>
      </x:c>
      <x:c r="G203" s="3" t="str">
        <x:f>IFERROR(VLOOKUP($B203,'Hack Database'!$A:$J,6,FALSE),"")</x:f>
      </x:c>
      <x:c r="H203" s="6"/>
      <x:c r="I203" s="6"/>
      <x:c r="J203" s="4"/>
      <x:c r="K203" s="3" t="str">
        <x:f t="shared" si="3"/>
      </x:c>
      <x:c r="L203" s="8"/>
      <x:c r="M203" s="5"/>
      <x:c r="N203" s="9" t="str">
        <x:f>IFERROR(HYPERLINK(VLOOKUP($B203,'Hack Database'!$A:$J,9,FALSE),"Open Page"),"")</x:f>
      </x:c>
      <x:c r="O203" s="9" t="str">
        <x:f>IFERROR(HYPERLINK(VLOOKUP($B203,'Hack Database'!$A:$J,10,FALSE),"Download"),"")</x:f>
      </x:c>
      <x:c r="P203" s="152"/>
    </x:row>
    <x:row r="204" ht="11" customHeight="1">
      <x:c r="A204" s="134" t="str">
        <x:f>IF(C204="","",COUNTIF($C$2:C204,"&lt;&gt;"))</x:f>
      </x:c>
      <x:c r="B204" s="4"/>
      <x:c r="C204" s="3" t="str">
        <x:f>IFERROR(VLOOKUP($B204,'Hack Database'!$A:$J,2,FALSE),"")</x:f>
      </x:c>
      <x:c r="D204" s="3" t="str">
        <x:f>IFERROR(VLOOKUP($B204,'Hack Database'!$A:$J,3,FALSE),"")</x:f>
      </x:c>
      <x:c r="E204" s="7" t="str">
        <x:f>IFERROR(VLOOKUP($B204,'Hack Database'!$A:$J,4,FALSE),"")</x:f>
      </x:c>
      <x:c r="F204" s="3" t="str">
        <x:f>IFERROR(VLOOKUP($B204,'Hack Database'!$A:$J,5,FALSE),"")</x:f>
      </x:c>
      <x:c r="G204" s="3" t="str">
        <x:f>IFERROR(VLOOKUP($B204,'Hack Database'!$A:$J,6,FALSE),"")</x:f>
      </x:c>
      <x:c r="H204" s="6"/>
      <x:c r="I204" s="6"/>
      <x:c r="J204" s="4"/>
      <x:c r="K204" s="3" t="str">
        <x:f t="shared" si="3"/>
      </x:c>
      <x:c r="L204" s="8"/>
      <x:c r="M204" s="5"/>
      <x:c r="N204" s="9" t="str">
        <x:f>IFERROR(HYPERLINK(VLOOKUP($B204,'Hack Database'!$A:$J,9,FALSE),"Open Page"),"")</x:f>
      </x:c>
      <x:c r="O204" s="9" t="str">
        <x:f>IFERROR(HYPERLINK(VLOOKUP($B204,'Hack Database'!$A:$J,10,FALSE),"Download"),"")</x:f>
      </x:c>
      <x:c r="P204" s="152"/>
    </x:row>
    <x:row r="205" ht="11" customHeight="1">
      <x:c r="A205" s="134" t="str">
        <x:f>IF(C205="","",COUNTIF($C$2:C205,"&lt;&gt;"))</x:f>
      </x:c>
      <x:c r="B205" s="4"/>
      <x:c r="C205" s="3" t="str">
        <x:f>IFERROR(VLOOKUP($B205,'Hack Database'!$A:$J,2,FALSE),"")</x:f>
      </x:c>
      <x:c r="D205" s="3" t="str">
        <x:f>IFERROR(VLOOKUP($B205,'Hack Database'!$A:$J,3,FALSE),"")</x:f>
      </x:c>
      <x:c r="E205" s="7" t="str">
        <x:f>IFERROR(VLOOKUP($B205,'Hack Database'!$A:$J,4,FALSE),"")</x:f>
      </x:c>
      <x:c r="F205" s="3" t="str">
        <x:f>IFERROR(VLOOKUP($B205,'Hack Database'!$A:$J,5,FALSE),"")</x:f>
      </x:c>
      <x:c r="G205" s="3" t="str">
        <x:f>IFERROR(VLOOKUP($B205,'Hack Database'!$A:$J,6,FALSE),"")</x:f>
      </x:c>
      <x:c r="H205" s="6"/>
      <x:c r="I205" s="6"/>
      <x:c r="J205" s="4"/>
      <x:c r="K205" s="3" t="str">
        <x:f t="shared" si="3"/>
      </x:c>
      <x:c r="L205" s="8"/>
      <x:c r="M205" s="5"/>
      <x:c r="N205" s="9" t="str">
        <x:f>IFERROR(HYPERLINK(VLOOKUP($B205,'Hack Database'!$A:$J,9,FALSE),"Open Page"),"")</x:f>
      </x:c>
      <x:c r="O205" s="9" t="str">
        <x:f>IFERROR(HYPERLINK(VLOOKUP($B205,'Hack Database'!$A:$J,10,FALSE),"Download"),"")</x:f>
      </x:c>
      <x:c r="P205" s="152"/>
    </x:row>
    <x:row r="206" ht="11" customHeight="1">
      <x:c r="A206" s="134" t="str">
        <x:f>IF(C206="","",COUNTIF($C$2:C206,"&lt;&gt;"))</x:f>
      </x:c>
      <x:c r="B206" s="4"/>
      <x:c r="C206" s="3" t="str">
        <x:f>IFERROR(VLOOKUP($B206,'Hack Database'!$A:$J,2,FALSE),"")</x:f>
      </x:c>
      <x:c r="D206" s="3" t="str">
        <x:f>IFERROR(VLOOKUP($B206,'Hack Database'!$A:$J,3,FALSE),"")</x:f>
      </x:c>
      <x:c r="E206" s="7" t="str">
        <x:f>IFERROR(VLOOKUP($B206,'Hack Database'!$A:$J,4,FALSE),"")</x:f>
      </x:c>
      <x:c r="F206" s="3" t="str">
        <x:f>IFERROR(VLOOKUP($B206,'Hack Database'!$A:$J,5,FALSE),"")</x:f>
      </x:c>
      <x:c r="G206" s="3" t="str">
        <x:f>IFERROR(VLOOKUP($B206,'Hack Database'!$A:$J,6,FALSE),"")</x:f>
      </x:c>
      <x:c r="H206" s="6"/>
      <x:c r="I206" s="6"/>
      <x:c r="J206" s="4"/>
      <x:c r="K206" s="3" t="str">
        <x:f t="shared" si="3"/>
      </x:c>
      <x:c r="L206" s="8"/>
      <x:c r="M206" s="5"/>
      <x:c r="N206" s="9" t="str">
        <x:f>IFERROR(HYPERLINK(VLOOKUP($B206,'Hack Database'!$A:$J,9,FALSE),"Open Page"),"")</x:f>
      </x:c>
      <x:c r="O206" s="9" t="str">
        <x:f>IFERROR(HYPERLINK(VLOOKUP($B206,'Hack Database'!$A:$J,10,FALSE),"Download"),"")</x:f>
      </x:c>
      <x:c r="P206" s="152"/>
    </x:row>
    <x:row r="207" ht="11" customHeight="1">
      <x:c r="A207" s="134" t="str">
        <x:f>IF(C207="","",COUNTIF($C$2:C207,"&lt;&gt;"))</x:f>
      </x:c>
      <x:c r="B207" s="4"/>
      <x:c r="C207" s="3" t="str">
        <x:f>IFERROR(VLOOKUP($B207,'Hack Database'!$A:$J,2,FALSE),"")</x:f>
      </x:c>
      <x:c r="D207" s="3" t="str">
        <x:f>IFERROR(VLOOKUP($B207,'Hack Database'!$A:$J,3,FALSE),"")</x:f>
      </x:c>
      <x:c r="E207" s="7" t="str">
        <x:f>IFERROR(VLOOKUP($B207,'Hack Database'!$A:$J,4,FALSE),"")</x:f>
      </x:c>
      <x:c r="F207" s="3" t="str">
        <x:f>IFERROR(VLOOKUP($B207,'Hack Database'!$A:$J,5,FALSE),"")</x:f>
      </x:c>
      <x:c r="G207" s="3" t="str">
        <x:f>IFERROR(VLOOKUP($B207,'Hack Database'!$A:$J,6,FALSE),"")</x:f>
      </x:c>
      <x:c r="H207" s="6"/>
      <x:c r="I207" s="6"/>
      <x:c r="J207" s="4"/>
      <x:c r="K207" s="3" t="str">
        <x:f t="shared" si="3"/>
      </x:c>
      <x:c r="L207" s="8"/>
      <x:c r="M207" s="5"/>
      <x:c r="N207" s="9" t="str">
        <x:f>IFERROR(HYPERLINK(VLOOKUP($B207,'Hack Database'!$A:$J,9,FALSE),"Open Page"),"")</x:f>
      </x:c>
      <x:c r="O207" s="9" t="str">
        <x:f>IFERROR(HYPERLINK(VLOOKUP($B207,'Hack Database'!$A:$J,10,FALSE),"Download"),"")</x:f>
      </x:c>
      <x:c r="P207" s="152"/>
    </x:row>
    <x:row r="208" ht="11" customHeight="1">
      <x:c r="A208" s="134" t="str">
        <x:f>IF(C208="","",COUNTIF($C$2:C208,"&lt;&gt;"))</x:f>
      </x:c>
      <x:c r="B208" s="4"/>
      <x:c r="C208" s="3" t="str">
        <x:f>IFERROR(VLOOKUP($B208,'Hack Database'!$A:$J,2,FALSE),"")</x:f>
      </x:c>
      <x:c r="D208" s="3" t="str">
        <x:f>IFERROR(VLOOKUP($B208,'Hack Database'!$A:$J,3,FALSE),"")</x:f>
      </x:c>
      <x:c r="E208" s="7" t="str">
        <x:f>IFERROR(VLOOKUP($B208,'Hack Database'!$A:$J,4,FALSE),"")</x:f>
      </x:c>
      <x:c r="F208" s="3" t="str">
        <x:f>IFERROR(VLOOKUP($B208,'Hack Database'!$A:$J,5,FALSE),"")</x:f>
      </x:c>
      <x:c r="G208" s="3" t="str">
        <x:f>IFERROR(VLOOKUP($B208,'Hack Database'!$A:$J,6,FALSE),"")</x:f>
      </x:c>
      <x:c r="H208" s="6"/>
      <x:c r="I208" s="6"/>
      <x:c r="J208" s="4"/>
      <x:c r="K208" s="3" t="str">
        <x:f t="shared" si="3"/>
      </x:c>
      <x:c r="L208" s="8"/>
      <x:c r="M208" s="5"/>
      <x:c r="N208" s="9" t="str">
        <x:f>IFERROR(HYPERLINK(VLOOKUP($B208,'Hack Database'!$A:$J,9,FALSE),"Open Page"),"")</x:f>
      </x:c>
      <x:c r="O208" s="9" t="str">
        <x:f>IFERROR(HYPERLINK(VLOOKUP($B208,'Hack Database'!$A:$J,10,FALSE),"Download"),"")</x:f>
      </x:c>
      <x:c r="P208" s="152"/>
    </x:row>
    <x:row r="209" ht="11" customHeight="1">
      <x:c r="A209" s="134" t="str">
        <x:f>IF(C209="","",COUNTIF($C$2:C209,"&lt;&gt;"))</x:f>
      </x:c>
      <x:c r="B209" s="4"/>
      <x:c r="C209" s="3" t="str">
        <x:f>IFERROR(VLOOKUP($B209,'Hack Database'!$A:$J,2,FALSE),"")</x:f>
      </x:c>
      <x:c r="D209" s="3" t="str">
        <x:f>IFERROR(VLOOKUP($B209,'Hack Database'!$A:$J,3,FALSE),"")</x:f>
      </x:c>
      <x:c r="E209" s="7" t="str">
        <x:f>IFERROR(VLOOKUP($B209,'Hack Database'!$A:$J,4,FALSE),"")</x:f>
      </x:c>
      <x:c r="F209" s="3" t="str">
        <x:f>IFERROR(VLOOKUP($B209,'Hack Database'!$A:$J,5,FALSE),"")</x:f>
      </x:c>
      <x:c r="G209" s="3" t="str">
        <x:f>IFERROR(VLOOKUP($B209,'Hack Database'!$A:$J,6,FALSE),"")</x:f>
      </x:c>
      <x:c r="H209" s="6"/>
      <x:c r="I209" s="6"/>
      <x:c r="J209" s="4"/>
      <x:c r="K209" s="3" t="str">
        <x:f t="shared" si="3"/>
      </x:c>
      <x:c r="L209" s="8"/>
      <x:c r="M209" s="5"/>
      <x:c r="N209" s="9" t="str">
        <x:f>IFERROR(HYPERLINK(VLOOKUP($B209,'Hack Database'!$A:$J,9,FALSE),"Open Page"),"")</x:f>
      </x:c>
      <x:c r="O209" s="9" t="str">
        <x:f>IFERROR(HYPERLINK(VLOOKUP($B209,'Hack Database'!$A:$J,10,FALSE),"Download"),"")</x:f>
      </x:c>
      <x:c r="P209" s="152"/>
    </x:row>
    <x:row r="210" ht="11" customHeight="1">
      <x:c r="A210" s="134" t="str">
        <x:f>IF(C210="","",COUNTIF($C$2:C210,"&lt;&gt;"))</x:f>
      </x:c>
      <x:c r="B210" s="4"/>
      <x:c r="C210" s="3" t="str">
        <x:f>IFERROR(VLOOKUP($B210,'Hack Database'!$A:$J,2,FALSE),"")</x:f>
      </x:c>
      <x:c r="D210" s="3" t="str">
        <x:f>IFERROR(VLOOKUP($B210,'Hack Database'!$A:$J,3,FALSE),"")</x:f>
      </x:c>
      <x:c r="E210" s="7" t="str">
        <x:f>IFERROR(VLOOKUP($B210,'Hack Database'!$A:$J,4,FALSE),"")</x:f>
      </x:c>
      <x:c r="F210" s="3" t="str">
        <x:f>IFERROR(VLOOKUP($B210,'Hack Database'!$A:$J,5,FALSE),"")</x:f>
      </x:c>
      <x:c r="G210" s="3" t="str">
        <x:f>IFERROR(VLOOKUP($B210,'Hack Database'!$A:$J,6,FALSE),"")</x:f>
      </x:c>
      <x:c r="H210" s="6"/>
      <x:c r="I210" s="6"/>
      <x:c r="J210" s="4"/>
      <x:c r="K210" s="3" t="str">
        <x:f t="shared" si="3"/>
      </x:c>
      <x:c r="L210" s="8"/>
      <x:c r="M210" s="5"/>
      <x:c r="N210" s="9" t="str">
        <x:f>IFERROR(HYPERLINK(VLOOKUP($B210,'Hack Database'!$A:$J,9,FALSE),"Open Page"),"")</x:f>
      </x:c>
      <x:c r="O210" s="9" t="str">
        <x:f>IFERROR(HYPERLINK(VLOOKUP($B210,'Hack Database'!$A:$J,10,FALSE),"Download"),"")</x:f>
      </x:c>
      <x:c r="P210" s="152"/>
    </x:row>
    <x:row r="211" ht="11" customHeight="1">
      <x:c r="A211" s="134" t="str">
        <x:f>IF(C211="","",COUNTIF($C$2:C211,"&lt;&gt;"))</x:f>
      </x:c>
      <x:c r="B211" s="4"/>
      <x:c r="C211" s="3" t="str">
        <x:f>IFERROR(VLOOKUP($B211,'Hack Database'!$A:$J,2,FALSE),"")</x:f>
      </x:c>
      <x:c r="D211" s="3" t="str">
        <x:f>IFERROR(VLOOKUP($B211,'Hack Database'!$A:$J,3,FALSE),"")</x:f>
      </x:c>
      <x:c r="E211" s="7" t="str">
        <x:f>IFERROR(VLOOKUP($B211,'Hack Database'!$A:$J,4,FALSE),"")</x:f>
      </x:c>
      <x:c r="F211" s="3" t="str">
        <x:f>IFERROR(VLOOKUP($B211,'Hack Database'!$A:$J,5,FALSE),"")</x:f>
      </x:c>
      <x:c r="G211" s="3" t="str">
        <x:f>IFERROR(VLOOKUP($B211,'Hack Database'!$A:$J,6,FALSE),"")</x:f>
      </x:c>
      <x:c r="H211" s="6"/>
      <x:c r="I211" s="6"/>
      <x:c r="J211" s="4"/>
      <x:c r="K211" s="3" t="str">
        <x:f t="shared" si="3"/>
      </x:c>
      <x:c r="L211" s="8"/>
      <x:c r="M211" s="5"/>
      <x:c r="N211" s="9" t="str">
        <x:f>IFERROR(HYPERLINK(VLOOKUP($B211,'Hack Database'!$A:$J,9,FALSE),"Open Page"),"")</x:f>
      </x:c>
      <x:c r="O211" s="9" t="str">
        <x:f>IFERROR(HYPERLINK(VLOOKUP($B211,'Hack Database'!$A:$J,10,FALSE),"Download"),"")</x:f>
      </x:c>
      <x:c r="P211" s="152"/>
    </x:row>
    <x:row r="212" ht="11" customHeight="1">
      <x:c r="A212" s="134" t="str">
        <x:f>IF(C212="","",COUNTIF($C$2:C212,"&lt;&gt;"))</x:f>
      </x:c>
      <x:c r="B212" s="4"/>
      <x:c r="C212" s="3" t="str">
        <x:f>IFERROR(VLOOKUP($B212,'Hack Database'!$A:$J,2,FALSE),"")</x:f>
      </x:c>
      <x:c r="D212" s="3" t="str">
        <x:f>IFERROR(VLOOKUP($B212,'Hack Database'!$A:$J,3,FALSE),"")</x:f>
      </x:c>
      <x:c r="E212" s="7" t="str">
        <x:f>IFERROR(VLOOKUP($B212,'Hack Database'!$A:$J,4,FALSE),"")</x:f>
      </x:c>
      <x:c r="F212" s="3" t="str">
        <x:f>IFERROR(VLOOKUP($B212,'Hack Database'!$A:$J,5,FALSE),"")</x:f>
      </x:c>
      <x:c r="G212" s="3" t="str">
        <x:f>IFERROR(VLOOKUP($B212,'Hack Database'!$A:$J,6,FALSE),"")</x:f>
      </x:c>
      <x:c r="H212" s="6"/>
      <x:c r="I212" s="6"/>
      <x:c r="J212" s="4"/>
      <x:c r="K212" s="3" t="str">
        <x:f t="shared" si="3"/>
      </x:c>
      <x:c r="L212" s="8"/>
      <x:c r="M212" s="5"/>
      <x:c r="N212" s="9" t="str">
        <x:f>IFERROR(HYPERLINK(VLOOKUP($B212,'Hack Database'!$A:$J,9,FALSE),"Open Page"),"")</x:f>
      </x:c>
      <x:c r="O212" s="9" t="str">
        <x:f>IFERROR(HYPERLINK(VLOOKUP($B212,'Hack Database'!$A:$J,10,FALSE),"Download"),"")</x:f>
      </x:c>
      <x:c r="P212" s="152"/>
    </x:row>
    <x:row r="213" ht="11" customHeight="1">
      <x:c r="A213" s="134" t="str">
        <x:f>IF(C213="","",COUNTIF($C$2:C213,"&lt;&gt;"))</x:f>
      </x:c>
      <x:c r="B213" s="4"/>
      <x:c r="C213" s="3" t="str">
        <x:f>IFERROR(VLOOKUP($B213,'Hack Database'!$A:$J,2,FALSE),"")</x:f>
      </x:c>
      <x:c r="D213" s="3" t="str">
        <x:f>IFERROR(VLOOKUP($B213,'Hack Database'!$A:$J,3,FALSE),"")</x:f>
      </x:c>
      <x:c r="E213" s="7" t="str">
        <x:f>IFERROR(VLOOKUP($B213,'Hack Database'!$A:$J,4,FALSE),"")</x:f>
      </x:c>
      <x:c r="F213" s="3" t="str">
        <x:f>IFERROR(VLOOKUP($B213,'Hack Database'!$A:$J,5,FALSE),"")</x:f>
      </x:c>
      <x:c r="G213" s="3" t="str">
        <x:f>IFERROR(VLOOKUP($B213,'Hack Database'!$A:$J,6,FALSE),"")</x:f>
      </x:c>
      <x:c r="H213" s="6"/>
      <x:c r="I213" s="6"/>
      <x:c r="J213" s="4"/>
      <x:c r="K213" s="3" t="str">
        <x:f t="shared" si="3"/>
      </x:c>
      <x:c r="L213" s="8"/>
      <x:c r="M213" s="5"/>
      <x:c r="N213" s="9" t="str">
        <x:f>IFERROR(HYPERLINK(VLOOKUP($B213,'Hack Database'!$A:$J,9,FALSE),"Open Page"),"")</x:f>
      </x:c>
      <x:c r="O213" s="9" t="str">
        <x:f>IFERROR(HYPERLINK(VLOOKUP($B213,'Hack Database'!$A:$J,10,FALSE),"Download"),"")</x:f>
      </x:c>
      <x:c r="P213" s="152"/>
    </x:row>
    <x:row r="214" ht="11" customHeight="1">
      <x:c r="A214" s="134" t="str">
        <x:f>IF(C214="","",COUNTIF($C$2:C214,"&lt;&gt;"))</x:f>
      </x:c>
      <x:c r="B214" s="4"/>
      <x:c r="C214" s="3" t="str">
        <x:f>IFERROR(VLOOKUP($B214,'Hack Database'!$A:$J,2,FALSE),"")</x:f>
      </x:c>
      <x:c r="D214" s="3" t="str">
        <x:f>IFERROR(VLOOKUP($B214,'Hack Database'!$A:$J,3,FALSE),"")</x:f>
      </x:c>
      <x:c r="E214" s="7" t="str">
        <x:f>IFERROR(VLOOKUP($B214,'Hack Database'!$A:$J,4,FALSE),"")</x:f>
      </x:c>
      <x:c r="F214" s="3" t="str">
        <x:f>IFERROR(VLOOKUP($B214,'Hack Database'!$A:$J,5,FALSE),"")</x:f>
      </x:c>
      <x:c r="G214" s="3" t="str">
        <x:f>IFERROR(VLOOKUP($B214,'Hack Database'!$A:$J,6,FALSE),"")</x:f>
      </x:c>
      <x:c r="H214" s="6"/>
      <x:c r="I214" s="6"/>
      <x:c r="J214" s="4"/>
      <x:c r="K214" s="3" t="str">
        <x:f t="shared" si="3"/>
      </x:c>
      <x:c r="L214" s="8"/>
      <x:c r="M214" s="5"/>
      <x:c r="N214" s="9" t="str">
        <x:f>IFERROR(HYPERLINK(VLOOKUP($B214,'Hack Database'!$A:$J,9,FALSE),"Open Page"),"")</x:f>
      </x:c>
      <x:c r="O214" s="9" t="str">
        <x:f>IFERROR(HYPERLINK(VLOOKUP($B214,'Hack Database'!$A:$J,10,FALSE),"Download"),"")</x:f>
      </x:c>
      <x:c r="P214" s="152"/>
    </x:row>
    <x:row r="215" ht="11" customHeight="1">
      <x:c r="A215" s="134" t="str">
        <x:f>IF(C215="","",COUNTIF($C$2:C215,"&lt;&gt;"))</x:f>
      </x:c>
      <x:c r="B215" s="4"/>
      <x:c r="C215" s="3" t="str">
        <x:f>IFERROR(VLOOKUP($B215,'Hack Database'!$A:$J,2,FALSE),"")</x:f>
      </x:c>
      <x:c r="D215" s="3" t="str">
        <x:f>IFERROR(VLOOKUP($B215,'Hack Database'!$A:$J,3,FALSE),"")</x:f>
      </x:c>
      <x:c r="E215" s="7" t="str">
        <x:f>IFERROR(VLOOKUP($B215,'Hack Database'!$A:$J,4,FALSE),"")</x:f>
      </x:c>
      <x:c r="F215" s="3" t="str">
        <x:f>IFERROR(VLOOKUP($B215,'Hack Database'!$A:$J,5,FALSE),"")</x:f>
      </x:c>
      <x:c r="G215" s="3" t="str">
        <x:f>IFERROR(VLOOKUP($B215,'Hack Database'!$A:$J,6,FALSE),"")</x:f>
      </x:c>
      <x:c r="H215" s="6"/>
      <x:c r="I215" s="6"/>
      <x:c r="J215" s="4"/>
      <x:c r="K215" s="3" t="str">
        <x:f t="shared" si="3"/>
      </x:c>
      <x:c r="L215" s="8"/>
      <x:c r="M215" s="5"/>
      <x:c r="N215" s="9" t="str">
        <x:f>IFERROR(HYPERLINK(VLOOKUP($B215,'Hack Database'!$A:$J,9,FALSE),"Open Page"),"")</x:f>
      </x:c>
      <x:c r="O215" s="9" t="str">
        <x:f>IFERROR(HYPERLINK(VLOOKUP($B215,'Hack Database'!$A:$J,10,FALSE),"Download"),"")</x:f>
      </x:c>
      <x:c r="P215" s="152"/>
    </x:row>
    <x:row r="216" ht="11" customHeight="1">
      <x:c r="A216" s="134" t="str">
        <x:f>IF(C216="","",COUNTIF($C$2:C216,"&lt;&gt;"))</x:f>
      </x:c>
      <x:c r="B216" s="4"/>
      <x:c r="C216" s="3" t="str">
        <x:f>IFERROR(VLOOKUP($B216,'Hack Database'!$A:$J,2,FALSE),"")</x:f>
      </x:c>
      <x:c r="D216" s="3" t="str">
        <x:f>IFERROR(VLOOKUP($B216,'Hack Database'!$A:$J,3,FALSE),"")</x:f>
      </x:c>
      <x:c r="E216" s="7" t="str">
        <x:f>IFERROR(VLOOKUP($B216,'Hack Database'!$A:$J,4,FALSE),"")</x:f>
      </x:c>
      <x:c r="F216" s="3" t="str">
        <x:f>IFERROR(VLOOKUP($B216,'Hack Database'!$A:$J,5,FALSE),"")</x:f>
      </x:c>
      <x:c r="G216" s="3" t="str">
        <x:f>IFERROR(VLOOKUP($B216,'Hack Database'!$A:$J,6,FALSE),"")</x:f>
      </x:c>
      <x:c r="H216" s="6"/>
      <x:c r="I216" s="6"/>
      <x:c r="J216" s="4"/>
      <x:c r="K216" s="3" t="str">
        <x:f t="shared" si="3"/>
      </x:c>
      <x:c r="L216" s="8"/>
      <x:c r="M216" s="5"/>
      <x:c r="N216" s="9" t="str">
        <x:f>IFERROR(HYPERLINK(VLOOKUP($B216,'Hack Database'!$A:$J,9,FALSE),"Open Page"),"")</x:f>
      </x:c>
      <x:c r="O216" s="9" t="str">
        <x:f>IFERROR(HYPERLINK(VLOOKUP($B216,'Hack Database'!$A:$J,10,FALSE),"Download"),"")</x:f>
      </x:c>
      <x:c r="P216" s="152"/>
    </x:row>
    <x:row r="217" ht="11" customHeight="1">
      <x:c r="A217" s="134" t="str">
        <x:f>IF(C217="","",COUNTIF($C$2:C217,"&lt;&gt;"))</x:f>
      </x:c>
      <x:c r="B217" s="4"/>
      <x:c r="C217" s="3" t="str">
        <x:f>IFERROR(VLOOKUP($B217,'Hack Database'!$A:$J,2,FALSE),"")</x:f>
      </x:c>
      <x:c r="D217" s="3" t="str">
        <x:f>IFERROR(VLOOKUP($B217,'Hack Database'!$A:$J,3,FALSE),"")</x:f>
      </x:c>
      <x:c r="E217" s="7" t="str">
        <x:f>IFERROR(VLOOKUP($B217,'Hack Database'!$A:$J,4,FALSE),"")</x:f>
      </x:c>
      <x:c r="F217" s="3" t="str">
        <x:f>IFERROR(VLOOKUP($B217,'Hack Database'!$A:$J,5,FALSE),"")</x:f>
      </x:c>
      <x:c r="G217" s="3" t="str">
        <x:f>IFERROR(VLOOKUP($B217,'Hack Database'!$A:$J,6,FALSE),"")</x:f>
      </x:c>
      <x:c r="H217" s="6"/>
      <x:c r="I217" s="6"/>
      <x:c r="J217" s="4"/>
      <x:c r="K217" s="3" t="str">
        <x:f t="shared" si="3"/>
      </x:c>
      <x:c r="L217" s="8"/>
      <x:c r="M217" s="5"/>
      <x:c r="N217" s="9" t="str">
        <x:f>IFERROR(HYPERLINK(VLOOKUP($B217,'Hack Database'!$A:$J,9,FALSE),"Open Page"),"")</x:f>
      </x:c>
      <x:c r="O217" s="9" t="str">
        <x:f>IFERROR(HYPERLINK(VLOOKUP($B217,'Hack Database'!$A:$J,10,FALSE),"Download"),"")</x:f>
      </x:c>
      <x:c r="P217" s="152"/>
    </x:row>
    <x:row r="218" ht="11" customHeight="1">
      <x:c r="A218" s="134" t="str">
        <x:f>IF(C218="","",COUNTIF($C$2:C218,"&lt;&gt;"))</x:f>
      </x:c>
      <x:c r="B218" s="4"/>
      <x:c r="C218" s="3" t="str">
        <x:f>IFERROR(VLOOKUP($B218,'Hack Database'!$A:$J,2,FALSE),"")</x:f>
      </x:c>
      <x:c r="D218" s="3" t="str">
        <x:f>IFERROR(VLOOKUP($B218,'Hack Database'!$A:$J,3,FALSE),"")</x:f>
      </x:c>
      <x:c r="E218" s="7" t="str">
        <x:f>IFERROR(VLOOKUP($B218,'Hack Database'!$A:$J,4,FALSE),"")</x:f>
      </x:c>
      <x:c r="F218" s="3" t="str">
        <x:f>IFERROR(VLOOKUP($B218,'Hack Database'!$A:$J,5,FALSE),"")</x:f>
      </x:c>
      <x:c r="G218" s="3" t="str">
        <x:f>IFERROR(VLOOKUP($B218,'Hack Database'!$A:$J,6,FALSE),"")</x:f>
      </x:c>
      <x:c r="H218" s="6"/>
      <x:c r="I218" s="6"/>
      <x:c r="J218" s="4"/>
      <x:c r="K218" s="3" t="str">
        <x:f t="shared" si="3"/>
      </x:c>
      <x:c r="L218" s="8"/>
      <x:c r="M218" s="5"/>
      <x:c r="N218" s="9" t="str">
        <x:f>IFERROR(HYPERLINK(VLOOKUP($B218,'Hack Database'!$A:$J,9,FALSE),"Open Page"),"")</x:f>
      </x:c>
      <x:c r="O218" s="9" t="str">
        <x:f>IFERROR(HYPERLINK(VLOOKUP($B218,'Hack Database'!$A:$J,10,FALSE),"Download"),"")</x:f>
      </x:c>
      <x:c r="P218" s="152"/>
    </x:row>
    <x:row r="219" ht="11" customHeight="1">
      <x:c r="A219" s="134" t="str">
        <x:f>IF(C219="","",COUNTIF($C$2:C219,"&lt;&gt;"))</x:f>
      </x:c>
      <x:c r="B219" s="4"/>
      <x:c r="C219" s="3" t="str">
        <x:f>IFERROR(VLOOKUP($B219,'Hack Database'!$A:$J,2,FALSE),"")</x:f>
      </x:c>
      <x:c r="D219" s="3" t="str">
        <x:f>IFERROR(VLOOKUP($B219,'Hack Database'!$A:$J,3,FALSE),"")</x:f>
      </x:c>
      <x:c r="E219" s="7" t="str">
        <x:f>IFERROR(VLOOKUP($B219,'Hack Database'!$A:$J,4,FALSE),"")</x:f>
      </x:c>
      <x:c r="F219" s="3" t="str">
        <x:f>IFERROR(VLOOKUP($B219,'Hack Database'!$A:$J,5,FALSE),"")</x:f>
      </x:c>
      <x:c r="G219" s="3" t="str">
        <x:f>IFERROR(VLOOKUP($B219,'Hack Database'!$A:$J,6,FALSE),"")</x:f>
      </x:c>
      <x:c r="H219" s="6"/>
      <x:c r="I219" s="6"/>
      <x:c r="J219" s="4"/>
      <x:c r="K219" s="3" t="str">
        <x:f t="shared" si="3"/>
      </x:c>
      <x:c r="L219" s="8"/>
      <x:c r="M219" s="5"/>
      <x:c r="N219" s="9" t="str">
        <x:f>IFERROR(HYPERLINK(VLOOKUP($B219,'Hack Database'!$A:$J,9,FALSE),"Open Page"),"")</x:f>
      </x:c>
      <x:c r="O219" s="9" t="str">
        <x:f>IFERROR(HYPERLINK(VLOOKUP($B219,'Hack Database'!$A:$J,10,FALSE),"Download"),"")</x:f>
      </x:c>
      <x:c r="P219" s="152"/>
    </x:row>
    <x:row r="220" ht="11" customHeight="1">
      <x:c r="A220" s="134" t="str">
        <x:f>IF(C220="","",COUNTIF($C$2:C220,"&lt;&gt;"))</x:f>
      </x:c>
      <x:c r="B220" s="4"/>
      <x:c r="C220" s="3" t="str">
        <x:f>IFERROR(VLOOKUP($B220,'Hack Database'!$A:$J,2,FALSE),"")</x:f>
      </x:c>
      <x:c r="D220" s="3" t="str">
        <x:f>IFERROR(VLOOKUP($B220,'Hack Database'!$A:$J,3,FALSE),"")</x:f>
      </x:c>
      <x:c r="E220" s="7" t="str">
        <x:f>IFERROR(VLOOKUP($B220,'Hack Database'!$A:$J,4,FALSE),"")</x:f>
      </x:c>
      <x:c r="F220" s="3" t="str">
        <x:f>IFERROR(VLOOKUP($B220,'Hack Database'!$A:$J,5,FALSE),"")</x:f>
      </x:c>
      <x:c r="G220" s="3" t="str">
        <x:f>IFERROR(VLOOKUP($B220,'Hack Database'!$A:$J,6,FALSE),"")</x:f>
      </x:c>
      <x:c r="H220" s="6"/>
      <x:c r="I220" s="6"/>
      <x:c r="J220" s="4"/>
      <x:c r="K220" s="3" t="str">
        <x:f t="shared" si="3"/>
      </x:c>
      <x:c r="L220" s="8"/>
      <x:c r="M220" s="5"/>
      <x:c r="N220" s="9" t="str">
        <x:f>IFERROR(HYPERLINK(VLOOKUP($B220,'Hack Database'!$A:$J,9,FALSE),"Open Page"),"")</x:f>
      </x:c>
      <x:c r="O220" s="9" t="str">
        <x:f>IFERROR(HYPERLINK(VLOOKUP($B220,'Hack Database'!$A:$J,10,FALSE),"Download"),"")</x:f>
      </x:c>
      <x:c r="P220" s="152"/>
    </x:row>
    <x:row r="221" ht="11" customHeight="1">
      <x:c r="A221" s="134" t="str">
        <x:f>IF(C221="","",COUNTIF($C$2:C221,"&lt;&gt;"))</x:f>
      </x:c>
      <x:c r="B221" s="4"/>
      <x:c r="C221" s="3" t="str">
        <x:f>IFERROR(VLOOKUP($B221,'Hack Database'!$A:$J,2,FALSE),"")</x:f>
      </x:c>
      <x:c r="D221" s="3" t="str">
        <x:f>IFERROR(VLOOKUP($B221,'Hack Database'!$A:$J,3,FALSE),"")</x:f>
      </x:c>
      <x:c r="E221" s="7" t="str">
        <x:f>IFERROR(VLOOKUP($B221,'Hack Database'!$A:$J,4,FALSE),"")</x:f>
      </x:c>
      <x:c r="F221" s="3" t="str">
        <x:f>IFERROR(VLOOKUP($B221,'Hack Database'!$A:$J,5,FALSE),"")</x:f>
      </x:c>
      <x:c r="G221" s="3" t="str">
        <x:f>IFERROR(VLOOKUP($B221,'Hack Database'!$A:$J,6,FALSE),"")</x:f>
      </x:c>
      <x:c r="H221" s="6"/>
      <x:c r="I221" s="6"/>
      <x:c r="J221" s="4"/>
      <x:c r="K221" s="3" t="str">
        <x:f t="shared" si="3"/>
      </x:c>
      <x:c r="L221" s="8"/>
      <x:c r="M221" s="5"/>
      <x:c r="N221" s="9" t="str">
        <x:f>IFERROR(HYPERLINK(VLOOKUP($B221,'Hack Database'!$A:$J,9,FALSE),"Open Page"),"")</x:f>
      </x:c>
      <x:c r="O221" s="9" t="str">
        <x:f>IFERROR(HYPERLINK(VLOOKUP($B221,'Hack Database'!$A:$J,10,FALSE),"Download"),"")</x:f>
      </x:c>
      <x:c r="P221" s="152"/>
    </x:row>
    <x:row r="222" ht="11" customHeight="1">
      <x:c r="A222" s="134" t="str">
        <x:f>IF(C222="","",COUNTIF($C$2:C222,"&lt;&gt;"))</x:f>
      </x:c>
      <x:c r="B222" s="4"/>
      <x:c r="C222" s="3" t="str">
        <x:f>IFERROR(VLOOKUP($B222,'Hack Database'!$A:$J,2,FALSE),"")</x:f>
      </x:c>
      <x:c r="D222" s="3" t="str">
        <x:f>IFERROR(VLOOKUP($B222,'Hack Database'!$A:$J,3,FALSE),"")</x:f>
      </x:c>
      <x:c r="E222" s="7" t="str">
        <x:f>IFERROR(VLOOKUP($B222,'Hack Database'!$A:$J,4,FALSE),"")</x:f>
      </x:c>
      <x:c r="F222" s="3" t="str">
        <x:f>IFERROR(VLOOKUP($B222,'Hack Database'!$A:$J,5,FALSE),"")</x:f>
      </x:c>
      <x:c r="G222" s="3" t="str">
        <x:f>IFERROR(VLOOKUP($B222,'Hack Database'!$A:$J,6,FALSE),"")</x:f>
      </x:c>
      <x:c r="H222" s="6"/>
      <x:c r="I222" s="6"/>
      <x:c r="J222" s="4"/>
      <x:c r="K222" s="3" t="str">
        <x:f t="shared" si="3"/>
      </x:c>
      <x:c r="L222" s="8"/>
      <x:c r="M222" s="5"/>
      <x:c r="N222" s="9" t="str">
        <x:f>IFERROR(HYPERLINK(VLOOKUP($B222,'Hack Database'!$A:$J,9,FALSE),"Open Page"),"")</x:f>
      </x:c>
      <x:c r="O222" s="9" t="str">
        <x:f>IFERROR(HYPERLINK(VLOOKUP($B222,'Hack Database'!$A:$J,10,FALSE),"Download"),"")</x:f>
      </x:c>
      <x:c r="P222" s="152"/>
    </x:row>
    <x:row r="223" ht="11" customHeight="1">
      <x:c r="A223" s="134" t="str">
        <x:f>IF(C223="","",COUNTIF($C$2:C223,"&lt;&gt;"))</x:f>
      </x:c>
      <x:c r="B223" s="4"/>
      <x:c r="C223" s="3" t="str">
        <x:f>IFERROR(VLOOKUP($B223,'Hack Database'!$A:$J,2,FALSE),"")</x:f>
      </x:c>
      <x:c r="D223" s="3" t="str">
        <x:f>IFERROR(VLOOKUP($B223,'Hack Database'!$A:$J,3,FALSE),"")</x:f>
      </x:c>
      <x:c r="E223" s="7" t="str">
        <x:f>IFERROR(VLOOKUP($B223,'Hack Database'!$A:$J,4,FALSE),"")</x:f>
      </x:c>
      <x:c r="F223" s="3" t="str">
        <x:f>IFERROR(VLOOKUP($B223,'Hack Database'!$A:$J,5,FALSE),"")</x:f>
      </x:c>
      <x:c r="G223" s="3" t="str">
        <x:f>IFERROR(VLOOKUP($B223,'Hack Database'!$A:$J,6,FALSE),"")</x:f>
      </x:c>
      <x:c r="H223" s="6"/>
      <x:c r="I223" s="6"/>
      <x:c r="J223" s="4"/>
      <x:c r="K223" s="3" t="str">
        <x:f t="shared" si="3"/>
      </x:c>
      <x:c r="L223" s="8"/>
      <x:c r="M223" s="5"/>
      <x:c r="N223" s="9" t="str">
        <x:f>IFERROR(HYPERLINK(VLOOKUP($B223,'Hack Database'!$A:$J,9,FALSE),"Open Page"),"")</x:f>
      </x:c>
      <x:c r="O223" s="9" t="str">
        <x:f>IFERROR(HYPERLINK(VLOOKUP($B223,'Hack Database'!$A:$J,10,FALSE),"Download"),"")</x:f>
      </x:c>
      <x:c r="P223" s="152"/>
    </x:row>
    <x:row r="224" ht="11" customHeight="1">
      <x:c r="A224" s="134" t="str">
        <x:f>IF(C224="","",COUNTIF($C$2:C224,"&lt;&gt;"))</x:f>
      </x:c>
      <x:c r="B224" s="4"/>
      <x:c r="C224" s="3" t="str">
        <x:f>IFERROR(VLOOKUP($B224,'Hack Database'!$A:$J,2,FALSE),"")</x:f>
      </x:c>
      <x:c r="D224" s="3" t="str">
        <x:f>IFERROR(VLOOKUP($B224,'Hack Database'!$A:$J,3,FALSE),"")</x:f>
      </x:c>
      <x:c r="E224" s="7" t="str">
        <x:f>IFERROR(VLOOKUP($B224,'Hack Database'!$A:$J,4,FALSE),"")</x:f>
      </x:c>
      <x:c r="F224" s="3" t="str">
        <x:f>IFERROR(VLOOKUP($B224,'Hack Database'!$A:$J,5,FALSE),"")</x:f>
      </x:c>
      <x:c r="G224" s="3" t="str">
        <x:f>IFERROR(VLOOKUP($B224,'Hack Database'!$A:$J,6,FALSE),"")</x:f>
      </x:c>
      <x:c r="H224" s="6"/>
      <x:c r="I224" s="6"/>
      <x:c r="J224" s="4"/>
      <x:c r="K224" s="3" t="str">
        <x:f t="shared" si="3"/>
      </x:c>
      <x:c r="L224" s="8"/>
      <x:c r="M224" s="5"/>
      <x:c r="N224" s="9" t="str">
        <x:f>IFERROR(HYPERLINK(VLOOKUP($B224,'Hack Database'!$A:$J,9,FALSE),"Open Page"),"")</x:f>
      </x:c>
      <x:c r="O224" s="9" t="str">
        <x:f>IFERROR(HYPERLINK(VLOOKUP($B224,'Hack Database'!$A:$J,10,FALSE),"Download"),"")</x:f>
      </x:c>
      <x:c r="P224" s="152"/>
    </x:row>
    <x:row r="225" ht="11" customHeight="1">
      <x:c r="A225" s="134" t="str">
        <x:f>IF(C225="","",COUNTIF($C$2:C225,"&lt;&gt;"))</x:f>
      </x:c>
      <x:c r="B225" s="4"/>
      <x:c r="C225" s="3" t="str">
        <x:f>IFERROR(VLOOKUP($B225,'Hack Database'!$A:$J,2,FALSE),"")</x:f>
      </x:c>
      <x:c r="D225" s="3" t="str">
        <x:f>IFERROR(VLOOKUP($B225,'Hack Database'!$A:$J,3,FALSE),"")</x:f>
      </x:c>
      <x:c r="E225" s="7" t="str">
        <x:f>IFERROR(VLOOKUP($B225,'Hack Database'!$A:$J,4,FALSE),"")</x:f>
      </x:c>
      <x:c r="F225" s="3" t="str">
        <x:f>IFERROR(VLOOKUP($B225,'Hack Database'!$A:$J,5,FALSE),"")</x:f>
      </x:c>
      <x:c r="G225" s="3" t="str">
        <x:f>IFERROR(VLOOKUP($B225,'Hack Database'!$A:$J,6,FALSE),"")</x:f>
      </x:c>
      <x:c r="H225" s="6"/>
      <x:c r="I225" s="6"/>
      <x:c r="J225" s="4"/>
      <x:c r="K225" s="3" t="str">
        <x:f t="shared" si="3"/>
      </x:c>
      <x:c r="L225" s="8"/>
      <x:c r="M225" s="5"/>
      <x:c r="N225" s="9" t="str">
        <x:f>IFERROR(HYPERLINK(VLOOKUP($B225,'Hack Database'!$A:$J,9,FALSE),"Open Page"),"")</x:f>
      </x:c>
      <x:c r="O225" s="9" t="str">
        <x:f>IFERROR(HYPERLINK(VLOOKUP($B225,'Hack Database'!$A:$J,10,FALSE),"Download"),"")</x:f>
      </x:c>
      <x:c r="P225" s="152"/>
    </x:row>
    <x:row r="226" ht="11" customHeight="1">
      <x:c r="A226" s="134" t="str">
        <x:f>IF(C226="","",COUNTIF($C$2:C226,"&lt;&gt;"))</x:f>
      </x:c>
      <x:c r="B226" s="4"/>
      <x:c r="C226" s="3" t="str">
        <x:f>IFERROR(VLOOKUP($B226,'Hack Database'!$A:$J,2,FALSE),"")</x:f>
      </x:c>
      <x:c r="D226" s="3" t="str">
        <x:f>IFERROR(VLOOKUP($B226,'Hack Database'!$A:$J,3,FALSE),"")</x:f>
      </x:c>
      <x:c r="E226" s="7" t="str">
        <x:f>IFERROR(VLOOKUP($B226,'Hack Database'!$A:$J,4,FALSE),"")</x:f>
      </x:c>
      <x:c r="F226" s="3" t="str">
        <x:f>IFERROR(VLOOKUP($B226,'Hack Database'!$A:$J,5,FALSE),"")</x:f>
      </x:c>
      <x:c r="G226" s="3" t="str">
        <x:f>IFERROR(VLOOKUP($B226,'Hack Database'!$A:$J,6,FALSE),"")</x:f>
      </x:c>
      <x:c r="H226" s="6"/>
      <x:c r="I226" s="6"/>
      <x:c r="J226" s="4"/>
      <x:c r="K226" s="3" t="str">
        <x:f t="shared" si="3"/>
      </x:c>
      <x:c r="L226" s="8"/>
      <x:c r="M226" s="5"/>
      <x:c r="N226" s="9" t="str">
        <x:f>IFERROR(HYPERLINK(VLOOKUP($B226,'Hack Database'!$A:$J,9,FALSE),"Open Page"),"")</x:f>
      </x:c>
      <x:c r="O226" s="9" t="str">
        <x:f>IFERROR(HYPERLINK(VLOOKUP($B226,'Hack Database'!$A:$J,10,FALSE),"Download"),"")</x:f>
      </x:c>
      <x:c r="P226" s="152"/>
    </x:row>
    <x:row r="227" ht="11" customHeight="1">
      <x:c r="A227" s="134" t="str">
        <x:f>IF(C227="","",COUNTIF($C$2:C227,"&lt;&gt;"))</x:f>
      </x:c>
      <x:c r="B227" s="4"/>
      <x:c r="C227" s="3" t="str">
        <x:f>IFERROR(VLOOKUP($B227,'Hack Database'!$A:$J,2,FALSE),"")</x:f>
      </x:c>
      <x:c r="D227" s="3" t="str">
        <x:f>IFERROR(VLOOKUP($B227,'Hack Database'!$A:$J,3,FALSE),"")</x:f>
      </x:c>
      <x:c r="E227" s="7" t="str">
        <x:f>IFERROR(VLOOKUP($B227,'Hack Database'!$A:$J,4,FALSE),"")</x:f>
      </x:c>
      <x:c r="F227" s="3" t="str">
        <x:f>IFERROR(VLOOKUP($B227,'Hack Database'!$A:$J,5,FALSE),"")</x:f>
      </x:c>
      <x:c r="G227" s="3" t="str">
        <x:f>IFERROR(VLOOKUP($B227,'Hack Database'!$A:$J,6,FALSE),"")</x:f>
      </x:c>
      <x:c r="H227" s="6"/>
      <x:c r="I227" s="6"/>
      <x:c r="J227" s="4"/>
      <x:c r="K227" s="3" t="str">
        <x:f t="shared" si="3"/>
      </x:c>
      <x:c r="L227" s="8"/>
      <x:c r="M227" s="5"/>
      <x:c r="N227" s="9" t="str">
        <x:f>IFERROR(HYPERLINK(VLOOKUP($B227,'Hack Database'!$A:$J,9,FALSE),"Open Page"),"")</x:f>
      </x:c>
      <x:c r="O227" s="9" t="str">
        <x:f>IFERROR(HYPERLINK(VLOOKUP($B227,'Hack Database'!$A:$J,10,FALSE),"Download"),"")</x:f>
      </x:c>
      <x:c r="P227" s="152"/>
    </x:row>
    <x:row r="228" ht="11" customHeight="1">
      <x:c r="A228" s="134" t="str">
        <x:f>IF(C228="","",COUNTIF($C$2:C228,"&lt;&gt;"))</x:f>
      </x:c>
      <x:c r="B228" s="4"/>
      <x:c r="C228" s="3" t="str">
        <x:f>IFERROR(VLOOKUP($B228,'Hack Database'!$A:$J,2,FALSE),"")</x:f>
      </x:c>
      <x:c r="D228" s="3" t="str">
        <x:f>IFERROR(VLOOKUP($B228,'Hack Database'!$A:$J,3,FALSE),"")</x:f>
      </x:c>
      <x:c r="E228" s="7" t="str">
        <x:f>IFERROR(VLOOKUP($B228,'Hack Database'!$A:$J,4,FALSE),"")</x:f>
      </x:c>
      <x:c r="F228" s="3" t="str">
        <x:f>IFERROR(VLOOKUP($B228,'Hack Database'!$A:$J,5,FALSE),"")</x:f>
      </x:c>
      <x:c r="G228" s="3" t="str">
        <x:f>IFERROR(VLOOKUP($B228,'Hack Database'!$A:$J,6,FALSE),"")</x:f>
      </x:c>
      <x:c r="H228" s="6"/>
      <x:c r="I228" s="6"/>
      <x:c r="J228" s="4"/>
      <x:c r="K228" s="3" t="str">
        <x:f t="shared" si="3"/>
      </x:c>
      <x:c r="L228" s="8"/>
      <x:c r="M228" s="5"/>
      <x:c r="N228" s="9" t="str">
        <x:f>IFERROR(HYPERLINK(VLOOKUP($B228,'Hack Database'!$A:$J,9,FALSE),"Open Page"),"")</x:f>
      </x:c>
      <x:c r="O228" s="9" t="str">
        <x:f>IFERROR(HYPERLINK(VLOOKUP($B228,'Hack Database'!$A:$J,10,FALSE),"Download"),"")</x:f>
      </x:c>
      <x:c r="P228" s="152"/>
    </x:row>
    <x:row r="229" ht="11" customHeight="1">
      <x:c r="A229" s="134" t="str">
        <x:f>IF(C229="","",COUNTIF($C$2:C229,"&lt;&gt;"))</x:f>
      </x:c>
      <x:c r="B229" s="4"/>
      <x:c r="C229" s="3" t="str">
        <x:f>IFERROR(VLOOKUP($B229,'Hack Database'!$A:$J,2,FALSE),"")</x:f>
      </x:c>
      <x:c r="D229" s="3" t="str">
        <x:f>IFERROR(VLOOKUP($B229,'Hack Database'!$A:$J,3,FALSE),"")</x:f>
      </x:c>
      <x:c r="E229" s="7" t="str">
        <x:f>IFERROR(VLOOKUP($B229,'Hack Database'!$A:$J,4,FALSE),"")</x:f>
      </x:c>
      <x:c r="F229" s="3" t="str">
        <x:f>IFERROR(VLOOKUP($B229,'Hack Database'!$A:$J,5,FALSE),"")</x:f>
      </x:c>
      <x:c r="G229" s="3" t="str">
        <x:f>IFERROR(VLOOKUP($B229,'Hack Database'!$A:$J,6,FALSE),"")</x:f>
      </x:c>
      <x:c r="H229" s="6"/>
      <x:c r="I229" s="6"/>
      <x:c r="J229" s="4"/>
      <x:c r="K229" s="3" t="str">
        <x:f t="shared" si="3"/>
      </x:c>
      <x:c r="L229" s="8"/>
      <x:c r="M229" s="5"/>
      <x:c r="N229" s="9" t="str">
        <x:f>IFERROR(HYPERLINK(VLOOKUP($B229,'Hack Database'!$A:$J,9,FALSE),"Open Page"),"")</x:f>
      </x:c>
      <x:c r="O229" s="9" t="str">
        <x:f>IFERROR(HYPERLINK(VLOOKUP($B229,'Hack Database'!$A:$J,10,FALSE),"Download"),"")</x:f>
      </x:c>
      <x:c r="P229" s="152"/>
    </x:row>
    <x:row r="230" ht="11" customHeight="1">
      <x:c r="A230" s="134" t="str">
        <x:f>IF(C230="","",COUNTIF($C$2:C230,"&lt;&gt;"))</x:f>
      </x:c>
      <x:c r="B230" s="4"/>
      <x:c r="C230" s="3" t="str">
        <x:f>IFERROR(VLOOKUP($B230,'Hack Database'!$A:$J,2,FALSE),"")</x:f>
      </x:c>
      <x:c r="D230" s="3" t="str">
        <x:f>IFERROR(VLOOKUP($B230,'Hack Database'!$A:$J,3,FALSE),"")</x:f>
      </x:c>
      <x:c r="E230" s="7" t="str">
        <x:f>IFERROR(VLOOKUP($B230,'Hack Database'!$A:$J,4,FALSE),"")</x:f>
      </x:c>
      <x:c r="F230" s="3" t="str">
        <x:f>IFERROR(VLOOKUP($B230,'Hack Database'!$A:$J,5,FALSE),"")</x:f>
      </x:c>
      <x:c r="G230" s="3" t="str">
        <x:f>IFERROR(VLOOKUP($B230,'Hack Database'!$A:$J,6,FALSE),"")</x:f>
      </x:c>
      <x:c r="H230" s="6"/>
      <x:c r="I230" s="6"/>
      <x:c r="J230" s="4"/>
      <x:c r="K230" s="3" t="str">
        <x:f t="shared" si="3"/>
      </x:c>
      <x:c r="L230" s="8"/>
      <x:c r="M230" s="5"/>
      <x:c r="N230" s="9" t="str">
        <x:f>IFERROR(HYPERLINK(VLOOKUP($B230,'Hack Database'!$A:$J,9,FALSE),"Open Page"),"")</x:f>
      </x:c>
      <x:c r="O230" s="9" t="str">
        <x:f>IFERROR(HYPERLINK(VLOOKUP($B230,'Hack Database'!$A:$J,10,FALSE),"Download"),"")</x:f>
      </x:c>
      <x:c r="P230" s="152"/>
    </x:row>
    <x:row r="231" ht="11" customHeight="1">
      <x:c r="A231" s="134" t="str">
        <x:f>IF(C231="","",COUNTIF($C$2:C231,"&lt;&gt;"))</x:f>
      </x:c>
      <x:c r="B231" s="4"/>
      <x:c r="C231" s="3" t="str">
        <x:f>IFERROR(VLOOKUP($B231,'Hack Database'!$A:$J,2,FALSE),"")</x:f>
      </x:c>
      <x:c r="D231" s="3" t="str">
        <x:f>IFERROR(VLOOKUP($B231,'Hack Database'!$A:$J,3,FALSE),"")</x:f>
      </x:c>
      <x:c r="E231" s="7" t="str">
        <x:f>IFERROR(VLOOKUP($B231,'Hack Database'!$A:$J,4,FALSE),"")</x:f>
      </x:c>
      <x:c r="F231" s="3" t="str">
        <x:f>IFERROR(VLOOKUP($B231,'Hack Database'!$A:$J,5,FALSE),"")</x:f>
      </x:c>
      <x:c r="G231" s="3" t="str">
        <x:f>IFERROR(VLOOKUP($B231,'Hack Database'!$A:$J,6,FALSE),"")</x:f>
      </x:c>
      <x:c r="H231" s="6"/>
      <x:c r="I231" s="6"/>
      <x:c r="J231" s="4"/>
      <x:c r="K231" s="3" t="str">
        <x:f t="shared" si="3"/>
      </x:c>
      <x:c r="L231" s="8"/>
      <x:c r="M231" s="5"/>
      <x:c r="N231" s="9" t="str">
        <x:f>IFERROR(HYPERLINK(VLOOKUP($B231,'Hack Database'!$A:$J,9,FALSE),"Open Page"),"")</x:f>
      </x:c>
      <x:c r="O231" s="9" t="str">
        <x:f>IFERROR(HYPERLINK(VLOOKUP($B231,'Hack Database'!$A:$J,10,FALSE),"Download"),"")</x:f>
      </x:c>
      <x:c r="P231" s="152"/>
    </x:row>
    <x:row r="232" ht="11" customHeight="1">
      <x:c r="A232" s="134" t="str">
        <x:f>IF(C232="","",COUNTIF($C$2:C232,"&lt;&gt;"))</x:f>
      </x:c>
      <x:c r="B232" s="4"/>
      <x:c r="C232" s="3" t="str">
        <x:f>IFERROR(VLOOKUP($B232,'Hack Database'!$A:$J,2,FALSE),"")</x:f>
      </x:c>
      <x:c r="D232" s="3" t="str">
        <x:f>IFERROR(VLOOKUP($B232,'Hack Database'!$A:$J,3,FALSE),"")</x:f>
      </x:c>
      <x:c r="E232" s="7" t="str">
        <x:f>IFERROR(VLOOKUP($B232,'Hack Database'!$A:$J,4,FALSE),"")</x:f>
      </x:c>
      <x:c r="F232" s="3" t="str">
        <x:f>IFERROR(VLOOKUP($B232,'Hack Database'!$A:$J,5,FALSE),"")</x:f>
      </x:c>
      <x:c r="G232" s="3" t="str">
        <x:f>IFERROR(VLOOKUP($B232,'Hack Database'!$A:$J,6,FALSE),"")</x:f>
      </x:c>
      <x:c r="H232" s="6"/>
      <x:c r="I232" s="6"/>
      <x:c r="J232" s="4"/>
      <x:c r="K232" s="3" t="str">
        <x:f t="shared" si="3"/>
      </x:c>
      <x:c r="L232" s="8"/>
      <x:c r="M232" s="5"/>
      <x:c r="N232" s="9" t="str">
        <x:f>IFERROR(HYPERLINK(VLOOKUP($B232,'Hack Database'!$A:$J,9,FALSE),"Open Page"),"")</x:f>
      </x:c>
      <x:c r="O232" s="9" t="str">
        <x:f>IFERROR(HYPERLINK(VLOOKUP($B232,'Hack Database'!$A:$J,10,FALSE),"Download"),"")</x:f>
      </x:c>
      <x:c r="P232" s="152"/>
    </x:row>
    <x:row r="233" ht="11" customHeight="1">
      <x:c r="A233" s="134" t="str">
        <x:f>IF(C233="","",COUNTIF($C$2:C233,"&lt;&gt;"))</x:f>
      </x:c>
      <x:c r="B233" s="4"/>
      <x:c r="C233" s="3" t="str">
        <x:f>IFERROR(VLOOKUP($B233,'Hack Database'!$A:$J,2,FALSE),"")</x:f>
      </x:c>
      <x:c r="D233" s="3" t="str">
        <x:f>IFERROR(VLOOKUP($B233,'Hack Database'!$A:$J,3,FALSE),"")</x:f>
      </x:c>
      <x:c r="E233" s="7" t="str">
        <x:f>IFERROR(VLOOKUP($B233,'Hack Database'!$A:$J,4,FALSE),"")</x:f>
      </x:c>
      <x:c r="F233" s="3" t="str">
        <x:f>IFERROR(VLOOKUP($B233,'Hack Database'!$A:$J,5,FALSE),"")</x:f>
      </x:c>
      <x:c r="G233" s="3" t="str">
        <x:f>IFERROR(VLOOKUP($B233,'Hack Database'!$A:$J,6,FALSE),"")</x:f>
      </x:c>
      <x:c r="H233" s="6"/>
      <x:c r="I233" s="6"/>
      <x:c r="J233" s="4"/>
      <x:c r="K233" s="3" t="str">
        <x:f t="shared" si="3"/>
      </x:c>
      <x:c r="L233" s="8"/>
      <x:c r="M233" s="5"/>
      <x:c r="N233" s="9" t="str">
        <x:f>IFERROR(HYPERLINK(VLOOKUP($B233,'Hack Database'!$A:$J,9,FALSE),"Open Page"),"")</x:f>
      </x:c>
      <x:c r="O233" s="9" t="str">
        <x:f>IFERROR(HYPERLINK(VLOOKUP($B233,'Hack Database'!$A:$J,10,FALSE),"Download"),"")</x:f>
      </x:c>
      <x:c r="P233" s="152"/>
    </x:row>
    <x:row r="234" ht="11" customHeight="1">
      <x:c r="A234" s="134" t="str">
        <x:f>IF(C234="","",COUNTIF($C$2:C234,"&lt;&gt;"))</x:f>
      </x:c>
      <x:c r="B234" s="4"/>
      <x:c r="C234" s="3" t="str">
        <x:f>IFERROR(VLOOKUP($B234,'Hack Database'!$A:$J,2,FALSE),"")</x:f>
      </x:c>
      <x:c r="D234" s="3" t="str">
        <x:f>IFERROR(VLOOKUP($B234,'Hack Database'!$A:$J,3,FALSE),"")</x:f>
      </x:c>
      <x:c r="E234" s="7" t="str">
        <x:f>IFERROR(VLOOKUP($B234,'Hack Database'!$A:$J,4,FALSE),"")</x:f>
      </x:c>
      <x:c r="F234" s="3" t="str">
        <x:f>IFERROR(VLOOKUP($B234,'Hack Database'!$A:$J,5,FALSE),"")</x:f>
      </x:c>
      <x:c r="G234" s="3" t="str">
        <x:f>IFERROR(VLOOKUP($B234,'Hack Database'!$A:$J,6,FALSE),"")</x:f>
      </x:c>
      <x:c r="H234" s="6"/>
      <x:c r="I234" s="6"/>
      <x:c r="J234" s="4"/>
      <x:c r="K234" s="3" t="str">
        <x:f t="shared" si="3"/>
      </x:c>
      <x:c r="L234" s="8"/>
      <x:c r="M234" s="5"/>
      <x:c r="N234" s="9" t="str">
        <x:f>IFERROR(HYPERLINK(VLOOKUP($B234,'Hack Database'!$A:$J,9,FALSE),"Open Page"),"")</x:f>
      </x:c>
      <x:c r="O234" s="9" t="str">
        <x:f>IFERROR(HYPERLINK(VLOOKUP($B234,'Hack Database'!$A:$J,10,FALSE),"Download"),"")</x:f>
      </x:c>
      <x:c r="P234" s="152"/>
    </x:row>
    <x:row r="235" ht="11" customHeight="1">
      <x:c r="A235" s="134" t="str">
        <x:f>IF(C235="","",COUNTIF($C$2:C235,"&lt;&gt;"))</x:f>
      </x:c>
      <x:c r="B235" s="4"/>
      <x:c r="C235" s="3" t="str">
        <x:f>IFERROR(VLOOKUP($B235,'Hack Database'!$A:$J,2,FALSE),"")</x:f>
      </x:c>
      <x:c r="D235" s="3" t="str">
        <x:f>IFERROR(VLOOKUP($B235,'Hack Database'!$A:$J,3,FALSE),"")</x:f>
      </x:c>
      <x:c r="E235" s="7" t="str">
        <x:f>IFERROR(VLOOKUP($B235,'Hack Database'!$A:$J,4,FALSE),"")</x:f>
      </x:c>
      <x:c r="F235" s="3" t="str">
        <x:f>IFERROR(VLOOKUP($B235,'Hack Database'!$A:$J,5,FALSE),"")</x:f>
      </x:c>
      <x:c r="G235" s="3" t="str">
        <x:f>IFERROR(VLOOKUP($B235,'Hack Database'!$A:$J,6,FALSE),"")</x:f>
      </x:c>
      <x:c r="H235" s="6"/>
      <x:c r="I235" s="6"/>
      <x:c r="J235" s="4"/>
      <x:c r="K235" s="3" t="str">
        <x:f t="shared" si="3"/>
      </x:c>
      <x:c r="L235" s="8"/>
      <x:c r="M235" s="5"/>
      <x:c r="N235" s="9" t="str">
        <x:f>IFERROR(HYPERLINK(VLOOKUP($B235,'Hack Database'!$A:$J,9,FALSE),"Open Page"),"")</x:f>
      </x:c>
      <x:c r="O235" s="9" t="str">
        <x:f>IFERROR(HYPERLINK(VLOOKUP($B235,'Hack Database'!$A:$J,10,FALSE),"Download"),"")</x:f>
      </x:c>
      <x:c r="P235" s="152"/>
    </x:row>
    <x:row r="236" ht="11" customHeight="1">
      <x:c r="A236" s="134" t="str">
        <x:f>IF(C236="","",COUNTIF($C$2:C236,"&lt;&gt;"))</x:f>
      </x:c>
      <x:c r="B236" s="4"/>
      <x:c r="C236" s="3" t="str">
        <x:f>IFERROR(VLOOKUP($B236,'Hack Database'!$A:$J,2,FALSE),"")</x:f>
      </x:c>
      <x:c r="D236" s="3" t="str">
        <x:f>IFERROR(VLOOKUP($B236,'Hack Database'!$A:$J,3,FALSE),"")</x:f>
      </x:c>
      <x:c r="E236" s="7" t="str">
        <x:f>IFERROR(VLOOKUP($B236,'Hack Database'!$A:$J,4,FALSE),"")</x:f>
      </x:c>
      <x:c r="F236" s="3" t="str">
        <x:f>IFERROR(VLOOKUP($B236,'Hack Database'!$A:$J,5,FALSE),"")</x:f>
      </x:c>
      <x:c r="G236" s="3" t="str">
        <x:f>IFERROR(VLOOKUP($B236,'Hack Database'!$A:$J,6,FALSE),"")</x:f>
      </x:c>
      <x:c r="H236" s="6"/>
      <x:c r="I236" s="6"/>
      <x:c r="J236" s="4"/>
      <x:c r="K236" s="3" t="str">
        <x:f t="shared" si="3"/>
      </x:c>
      <x:c r="L236" s="8"/>
      <x:c r="M236" s="5"/>
      <x:c r="N236" s="9" t="str">
        <x:f>IFERROR(HYPERLINK(VLOOKUP($B236,'Hack Database'!$A:$J,9,FALSE),"Open Page"),"")</x:f>
      </x:c>
      <x:c r="O236" s="9" t="str">
        <x:f>IFERROR(HYPERLINK(VLOOKUP($B236,'Hack Database'!$A:$J,10,FALSE),"Download"),"")</x:f>
      </x:c>
      <x:c r="P236" s="152"/>
    </x:row>
    <x:row r="237" ht="11" customHeight="1">
      <x:c r="A237" s="134" t="str">
        <x:f>IF(C237="","",COUNTIF($C$2:C237,"&lt;&gt;"))</x:f>
      </x:c>
      <x:c r="B237" s="4"/>
      <x:c r="C237" s="3" t="str">
        <x:f>IFERROR(VLOOKUP($B237,'Hack Database'!$A:$J,2,FALSE),"")</x:f>
      </x:c>
      <x:c r="D237" s="3" t="str">
        <x:f>IFERROR(VLOOKUP($B237,'Hack Database'!$A:$J,3,FALSE),"")</x:f>
      </x:c>
      <x:c r="E237" s="7" t="str">
        <x:f>IFERROR(VLOOKUP($B237,'Hack Database'!$A:$J,4,FALSE),"")</x:f>
      </x:c>
      <x:c r="F237" s="3" t="str">
        <x:f>IFERROR(VLOOKUP($B237,'Hack Database'!$A:$J,5,FALSE),"")</x:f>
      </x:c>
      <x:c r="G237" s="3" t="str">
        <x:f>IFERROR(VLOOKUP($B237,'Hack Database'!$A:$J,6,FALSE),"")</x:f>
      </x:c>
      <x:c r="H237" s="6"/>
      <x:c r="I237" s="6"/>
      <x:c r="J237" s="4"/>
      <x:c r="K237" s="3" t="str">
        <x:f t="shared" si="3"/>
      </x:c>
      <x:c r="L237" s="8"/>
      <x:c r="M237" s="5"/>
      <x:c r="N237" s="9" t="str">
        <x:f>IFERROR(HYPERLINK(VLOOKUP($B237,'Hack Database'!$A:$J,9,FALSE),"Open Page"),"")</x:f>
      </x:c>
      <x:c r="O237" s="9" t="str">
        <x:f>IFERROR(HYPERLINK(VLOOKUP($B237,'Hack Database'!$A:$J,10,FALSE),"Download"),"")</x:f>
      </x:c>
      <x:c r="P237" s="152"/>
    </x:row>
    <x:row r="238" ht="11" customHeight="1">
      <x:c r="A238" s="134" t="str">
        <x:f>IF(C238="","",COUNTIF($C$2:C238,"&lt;&gt;"))</x:f>
      </x:c>
      <x:c r="B238" s="4"/>
      <x:c r="C238" s="3" t="str">
        <x:f>IFERROR(VLOOKUP($B238,'Hack Database'!$A:$J,2,FALSE),"")</x:f>
      </x:c>
      <x:c r="D238" s="3" t="str">
        <x:f>IFERROR(VLOOKUP($B238,'Hack Database'!$A:$J,3,FALSE),"")</x:f>
      </x:c>
      <x:c r="E238" s="7" t="str">
        <x:f>IFERROR(VLOOKUP($B238,'Hack Database'!$A:$J,4,FALSE),"")</x:f>
      </x:c>
      <x:c r="F238" s="3" t="str">
        <x:f>IFERROR(VLOOKUP($B238,'Hack Database'!$A:$J,5,FALSE),"")</x:f>
      </x:c>
      <x:c r="G238" s="3" t="str">
        <x:f>IFERROR(VLOOKUP($B238,'Hack Database'!$A:$J,6,FALSE),"")</x:f>
      </x:c>
      <x:c r="H238" s="6"/>
      <x:c r="I238" s="6"/>
      <x:c r="J238" s="4"/>
      <x:c r="K238" s="3" t="str">
        <x:f t="shared" si="3"/>
      </x:c>
      <x:c r="L238" s="8"/>
      <x:c r="M238" s="5"/>
      <x:c r="N238" s="9" t="str">
        <x:f>IFERROR(HYPERLINK(VLOOKUP($B238,'Hack Database'!$A:$J,9,FALSE),"Open Page"),"")</x:f>
      </x:c>
      <x:c r="O238" s="9" t="str">
        <x:f>IFERROR(HYPERLINK(VLOOKUP($B238,'Hack Database'!$A:$J,10,FALSE),"Download"),"")</x:f>
      </x:c>
      <x:c r="P238" s="152"/>
    </x:row>
    <x:row r="239" ht="11" customHeight="1">
      <x:c r="A239" s="134" t="str">
        <x:f>IF(C239="","",COUNTIF($C$2:C239,"&lt;&gt;"))</x:f>
      </x:c>
      <x:c r="B239" s="4"/>
      <x:c r="C239" s="3" t="str">
        <x:f>IFERROR(VLOOKUP($B239,'Hack Database'!$A:$J,2,FALSE),"")</x:f>
      </x:c>
      <x:c r="D239" s="3" t="str">
        <x:f>IFERROR(VLOOKUP($B239,'Hack Database'!$A:$J,3,FALSE),"")</x:f>
      </x:c>
      <x:c r="E239" s="7" t="str">
        <x:f>IFERROR(VLOOKUP($B239,'Hack Database'!$A:$J,4,FALSE),"")</x:f>
      </x:c>
      <x:c r="F239" s="3" t="str">
        <x:f>IFERROR(VLOOKUP($B239,'Hack Database'!$A:$J,5,FALSE),"")</x:f>
      </x:c>
      <x:c r="G239" s="3" t="str">
        <x:f>IFERROR(VLOOKUP($B239,'Hack Database'!$A:$J,6,FALSE),"")</x:f>
      </x:c>
      <x:c r="H239" s="6"/>
      <x:c r="I239" s="6"/>
      <x:c r="J239" s="4"/>
      <x:c r="K239" s="3" t="str">
        <x:f t="shared" si="3"/>
      </x:c>
      <x:c r="L239" s="8"/>
      <x:c r="M239" s="5"/>
      <x:c r="N239" s="9" t="str">
        <x:f>IFERROR(HYPERLINK(VLOOKUP($B239,'Hack Database'!$A:$J,9,FALSE),"Open Page"),"")</x:f>
      </x:c>
      <x:c r="O239" s="9" t="str">
        <x:f>IFERROR(HYPERLINK(VLOOKUP($B239,'Hack Database'!$A:$J,10,FALSE),"Download"),"")</x:f>
      </x:c>
      <x:c r="P239" s="152"/>
    </x:row>
    <x:row r="240" ht="11" customHeight="1">
      <x:c r="A240" s="134" t="str">
        <x:f>IF(C240="","",COUNTIF($C$2:C240,"&lt;&gt;"))</x:f>
      </x:c>
      <x:c r="B240" s="4"/>
      <x:c r="C240" s="3" t="str">
        <x:f>IFERROR(VLOOKUP($B240,'Hack Database'!$A:$J,2,FALSE),"")</x:f>
      </x:c>
      <x:c r="D240" s="3" t="str">
        <x:f>IFERROR(VLOOKUP($B240,'Hack Database'!$A:$J,3,FALSE),"")</x:f>
      </x:c>
      <x:c r="E240" s="7" t="str">
        <x:f>IFERROR(VLOOKUP($B240,'Hack Database'!$A:$J,4,FALSE),"")</x:f>
      </x:c>
      <x:c r="F240" s="3" t="str">
        <x:f>IFERROR(VLOOKUP($B240,'Hack Database'!$A:$J,5,FALSE),"")</x:f>
      </x:c>
      <x:c r="G240" s="3" t="str">
        <x:f>IFERROR(VLOOKUP($B240,'Hack Database'!$A:$J,6,FALSE),"")</x:f>
      </x:c>
      <x:c r="H240" s="6"/>
      <x:c r="I240" s="6"/>
      <x:c r="J240" s="4"/>
      <x:c r="K240" s="3" t="str">
        <x:f t="shared" si="3"/>
      </x:c>
      <x:c r="L240" s="8"/>
      <x:c r="M240" s="5"/>
      <x:c r="N240" s="9" t="str">
        <x:f>IFERROR(HYPERLINK(VLOOKUP($B240,'Hack Database'!$A:$J,9,FALSE),"Open Page"),"")</x:f>
      </x:c>
      <x:c r="O240" s="9" t="str">
        <x:f>IFERROR(HYPERLINK(VLOOKUP($B240,'Hack Database'!$A:$J,10,FALSE),"Download"),"")</x:f>
      </x:c>
      <x:c r="P240" s="152"/>
    </x:row>
    <x:row r="241" ht="11" customHeight="1">
      <x:c r="A241" s="134" t="str">
        <x:f>IF(C241="","",COUNTIF($C$2:C241,"&lt;&gt;"))</x:f>
      </x:c>
      <x:c r="B241" s="4"/>
      <x:c r="C241" s="3" t="str">
        <x:f>IFERROR(VLOOKUP($B241,'Hack Database'!$A:$J,2,FALSE),"")</x:f>
      </x:c>
      <x:c r="D241" s="3" t="str">
        <x:f>IFERROR(VLOOKUP($B241,'Hack Database'!$A:$J,3,FALSE),"")</x:f>
      </x:c>
      <x:c r="E241" s="7" t="str">
        <x:f>IFERROR(VLOOKUP($B241,'Hack Database'!$A:$J,4,FALSE),"")</x:f>
      </x:c>
      <x:c r="F241" s="3" t="str">
        <x:f>IFERROR(VLOOKUP($B241,'Hack Database'!$A:$J,5,FALSE),"")</x:f>
      </x:c>
      <x:c r="G241" s="3" t="str">
        <x:f>IFERROR(VLOOKUP($B241,'Hack Database'!$A:$J,6,FALSE),"")</x:f>
      </x:c>
      <x:c r="H241" s="6"/>
      <x:c r="I241" s="6"/>
      <x:c r="J241" s="4"/>
      <x:c r="K241" s="3" t="str">
        <x:f t="shared" si="3"/>
      </x:c>
      <x:c r="L241" s="8"/>
      <x:c r="M241" s="5"/>
      <x:c r="N241" s="9" t="str">
        <x:f>IFERROR(HYPERLINK(VLOOKUP($B241,'Hack Database'!$A:$J,9,FALSE),"Open Page"),"")</x:f>
      </x:c>
      <x:c r="O241" s="9" t="str">
        <x:f>IFERROR(HYPERLINK(VLOOKUP($B241,'Hack Database'!$A:$J,10,FALSE),"Download"),"")</x:f>
      </x:c>
      <x:c r="P241" s="152"/>
    </x:row>
    <x:row r="242" ht="11" customHeight="1">
      <x:c r="A242" s="134" t="str">
        <x:f>IF(C242="","",COUNTIF($C$2:C242,"&lt;&gt;"))</x:f>
      </x:c>
      <x:c r="B242" s="4"/>
      <x:c r="C242" s="3" t="str">
        <x:f>IFERROR(VLOOKUP($B242,'Hack Database'!$A:$J,2,FALSE),"")</x:f>
      </x:c>
      <x:c r="D242" s="3" t="str">
        <x:f>IFERROR(VLOOKUP($B242,'Hack Database'!$A:$J,3,FALSE),"")</x:f>
      </x:c>
      <x:c r="E242" s="7" t="str">
        <x:f>IFERROR(VLOOKUP($B242,'Hack Database'!$A:$J,4,FALSE),"")</x:f>
      </x:c>
      <x:c r="F242" s="3" t="str">
        <x:f>IFERROR(VLOOKUP($B242,'Hack Database'!$A:$J,5,FALSE),"")</x:f>
      </x:c>
      <x:c r="G242" s="3" t="str">
        <x:f>IFERROR(VLOOKUP($B242,'Hack Database'!$A:$J,6,FALSE),"")</x:f>
      </x:c>
      <x:c r="H242" s="6"/>
      <x:c r="I242" s="6"/>
      <x:c r="J242" s="4"/>
      <x:c r="K242" s="3" t="str">
        <x:f t="shared" si="3"/>
      </x:c>
      <x:c r="L242" s="8"/>
      <x:c r="M242" s="5"/>
      <x:c r="N242" s="9" t="str">
        <x:f>IFERROR(HYPERLINK(VLOOKUP($B242,'Hack Database'!$A:$J,9,FALSE),"Open Page"),"")</x:f>
      </x:c>
      <x:c r="O242" s="9" t="str">
        <x:f>IFERROR(HYPERLINK(VLOOKUP($B242,'Hack Database'!$A:$J,10,FALSE),"Download"),"")</x:f>
      </x:c>
      <x:c r="P242" s="152"/>
    </x:row>
    <x:row r="243" ht="11" customHeight="1">
      <x:c r="A243" s="134" t="str">
        <x:f>IF(C243="","",COUNTIF($C$2:C243,"&lt;&gt;"))</x:f>
      </x:c>
      <x:c r="B243" s="4"/>
      <x:c r="C243" s="3" t="str">
        <x:f>IFERROR(VLOOKUP($B243,'Hack Database'!$A:$J,2,FALSE),"")</x:f>
      </x:c>
      <x:c r="D243" s="3" t="str">
        <x:f>IFERROR(VLOOKUP($B243,'Hack Database'!$A:$J,3,FALSE),"")</x:f>
      </x:c>
      <x:c r="E243" s="7" t="str">
        <x:f>IFERROR(VLOOKUP($B243,'Hack Database'!$A:$J,4,FALSE),"")</x:f>
      </x:c>
      <x:c r="F243" s="3" t="str">
        <x:f>IFERROR(VLOOKUP($B243,'Hack Database'!$A:$J,5,FALSE),"")</x:f>
      </x:c>
      <x:c r="G243" s="3" t="str">
        <x:f>IFERROR(VLOOKUP($B243,'Hack Database'!$A:$J,6,FALSE),"")</x:f>
      </x:c>
      <x:c r="H243" s="6"/>
      <x:c r="I243" s="6"/>
      <x:c r="J243" s="4"/>
      <x:c r="K243" s="3" t="str">
        <x:f t="shared" si="3"/>
      </x:c>
      <x:c r="L243" s="8"/>
      <x:c r="M243" s="5"/>
      <x:c r="N243" s="9" t="str">
        <x:f>IFERROR(HYPERLINK(VLOOKUP($B243,'Hack Database'!$A:$J,9,FALSE),"Open Page"),"")</x:f>
      </x:c>
      <x:c r="O243" s="9" t="str">
        <x:f>IFERROR(HYPERLINK(VLOOKUP($B243,'Hack Database'!$A:$J,10,FALSE),"Download"),"")</x:f>
      </x:c>
      <x:c r="P243" s="152"/>
    </x:row>
    <x:row r="244" ht="11" customHeight="1">
      <x:c r="A244" s="134" t="str">
        <x:f>IF(C244="","",COUNTIF($C$2:C244,"&lt;&gt;"))</x:f>
      </x:c>
      <x:c r="B244" s="4"/>
      <x:c r="C244" s="3" t="str">
        <x:f>IFERROR(VLOOKUP($B244,'Hack Database'!$A:$J,2,FALSE),"")</x:f>
      </x:c>
      <x:c r="D244" s="3" t="str">
        <x:f>IFERROR(VLOOKUP($B244,'Hack Database'!$A:$J,3,FALSE),"")</x:f>
      </x:c>
      <x:c r="E244" s="7" t="str">
        <x:f>IFERROR(VLOOKUP($B244,'Hack Database'!$A:$J,4,FALSE),"")</x:f>
      </x:c>
      <x:c r="F244" s="3" t="str">
        <x:f>IFERROR(VLOOKUP($B244,'Hack Database'!$A:$J,5,FALSE),"")</x:f>
      </x:c>
      <x:c r="G244" s="3" t="str">
        <x:f>IFERROR(VLOOKUP($B244,'Hack Database'!$A:$J,6,FALSE),"")</x:f>
      </x:c>
      <x:c r="H244" s="6"/>
      <x:c r="I244" s="6"/>
      <x:c r="J244" s="4"/>
      <x:c r="K244" s="3" t="str">
        <x:f t="shared" si="3"/>
      </x:c>
      <x:c r="L244" s="8"/>
      <x:c r="M244" s="5"/>
      <x:c r="N244" s="9" t="str">
        <x:f>IFERROR(HYPERLINK(VLOOKUP($B244,'Hack Database'!$A:$J,9,FALSE),"Open Page"),"")</x:f>
      </x:c>
      <x:c r="O244" s="9" t="str">
        <x:f>IFERROR(HYPERLINK(VLOOKUP($B244,'Hack Database'!$A:$J,10,FALSE),"Download"),"")</x:f>
      </x:c>
      <x:c r="P244" s="152"/>
    </x:row>
    <x:row r="245" ht="11" customHeight="1">
      <x:c r="A245" s="134" t="str">
        <x:f>IF(C245="","",COUNTIF($C$2:C245,"&lt;&gt;"))</x:f>
      </x:c>
      <x:c r="B245" s="4"/>
      <x:c r="C245" s="3" t="str">
        <x:f>IFERROR(VLOOKUP($B245,'Hack Database'!$A:$J,2,FALSE),"")</x:f>
      </x:c>
      <x:c r="D245" s="3" t="str">
        <x:f>IFERROR(VLOOKUP($B245,'Hack Database'!$A:$J,3,FALSE),"")</x:f>
      </x:c>
      <x:c r="E245" s="7" t="str">
        <x:f>IFERROR(VLOOKUP($B245,'Hack Database'!$A:$J,4,FALSE),"")</x:f>
      </x:c>
      <x:c r="F245" s="3" t="str">
        <x:f>IFERROR(VLOOKUP($B245,'Hack Database'!$A:$J,5,FALSE),"")</x:f>
      </x:c>
      <x:c r="G245" s="3" t="str">
        <x:f>IFERROR(VLOOKUP($B245,'Hack Database'!$A:$J,6,FALSE),"")</x:f>
      </x:c>
      <x:c r="H245" s="6"/>
      <x:c r="I245" s="6"/>
      <x:c r="J245" s="4"/>
      <x:c r="K245" s="3" t="str">
        <x:f t="shared" si="3"/>
      </x:c>
      <x:c r="L245" s="8"/>
      <x:c r="M245" s="5"/>
      <x:c r="N245" s="9" t="str">
        <x:f>IFERROR(HYPERLINK(VLOOKUP($B245,'Hack Database'!$A:$J,9,FALSE),"Open Page"),"")</x:f>
      </x:c>
      <x:c r="O245" s="9" t="str">
        <x:f>IFERROR(HYPERLINK(VLOOKUP($B245,'Hack Database'!$A:$J,10,FALSE),"Download"),"")</x:f>
      </x:c>
      <x:c r="P245" s="152"/>
    </x:row>
    <x:row r="246" ht="11" customHeight="1">
      <x:c r="A246" s="134" t="str">
        <x:f>IF(C246="","",COUNTIF($C$2:C246,"&lt;&gt;"))</x:f>
      </x:c>
      <x:c r="B246" s="4"/>
      <x:c r="C246" s="3" t="str">
        <x:f>IFERROR(VLOOKUP($B246,'Hack Database'!$A:$J,2,FALSE),"")</x:f>
      </x:c>
      <x:c r="D246" s="3" t="str">
        <x:f>IFERROR(VLOOKUP($B246,'Hack Database'!$A:$J,3,FALSE),"")</x:f>
      </x:c>
      <x:c r="E246" s="7" t="str">
        <x:f>IFERROR(VLOOKUP($B246,'Hack Database'!$A:$J,4,FALSE),"")</x:f>
      </x:c>
      <x:c r="F246" s="3" t="str">
        <x:f>IFERROR(VLOOKUP($B246,'Hack Database'!$A:$J,5,FALSE),"")</x:f>
      </x:c>
      <x:c r="G246" s="3" t="str">
        <x:f>IFERROR(VLOOKUP($B246,'Hack Database'!$A:$J,6,FALSE),"")</x:f>
      </x:c>
      <x:c r="H246" s="6"/>
      <x:c r="I246" s="6"/>
      <x:c r="J246" s="4"/>
      <x:c r="K246" s="3" t="str">
        <x:f t="shared" si="3"/>
      </x:c>
      <x:c r="L246" s="8"/>
      <x:c r="M246" s="5"/>
      <x:c r="N246" s="9" t="str">
        <x:f>IFERROR(HYPERLINK(VLOOKUP($B246,'Hack Database'!$A:$J,9,FALSE),"Open Page"),"")</x:f>
      </x:c>
      <x:c r="O246" s="9" t="str">
        <x:f>IFERROR(HYPERLINK(VLOOKUP($B246,'Hack Database'!$A:$J,10,FALSE),"Download"),"")</x:f>
      </x:c>
      <x:c r="P246" s="152"/>
    </x:row>
    <x:row r="247" ht="11" customHeight="1">
      <x:c r="A247" s="134" t="str">
        <x:f>IF(C247="","",COUNTIF($C$2:C247,"&lt;&gt;"))</x:f>
      </x:c>
      <x:c r="B247" s="4"/>
      <x:c r="C247" s="3" t="str">
        <x:f>IFERROR(VLOOKUP($B247,'Hack Database'!$A:$J,2,FALSE),"")</x:f>
      </x:c>
      <x:c r="D247" s="3" t="str">
        <x:f>IFERROR(VLOOKUP($B247,'Hack Database'!$A:$J,3,FALSE),"")</x:f>
      </x:c>
      <x:c r="E247" s="7" t="str">
        <x:f>IFERROR(VLOOKUP($B247,'Hack Database'!$A:$J,4,FALSE),"")</x:f>
      </x:c>
      <x:c r="F247" s="3" t="str">
        <x:f>IFERROR(VLOOKUP($B247,'Hack Database'!$A:$J,5,FALSE),"")</x:f>
      </x:c>
      <x:c r="G247" s="3" t="str">
        <x:f>IFERROR(VLOOKUP($B247,'Hack Database'!$A:$J,6,FALSE),"")</x:f>
      </x:c>
      <x:c r="H247" s="6"/>
      <x:c r="I247" s="6"/>
      <x:c r="J247" s="4"/>
      <x:c r="K247" s="3" t="str">
        <x:f t="shared" si="3"/>
      </x:c>
      <x:c r="L247" s="8"/>
      <x:c r="M247" s="5"/>
      <x:c r="N247" s="9" t="str">
        <x:f>IFERROR(HYPERLINK(VLOOKUP($B247,'Hack Database'!$A:$J,9,FALSE),"Open Page"),"")</x:f>
      </x:c>
      <x:c r="O247" s="9" t="str">
        <x:f>IFERROR(HYPERLINK(VLOOKUP($B247,'Hack Database'!$A:$J,10,FALSE),"Download"),"")</x:f>
      </x:c>
      <x:c r="P247" s="152"/>
    </x:row>
    <x:row r="248" ht="11" customHeight="1">
      <x:c r="A248" s="134" t="str">
        <x:f>IF(C248="","",COUNTIF($C$2:C248,"&lt;&gt;"))</x:f>
      </x:c>
      <x:c r="B248" s="4"/>
      <x:c r="C248" s="3" t="str">
        <x:f>IFERROR(VLOOKUP($B248,'Hack Database'!$A:$J,2,FALSE),"")</x:f>
      </x:c>
      <x:c r="D248" s="3" t="str">
        <x:f>IFERROR(VLOOKUP($B248,'Hack Database'!$A:$J,3,FALSE),"")</x:f>
      </x:c>
      <x:c r="E248" s="7" t="str">
        <x:f>IFERROR(VLOOKUP($B248,'Hack Database'!$A:$J,4,FALSE),"")</x:f>
      </x:c>
      <x:c r="F248" s="3" t="str">
        <x:f>IFERROR(VLOOKUP($B248,'Hack Database'!$A:$J,5,FALSE),"")</x:f>
      </x:c>
      <x:c r="G248" s="3" t="str">
        <x:f>IFERROR(VLOOKUP($B248,'Hack Database'!$A:$J,6,FALSE),"")</x:f>
      </x:c>
      <x:c r="H248" s="6"/>
      <x:c r="I248" s="6"/>
      <x:c r="J248" s="4"/>
      <x:c r="K248" s="3" t="str">
        <x:f t="shared" si="3"/>
      </x:c>
      <x:c r="L248" s="8"/>
      <x:c r="M248" s="5"/>
      <x:c r="N248" s="9" t="str">
        <x:f>IFERROR(HYPERLINK(VLOOKUP($B248,'Hack Database'!$A:$J,9,FALSE),"Open Page"),"")</x:f>
      </x:c>
      <x:c r="O248" s="9" t="str">
        <x:f>IFERROR(HYPERLINK(VLOOKUP($B248,'Hack Database'!$A:$J,10,FALSE),"Download"),"")</x:f>
      </x:c>
      <x:c r="P248" s="152"/>
    </x:row>
    <x:row r="249" ht="11" customHeight="1">
      <x:c r="A249" s="134" t="str">
        <x:f>IF(C249="","",COUNTIF($C$2:C249,"&lt;&gt;"))</x:f>
      </x:c>
      <x:c r="B249" s="4"/>
      <x:c r="C249" s="3" t="str">
        <x:f>IFERROR(VLOOKUP($B249,'Hack Database'!$A:$J,2,FALSE),"")</x:f>
      </x:c>
      <x:c r="D249" s="3" t="str">
        <x:f>IFERROR(VLOOKUP($B249,'Hack Database'!$A:$J,3,FALSE),"")</x:f>
      </x:c>
      <x:c r="E249" s="7" t="str">
        <x:f>IFERROR(VLOOKUP($B249,'Hack Database'!$A:$J,4,FALSE),"")</x:f>
      </x:c>
      <x:c r="F249" s="3" t="str">
        <x:f>IFERROR(VLOOKUP($B249,'Hack Database'!$A:$J,5,FALSE),"")</x:f>
      </x:c>
      <x:c r="G249" s="3" t="str">
        <x:f>IFERROR(VLOOKUP($B249,'Hack Database'!$A:$J,6,FALSE),"")</x:f>
      </x:c>
      <x:c r="H249" s="6"/>
      <x:c r="I249" s="6"/>
      <x:c r="J249" s="4"/>
      <x:c r="K249" s="3" t="str">
        <x:f t="shared" si="3"/>
      </x:c>
      <x:c r="L249" s="8"/>
      <x:c r="M249" s="5"/>
      <x:c r="N249" s="9" t="str">
        <x:f>IFERROR(HYPERLINK(VLOOKUP($B249,'Hack Database'!$A:$J,9,FALSE),"Open Page"),"")</x:f>
      </x:c>
      <x:c r="O249" s="9" t="str">
        <x:f>IFERROR(HYPERLINK(VLOOKUP($B249,'Hack Database'!$A:$J,10,FALSE),"Download"),"")</x:f>
      </x:c>
      <x:c r="P249" s="152"/>
    </x:row>
    <x:row r="250" ht="11" customHeight="1">
      <x:c r="A250" s="134" t="str">
        <x:f>IF(C250="","",COUNTIF($C$2:C250,"&lt;&gt;"))</x:f>
      </x:c>
      <x:c r="B250" s="16"/>
      <x:c r="C250" s="14" t="str">
        <x:f>IFERROR(VLOOKUP($B250,'Hack Database'!$A:$J,2,FALSE),"")</x:f>
      </x:c>
      <x:c r="D250" s="14" t="str">
        <x:f>IFERROR(VLOOKUP($B250,'Hack Database'!$A:$J,3,FALSE),"")</x:f>
      </x:c>
      <x:c r="E250" s="13" t="str">
        <x:f>IFERROR(VLOOKUP($B250,'Hack Database'!$A:$J,4,FALSE),"")</x:f>
      </x:c>
      <x:c r="F250" s="14" t="str">
        <x:f>IFERROR(VLOOKUP($B250,'Hack Database'!$A:$J,5,FALSE),"")</x:f>
      </x:c>
      <x:c r="G250" s="14" t="str">
        <x:f>IFERROR(VLOOKUP($B250,'Hack Database'!$A:$J,6,FALSE),"")</x:f>
      </x:c>
      <x:c r="H250" s="15"/>
      <x:c r="I250" s="15"/>
      <x:c r="J250" s="16"/>
      <x:c r="K250" s="14" t="str">
        <x:f t="shared" si="3"/>
      </x:c>
      <x:c r="L250" s="17"/>
      <x:c r="M250" s="18"/>
      <x:c r="N250" s="19" t="str">
        <x:f>IFERROR(HYPERLINK(VLOOKUP($B250,'Hack Database'!$A:$J,9,FALSE),"Open Page"),"")</x:f>
      </x:c>
      <x:c r="O250" s="19" t="str">
        <x:f>IFERROR(HYPERLINK(VLOOKUP($B250,'Hack Database'!$A:$J,10,FALSE),"Download"),"")</x:f>
      </x:c>
      <x:c r="P250" s="153"/>
    </x:row>
    <x:row r="251">
      <x:c r="A251" s="154" t="str">
        <x:f>IF($J251="Yes",COUNTIF($J$2:J251,"Yes"),"")</x:f>
      </x:c>
      <x:c r="B251" s="154"/>
      <x:c r="C251" s="154" t="str">
        <x:f>IFERROR(VLOOKUP($B251,'Hack Database'!$A:$J,2,FALSE),"")</x:f>
      </x:c>
      <x:c r="D251" s="154" t="str">
        <x:f>IFERROR(VLOOKUP($B251,'Hack Database'!$A:$J,3,FALSE),"")</x:f>
      </x:c>
      <x:c r="E251" s="154" t="str">
        <x:f>IFERROR(VLOOKUP($B251,'Hack Database'!$A:$J,4,FALSE),"")</x:f>
      </x:c>
      <x:c r="F251" s="154" t="str">
        <x:f>IFERROR(VLOOKUP($B251,'Hack Database'!$A:$J,5,FALSE),"")</x:f>
      </x:c>
      <x:c r="G251" s="154" t="str">
        <x:f>IFERROR(VLOOKUP($B251,'Hack Database'!$A:$J,6,FALSE),"")</x:f>
      </x:c>
      <x:c r="H251" s="155"/>
      <x:c r="I251" s="155"/>
      <x:c r="J251" s="154"/>
      <x:c r="K251" s="154" t="str">
        <x:f t="shared" si="3"/>
      </x:c>
      <x:c r="L251" s="154"/>
      <x:c r="M251" s="156"/>
      <x:c r="N251" s="154" t="str">
        <x:f>IFERROR(HYPERLINK(VLOOKUP($B251,'Hack Database'!$A:$J,9,FALSE),"Open Page"),"")</x:f>
      </x:c>
      <x:c r="O251" s="154" t="str">
        <x:f>IFERROR(HYPERLINK(VLOOKUP($B251,'Hack Database'!$A:$J,10,FALSE),"Download"),"")</x:f>
      </x:c>
      <x:c r="P251" s="157"/>
    </x:row>
    <x:row r="252">
      <x:c r="A252" s="154" t="str">
        <x:f>IF($J252="Yes",COUNTIF($J$2:J252,"Yes"),"")</x:f>
      </x:c>
      <x:c r="B252" s="154"/>
      <x:c r="C252" s="154" t="str">
        <x:f>IFERROR(VLOOKUP($B252,'Hack Database'!$A:$J,2,FALSE),"")</x:f>
      </x:c>
      <x:c r="D252" s="154" t="str">
        <x:f>IFERROR(VLOOKUP($B252,'Hack Database'!$A:$J,3,FALSE),"")</x:f>
      </x:c>
      <x:c r="E252" s="154" t="str">
        <x:f>IFERROR(VLOOKUP($B252,'Hack Database'!$A:$J,4,FALSE),"")</x:f>
      </x:c>
      <x:c r="F252" s="154" t="str">
        <x:f>IFERROR(VLOOKUP($B252,'Hack Database'!$A:$J,5,FALSE),"")</x:f>
      </x:c>
      <x:c r="G252" s="154" t="str">
        <x:f>IFERROR(VLOOKUP($B252,'Hack Database'!$A:$J,6,FALSE),"")</x:f>
      </x:c>
      <x:c r="H252" s="155"/>
      <x:c r="I252" s="155"/>
      <x:c r="J252" s="154"/>
      <x:c r="K252" s="154" t="str">
        <x:f t="shared" si="3"/>
      </x:c>
      <x:c r="L252" s="154"/>
      <x:c r="M252" s="156"/>
      <x:c r="N252" s="154" t="str">
        <x:f>IFERROR(HYPERLINK(VLOOKUP($B252,'Hack Database'!$A:$J,9,FALSE),"Open Page"),"")</x:f>
      </x:c>
      <x:c r="O252" s="154" t="str">
        <x:f>IFERROR(HYPERLINK(VLOOKUP($B252,'Hack Database'!$A:$J,10,FALSE),"Download"),"")</x:f>
      </x:c>
      <x:c r="P252" s="157"/>
    </x:row>
    <x:row r="253">
      <x:c r="A253" s="154" t="str">
        <x:f>IF($J253="Yes",COUNTIF($J$2:J253,"Yes"),"")</x:f>
      </x:c>
      <x:c r="B253" s="154"/>
      <x:c r="C253" s="154" t="str">
        <x:f>IFERROR(VLOOKUP($B253,'Hack Database'!$A:$J,2,FALSE),"")</x:f>
      </x:c>
      <x:c r="D253" s="154" t="str">
        <x:f>IFERROR(VLOOKUP($B253,'Hack Database'!$A:$J,3,FALSE),"")</x:f>
      </x:c>
      <x:c r="E253" s="154" t="str">
        <x:f>IFERROR(VLOOKUP($B253,'Hack Database'!$A:$J,4,FALSE),"")</x:f>
      </x:c>
      <x:c r="F253" s="154" t="str">
        <x:f>IFERROR(VLOOKUP($B253,'Hack Database'!$A:$J,5,FALSE),"")</x:f>
      </x:c>
      <x:c r="G253" s="154" t="str">
        <x:f>IFERROR(VLOOKUP($B253,'Hack Database'!$A:$J,6,FALSE),"")</x:f>
      </x:c>
      <x:c r="H253" s="155"/>
      <x:c r="I253" s="155"/>
      <x:c r="J253" s="154"/>
      <x:c r="K253" s="154" t="str">
        <x:f t="shared" si="3"/>
      </x:c>
      <x:c r="L253" s="154"/>
      <x:c r="M253" s="156"/>
      <x:c r="N253" s="154" t="str">
        <x:f>IFERROR(HYPERLINK(VLOOKUP($B253,'Hack Database'!$A:$J,9,FALSE),"Open Page"),"")</x:f>
      </x:c>
      <x:c r="O253" s="154" t="str">
        <x:f>IFERROR(HYPERLINK(VLOOKUP($B253,'Hack Database'!$A:$J,10,FALSE),"Download"),"")</x:f>
      </x:c>
      <x:c r="P253" s="157"/>
    </x:row>
    <x:row r="254">
      <x:c r="A254" s="154" t="str">
        <x:f>IF($J254="Yes",COUNTIF($J$2:J254,"Yes"),"")</x:f>
      </x:c>
      <x:c r="B254" s="154"/>
      <x:c r="C254" s="154" t="str">
        <x:f>IFERROR(VLOOKUP($B254,'Hack Database'!$A:$J,2,FALSE),"")</x:f>
      </x:c>
      <x:c r="D254" s="154" t="str">
        <x:f>IFERROR(VLOOKUP($B254,'Hack Database'!$A:$J,3,FALSE),"")</x:f>
      </x:c>
      <x:c r="E254" s="154" t="str">
        <x:f>IFERROR(VLOOKUP($B254,'Hack Database'!$A:$J,4,FALSE),"")</x:f>
      </x:c>
      <x:c r="F254" s="154" t="str">
        <x:f>IFERROR(VLOOKUP($B254,'Hack Database'!$A:$J,5,FALSE),"")</x:f>
      </x:c>
      <x:c r="G254" s="154" t="str">
        <x:f>IFERROR(VLOOKUP($B254,'Hack Database'!$A:$J,6,FALSE),"")</x:f>
      </x:c>
      <x:c r="H254" s="155"/>
      <x:c r="I254" s="155"/>
      <x:c r="J254" s="154"/>
      <x:c r="K254" s="154" t="str">
        <x:f t="shared" si="3"/>
      </x:c>
      <x:c r="L254" s="154"/>
      <x:c r="M254" s="156"/>
      <x:c r="N254" s="154" t="str">
        <x:f>IFERROR(HYPERLINK(VLOOKUP($B254,'Hack Database'!$A:$J,9,FALSE),"Open Page"),"")</x:f>
      </x:c>
      <x:c r="O254" s="154" t="str">
        <x:f>IFERROR(HYPERLINK(VLOOKUP($B254,'Hack Database'!$A:$J,10,FALSE),"Download"),"")</x:f>
      </x:c>
      <x:c r="P254" s="157"/>
    </x:row>
    <x:row r="255">
      <x:c r="A255" s="154" t="str">
        <x:f>IF($J255="Yes",COUNTIF($J$2:J255,"Yes"),"")</x:f>
      </x:c>
      <x:c r="B255" s="154"/>
      <x:c r="C255" s="154" t="str">
        <x:f>IFERROR(VLOOKUP($B255,'Hack Database'!$A:$J,2,FALSE),"")</x:f>
      </x:c>
      <x:c r="D255" s="154" t="str">
        <x:f>IFERROR(VLOOKUP($B255,'Hack Database'!$A:$J,3,FALSE),"")</x:f>
      </x:c>
      <x:c r="E255" s="154" t="str">
        <x:f>IFERROR(VLOOKUP($B255,'Hack Database'!$A:$J,4,FALSE),"")</x:f>
      </x:c>
      <x:c r="F255" s="154" t="str">
        <x:f>IFERROR(VLOOKUP($B255,'Hack Database'!$A:$J,5,FALSE),"")</x:f>
      </x:c>
      <x:c r="G255" s="154" t="str">
        <x:f>IFERROR(VLOOKUP($B255,'Hack Database'!$A:$J,6,FALSE),"")</x:f>
      </x:c>
      <x:c r="H255" s="155"/>
      <x:c r="I255" s="155"/>
      <x:c r="J255" s="154"/>
      <x:c r="K255" s="154" t="str">
        <x:f t="shared" si="3"/>
      </x:c>
      <x:c r="L255" s="154"/>
      <x:c r="M255" s="156"/>
      <x:c r="N255" s="154" t="str">
        <x:f>IFERROR(HYPERLINK(VLOOKUP($B255,'Hack Database'!$A:$J,9,FALSE),"Open Page"),"")</x:f>
      </x:c>
      <x:c r="O255" s="154" t="str">
        <x:f>IFERROR(HYPERLINK(VLOOKUP($B255,'Hack Database'!$A:$J,10,FALSE),"Download"),"")</x:f>
      </x:c>
      <x:c r="P255" s="157"/>
    </x:row>
    <x:row r="256">
      <x:c r="A256" s="154" t="str">
        <x:f>IF($J256="Yes",COUNTIF($J$2:J256,"Yes"),"")</x:f>
      </x:c>
      <x:c r="B256" s="154"/>
      <x:c r="C256" s="154" t="str">
        <x:f>IFERROR(VLOOKUP($B256,'Hack Database'!$A:$J,2,FALSE),"")</x:f>
      </x:c>
      <x:c r="D256" s="154" t="str">
        <x:f>IFERROR(VLOOKUP($B256,'Hack Database'!$A:$J,3,FALSE),"")</x:f>
      </x:c>
      <x:c r="E256" s="154" t="str">
        <x:f>IFERROR(VLOOKUP($B256,'Hack Database'!$A:$J,4,FALSE),"")</x:f>
      </x:c>
      <x:c r="F256" s="154" t="str">
        <x:f>IFERROR(VLOOKUP($B256,'Hack Database'!$A:$J,5,FALSE),"")</x:f>
      </x:c>
      <x:c r="G256" s="154" t="str">
        <x:f>IFERROR(VLOOKUP($B256,'Hack Database'!$A:$J,6,FALSE),"")</x:f>
      </x:c>
      <x:c r="H256" s="155"/>
      <x:c r="I256" s="155"/>
      <x:c r="J256" s="154"/>
      <x:c r="K256" s="154" t="str">
        <x:f t="shared" si="3"/>
      </x:c>
      <x:c r="L256" s="154"/>
      <x:c r="M256" s="156"/>
      <x:c r="N256" s="154" t="str">
        <x:f>IFERROR(HYPERLINK(VLOOKUP($B256,'Hack Database'!$A:$J,9,FALSE),"Open Page"),"")</x:f>
      </x:c>
      <x:c r="O256" s="154" t="str">
        <x:f>IFERROR(HYPERLINK(VLOOKUP($B256,'Hack Database'!$A:$J,10,FALSE),"Download"),"")</x:f>
      </x:c>
      <x:c r="P256" s="157"/>
    </x:row>
    <x:row r="257">
      <x:c r="A257" s="154" t="str">
        <x:f>IF($J257="Yes",COUNTIF($J$2:J257,"Yes"),"")</x:f>
      </x:c>
      <x:c r="B257" s="154"/>
      <x:c r="C257" s="154" t="str">
        <x:f>IFERROR(VLOOKUP($B257,'Hack Database'!$A:$J,2,FALSE),"")</x:f>
      </x:c>
      <x:c r="D257" s="154" t="str">
        <x:f>IFERROR(VLOOKUP($B257,'Hack Database'!$A:$J,3,FALSE),"")</x:f>
      </x:c>
      <x:c r="E257" s="154" t="str">
        <x:f>IFERROR(VLOOKUP($B257,'Hack Database'!$A:$J,4,FALSE),"")</x:f>
      </x:c>
      <x:c r="F257" s="154" t="str">
        <x:f>IFERROR(VLOOKUP($B257,'Hack Database'!$A:$J,5,FALSE),"")</x:f>
      </x:c>
      <x:c r="G257" s="154" t="str">
        <x:f>IFERROR(VLOOKUP($B257,'Hack Database'!$A:$J,6,FALSE),"")</x:f>
      </x:c>
      <x:c r="H257" s="155"/>
      <x:c r="I257" s="155"/>
      <x:c r="J257" s="154"/>
      <x:c r="K257" s="154" t="str">
        <x:f t="shared" si="3"/>
      </x:c>
      <x:c r="L257" s="154"/>
      <x:c r="M257" s="156"/>
      <x:c r="N257" s="154" t="str">
        <x:f>IFERROR(HYPERLINK(VLOOKUP($B257,'Hack Database'!$A:$J,9,FALSE),"Open Page"),"")</x:f>
      </x:c>
      <x:c r="O257" s="154" t="str">
        <x:f>IFERROR(HYPERLINK(VLOOKUP($B257,'Hack Database'!$A:$J,10,FALSE),"Download"),"")</x:f>
      </x:c>
      <x:c r="P257" s="157"/>
    </x:row>
    <x:row r="258">
      <x:c r="A258" s="154" t="str">
        <x:f>IF($J258="Yes",COUNTIF($J$2:J258,"Yes"),"")</x:f>
      </x:c>
      <x:c r="B258" s="154"/>
      <x:c r="C258" s="154" t="str">
        <x:f>IFERROR(VLOOKUP($B258,'Hack Database'!$A:$J,2,FALSE),"")</x:f>
      </x:c>
      <x:c r="D258" s="154" t="str">
        <x:f>IFERROR(VLOOKUP($B258,'Hack Database'!$A:$J,3,FALSE),"")</x:f>
      </x:c>
      <x:c r="E258" s="154" t="str">
        <x:f>IFERROR(VLOOKUP($B258,'Hack Database'!$A:$J,4,FALSE),"")</x:f>
      </x:c>
      <x:c r="F258" s="154" t="str">
        <x:f>IFERROR(VLOOKUP($B258,'Hack Database'!$A:$J,5,FALSE),"")</x:f>
      </x:c>
      <x:c r="G258" s="154" t="str">
        <x:f>IFERROR(VLOOKUP($B258,'Hack Database'!$A:$J,6,FALSE),"")</x:f>
      </x:c>
      <x:c r="H258" s="155"/>
      <x:c r="I258" s="155"/>
      <x:c r="J258" s="154"/>
      <x:c r="K258" s="154" t="str">
        <x:f t="shared" ref="K258:K321" si="4">IF($B258="","",IF($J258="Yes","100% Complete",IF($H258="","Planned",IF($I258="","In Progress","Finished"))))</x:f>
      </x:c>
      <x:c r="L258" s="154"/>
      <x:c r="M258" s="156"/>
      <x:c r="N258" s="154" t="str">
        <x:f>IFERROR(HYPERLINK(VLOOKUP($B258,'Hack Database'!$A:$J,9,FALSE),"Open Page"),"")</x:f>
      </x:c>
      <x:c r="O258" s="154" t="str">
        <x:f>IFERROR(HYPERLINK(VLOOKUP($B258,'Hack Database'!$A:$J,10,FALSE),"Download"),"")</x:f>
      </x:c>
      <x:c r="P258" s="157"/>
    </x:row>
    <x:row r="259">
      <x:c r="A259" s="154" t="str">
        <x:f>IF($J259="Yes",COUNTIF($J$2:J259,"Yes"),"")</x:f>
      </x:c>
      <x:c r="B259" s="154"/>
      <x:c r="C259" s="154" t="str">
        <x:f>IFERROR(VLOOKUP($B259,'Hack Database'!$A:$J,2,FALSE),"")</x:f>
      </x:c>
      <x:c r="D259" s="154" t="str">
        <x:f>IFERROR(VLOOKUP($B259,'Hack Database'!$A:$J,3,FALSE),"")</x:f>
      </x:c>
      <x:c r="E259" s="154" t="str">
        <x:f>IFERROR(VLOOKUP($B259,'Hack Database'!$A:$J,4,FALSE),"")</x:f>
      </x:c>
      <x:c r="F259" s="154" t="str">
        <x:f>IFERROR(VLOOKUP($B259,'Hack Database'!$A:$J,5,FALSE),"")</x:f>
      </x:c>
      <x:c r="G259" s="154" t="str">
        <x:f>IFERROR(VLOOKUP($B259,'Hack Database'!$A:$J,6,FALSE),"")</x:f>
      </x:c>
      <x:c r="H259" s="155"/>
      <x:c r="I259" s="155"/>
      <x:c r="J259" s="154"/>
      <x:c r="K259" s="154" t="str">
        <x:f t="shared" si="4"/>
      </x:c>
      <x:c r="L259" s="154"/>
      <x:c r="M259" s="156"/>
      <x:c r="N259" s="154" t="str">
        <x:f>IFERROR(HYPERLINK(VLOOKUP($B259,'Hack Database'!$A:$J,9,FALSE),"Open Page"),"")</x:f>
      </x:c>
      <x:c r="O259" s="154" t="str">
        <x:f>IFERROR(HYPERLINK(VLOOKUP($B259,'Hack Database'!$A:$J,10,FALSE),"Download"),"")</x:f>
      </x:c>
      <x:c r="P259" s="157"/>
    </x:row>
    <x:row r="260">
      <x:c r="A260" s="154" t="str">
        <x:f>IF($J260="Yes",COUNTIF($J$2:J260,"Yes"),"")</x:f>
      </x:c>
      <x:c r="B260" s="154"/>
      <x:c r="C260" s="154" t="str">
        <x:f>IFERROR(VLOOKUP($B260,'Hack Database'!$A:$J,2,FALSE),"")</x:f>
      </x:c>
      <x:c r="D260" s="154" t="str">
        <x:f>IFERROR(VLOOKUP($B260,'Hack Database'!$A:$J,3,FALSE),"")</x:f>
      </x:c>
      <x:c r="E260" s="154" t="str">
        <x:f>IFERROR(VLOOKUP($B260,'Hack Database'!$A:$J,4,FALSE),"")</x:f>
      </x:c>
      <x:c r="F260" s="154" t="str">
        <x:f>IFERROR(VLOOKUP($B260,'Hack Database'!$A:$J,5,FALSE),"")</x:f>
      </x:c>
      <x:c r="G260" s="154" t="str">
        <x:f>IFERROR(VLOOKUP($B260,'Hack Database'!$A:$J,6,FALSE),"")</x:f>
      </x:c>
      <x:c r="H260" s="155"/>
      <x:c r="I260" s="155"/>
      <x:c r="J260" s="154"/>
      <x:c r="K260" s="154" t="str">
        <x:f t="shared" si="4"/>
      </x:c>
      <x:c r="L260" s="154"/>
      <x:c r="M260" s="156"/>
      <x:c r="N260" s="154" t="str">
        <x:f>IFERROR(HYPERLINK(VLOOKUP($B260,'Hack Database'!$A:$J,9,FALSE),"Open Page"),"")</x:f>
      </x:c>
      <x:c r="O260" s="154" t="str">
        <x:f>IFERROR(HYPERLINK(VLOOKUP($B260,'Hack Database'!$A:$J,10,FALSE),"Download"),"")</x:f>
      </x:c>
      <x:c r="P260" s="157"/>
    </x:row>
    <x:row r="261">
      <x:c r="A261" s="154" t="str">
        <x:f>IF($J261="Yes",COUNTIF($J$2:J261,"Yes"),"")</x:f>
      </x:c>
      <x:c r="B261" s="154"/>
      <x:c r="C261" s="154" t="str">
        <x:f>IFERROR(VLOOKUP($B261,'Hack Database'!$A:$J,2,FALSE),"")</x:f>
      </x:c>
      <x:c r="D261" s="154" t="str">
        <x:f>IFERROR(VLOOKUP($B261,'Hack Database'!$A:$J,3,FALSE),"")</x:f>
      </x:c>
      <x:c r="E261" s="154" t="str">
        <x:f>IFERROR(VLOOKUP($B261,'Hack Database'!$A:$J,4,FALSE),"")</x:f>
      </x:c>
      <x:c r="F261" s="154" t="str">
        <x:f>IFERROR(VLOOKUP($B261,'Hack Database'!$A:$J,5,FALSE),"")</x:f>
      </x:c>
      <x:c r="G261" s="154" t="str">
        <x:f>IFERROR(VLOOKUP($B261,'Hack Database'!$A:$J,6,FALSE),"")</x:f>
      </x:c>
      <x:c r="H261" s="155"/>
      <x:c r="I261" s="155"/>
      <x:c r="J261" s="154"/>
      <x:c r="K261" s="154" t="str">
        <x:f t="shared" si="4"/>
      </x:c>
      <x:c r="L261" s="154"/>
      <x:c r="M261" s="156"/>
      <x:c r="N261" s="154" t="str">
        <x:f>IFERROR(HYPERLINK(VLOOKUP($B261,'Hack Database'!$A:$J,9,FALSE),"Open Page"),"")</x:f>
      </x:c>
      <x:c r="O261" s="154" t="str">
        <x:f>IFERROR(HYPERLINK(VLOOKUP($B261,'Hack Database'!$A:$J,10,FALSE),"Download"),"")</x:f>
      </x:c>
      <x:c r="P261" s="157"/>
    </x:row>
    <x:row r="262">
      <x:c r="A262" s="154" t="str">
        <x:f>IF($J262="Yes",COUNTIF($J$2:J262,"Yes"),"")</x:f>
      </x:c>
      <x:c r="B262" s="154"/>
      <x:c r="C262" s="154" t="str">
        <x:f>IFERROR(VLOOKUP($B262,'Hack Database'!$A:$J,2,FALSE),"")</x:f>
      </x:c>
      <x:c r="D262" s="154" t="str">
        <x:f>IFERROR(VLOOKUP($B262,'Hack Database'!$A:$J,3,FALSE),"")</x:f>
      </x:c>
      <x:c r="E262" s="154" t="str">
        <x:f>IFERROR(VLOOKUP($B262,'Hack Database'!$A:$J,4,FALSE),"")</x:f>
      </x:c>
      <x:c r="F262" s="154" t="str">
        <x:f>IFERROR(VLOOKUP($B262,'Hack Database'!$A:$J,5,FALSE),"")</x:f>
      </x:c>
      <x:c r="G262" s="154" t="str">
        <x:f>IFERROR(VLOOKUP($B262,'Hack Database'!$A:$J,6,FALSE),"")</x:f>
      </x:c>
      <x:c r="H262" s="155"/>
      <x:c r="I262" s="155"/>
      <x:c r="J262" s="154"/>
      <x:c r="K262" s="154" t="str">
        <x:f t="shared" si="4"/>
      </x:c>
      <x:c r="L262" s="154"/>
      <x:c r="M262" s="156"/>
      <x:c r="N262" s="154" t="str">
        <x:f>IFERROR(HYPERLINK(VLOOKUP($B262,'Hack Database'!$A:$J,9,FALSE),"Open Page"),"")</x:f>
      </x:c>
      <x:c r="O262" s="154" t="str">
        <x:f>IFERROR(HYPERLINK(VLOOKUP($B262,'Hack Database'!$A:$J,10,FALSE),"Download"),"")</x:f>
      </x:c>
      <x:c r="P262" s="157"/>
    </x:row>
    <x:row r="263">
      <x:c r="A263" s="154" t="str">
        <x:f>IF($J263="Yes",COUNTIF($J$2:J263,"Yes"),"")</x:f>
      </x:c>
      <x:c r="B263" s="154"/>
      <x:c r="C263" s="154" t="str">
        <x:f>IFERROR(VLOOKUP($B263,'Hack Database'!$A:$J,2,FALSE),"")</x:f>
      </x:c>
      <x:c r="D263" s="154" t="str">
        <x:f>IFERROR(VLOOKUP($B263,'Hack Database'!$A:$J,3,FALSE),"")</x:f>
      </x:c>
      <x:c r="E263" s="154" t="str">
        <x:f>IFERROR(VLOOKUP($B263,'Hack Database'!$A:$J,4,FALSE),"")</x:f>
      </x:c>
      <x:c r="F263" s="154" t="str">
        <x:f>IFERROR(VLOOKUP($B263,'Hack Database'!$A:$J,5,FALSE),"")</x:f>
      </x:c>
      <x:c r="G263" s="154" t="str">
        <x:f>IFERROR(VLOOKUP($B263,'Hack Database'!$A:$J,6,FALSE),"")</x:f>
      </x:c>
      <x:c r="H263" s="155"/>
      <x:c r="I263" s="155"/>
      <x:c r="J263" s="154"/>
      <x:c r="K263" s="154" t="str">
        <x:f t="shared" si="4"/>
      </x:c>
      <x:c r="L263" s="154"/>
      <x:c r="M263" s="156"/>
      <x:c r="N263" s="154" t="str">
        <x:f>IFERROR(HYPERLINK(VLOOKUP($B263,'Hack Database'!$A:$J,9,FALSE),"Open Page"),"")</x:f>
      </x:c>
      <x:c r="O263" s="154" t="str">
        <x:f>IFERROR(HYPERLINK(VLOOKUP($B263,'Hack Database'!$A:$J,10,FALSE),"Download"),"")</x:f>
      </x:c>
      <x:c r="P263" s="157"/>
    </x:row>
    <x:row r="264">
      <x:c r="A264" s="154" t="str">
        <x:f>IF($J264="Yes",COUNTIF($J$2:J264,"Yes"),"")</x:f>
      </x:c>
      <x:c r="B264" s="154"/>
      <x:c r="C264" s="154" t="str">
        <x:f>IFERROR(VLOOKUP($B264,'Hack Database'!$A:$J,2,FALSE),"")</x:f>
      </x:c>
      <x:c r="D264" s="154" t="str">
        <x:f>IFERROR(VLOOKUP($B264,'Hack Database'!$A:$J,3,FALSE),"")</x:f>
      </x:c>
      <x:c r="E264" s="154" t="str">
        <x:f>IFERROR(VLOOKUP($B264,'Hack Database'!$A:$J,4,FALSE),"")</x:f>
      </x:c>
      <x:c r="F264" s="154" t="str">
        <x:f>IFERROR(VLOOKUP($B264,'Hack Database'!$A:$J,5,FALSE),"")</x:f>
      </x:c>
      <x:c r="G264" s="154" t="str">
        <x:f>IFERROR(VLOOKUP($B264,'Hack Database'!$A:$J,6,FALSE),"")</x:f>
      </x:c>
      <x:c r="H264" s="155"/>
      <x:c r="I264" s="155"/>
      <x:c r="J264" s="154"/>
      <x:c r="K264" s="154" t="str">
        <x:f t="shared" si="4"/>
      </x:c>
      <x:c r="L264" s="154"/>
      <x:c r="M264" s="156"/>
      <x:c r="N264" s="154" t="str">
        <x:f>IFERROR(HYPERLINK(VLOOKUP($B264,'Hack Database'!$A:$J,9,FALSE),"Open Page"),"")</x:f>
      </x:c>
      <x:c r="O264" s="154" t="str">
        <x:f>IFERROR(HYPERLINK(VLOOKUP($B264,'Hack Database'!$A:$J,10,FALSE),"Download"),"")</x:f>
      </x:c>
      <x:c r="P264" s="157"/>
    </x:row>
    <x:row r="265">
      <x:c r="A265" s="154" t="str">
        <x:f>IF($J265="Yes",COUNTIF($J$2:J265,"Yes"),"")</x:f>
      </x:c>
      <x:c r="B265" s="154"/>
      <x:c r="C265" s="154" t="str">
        <x:f>IFERROR(VLOOKUP($B265,'Hack Database'!$A:$J,2,FALSE),"")</x:f>
      </x:c>
      <x:c r="D265" s="154" t="str">
        <x:f>IFERROR(VLOOKUP($B265,'Hack Database'!$A:$J,3,FALSE),"")</x:f>
      </x:c>
      <x:c r="E265" s="154" t="str">
        <x:f>IFERROR(VLOOKUP($B265,'Hack Database'!$A:$J,4,FALSE),"")</x:f>
      </x:c>
      <x:c r="F265" s="154" t="str">
        <x:f>IFERROR(VLOOKUP($B265,'Hack Database'!$A:$J,5,FALSE),"")</x:f>
      </x:c>
      <x:c r="G265" s="154" t="str">
        <x:f>IFERROR(VLOOKUP($B265,'Hack Database'!$A:$J,6,FALSE),"")</x:f>
      </x:c>
      <x:c r="H265" s="155"/>
      <x:c r="I265" s="155"/>
      <x:c r="J265" s="154"/>
      <x:c r="K265" s="154" t="str">
        <x:f t="shared" si="4"/>
      </x:c>
      <x:c r="L265" s="154"/>
      <x:c r="M265" s="156"/>
      <x:c r="N265" s="154" t="str">
        <x:f>IFERROR(HYPERLINK(VLOOKUP($B265,'Hack Database'!$A:$J,9,FALSE),"Open Page"),"")</x:f>
      </x:c>
      <x:c r="O265" s="154" t="str">
        <x:f>IFERROR(HYPERLINK(VLOOKUP($B265,'Hack Database'!$A:$J,10,FALSE),"Download"),"")</x:f>
      </x:c>
      <x:c r="P265" s="157"/>
    </x:row>
    <x:row r="266">
      <x:c r="A266" s="154" t="str">
        <x:f>IF($J266="Yes",COUNTIF($J$2:J266,"Yes"),"")</x:f>
      </x:c>
      <x:c r="B266" s="154"/>
      <x:c r="C266" s="154" t="str">
        <x:f>IFERROR(VLOOKUP($B266,'Hack Database'!$A:$J,2,FALSE),"")</x:f>
      </x:c>
      <x:c r="D266" s="154" t="str">
        <x:f>IFERROR(VLOOKUP($B266,'Hack Database'!$A:$J,3,FALSE),"")</x:f>
      </x:c>
      <x:c r="E266" s="154" t="str">
        <x:f>IFERROR(VLOOKUP($B266,'Hack Database'!$A:$J,4,FALSE),"")</x:f>
      </x:c>
      <x:c r="F266" s="154" t="str">
        <x:f>IFERROR(VLOOKUP($B266,'Hack Database'!$A:$J,5,FALSE),"")</x:f>
      </x:c>
      <x:c r="G266" s="154" t="str">
        <x:f>IFERROR(VLOOKUP($B266,'Hack Database'!$A:$J,6,FALSE),"")</x:f>
      </x:c>
      <x:c r="H266" s="155"/>
      <x:c r="I266" s="155"/>
      <x:c r="J266" s="154"/>
      <x:c r="K266" s="154" t="str">
        <x:f t="shared" si="4"/>
      </x:c>
      <x:c r="L266" s="154"/>
      <x:c r="M266" s="156"/>
      <x:c r="N266" s="154" t="str">
        <x:f>IFERROR(HYPERLINK(VLOOKUP($B266,'Hack Database'!$A:$J,9,FALSE),"Open Page"),"")</x:f>
      </x:c>
      <x:c r="O266" s="154" t="str">
        <x:f>IFERROR(HYPERLINK(VLOOKUP($B266,'Hack Database'!$A:$J,10,FALSE),"Download"),"")</x:f>
      </x:c>
      <x:c r="P266" s="157"/>
    </x:row>
    <x:row r="267">
      <x:c r="A267" s="154" t="str">
        <x:f>IF($J267="Yes",COUNTIF($J$2:J267,"Yes"),"")</x:f>
      </x:c>
      <x:c r="B267" s="154"/>
      <x:c r="C267" s="154" t="str">
        <x:f>IFERROR(VLOOKUP($B267,'Hack Database'!$A:$J,2,FALSE),"")</x:f>
      </x:c>
      <x:c r="D267" s="154" t="str">
        <x:f>IFERROR(VLOOKUP($B267,'Hack Database'!$A:$J,3,FALSE),"")</x:f>
      </x:c>
      <x:c r="E267" s="154" t="str">
        <x:f>IFERROR(VLOOKUP($B267,'Hack Database'!$A:$J,4,FALSE),"")</x:f>
      </x:c>
      <x:c r="F267" s="154" t="str">
        <x:f>IFERROR(VLOOKUP($B267,'Hack Database'!$A:$J,5,FALSE),"")</x:f>
      </x:c>
      <x:c r="G267" s="154" t="str">
        <x:f>IFERROR(VLOOKUP($B267,'Hack Database'!$A:$J,6,FALSE),"")</x:f>
      </x:c>
      <x:c r="H267" s="155"/>
      <x:c r="I267" s="155"/>
      <x:c r="J267" s="154"/>
      <x:c r="K267" s="154" t="str">
        <x:f t="shared" si="4"/>
      </x:c>
      <x:c r="L267" s="154"/>
      <x:c r="M267" s="156"/>
      <x:c r="N267" s="154" t="str">
        <x:f>IFERROR(HYPERLINK(VLOOKUP($B267,'Hack Database'!$A:$J,9,FALSE),"Open Page"),"")</x:f>
      </x:c>
      <x:c r="O267" s="154" t="str">
        <x:f>IFERROR(HYPERLINK(VLOOKUP($B267,'Hack Database'!$A:$J,10,FALSE),"Download"),"")</x:f>
      </x:c>
      <x:c r="P267" s="157"/>
    </x:row>
    <x:row r="268">
      <x:c r="A268" s="154" t="str">
        <x:f>IF($J268="Yes",COUNTIF($J$2:J268,"Yes"),"")</x:f>
      </x:c>
      <x:c r="B268" s="154"/>
      <x:c r="C268" s="154" t="str">
        <x:f>IFERROR(VLOOKUP($B268,'Hack Database'!$A:$J,2,FALSE),"")</x:f>
      </x:c>
      <x:c r="D268" s="154" t="str">
        <x:f>IFERROR(VLOOKUP($B268,'Hack Database'!$A:$J,3,FALSE),"")</x:f>
      </x:c>
      <x:c r="E268" s="154" t="str">
        <x:f>IFERROR(VLOOKUP($B268,'Hack Database'!$A:$J,4,FALSE),"")</x:f>
      </x:c>
      <x:c r="F268" s="154" t="str">
        <x:f>IFERROR(VLOOKUP($B268,'Hack Database'!$A:$J,5,FALSE),"")</x:f>
      </x:c>
      <x:c r="G268" s="154" t="str">
        <x:f>IFERROR(VLOOKUP($B268,'Hack Database'!$A:$J,6,FALSE),"")</x:f>
      </x:c>
      <x:c r="H268" s="155"/>
      <x:c r="I268" s="155"/>
      <x:c r="J268" s="154"/>
      <x:c r="K268" s="154" t="str">
        <x:f t="shared" si="4"/>
      </x:c>
      <x:c r="L268" s="154"/>
      <x:c r="M268" s="156"/>
      <x:c r="N268" s="154" t="str">
        <x:f>IFERROR(HYPERLINK(VLOOKUP($B268,'Hack Database'!$A:$J,9,FALSE),"Open Page"),"")</x:f>
      </x:c>
      <x:c r="O268" s="154" t="str">
        <x:f>IFERROR(HYPERLINK(VLOOKUP($B268,'Hack Database'!$A:$J,10,FALSE),"Download"),"")</x:f>
      </x:c>
      <x:c r="P268" s="157"/>
    </x:row>
    <x:row r="269">
      <x:c r="A269" s="154" t="str">
        <x:f>IF($J269="Yes",COUNTIF($J$2:J269,"Yes"),"")</x:f>
      </x:c>
      <x:c r="B269" s="154"/>
      <x:c r="C269" s="154" t="str">
        <x:f>IFERROR(VLOOKUP($B269,'Hack Database'!$A:$J,2,FALSE),"")</x:f>
      </x:c>
      <x:c r="D269" s="154" t="str">
        <x:f>IFERROR(VLOOKUP($B269,'Hack Database'!$A:$J,3,FALSE),"")</x:f>
      </x:c>
      <x:c r="E269" s="154" t="str">
        <x:f>IFERROR(VLOOKUP($B269,'Hack Database'!$A:$J,4,FALSE),"")</x:f>
      </x:c>
      <x:c r="F269" s="154" t="str">
        <x:f>IFERROR(VLOOKUP($B269,'Hack Database'!$A:$J,5,FALSE),"")</x:f>
      </x:c>
      <x:c r="G269" s="154" t="str">
        <x:f>IFERROR(VLOOKUP($B269,'Hack Database'!$A:$J,6,FALSE),"")</x:f>
      </x:c>
      <x:c r="H269" s="155"/>
      <x:c r="I269" s="155"/>
      <x:c r="J269" s="154"/>
      <x:c r="K269" s="154" t="str">
        <x:f t="shared" si="4"/>
      </x:c>
      <x:c r="L269" s="154"/>
      <x:c r="M269" s="156"/>
      <x:c r="N269" s="154" t="str">
        <x:f>IFERROR(HYPERLINK(VLOOKUP($B269,'Hack Database'!$A:$J,9,FALSE),"Open Page"),"")</x:f>
      </x:c>
      <x:c r="O269" s="154" t="str">
        <x:f>IFERROR(HYPERLINK(VLOOKUP($B269,'Hack Database'!$A:$J,10,FALSE),"Download"),"")</x:f>
      </x:c>
      <x:c r="P269" s="157"/>
    </x:row>
    <x:row r="270">
      <x:c r="A270" s="154" t="str">
        <x:f>IF($J270="Yes",COUNTIF($J$2:J270,"Yes"),"")</x:f>
      </x:c>
      <x:c r="B270" s="154"/>
      <x:c r="C270" s="154" t="str">
        <x:f>IFERROR(VLOOKUP($B270,'Hack Database'!$A:$J,2,FALSE),"")</x:f>
      </x:c>
      <x:c r="D270" s="154" t="str">
        <x:f>IFERROR(VLOOKUP($B270,'Hack Database'!$A:$J,3,FALSE),"")</x:f>
      </x:c>
      <x:c r="E270" s="154" t="str">
        <x:f>IFERROR(VLOOKUP($B270,'Hack Database'!$A:$J,4,FALSE),"")</x:f>
      </x:c>
      <x:c r="F270" s="154" t="str">
        <x:f>IFERROR(VLOOKUP($B270,'Hack Database'!$A:$J,5,FALSE),"")</x:f>
      </x:c>
      <x:c r="G270" s="154" t="str">
        <x:f>IFERROR(VLOOKUP($B270,'Hack Database'!$A:$J,6,FALSE),"")</x:f>
      </x:c>
      <x:c r="H270" s="155"/>
      <x:c r="I270" s="155"/>
      <x:c r="J270" s="154"/>
      <x:c r="K270" s="154" t="str">
        <x:f t="shared" si="4"/>
      </x:c>
      <x:c r="L270" s="154"/>
      <x:c r="M270" s="156"/>
      <x:c r="N270" s="154" t="str">
        <x:f>IFERROR(HYPERLINK(VLOOKUP($B270,'Hack Database'!$A:$J,9,FALSE),"Open Page"),"")</x:f>
      </x:c>
      <x:c r="O270" s="154" t="str">
        <x:f>IFERROR(HYPERLINK(VLOOKUP($B270,'Hack Database'!$A:$J,10,FALSE),"Download"),"")</x:f>
      </x:c>
      <x:c r="P270" s="157"/>
    </x:row>
    <x:row r="271">
      <x:c r="A271" s="154" t="str">
        <x:f>IF($J271="Yes",COUNTIF($J$2:J271,"Yes"),"")</x:f>
      </x:c>
      <x:c r="B271" s="154"/>
      <x:c r="C271" s="154" t="str">
        <x:f>IFERROR(VLOOKUP($B271,'Hack Database'!$A:$J,2,FALSE),"")</x:f>
      </x:c>
      <x:c r="D271" s="154" t="str">
        <x:f>IFERROR(VLOOKUP($B271,'Hack Database'!$A:$J,3,FALSE),"")</x:f>
      </x:c>
      <x:c r="E271" s="154" t="str">
        <x:f>IFERROR(VLOOKUP($B271,'Hack Database'!$A:$J,4,FALSE),"")</x:f>
      </x:c>
      <x:c r="F271" s="154" t="str">
        <x:f>IFERROR(VLOOKUP($B271,'Hack Database'!$A:$J,5,FALSE),"")</x:f>
      </x:c>
      <x:c r="G271" s="154" t="str">
        <x:f>IFERROR(VLOOKUP($B271,'Hack Database'!$A:$J,6,FALSE),"")</x:f>
      </x:c>
      <x:c r="H271" s="155"/>
      <x:c r="I271" s="155"/>
      <x:c r="J271" s="154"/>
      <x:c r="K271" s="154" t="str">
        <x:f t="shared" si="4"/>
      </x:c>
      <x:c r="L271" s="154"/>
      <x:c r="M271" s="156"/>
      <x:c r="N271" s="154" t="str">
        <x:f>IFERROR(HYPERLINK(VLOOKUP($B271,'Hack Database'!$A:$J,9,FALSE),"Open Page"),"")</x:f>
      </x:c>
      <x:c r="O271" s="154" t="str">
        <x:f>IFERROR(HYPERLINK(VLOOKUP($B271,'Hack Database'!$A:$J,10,FALSE),"Download"),"")</x:f>
      </x:c>
      <x:c r="P271" s="157"/>
    </x:row>
    <x:row r="272">
      <x:c r="A272" s="154" t="str">
        <x:f>IF($J272="Yes",COUNTIF($J$2:J272,"Yes"),"")</x:f>
      </x:c>
      <x:c r="B272" s="154"/>
      <x:c r="C272" s="154" t="str">
        <x:f>IFERROR(VLOOKUP($B272,'Hack Database'!$A:$J,2,FALSE),"")</x:f>
      </x:c>
      <x:c r="D272" s="154" t="str">
        <x:f>IFERROR(VLOOKUP($B272,'Hack Database'!$A:$J,3,FALSE),"")</x:f>
      </x:c>
      <x:c r="E272" s="154" t="str">
        <x:f>IFERROR(VLOOKUP($B272,'Hack Database'!$A:$J,4,FALSE),"")</x:f>
      </x:c>
      <x:c r="F272" s="154" t="str">
        <x:f>IFERROR(VLOOKUP($B272,'Hack Database'!$A:$J,5,FALSE),"")</x:f>
      </x:c>
      <x:c r="G272" s="154" t="str">
        <x:f>IFERROR(VLOOKUP($B272,'Hack Database'!$A:$J,6,FALSE),"")</x:f>
      </x:c>
      <x:c r="H272" s="155"/>
      <x:c r="I272" s="155"/>
      <x:c r="J272" s="154"/>
      <x:c r="K272" s="154" t="str">
        <x:f t="shared" si="4"/>
      </x:c>
      <x:c r="L272" s="154"/>
      <x:c r="M272" s="156"/>
      <x:c r="N272" s="154" t="str">
        <x:f>IFERROR(HYPERLINK(VLOOKUP($B272,'Hack Database'!$A:$J,9,FALSE),"Open Page"),"")</x:f>
      </x:c>
      <x:c r="O272" s="154" t="str">
        <x:f>IFERROR(HYPERLINK(VLOOKUP($B272,'Hack Database'!$A:$J,10,FALSE),"Download"),"")</x:f>
      </x:c>
      <x:c r="P272" s="157"/>
    </x:row>
    <x:row r="273">
      <x:c r="A273" s="154" t="str">
        <x:f>IF($J273="Yes",COUNTIF($J$2:J273,"Yes"),"")</x:f>
      </x:c>
      <x:c r="B273" s="154"/>
      <x:c r="C273" s="154" t="str">
        <x:f>IFERROR(VLOOKUP($B273,'Hack Database'!$A:$J,2,FALSE),"")</x:f>
      </x:c>
      <x:c r="D273" s="154" t="str">
        <x:f>IFERROR(VLOOKUP($B273,'Hack Database'!$A:$J,3,FALSE),"")</x:f>
      </x:c>
      <x:c r="E273" s="154" t="str">
        <x:f>IFERROR(VLOOKUP($B273,'Hack Database'!$A:$J,4,FALSE),"")</x:f>
      </x:c>
      <x:c r="F273" s="154" t="str">
        <x:f>IFERROR(VLOOKUP($B273,'Hack Database'!$A:$J,5,FALSE),"")</x:f>
      </x:c>
      <x:c r="G273" s="154" t="str">
        <x:f>IFERROR(VLOOKUP($B273,'Hack Database'!$A:$J,6,FALSE),"")</x:f>
      </x:c>
      <x:c r="H273" s="155"/>
      <x:c r="I273" s="155"/>
      <x:c r="J273" s="154"/>
      <x:c r="K273" s="154" t="str">
        <x:f t="shared" si="4"/>
      </x:c>
      <x:c r="L273" s="154"/>
      <x:c r="M273" s="156"/>
      <x:c r="N273" s="154" t="str">
        <x:f>IFERROR(HYPERLINK(VLOOKUP($B273,'Hack Database'!$A:$J,9,FALSE),"Open Page"),"")</x:f>
      </x:c>
      <x:c r="O273" s="154" t="str">
        <x:f>IFERROR(HYPERLINK(VLOOKUP($B273,'Hack Database'!$A:$J,10,FALSE),"Download"),"")</x:f>
      </x:c>
      <x:c r="P273" s="157"/>
    </x:row>
    <x:row r="274">
      <x:c r="A274" s="154" t="str">
        <x:f>IF($J274="Yes",COUNTIF($J$2:J274,"Yes"),"")</x:f>
      </x:c>
      <x:c r="B274" s="154"/>
      <x:c r="C274" s="154" t="str">
        <x:f>IFERROR(VLOOKUP($B274,'Hack Database'!$A:$J,2,FALSE),"")</x:f>
      </x:c>
      <x:c r="D274" s="154" t="str">
        <x:f>IFERROR(VLOOKUP($B274,'Hack Database'!$A:$J,3,FALSE),"")</x:f>
      </x:c>
      <x:c r="E274" s="154" t="str">
        <x:f>IFERROR(VLOOKUP($B274,'Hack Database'!$A:$J,4,FALSE),"")</x:f>
      </x:c>
      <x:c r="F274" s="154" t="str">
        <x:f>IFERROR(VLOOKUP($B274,'Hack Database'!$A:$J,5,FALSE),"")</x:f>
      </x:c>
      <x:c r="G274" s="154" t="str">
        <x:f>IFERROR(VLOOKUP($B274,'Hack Database'!$A:$J,6,FALSE),"")</x:f>
      </x:c>
      <x:c r="H274" s="155"/>
      <x:c r="I274" s="155"/>
      <x:c r="J274" s="154"/>
      <x:c r="K274" s="154" t="str">
        <x:f t="shared" si="4"/>
      </x:c>
      <x:c r="L274" s="154"/>
      <x:c r="M274" s="156"/>
      <x:c r="N274" s="154" t="str">
        <x:f>IFERROR(HYPERLINK(VLOOKUP($B274,'Hack Database'!$A:$J,9,FALSE),"Open Page"),"")</x:f>
      </x:c>
      <x:c r="O274" s="154" t="str">
        <x:f>IFERROR(HYPERLINK(VLOOKUP($B274,'Hack Database'!$A:$J,10,FALSE),"Download"),"")</x:f>
      </x:c>
      <x:c r="P274" s="157"/>
    </x:row>
    <x:row r="275">
      <x:c r="A275" s="154" t="str">
        <x:f>IF($J275="Yes",COUNTIF($J$2:J275,"Yes"),"")</x:f>
      </x:c>
      <x:c r="B275" s="154"/>
      <x:c r="C275" s="154" t="str">
        <x:f>IFERROR(VLOOKUP($B275,'Hack Database'!$A:$J,2,FALSE),"")</x:f>
      </x:c>
      <x:c r="D275" s="154" t="str">
        <x:f>IFERROR(VLOOKUP($B275,'Hack Database'!$A:$J,3,FALSE),"")</x:f>
      </x:c>
      <x:c r="E275" s="154" t="str">
        <x:f>IFERROR(VLOOKUP($B275,'Hack Database'!$A:$J,4,FALSE),"")</x:f>
      </x:c>
      <x:c r="F275" s="154" t="str">
        <x:f>IFERROR(VLOOKUP($B275,'Hack Database'!$A:$J,5,FALSE),"")</x:f>
      </x:c>
      <x:c r="G275" s="154" t="str">
        <x:f>IFERROR(VLOOKUP($B275,'Hack Database'!$A:$J,6,FALSE),"")</x:f>
      </x:c>
      <x:c r="H275" s="155"/>
      <x:c r="I275" s="155"/>
      <x:c r="J275" s="154"/>
      <x:c r="K275" s="154" t="str">
        <x:f t="shared" si="4"/>
      </x:c>
      <x:c r="L275" s="154"/>
      <x:c r="M275" s="156"/>
      <x:c r="N275" s="154" t="str">
        <x:f>IFERROR(HYPERLINK(VLOOKUP($B275,'Hack Database'!$A:$J,9,FALSE),"Open Page"),"")</x:f>
      </x:c>
      <x:c r="O275" s="154" t="str">
        <x:f>IFERROR(HYPERLINK(VLOOKUP($B275,'Hack Database'!$A:$J,10,FALSE),"Download"),"")</x:f>
      </x:c>
      <x:c r="P275" s="157"/>
    </x:row>
    <x:row r="276">
      <x:c r="A276" s="154" t="str">
        <x:f>IF($J276="Yes",COUNTIF($J$2:J276,"Yes"),"")</x:f>
      </x:c>
      <x:c r="B276" s="154"/>
      <x:c r="C276" s="154" t="str">
        <x:f>IFERROR(VLOOKUP($B276,'Hack Database'!$A:$J,2,FALSE),"")</x:f>
      </x:c>
      <x:c r="D276" s="154" t="str">
        <x:f>IFERROR(VLOOKUP($B276,'Hack Database'!$A:$J,3,FALSE),"")</x:f>
      </x:c>
      <x:c r="E276" s="154" t="str">
        <x:f>IFERROR(VLOOKUP($B276,'Hack Database'!$A:$J,4,FALSE),"")</x:f>
      </x:c>
      <x:c r="F276" s="154" t="str">
        <x:f>IFERROR(VLOOKUP($B276,'Hack Database'!$A:$J,5,FALSE),"")</x:f>
      </x:c>
      <x:c r="G276" s="154" t="str">
        <x:f>IFERROR(VLOOKUP($B276,'Hack Database'!$A:$J,6,FALSE),"")</x:f>
      </x:c>
      <x:c r="H276" s="155"/>
      <x:c r="I276" s="155"/>
      <x:c r="J276" s="154"/>
      <x:c r="K276" s="154" t="str">
        <x:f t="shared" si="4"/>
      </x:c>
      <x:c r="L276" s="154"/>
      <x:c r="M276" s="156"/>
      <x:c r="N276" s="154" t="str">
        <x:f>IFERROR(HYPERLINK(VLOOKUP($B276,'Hack Database'!$A:$J,9,FALSE),"Open Page"),"")</x:f>
      </x:c>
      <x:c r="O276" s="154" t="str">
        <x:f>IFERROR(HYPERLINK(VLOOKUP($B276,'Hack Database'!$A:$J,10,FALSE),"Download"),"")</x:f>
      </x:c>
      <x:c r="P276" s="157"/>
    </x:row>
    <x:row r="277">
      <x:c r="A277" s="154" t="str">
        <x:f>IF($J277="Yes",COUNTIF($J$2:J277,"Yes"),"")</x:f>
      </x:c>
      <x:c r="B277" s="154"/>
      <x:c r="C277" s="154" t="str">
        <x:f>IFERROR(VLOOKUP($B277,'Hack Database'!$A:$J,2,FALSE),"")</x:f>
      </x:c>
      <x:c r="D277" s="154" t="str">
        <x:f>IFERROR(VLOOKUP($B277,'Hack Database'!$A:$J,3,FALSE),"")</x:f>
      </x:c>
      <x:c r="E277" s="154" t="str">
        <x:f>IFERROR(VLOOKUP($B277,'Hack Database'!$A:$J,4,FALSE),"")</x:f>
      </x:c>
      <x:c r="F277" s="154" t="str">
        <x:f>IFERROR(VLOOKUP($B277,'Hack Database'!$A:$J,5,FALSE),"")</x:f>
      </x:c>
      <x:c r="G277" s="154" t="str">
        <x:f>IFERROR(VLOOKUP($B277,'Hack Database'!$A:$J,6,FALSE),"")</x:f>
      </x:c>
      <x:c r="H277" s="155"/>
      <x:c r="I277" s="155"/>
      <x:c r="J277" s="154"/>
      <x:c r="K277" s="154" t="str">
        <x:f t="shared" si="4"/>
      </x:c>
      <x:c r="L277" s="154"/>
      <x:c r="M277" s="156"/>
      <x:c r="N277" s="154" t="str">
        <x:f>IFERROR(HYPERLINK(VLOOKUP($B277,'Hack Database'!$A:$J,9,FALSE),"Open Page"),"")</x:f>
      </x:c>
      <x:c r="O277" s="154" t="str">
        <x:f>IFERROR(HYPERLINK(VLOOKUP($B277,'Hack Database'!$A:$J,10,FALSE),"Download"),"")</x:f>
      </x:c>
      <x:c r="P277" s="157"/>
    </x:row>
    <x:row r="278">
      <x:c r="A278" s="154" t="str">
        <x:f>IF($J278="Yes",COUNTIF($J$2:J278,"Yes"),"")</x:f>
      </x:c>
      <x:c r="B278" s="154"/>
      <x:c r="C278" s="154" t="str">
        <x:f>IFERROR(VLOOKUP($B278,'Hack Database'!$A:$J,2,FALSE),"")</x:f>
      </x:c>
      <x:c r="D278" s="154" t="str">
        <x:f>IFERROR(VLOOKUP($B278,'Hack Database'!$A:$J,3,FALSE),"")</x:f>
      </x:c>
      <x:c r="E278" s="154" t="str">
        <x:f>IFERROR(VLOOKUP($B278,'Hack Database'!$A:$J,4,FALSE),"")</x:f>
      </x:c>
      <x:c r="F278" s="154" t="str">
        <x:f>IFERROR(VLOOKUP($B278,'Hack Database'!$A:$J,5,FALSE),"")</x:f>
      </x:c>
      <x:c r="G278" s="154" t="str">
        <x:f>IFERROR(VLOOKUP($B278,'Hack Database'!$A:$J,6,FALSE),"")</x:f>
      </x:c>
      <x:c r="H278" s="155"/>
      <x:c r="I278" s="155"/>
      <x:c r="J278" s="154"/>
      <x:c r="K278" s="154" t="str">
        <x:f t="shared" si="4"/>
      </x:c>
      <x:c r="L278" s="154"/>
      <x:c r="M278" s="156"/>
      <x:c r="N278" s="154" t="str">
        <x:f>IFERROR(HYPERLINK(VLOOKUP($B278,'Hack Database'!$A:$J,9,FALSE),"Open Page"),"")</x:f>
      </x:c>
      <x:c r="O278" s="154" t="str">
        <x:f>IFERROR(HYPERLINK(VLOOKUP($B278,'Hack Database'!$A:$J,10,FALSE),"Download"),"")</x:f>
      </x:c>
      <x:c r="P278" s="157"/>
    </x:row>
    <x:row r="279">
      <x:c r="A279" s="154" t="str">
        <x:f>IF($J279="Yes",COUNTIF($J$2:J279,"Yes"),"")</x:f>
      </x:c>
      <x:c r="B279" s="154"/>
      <x:c r="C279" s="154" t="str">
        <x:f>IFERROR(VLOOKUP($B279,'Hack Database'!$A:$J,2,FALSE),"")</x:f>
      </x:c>
      <x:c r="D279" s="154" t="str">
        <x:f>IFERROR(VLOOKUP($B279,'Hack Database'!$A:$J,3,FALSE),"")</x:f>
      </x:c>
      <x:c r="E279" s="154" t="str">
        <x:f>IFERROR(VLOOKUP($B279,'Hack Database'!$A:$J,4,FALSE),"")</x:f>
      </x:c>
      <x:c r="F279" s="154" t="str">
        <x:f>IFERROR(VLOOKUP($B279,'Hack Database'!$A:$J,5,FALSE),"")</x:f>
      </x:c>
      <x:c r="G279" s="154" t="str">
        <x:f>IFERROR(VLOOKUP($B279,'Hack Database'!$A:$J,6,FALSE),"")</x:f>
      </x:c>
      <x:c r="H279" s="155"/>
      <x:c r="I279" s="155"/>
      <x:c r="J279" s="154"/>
      <x:c r="K279" s="154" t="str">
        <x:f t="shared" si="4"/>
      </x:c>
      <x:c r="L279" s="154"/>
      <x:c r="M279" s="156"/>
      <x:c r="N279" s="154" t="str">
        <x:f>IFERROR(HYPERLINK(VLOOKUP($B279,'Hack Database'!$A:$J,9,FALSE),"Open Page"),"")</x:f>
      </x:c>
      <x:c r="O279" s="154" t="str">
        <x:f>IFERROR(HYPERLINK(VLOOKUP($B279,'Hack Database'!$A:$J,10,FALSE),"Download"),"")</x:f>
      </x:c>
      <x:c r="P279" s="157"/>
    </x:row>
    <x:row r="280">
      <x:c r="A280" s="154" t="str">
        <x:f>IF($J280="Yes",COUNTIF($J$2:J280,"Yes"),"")</x:f>
      </x:c>
      <x:c r="B280" s="154"/>
      <x:c r="C280" s="154" t="str">
        <x:f>IFERROR(VLOOKUP($B280,'Hack Database'!$A:$J,2,FALSE),"")</x:f>
      </x:c>
      <x:c r="D280" s="154" t="str">
        <x:f>IFERROR(VLOOKUP($B280,'Hack Database'!$A:$J,3,FALSE),"")</x:f>
      </x:c>
      <x:c r="E280" s="154" t="str">
        <x:f>IFERROR(VLOOKUP($B280,'Hack Database'!$A:$J,4,FALSE),"")</x:f>
      </x:c>
      <x:c r="F280" s="154" t="str">
        <x:f>IFERROR(VLOOKUP($B280,'Hack Database'!$A:$J,5,FALSE),"")</x:f>
      </x:c>
      <x:c r="G280" s="154" t="str">
        <x:f>IFERROR(VLOOKUP($B280,'Hack Database'!$A:$J,6,FALSE),"")</x:f>
      </x:c>
      <x:c r="H280" s="155"/>
      <x:c r="I280" s="155"/>
      <x:c r="J280" s="154"/>
      <x:c r="K280" s="154" t="str">
        <x:f t="shared" si="4"/>
      </x:c>
      <x:c r="L280" s="154"/>
      <x:c r="M280" s="156"/>
      <x:c r="N280" s="154" t="str">
        <x:f>IFERROR(HYPERLINK(VLOOKUP($B280,'Hack Database'!$A:$J,9,FALSE),"Open Page"),"")</x:f>
      </x:c>
      <x:c r="O280" s="154" t="str">
        <x:f>IFERROR(HYPERLINK(VLOOKUP($B280,'Hack Database'!$A:$J,10,FALSE),"Download"),"")</x:f>
      </x:c>
      <x:c r="P280" s="157"/>
    </x:row>
    <x:row r="281">
      <x:c r="A281" s="154" t="str">
        <x:f>IF($J281="Yes",COUNTIF($J$2:J281,"Yes"),"")</x:f>
      </x:c>
      <x:c r="B281" s="154"/>
      <x:c r="C281" s="154" t="str">
        <x:f>IFERROR(VLOOKUP($B281,'Hack Database'!$A:$J,2,FALSE),"")</x:f>
      </x:c>
      <x:c r="D281" s="154" t="str">
        <x:f>IFERROR(VLOOKUP($B281,'Hack Database'!$A:$J,3,FALSE),"")</x:f>
      </x:c>
      <x:c r="E281" s="154" t="str">
        <x:f>IFERROR(VLOOKUP($B281,'Hack Database'!$A:$J,4,FALSE),"")</x:f>
      </x:c>
      <x:c r="F281" s="154" t="str">
        <x:f>IFERROR(VLOOKUP($B281,'Hack Database'!$A:$J,5,FALSE),"")</x:f>
      </x:c>
      <x:c r="G281" s="154" t="str">
        <x:f>IFERROR(VLOOKUP($B281,'Hack Database'!$A:$J,6,FALSE),"")</x:f>
      </x:c>
      <x:c r="H281" s="155"/>
      <x:c r="I281" s="155"/>
      <x:c r="J281" s="154"/>
      <x:c r="K281" s="154" t="str">
        <x:f t="shared" si="4"/>
      </x:c>
      <x:c r="L281" s="154"/>
      <x:c r="M281" s="156"/>
      <x:c r="N281" s="154" t="str">
        <x:f>IFERROR(HYPERLINK(VLOOKUP($B281,'Hack Database'!$A:$J,9,FALSE),"Open Page"),"")</x:f>
      </x:c>
      <x:c r="O281" s="154" t="str">
        <x:f>IFERROR(HYPERLINK(VLOOKUP($B281,'Hack Database'!$A:$J,10,FALSE),"Download"),"")</x:f>
      </x:c>
      <x:c r="P281" s="157"/>
    </x:row>
    <x:row r="282">
      <x:c r="A282" s="154" t="str">
        <x:f>IF($J282="Yes",COUNTIF($J$2:J282,"Yes"),"")</x:f>
      </x:c>
      <x:c r="B282" s="154"/>
      <x:c r="C282" s="154" t="str">
        <x:f>IFERROR(VLOOKUP($B282,'Hack Database'!$A:$J,2,FALSE),"")</x:f>
      </x:c>
      <x:c r="D282" s="154" t="str">
        <x:f>IFERROR(VLOOKUP($B282,'Hack Database'!$A:$J,3,FALSE),"")</x:f>
      </x:c>
      <x:c r="E282" s="154" t="str">
        <x:f>IFERROR(VLOOKUP($B282,'Hack Database'!$A:$J,4,FALSE),"")</x:f>
      </x:c>
      <x:c r="F282" s="154" t="str">
        <x:f>IFERROR(VLOOKUP($B282,'Hack Database'!$A:$J,5,FALSE),"")</x:f>
      </x:c>
      <x:c r="G282" s="154" t="str">
        <x:f>IFERROR(VLOOKUP($B282,'Hack Database'!$A:$J,6,FALSE),"")</x:f>
      </x:c>
      <x:c r="H282" s="155"/>
      <x:c r="I282" s="155"/>
      <x:c r="J282" s="154"/>
      <x:c r="K282" s="154" t="str">
        <x:f t="shared" si="4"/>
      </x:c>
      <x:c r="L282" s="154"/>
      <x:c r="M282" s="156"/>
      <x:c r="N282" s="154" t="str">
        <x:f>IFERROR(HYPERLINK(VLOOKUP($B282,'Hack Database'!$A:$J,9,FALSE),"Open Page"),"")</x:f>
      </x:c>
      <x:c r="O282" s="154" t="str">
        <x:f>IFERROR(HYPERLINK(VLOOKUP($B282,'Hack Database'!$A:$J,10,FALSE),"Download"),"")</x:f>
      </x:c>
      <x:c r="P282" s="157"/>
    </x:row>
    <x:row r="283">
      <x:c r="A283" s="154" t="str">
        <x:f>IF($J283="Yes",COUNTIF($J$2:J283,"Yes"),"")</x:f>
      </x:c>
      <x:c r="B283" s="154"/>
      <x:c r="C283" s="154" t="str">
        <x:f>IFERROR(VLOOKUP($B283,'Hack Database'!$A:$J,2,FALSE),"")</x:f>
      </x:c>
      <x:c r="D283" s="154" t="str">
        <x:f>IFERROR(VLOOKUP($B283,'Hack Database'!$A:$J,3,FALSE),"")</x:f>
      </x:c>
      <x:c r="E283" s="154" t="str">
        <x:f>IFERROR(VLOOKUP($B283,'Hack Database'!$A:$J,4,FALSE),"")</x:f>
      </x:c>
      <x:c r="F283" s="154" t="str">
        <x:f>IFERROR(VLOOKUP($B283,'Hack Database'!$A:$J,5,FALSE),"")</x:f>
      </x:c>
      <x:c r="G283" s="154" t="str">
        <x:f>IFERROR(VLOOKUP($B283,'Hack Database'!$A:$J,6,FALSE),"")</x:f>
      </x:c>
      <x:c r="H283" s="155"/>
      <x:c r="I283" s="155"/>
      <x:c r="J283" s="154"/>
      <x:c r="K283" s="154" t="str">
        <x:f t="shared" si="4"/>
      </x:c>
      <x:c r="L283" s="154"/>
      <x:c r="M283" s="156"/>
      <x:c r="N283" s="154" t="str">
        <x:f>IFERROR(HYPERLINK(VLOOKUP($B283,'Hack Database'!$A:$J,9,FALSE),"Open Page"),"")</x:f>
      </x:c>
      <x:c r="O283" s="154" t="str">
        <x:f>IFERROR(HYPERLINK(VLOOKUP($B283,'Hack Database'!$A:$J,10,FALSE),"Download"),"")</x:f>
      </x:c>
      <x:c r="P283" s="157"/>
    </x:row>
    <x:row r="284">
      <x:c r="A284" s="154" t="str">
        <x:f>IF($J284="Yes",COUNTIF($J$2:J284,"Yes"),"")</x:f>
      </x:c>
      <x:c r="B284" s="154"/>
      <x:c r="C284" s="154" t="str">
        <x:f>IFERROR(VLOOKUP($B284,'Hack Database'!$A:$J,2,FALSE),"")</x:f>
      </x:c>
      <x:c r="D284" s="154" t="str">
        <x:f>IFERROR(VLOOKUP($B284,'Hack Database'!$A:$J,3,FALSE),"")</x:f>
      </x:c>
      <x:c r="E284" s="154" t="str">
        <x:f>IFERROR(VLOOKUP($B284,'Hack Database'!$A:$J,4,FALSE),"")</x:f>
      </x:c>
      <x:c r="F284" s="154" t="str">
        <x:f>IFERROR(VLOOKUP($B284,'Hack Database'!$A:$J,5,FALSE),"")</x:f>
      </x:c>
      <x:c r="G284" s="154" t="str">
        <x:f>IFERROR(VLOOKUP($B284,'Hack Database'!$A:$J,6,FALSE),"")</x:f>
      </x:c>
      <x:c r="H284" s="155"/>
      <x:c r="I284" s="155"/>
      <x:c r="J284" s="154"/>
      <x:c r="K284" s="154" t="str">
        <x:f t="shared" si="4"/>
      </x:c>
      <x:c r="L284" s="154"/>
      <x:c r="M284" s="156"/>
      <x:c r="N284" s="154" t="str">
        <x:f>IFERROR(HYPERLINK(VLOOKUP($B284,'Hack Database'!$A:$J,9,FALSE),"Open Page"),"")</x:f>
      </x:c>
      <x:c r="O284" s="154" t="str">
        <x:f>IFERROR(HYPERLINK(VLOOKUP($B284,'Hack Database'!$A:$J,10,FALSE),"Download"),"")</x:f>
      </x:c>
      <x:c r="P284" s="157"/>
    </x:row>
    <x:row r="285">
      <x:c r="A285" s="154" t="str">
        <x:f>IF($J285="Yes",COUNTIF($J$2:J285,"Yes"),"")</x:f>
      </x:c>
      <x:c r="B285" s="154"/>
      <x:c r="C285" s="154" t="str">
        <x:f>IFERROR(VLOOKUP($B285,'Hack Database'!$A:$J,2,FALSE),"")</x:f>
      </x:c>
      <x:c r="D285" s="154" t="str">
        <x:f>IFERROR(VLOOKUP($B285,'Hack Database'!$A:$J,3,FALSE),"")</x:f>
      </x:c>
      <x:c r="E285" s="154" t="str">
        <x:f>IFERROR(VLOOKUP($B285,'Hack Database'!$A:$J,4,FALSE),"")</x:f>
      </x:c>
      <x:c r="F285" s="154" t="str">
        <x:f>IFERROR(VLOOKUP($B285,'Hack Database'!$A:$J,5,FALSE),"")</x:f>
      </x:c>
      <x:c r="G285" s="154" t="str">
        <x:f>IFERROR(VLOOKUP($B285,'Hack Database'!$A:$J,6,FALSE),"")</x:f>
      </x:c>
      <x:c r="H285" s="155"/>
      <x:c r="I285" s="155"/>
      <x:c r="J285" s="154"/>
      <x:c r="K285" s="154" t="str">
        <x:f t="shared" si="4"/>
      </x:c>
      <x:c r="L285" s="154"/>
      <x:c r="M285" s="156"/>
      <x:c r="N285" s="154" t="str">
        <x:f>IFERROR(HYPERLINK(VLOOKUP($B285,'Hack Database'!$A:$J,9,FALSE),"Open Page"),"")</x:f>
      </x:c>
      <x:c r="O285" s="154" t="str">
        <x:f>IFERROR(HYPERLINK(VLOOKUP($B285,'Hack Database'!$A:$J,10,FALSE),"Download"),"")</x:f>
      </x:c>
      <x:c r="P285" s="157"/>
    </x:row>
    <x:row r="286">
      <x:c r="A286" s="154" t="str">
        <x:f>IF($J286="Yes",COUNTIF($J$2:J286,"Yes"),"")</x:f>
      </x:c>
      <x:c r="B286" s="154"/>
      <x:c r="C286" s="154" t="str">
        <x:f>IFERROR(VLOOKUP($B286,'Hack Database'!$A:$J,2,FALSE),"")</x:f>
      </x:c>
      <x:c r="D286" s="154" t="str">
        <x:f>IFERROR(VLOOKUP($B286,'Hack Database'!$A:$J,3,FALSE),"")</x:f>
      </x:c>
      <x:c r="E286" s="154" t="str">
        <x:f>IFERROR(VLOOKUP($B286,'Hack Database'!$A:$J,4,FALSE),"")</x:f>
      </x:c>
      <x:c r="F286" s="154" t="str">
        <x:f>IFERROR(VLOOKUP($B286,'Hack Database'!$A:$J,5,FALSE),"")</x:f>
      </x:c>
      <x:c r="G286" s="154" t="str">
        <x:f>IFERROR(VLOOKUP($B286,'Hack Database'!$A:$J,6,FALSE),"")</x:f>
      </x:c>
      <x:c r="H286" s="155"/>
      <x:c r="I286" s="155"/>
      <x:c r="J286" s="154"/>
      <x:c r="K286" s="154" t="str">
        <x:f t="shared" si="4"/>
      </x:c>
      <x:c r="L286" s="154"/>
      <x:c r="M286" s="156"/>
      <x:c r="N286" s="154" t="str">
        <x:f>IFERROR(HYPERLINK(VLOOKUP($B286,'Hack Database'!$A:$J,9,FALSE),"Open Page"),"")</x:f>
      </x:c>
      <x:c r="O286" s="154" t="str">
        <x:f>IFERROR(HYPERLINK(VLOOKUP($B286,'Hack Database'!$A:$J,10,FALSE),"Download"),"")</x:f>
      </x:c>
      <x:c r="P286" s="157"/>
    </x:row>
    <x:row r="287">
      <x:c r="A287" s="154" t="str">
        <x:f>IF($J287="Yes",COUNTIF($J$2:J287,"Yes"),"")</x:f>
      </x:c>
      <x:c r="B287" s="154"/>
      <x:c r="C287" s="154" t="str">
        <x:f>IFERROR(VLOOKUP($B287,'Hack Database'!$A:$J,2,FALSE),"")</x:f>
      </x:c>
      <x:c r="D287" s="154" t="str">
        <x:f>IFERROR(VLOOKUP($B287,'Hack Database'!$A:$J,3,FALSE),"")</x:f>
      </x:c>
      <x:c r="E287" s="154" t="str">
        <x:f>IFERROR(VLOOKUP($B287,'Hack Database'!$A:$J,4,FALSE),"")</x:f>
      </x:c>
      <x:c r="F287" s="154" t="str">
        <x:f>IFERROR(VLOOKUP($B287,'Hack Database'!$A:$J,5,FALSE),"")</x:f>
      </x:c>
      <x:c r="G287" s="154" t="str">
        <x:f>IFERROR(VLOOKUP($B287,'Hack Database'!$A:$J,6,FALSE),"")</x:f>
      </x:c>
      <x:c r="H287" s="155"/>
      <x:c r="I287" s="155"/>
      <x:c r="J287" s="154"/>
      <x:c r="K287" s="154" t="str">
        <x:f t="shared" si="4"/>
      </x:c>
      <x:c r="L287" s="154"/>
      <x:c r="M287" s="156"/>
      <x:c r="N287" s="154" t="str">
        <x:f>IFERROR(HYPERLINK(VLOOKUP($B287,'Hack Database'!$A:$J,9,FALSE),"Open Page"),"")</x:f>
      </x:c>
      <x:c r="O287" s="154" t="str">
        <x:f>IFERROR(HYPERLINK(VLOOKUP($B287,'Hack Database'!$A:$J,10,FALSE),"Download"),"")</x:f>
      </x:c>
      <x:c r="P287" s="157"/>
    </x:row>
    <x:row r="288">
      <x:c r="A288" s="154" t="str">
        <x:f>IF($J288="Yes",COUNTIF($J$2:J288,"Yes"),"")</x:f>
      </x:c>
      <x:c r="B288" s="154"/>
      <x:c r="C288" s="154" t="str">
        <x:f>IFERROR(VLOOKUP($B288,'Hack Database'!$A:$J,2,FALSE),"")</x:f>
      </x:c>
      <x:c r="D288" s="154" t="str">
        <x:f>IFERROR(VLOOKUP($B288,'Hack Database'!$A:$J,3,FALSE),"")</x:f>
      </x:c>
      <x:c r="E288" s="154" t="str">
        <x:f>IFERROR(VLOOKUP($B288,'Hack Database'!$A:$J,4,FALSE),"")</x:f>
      </x:c>
      <x:c r="F288" s="154" t="str">
        <x:f>IFERROR(VLOOKUP($B288,'Hack Database'!$A:$J,5,FALSE),"")</x:f>
      </x:c>
      <x:c r="G288" s="154" t="str">
        <x:f>IFERROR(VLOOKUP($B288,'Hack Database'!$A:$J,6,FALSE),"")</x:f>
      </x:c>
      <x:c r="H288" s="155"/>
      <x:c r="I288" s="155"/>
      <x:c r="J288" s="154"/>
      <x:c r="K288" s="154" t="str">
        <x:f t="shared" si="4"/>
      </x:c>
      <x:c r="L288" s="154"/>
      <x:c r="M288" s="156"/>
      <x:c r="N288" s="154" t="str">
        <x:f>IFERROR(HYPERLINK(VLOOKUP($B288,'Hack Database'!$A:$J,9,FALSE),"Open Page"),"")</x:f>
      </x:c>
      <x:c r="O288" s="154" t="str">
        <x:f>IFERROR(HYPERLINK(VLOOKUP($B288,'Hack Database'!$A:$J,10,FALSE),"Download"),"")</x:f>
      </x:c>
      <x:c r="P288" s="157"/>
    </x:row>
    <x:row r="289">
      <x:c r="A289" s="154" t="str">
        <x:f>IF($J289="Yes",COUNTIF($J$2:J289,"Yes"),"")</x:f>
      </x:c>
      <x:c r="B289" s="154"/>
      <x:c r="C289" s="154" t="str">
        <x:f>IFERROR(VLOOKUP($B289,'Hack Database'!$A:$J,2,FALSE),"")</x:f>
      </x:c>
      <x:c r="D289" s="154" t="str">
        <x:f>IFERROR(VLOOKUP($B289,'Hack Database'!$A:$J,3,FALSE),"")</x:f>
      </x:c>
      <x:c r="E289" s="154" t="str">
        <x:f>IFERROR(VLOOKUP($B289,'Hack Database'!$A:$J,4,FALSE),"")</x:f>
      </x:c>
      <x:c r="F289" s="154" t="str">
        <x:f>IFERROR(VLOOKUP($B289,'Hack Database'!$A:$J,5,FALSE),"")</x:f>
      </x:c>
      <x:c r="G289" s="154" t="str">
        <x:f>IFERROR(VLOOKUP($B289,'Hack Database'!$A:$J,6,FALSE),"")</x:f>
      </x:c>
      <x:c r="H289" s="155"/>
      <x:c r="I289" s="155"/>
      <x:c r="J289" s="154"/>
      <x:c r="K289" s="154" t="str">
        <x:f t="shared" si="4"/>
      </x:c>
      <x:c r="L289" s="154"/>
      <x:c r="M289" s="156"/>
      <x:c r="N289" s="154" t="str">
        <x:f>IFERROR(HYPERLINK(VLOOKUP($B289,'Hack Database'!$A:$J,9,FALSE),"Open Page"),"")</x:f>
      </x:c>
      <x:c r="O289" s="154" t="str">
        <x:f>IFERROR(HYPERLINK(VLOOKUP($B289,'Hack Database'!$A:$J,10,FALSE),"Download"),"")</x:f>
      </x:c>
      <x:c r="P289" s="157"/>
    </x:row>
    <x:row r="290">
      <x:c r="A290" s="154" t="str">
        <x:f>IF($J290="Yes",COUNTIF($J$2:J290,"Yes"),"")</x:f>
      </x:c>
      <x:c r="B290" s="154"/>
      <x:c r="C290" s="154" t="str">
        <x:f>IFERROR(VLOOKUP($B290,'Hack Database'!$A:$J,2,FALSE),"")</x:f>
      </x:c>
      <x:c r="D290" s="154" t="str">
        <x:f>IFERROR(VLOOKUP($B290,'Hack Database'!$A:$J,3,FALSE),"")</x:f>
      </x:c>
      <x:c r="E290" s="154" t="str">
        <x:f>IFERROR(VLOOKUP($B290,'Hack Database'!$A:$J,4,FALSE),"")</x:f>
      </x:c>
      <x:c r="F290" s="154" t="str">
        <x:f>IFERROR(VLOOKUP($B290,'Hack Database'!$A:$J,5,FALSE),"")</x:f>
      </x:c>
      <x:c r="G290" s="154" t="str">
        <x:f>IFERROR(VLOOKUP($B290,'Hack Database'!$A:$J,6,FALSE),"")</x:f>
      </x:c>
      <x:c r="H290" s="155"/>
      <x:c r="I290" s="155"/>
      <x:c r="J290" s="154"/>
      <x:c r="K290" s="154" t="str">
        <x:f t="shared" si="4"/>
      </x:c>
      <x:c r="L290" s="154"/>
      <x:c r="M290" s="156"/>
      <x:c r="N290" s="154" t="str">
        <x:f>IFERROR(HYPERLINK(VLOOKUP($B290,'Hack Database'!$A:$J,9,FALSE),"Open Page"),"")</x:f>
      </x:c>
      <x:c r="O290" s="154" t="str">
        <x:f>IFERROR(HYPERLINK(VLOOKUP($B290,'Hack Database'!$A:$J,10,FALSE),"Download"),"")</x:f>
      </x:c>
      <x:c r="P290" s="157"/>
    </x:row>
    <x:row r="291">
      <x:c r="A291" s="154" t="str">
        <x:f>IF($J291="Yes",COUNTIF($J$2:J291,"Yes"),"")</x:f>
      </x:c>
      <x:c r="B291" s="154"/>
      <x:c r="C291" s="154" t="str">
        <x:f>IFERROR(VLOOKUP($B291,'Hack Database'!$A:$J,2,FALSE),"")</x:f>
      </x:c>
      <x:c r="D291" s="154" t="str">
        <x:f>IFERROR(VLOOKUP($B291,'Hack Database'!$A:$J,3,FALSE),"")</x:f>
      </x:c>
      <x:c r="E291" s="154" t="str">
        <x:f>IFERROR(VLOOKUP($B291,'Hack Database'!$A:$J,4,FALSE),"")</x:f>
      </x:c>
      <x:c r="F291" s="154" t="str">
        <x:f>IFERROR(VLOOKUP($B291,'Hack Database'!$A:$J,5,FALSE),"")</x:f>
      </x:c>
      <x:c r="G291" s="154" t="str">
        <x:f>IFERROR(VLOOKUP($B291,'Hack Database'!$A:$J,6,FALSE),"")</x:f>
      </x:c>
      <x:c r="H291" s="155"/>
      <x:c r="I291" s="155"/>
      <x:c r="J291" s="154"/>
      <x:c r="K291" s="154" t="str">
        <x:f t="shared" si="4"/>
      </x:c>
      <x:c r="L291" s="154"/>
      <x:c r="M291" s="156"/>
      <x:c r="N291" s="154" t="str">
        <x:f>IFERROR(HYPERLINK(VLOOKUP($B291,'Hack Database'!$A:$J,9,FALSE),"Open Page"),"")</x:f>
      </x:c>
      <x:c r="O291" s="154" t="str">
        <x:f>IFERROR(HYPERLINK(VLOOKUP($B291,'Hack Database'!$A:$J,10,FALSE),"Download"),"")</x:f>
      </x:c>
      <x:c r="P291" s="157"/>
    </x:row>
    <x:row r="292">
      <x:c r="A292" s="154" t="str">
        <x:f>IF($J292="Yes",COUNTIF($J$2:J292,"Yes"),"")</x:f>
      </x:c>
      <x:c r="B292" s="154"/>
      <x:c r="C292" s="154" t="str">
        <x:f>IFERROR(VLOOKUP($B292,'Hack Database'!$A:$J,2,FALSE),"")</x:f>
      </x:c>
      <x:c r="D292" s="154" t="str">
        <x:f>IFERROR(VLOOKUP($B292,'Hack Database'!$A:$J,3,FALSE),"")</x:f>
      </x:c>
      <x:c r="E292" s="154" t="str">
        <x:f>IFERROR(VLOOKUP($B292,'Hack Database'!$A:$J,4,FALSE),"")</x:f>
      </x:c>
      <x:c r="F292" s="154" t="str">
        <x:f>IFERROR(VLOOKUP($B292,'Hack Database'!$A:$J,5,FALSE),"")</x:f>
      </x:c>
      <x:c r="G292" s="154" t="str">
        <x:f>IFERROR(VLOOKUP($B292,'Hack Database'!$A:$J,6,FALSE),"")</x:f>
      </x:c>
      <x:c r="H292" s="155"/>
      <x:c r="I292" s="155"/>
      <x:c r="J292" s="154"/>
      <x:c r="K292" s="154" t="str">
        <x:f t="shared" si="4"/>
      </x:c>
      <x:c r="L292" s="154"/>
      <x:c r="M292" s="156"/>
      <x:c r="N292" s="154" t="str">
        <x:f>IFERROR(HYPERLINK(VLOOKUP($B292,'Hack Database'!$A:$J,9,FALSE),"Open Page"),"")</x:f>
      </x:c>
      <x:c r="O292" s="154" t="str">
        <x:f>IFERROR(HYPERLINK(VLOOKUP($B292,'Hack Database'!$A:$J,10,FALSE),"Download"),"")</x:f>
      </x:c>
      <x:c r="P292" s="157"/>
    </x:row>
    <x:row r="293">
      <x:c r="A293" s="154" t="str">
        <x:f>IF($J293="Yes",COUNTIF($J$2:J293,"Yes"),"")</x:f>
      </x:c>
      <x:c r="B293" s="154"/>
      <x:c r="C293" s="154" t="str">
        <x:f>IFERROR(VLOOKUP($B293,'Hack Database'!$A:$J,2,FALSE),"")</x:f>
      </x:c>
      <x:c r="D293" s="154" t="str">
        <x:f>IFERROR(VLOOKUP($B293,'Hack Database'!$A:$J,3,FALSE),"")</x:f>
      </x:c>
      <x:c r="E293" s="154" t="str">
        <x:f>IFERROR(VLOOKUP($B293,'Hack Database'!$A:$J,4,FALSE),"")</x:f>
      </x:c>
      <x:c r="F293" s="154" t="str">
        <x:f>IFERROR(VLOOKUP($B293,'Hack Database'!$A:$J,5,FALSE),"")</x:f>
      </x:c>
      <x:c r="G293" s="154" t="str">
        <x:f>IFERROR(VLOOKUP($B293,'Hack Database'!$A:$J,6,FALSE),"")</x:f>
      </x:c>
      <x:c r="H293" s="155"/>
      <x:c r="I293" s="155"/>
      <x:c r="J293" s="154"/>
      <x:c r="K293" s="154" t="str">
        <x:f t="shared" si="4"/>
      </x:c>
      <x:c r="L293" s="154"/>
      <x:c r="M293" s="156"/>
      <x:c r="N293" s="154" t="str">
        <x:f>IFERROR(HYPERLINK(VLOOKUP($B293,'Hack Database'!$A:$J,9,FALSE),"Open Page"),"")</x:f>
      </x:c>
      <x:c r="O293" s="154" t="str">
        <x:f>IFERROR(HYPERLINK(VLOOKUP($B293,'Hack Database'!$A:$J,10,FALSE),"Download"),"")</x:f>
      </x:c>
      <x:c r="P293" s="157"/>
    </x:row>
    <x:row r="294">
      <x:c r="A294" s="154" t="str">
        <x:f>IF($J294="Yes",COUNTIF($J$2:J294,"Yes"),"")</x:f>
      </x:c>
      <x:c r="B294" s="154"/>
      <x:c r="C294" s="154" t="str">
        <x:f>IFERROR(VLOOKUP($B294,'Hack Database'!$A:$J,2,FALSE),"")</x:f>
      </x:c>
      <x:c r="D294" s="154" t="str">
        <x:f>IFERROR(VLOOKUP($B294,'Hack Database'!$A:$J,3,FALSE),"")</x:f>
      </x:c>
      <x:c r="E294" s="154" t="str">
        <x:f>IFERROR(VLOOKUP($B294,'Hack Database'!$A:$J,4,FALSE),"")</x:f>
      </x:c>
      <x:c r="F294" s="154" t="str">
        <x:f>IFERROR(VLOOKUP($B294,'Hack Database'!$A:$J,5,FALSE),"")</x:f>
      </x:c>
      <x:c r="G294" s="154" t="str">
        <x:f>IFERROR(VLOOKUP($B294,'Hack Database'!$A:$J,6,FALSE),"")</x:f>
      </x:c>
      <x:c r="H294" s="155"/>
      <x:c r="I294" s="155"/>
      <x:c r="J294" s="154"/>
      <x:c r="K294" s="154" t="str">
        <x:f t="shared" si="4"/>
      </x:c>
      <x:c r="L294" s="154"/>
      <x:c r="M294" s="156"/>
      <x:c r="N294" s="154" t="str">
        <x:f>IFERROR(HYPERLINK(VLOOKUP($B294,'Hack Database'!$A:$J,9,FALSE),"Open Page"),"")</x:f>
      </x:c>
      <x:c r="O294" s="154" t="str">
        <x:f>IFERROR(HYPERLINK(VLOOKUP($B294,'Hack Database'!$A:$J,10,FALSE),"Download"),"")</x:f>
      </x:c>
      <x:c r="P294" s="157"/>
    </x:row>
    <x:row r="295">
      <x:c r="A295" s="154" t="str">
        <x:f>IF($J295="Yes",COUNTIF($J$2:J295,"Yes"),"")</x:f>
      </x:c>
      <x:c r="B295" s="154"/>
      <x:c r="C295" s="154" t="str">
        <x:f>IFERROR(VLOOKUP($B295,'Hack Database'!$A:$J,2,FALSE),"")</x:f>
      </x:c>
      <x:c r="D295" s="154" t="str">
        <x:f>IFERROR(VLOOKUP($B295,'Hack Database'!$A:$J,3,FALSE),"")</x:f>
      </x:c>
      <x:c r="E295" s="154" t="str">
        <x:f>IFERROR(VLOOKUP($B295,'Hack Database'!$A:$J,4,FALSE),"")</x:f>
      </x:c>
      <x:c r="F295" s="154" t="str">
        <x:f>IFERROR(VLOOKUP($B295,'Hack Database'!$A:$J,5,FALSE),"")</x:f>
      </x:c>
      <x:c r="G295" s="154" t="str">
        <x:f>IFERROR(VLOOKUP($B295,'Hack Database'!$A:$J,6,FALSE),"")</x:f>
      </x:c>
      <x:c r="H295" s="155"/>
      <x:c r="I295" s="155"/>
      <x:c r="J295" s="154"/>
      <x:c r="K295" s="154" t="str">
        <x:f t="shared" si="4"/>
      </x:c>
      <x:c r="L295" s="154"/>
      <x:c r="M295" s="156"/>
      <x:c r="N295" s="154" t="str">
        <x:f>IFERROR(HYPERLINK(VLOOKUP($B295,'Hack Database'!$A:$J,9,FALSE),"Open Page"),"")</x:f>
      </x:c>
      <x:c r="O295" s="154" t="str">
        <x:f>IFERROR(HYPERLINK(VLOOKUP($B295,'Hack Database'!$A:$J,10,FALSE),"Download"),"")</x:f>
      </x:c>
      <x:c r="P295" s="157"/>
    </x:row>
    <x:row r="296">
      <x:c r="A296" s="154" t="str">
        <x:f>IF($J296="Yes",COUNTIF($J$2:J296,"Yes"),"")</x:f>
      </x:c>
      <x:c r="B296" s="154"/>
      <x:c r="C296" s="154" t="str">
        <x:f>IFERROR(VLOOKUP($B296,'Hack Database'!$A:$J,2,FALSE),"")</x:f>
      </x:c>
      <x:c r="D296" s="154" t="str">
        <x:f>IFERROR(VLOOKUP($B296,'Hack Database'!$A:$J,3,FALSE),"")</x:f>
      </x:c>
      <x:c r="E296" s="154" t="str">
        <x:f>IFERROR(VLOOKUP($B296,'Hack Database'!$A:$J,4,FALSE),"")</x:f>
      </x:c>
      <x:c r="F296" s="154" t="str">
        <x:f>IFERROR(VLOOKUP($B296,'Hack Database'!$A:$J,5,FALSE),"")</x:f>
      </x:c>
      <x:c r="G296" s="154" t="str">
        <x:f>IFERROR(VLOOKUP($B296,'Hack Database'!$A:$J,6,FALSE),"")</x:f>
      </x:c>
      <x:c r="H296" s="155"/>
      <x:c r="I296" s="155"/>
      <x:c r="J296" s="154"/>
      <x:c r="K296" s="154" t="str">
        <x:f t="shared" si="4"/>
      </x:c>
      <x:c r="L296" s="154"/>
      <x:c r="M296" s="156"/>
      <x:c r="N296" s="154" t="str">
        <x:f>IFERROR(HYPERLINK(VLOOKUP($B296,'Hack Database'!$A:$J,9,FALSE),"Open Page"),"")</x:f>
      </x:c>
      <x:c r="O296" s="154" t="str">
        <x:f>IFERROR(HYPERLINK(VLOOKUP($B296,'Hack Database'!$A:$J,10,FALSE),"Download"),"")</x:f>
      </x:c>
      <x:c r="P296" s="157"/>
    </x:row>
    <x:row r="297">
      <x:c r="A297" s="154" t="str">
        <x:f>IF($J297="Yes",COUNTIF($J$2:J297,"Yes"),"")</x:f>
      </x:c>
      <x:c r="B297" s="154"/>
      <x:c r="C297" s="154" t="str">
        <x:f>IFERROR(VLOOKUP($B297,'Hack Database'!$A:$J,2,FALSE),"")</x:f>
      </x:c>
      <x:c r="D297" s="154" t="str">
        <x:f>IFERROR(VLOOKUP($B297,'Hack Database'!$A:$J,3,FALSE),"")</x:f>
      </x:c>
      <x:c r="E297" s="154" t="str">
        <x:f>IFERROR(VLOOKUP($B297,'Hack Database'!$A:$J,4,FALSE),"")</x:f>
      </x:c>
      <x:c r="F297" s="154" t="str">
        <x:f>IFERROR(VLOOKUP($B297,'Hack Database'!$A:$J,5,FALSE),"")</x:f>
      </x:c>
      <x:c r="G297" s="154" t="str">
        <x:f>IFERROR(VLOOKUP($B297,'Hack Database'!$A:$J,6,FALSE),"")</x:f>
      </x:c>
      <x:c r="H297" s="155"/>
      <x:c r="I297" s="155"/>
      <x:c r="J297" s="154"/>
      <x:c r="K297" s="154" t="str">
        <x:f t="shared" si="4"/>
      </x:c>
      <x:c r="L297" s="154"/>
      <x:c r="M297" s="156"/>
      <x:c r="N297" s="154" t="str">
        <x:f>IFERROR(HYPERLINK(VLOOKUP($B297,'Hack Database'!$A:$J,9,FALSE),"Open Page"),"")</x:f>
      </x:c>
      <x:c r="O297" s="154" t="str">
        <x:f>IFERROR(HYPERLINK(VLOOKUP($B297,'Hack Database'!$A:$J,10,FALSE),"Download"),"")</x:f>
      </x:c>
      <x:c r="P297" s="157"/>
    </x:row>
    <x:row r="298">
      <x:c r="A298" s="154" t="str">
        <x:f>IF($J298="Yes",COUNTIF($J$2:J298,"Yes"),"")</x:f>
      </x:c>
      <x:c r="B298" s="154"/>
      <x:c r="C298" s="154" t="str">
        <x:f>IFERROR(VLOOKUP($B298,'Hack Database'!$A:$J,2,FALSE),"")</x:f>
      </x:c>
      <x:c r="D298" s="154" t="str">
        <x:f>IFERROR(VLOOKUP($B298,'Hack Database'!$A:$J,3,FALSE),"")</x:f>
      </x:c>
      <x:c r="E298" s="154" t="str">
        <x:f>IFERROR(VLOOKUP($B298,'Hack Database'!$A:$J,4,FALSE),"")</x:f>
      </x:c>
      <x:c r="F298" s="154" t="str">
        <x:f>IFERROR(VLOOKUP($B298,'Hack Database'!$A:$J,5,FALSE),"")</x:f>
      </x:c>
      <x:c r="G298" s="154" t="str">
        <x:f>IFERROR(VLOOKUP($B298,'Hack Database'!$A:$J,6,FALSE),"")</x:f>
      </x:c>
      <x:c r="H298" s="155"/>
      <x:c r="I298" s="155"/>
      <x:c r="J298" s="154"/>
      <x:c r="K298" s="154" t="str">
        <x:f t="shared" si="4"/>
      </x:c>
      <x:c r="L298" s="154"/>
      <x:c r="M298" s="156"/>
      <x:c r="N298" s="154" t="str">
        <x:f>IFERROR(HYPERLINK(VLOOKUP($B298,'Hack Database'!$A:$J,9,FALSE),"Open Page"),"")</x:f>
      </x:c>
      <x:c r="O298" s="154" t="str">
        <x:f>IFERROR(HYPERLINK(VLOOKUP($B298,'Hack Database'!$A:$J,10,FALSE),"Download"),"")</x:f>
      </x:c>
      <x:c r="P298" s="157"/>
    </x:row>
    <x:row r="299">
      <x:c r="A299" s="154" t="str">
        <x:f>IF($J299="Yes",COUNTIF($J$2:J299,"Yes"),"")</x:f>
      </x:c>
      <x:c r="B299" s="154"/>
      <x:c r="C299" s="154" t="str">
        <x:f>IFERROR(VLOOKUP($B299,'Hack Database'!$A:$J,2,FALSE),"")</x:f>
      </x:c>
      <x:c r="D299" s="154" t="str">
        <x:f>IFERROR(VLOOKUP($B299,'Hack Database'!$A:$J,3,FALSE),"")</x:f>
      </x:c>
      <x:c r="E299" s="154" t="str">
        <x:f>IFERROR(VLOOKUP($B299,'Hack Database'!$A:$J,4,FALSE),"")</x:f>
      </x:c>
      <x:c r="F299" s="154" t="str">
        <x:f>IFERROR(VLOOKUP($B299,'Hack Database'!$A:$J,5,FALSE),"")</x:f>
      </x:c>
      <x:c r="G299" s="154" t="str">
        <x:f>IFERROR(VLOOKUP($B299,'Hack Database'!$A:$J,6,FALSE),"")</x:f>
      </x:c>
      <x:c r="H299" s="155"/>
      <x:c r="I299" s="155"/>
      <x:c r="J299" s="154"/>
      <x:c r="K299" s="154" t="str">
        <x:f t="shared" si="4"/>
      </x:c>
      <x:c r="L299" s="154"/>
      <x:c r="M299" s="156"/>
      <x:c r="N299" s="154" t="str">
        <x:f>IFERROR(HYPERLINK(VLOOKUP($B299,'Hack Database'!$A:$J,9,FALSE),"Open Page"),"")</x:f>
      </x:c>
      <x:c r="O299" s="154" t="str">
        <x:f>IFERROR(HYPERLINK(VLOOKUP($B299,'Hack Database'!$A:$J,10,FALSE),"Download"),"")</x:f>
      </x:c>
      <x:c r="P299" s="157"/>
    </x:row>
    <x:row r="300">
      <x:c r="A300" s="154" t="str">
        <x:f>IF($J300="Yes",COUNTIF($J$2:J300,"Yes"),"")</x:f>
      </x:c>
      <x:c r="B300" s="154"/>
      <x:c r="C300" s="154" t="str">
        <x:f>IFERROR(VLOOKUP($B300,'Hack Database'!$A:$J,2,FALSE),"")</x:f>
      </x:c>
      <x:c r="D300" s="154" t="str">
        <x:f>IFERROR(VLOOKUP($B300,'Hack Database'!$A:$J,3,FALSE),"")</x:f>
      </x:c>
      <x:c r="E300" s="154" t="str">
        <x:f>IFERROR(VLOOKUP($B300,'Hack Database'!$A:$J,4,FALSE),"")</x:f>
      </x:c>
      <x:c r="F300" s="154" t="str">
        <x:f>IFERROR(VLOOKUP($B300,'Hack Database'!$A:$J,5,FALSE),"")</x:f>
      </x:c>
      <x:c r="G300" s="154" t="str">
        <x:f>IFERROR(VLOOKUP($B300,'Hack Database'!$A:$J,6,FALSE),"")</x:f>
      </x:c>
      <x:c r="H300" s="155"/>
      <x:c r="I300" s="155"/>
      <x:c r="J300" s="154"/>
      <x:c r="K300" s="154" t="str">
        <x:f t="shared" si="4"/>
      </x:c>
      <x:c r="L300" s="154"/>
      <x:c r="M300" s="156"/>
      <x:c r="N300" s="154" t="str">
        <x:f>IFERROR(HYPERLINK(VLOOKUP($B300,'Hack Database'!$A:$J,9,FALSE),"Open Page"),"")</x:f>
      </x:c>
      <x:c r="O300" s="154" t="str">
        <x:f>IFERROR(HYPERLINK(VLOOKUP($B300,'Hack Database'!$A:$J,10,FALSE),"Download"),"")</x:f>
      </x:c>
      <x:c r="P300" s="157"/>
    </x:row>
    <x:row r="301">
      <x:c r="A301" s="154" t="str">
        <x:f>IF($J301="Yes",COUNTIF($J$2:J301,"Yes"),"")</x:f>
      </x:c>
      <x:c r="B301" s="154"/>
      <x:c r="C301" s="154" t="str">
        <x:f>IFERROR(VLOOKUP($B301,'Hack Database'!$A:$J,2,FALSE),"")</x:f>
      </x:c>
      <x:c r="D301" s="154" t="str">
        <x:f>IFERROR(VLOOKUP($B301,'Hack Database'!$A:$J,3,FALSE),"")</x:f>
      </x:c>
      <x:c r="E301" s="154" t="str">
        <x:f>IFERROR(VLOOKUP($B301,'Hack Database'!$A:$J,4,FALSE),"")</x:f>
      </x:c>
      <x:c r="F301" s="154" t="str">
        <x:f>IFERROR(VLOOKUP($B301,'Hack Database'!$A:$J,5,FALSE),"")</x:f>
      </x:c>
      <x:c r="G301" s="154" t="str">
        <x:f>IFERROR(VLOOKUP($B301,'Hack Database'!$A:$J,6,FALSE),"")</x:f>
      </x:c>
      <x:c r="H301" s="155"/>
      <x:c r="I301" s="155"/>
      <x:c r="J301" s="154"/>
      <x:c r="K301" s="154" t="str">
        <x:f t="shared" si="4"/>
      </x:c>
      <x:c r="L301" s="154"/>
      <x:c r="M301" s="156"/>
      <x:c r="N301" s="154" t="str">
        <x:f>IFERROR(HYPERLINK(VLOOKUP($B301,'Hack Database'!$A:$J,9,FALSE),"Open Page"),"")</x:f>
      </x:c>
      <x:c r="O301" s="154" t="str">
        <x:f>IFERROR(HYPERLINK(VLOOKUP($B301,'Hack Database'!$A:$J,10,FALSE),"Download"),"")</x:f>
      </x:c>
      <x:c r="P301" s="157"/>
    </x:row>
    <x:row r="302">
      <x:c r="A302" s="154" t="str">
        <x:f>IF($J302="Yes",COUNTIF($J$2:J302,"Yes"),"")</x:f>
      </x:c>
      <x:c r="B302" s="154"/>
      <x:c r="C302" s="154" t="str">
        <x:f>IFERROR(VLOOKUP($B302,'Hack Database'!$A:$J,2,FALSE),"")</x:f>
      </x:c>
      <x:c r="D302" s="154" t="str">
        <x:f>IFERROR(VLOOKUP($B302,'Hack Database'!$A:$J,3,FALSE),"")</x:f>
      </x:c>
      <x:c r="E302" s="154" t="str">
        <x:f>IFERROR(VLOOKUP($B302,'Hack Database'!$A:$J,4,FALSE),"")</x:f>
      </x:c>
      <x:c r="F302" s="154" t="str">
        <x:f>IFERROR(VLOOKUP($B302,'Hack Database'!$A:$J,5,FALSE),"")</x:f>
      </x:c>
      <x:c r="G302" s="154" t="str">
        <x:f>IFERROR(VLOOKUP($B302,'Hack Database'!$A:$J,6,FALSE),"")</x:f>
      </x:c>
      <x:c r="H302" s="155"/>
      <x:c r="I302" s="155"/>
      <x:c r="J302" s="154"/>
      <x:c r="K302" s="154" t="str">
        <x:f t="shared" si="4"/>
      </x:c>
      <x:c r="L302" s="154"/>
      <x:c r="M302" s="156"/>
      <x:c r="N302" s="154" t="str">
        <x:f>IFERROR(HYPERLINK(VLOOKUP($B302,'Hack Database'!$A:$J,9,FALSE),"Open Page"),"")</x:f>
      </x:c>
      <x:c r="O302" s="154" t="str">
        <x:f>IFERROR(HYPERLINK(VLOOKUP($B302,'Hack Database'!$A:$J,10,FALSE),"Download"),"")</x:f>
      </x:c>
      <x:c r="P302" s="157"/>
    </x:row>
    <x:row r="303">
      <x:c r="A303" s="154" t="str">
        <x:f>IF($J303="Yes",COUNTIF($J$2:J303,"Yes"),"")</x:f>
      </x:c>
      <x:c r="B303" s="154"/>
      <x:c r="C303" s="154" t="str">
        <x:f>IFERROR(VLOOKUP($B303,'Hack Database'!$A:$J,2,FALSE),"")</x:f>
      </x:c>
      <x:c r="D303" s="154" t="str">
        <x:f>IFERROR(VLOOKUP($B303,'Hack Database'!$A:$J,3,FALSE),"")</x:f>
      </x:c>
      <x:c r="E303" s="154" t="str">
        <x:f>IFERROR(VLOOKUP($B303,'Hack Database'!$A:$J,4,FALSE),"")</x:f>
      </x:c>
      <x:c r="F303" s="154" t="str">
        <x:f>IFERROR(VLOOKUP($B303,'Hack Database'!$A:$J,5,FALSE),"")</x:f>
      </x:c>
      <x:c r="G303" s="154" t="str">
        <x:f>IFERROR(VLOOKUP($B303,'Hack Database'!$A:$J,6,FALSE),"")</x:f>
      </x:c>
      <x:c r="H303" s="155"/>
      <x:c r="I303" s="155"/>
      <x:c r="J303" s="154"/>
      <x:c r="K303" s="154" t="str">
        <x:f t="shared" si="4"/>
      </x:c>
      <x:c r="L303" s="154"/>
      <x:c r="M303" s="156"/>
      <x:c r="N303" s="154" t="str">
        <x:f>IFERROR(HYPERLINK(VLOOKUP($B303,'Hack Database'!$A:$J,9,FALSE),"Open Page"),"")</x:f>
      </x:c>
      <x:c r="O303" s="154" t="str">
        <x:f>IFERROR(HYPERLINK(VLOOKUP($B303,'Hack Database'!$A:$J,10,FALSE),"Download"),"")</x:f>
      </x:c>
      <x:c r="P303" s="157"/>
    </x:row>
    <x:row r="304">
      <x:c r="A304" s="154" t="str">
        <x:f>IF($J304="Yes",COUNTIF($J$2:J304,"Yes"),"")</x:f>
      </x:c>
      <x:c r="B304" s="154"/>
      <x:c r="C304" s="154" t="str">
        <x:f>IFERROR(VLOOKUP($B304,'Hack Database'!$A:$J,2,FALSE),"")</x:f>
      </x:c>
      <x:c r="D304" s="154" t="str">
        <x:f>IFERROR(VLOOKUP($B304,'Hack Database'!$A:$J,3,FALSE),"")</x:f>
      </x:c>
      <x:c r="E304" s="154" t="str">
        <x:f>IFERROR(VLOOKUP($B304,'Hack Database'!$A:$J,4,FALSE),"")</x:f>
      </x:c>
      <x:c r="F304" s="154" t="str">
        <x:f>IFERROR(VLOOKUP($B304,'Hack Database'!$A:$J,5,FALSE),"")</x:f>
      </x:c>
      <x:c r="G304" s="154" t="str">
        <x:f>IFERROR(VLOOKUP($B304,'Hack Database'!$A:$J,6,FALSE),"")</x:f>
      </x:c>
      <x:c r="H304" s="155"/>
      <x:c r="I304" s="155"/>
      <x:c r="J304" s="154"/>
      <x:c r="K304" s="154" t="str">
        <x:f t="shared" si="4"/>
      </x:c>
      <x:c r="L304" s="154"/>
      <x:c r="M304" s="156"/>
      <x:c r="N304" s="154" t="str">
        <x:f>IFERROR(HYPERLINK(VLOOKUP($B304,'Hack Database'!$A:$J,9,FALSE),"Open Page"),"")</x:f>
      </x:c>
      <x:c r="O304" s="154" t="str">
        <x:f>IFERROR(HYPERLINK(VLOOKUP($B304,'Hack Database'!$A:$J,10,FALSE),"Download"),"")</x:f>
      </x:c>
      <x:c r="P304" s="157"/>
    </x:row>
    <x:row r="305">
      <x:c r="A305" s="154" t="str">
        <x:f>IF($J305="Yes",COUNTIF($J$2:J305,"Yes"),"")</x:f>
      </x:c>
      <x:c r="B305" s="154"/>
      <x:c r="C305" s="154" t="str">
        <x:f>IFERROR(VLOOKUP($B305,'Hack Database'!$A:$J,2,FALSE),"")</x:f>
      </x:c>
      <x:c r="D305" s="154" t="str">
        <x:f>IFERROR(VLOOKUP($B305,'Hack Database'!$A:$J,3,FALSE),"")</x:f>
      </x:c>
      <x:c r="E305" s="154" t="str">
        <x:f>IFERROR(VLOOKUP($B305,'Hack Database'!$A:$J,4,FALSE),"")</x:f>
      </x:c>
      <x:c r="F305" s="154" t="str">
        <x:f>IFERROR(VLOOKUP($B305,'Hack Database'!$A:$J,5,FALSE),"")</x:f>
      </x:c>
      <x:c r="G305" s="154" t="str">
        <x:f>IFERROR(VLOOKUP($B305,'Hack Database'!$A:$J,6,FALSE),"")</x:f>
      </x:c>
      <x:c r="H305" s="155"/>
      <x:c r="I305" s="155"/>
      <x:c r="J305" s="154"/>
      <x:c r="K305" s="154" t="str">
        <x:f t="shared" si="4"/>
      </x:c>
      <x:c r="L305" s="154"/>
      <x:c r="M305" s="156"/>
      <x:c r="N305" s="154" t="str">
        <x:f>IFERROR(HYPERLINK(VLOOKUP($B305,'Hack Database'!$A:$J,9,FALSE),"Open Page"),"")</x:f>
      </x:c>
      <x:c r="O305" s="154" t="str">
        <x:f>IFERROR(HYPERLINK(VLOOKUP($B305,'Hack Database'!$A:$J,10,FALSE),"Download"),"")</x:f>
      </x:c>
      <x:c r="P305" s="157"/>
    </x:row>
    <x:row r="306">
      <x:c r="A306" s="154" t="str">
        <x:f>IF($J306="Yes",COUNTIF($J$2:J306,"Yes"),"")</x:f>
      </x:c>
      <x:c r="B306" s="154"/>
      <x:c r="C306" s="154" t="str">
        <x:f>IFERROR(VLOOKUP($B306,'Hack Database'!$A:$J,2,FALSE),"")</x:f>
      </x:c>
      <x:c r="D306" s="154" t="str">
        <x:f>IFERROR(VLOOKUP($B306,'Hack Database'!$A:$J,3,FALSE),"")</x:f>
      </x:c>
      <x:c r="E306" s="154" t="str">
        <x:f>IFERROR(VLOOKUP($B306,'Hack Database'!$A:$J,4,FALSE),"")</x:f>
      </x:c>
      <x:c r="F306" s="154" t="str">
        <x:f>IFERROR(VLOOKUP($B306,'Hack Database'!$A:$J,5,FALSE),"")</x:f>
      </x:c>
      <x:c r="G306" s="154" t="str">
        <x:f>IFERROR(VLOOKUP($B306,'Hack Database'!$A:$J,6,FALSE),"")</x:f>
      </x:c>
      <x:c r="H306" s="155"/>
      <x:c r="I306" s="155"/>
      <x:c r="J306" s="154"/>
      <x:c r="K306" s="154" t="str">
        <x:f t="shared" si="4"/>
      </x:c>
      <x:c r="L306" s="154"/>
      <x:c r="M306" s="156"/>
      <x:c r="N306" s="154" t="str">
        <x:f>IFERROR(HYPERLINK(VLOOKUP($B306,'Hack Database'!$A:$J,9,FALSE),"Open Page"),"")</x:f>
      </x:c>
      <x:c r="O306" s="154" t="str">
        <x:f>IFERROR(HYPERLINK(VLOOKUP($B306,'Hack Database'!$A:$J,10,FALSE),"Download"),"")</x:f>
      </x:c>
      <x:c r="P306" s="157"/>
    </x:row>
    <x:row r="307">
      <x:c r="A307" s="154" t="str">
        <x:f>IF($J307="Yes",COUNTIF($J$2:J307,"Yes"),"")</x:f>
      </x:c>
      <x:c r="B307" s="154"/>
      <x:c r="C307" s="154" t="str">
        <x:f>IFERROR(VLOOKUP($B307,'Hack Database'!$A:$J,2,FALSE),"")</x:f>
      </x:c>
      <x:c r="D307" s="154" t="str">
        <x:f>IFERROR(VLOOKUP($B307,'Hack Database'!$A:$J,3,FALSE),"")</x:f>
      </x:c>
      <x:c r="E307" s="154" t="str">
        <x:f>IFERROR(VLOOKUP($B307,'Hack Database'!$A:$J,4,FALSE),"")</x:f>
      </x:c>
      <x:c r="F307" s="154" t="str">
        <x:f>IFERROR(VLOOKUP($B307,'Hack Database'!$A:$J,5,FALSE),"")</x:f>
      </x:c>
      <x:c r="G307" s="154" t="str">
        <x:f>IFERROR(VLOOKUP($B307,'Hack Database'!$A:$J,6,FALSE),"")</x:f>
      </x:c>
      <x:c r="H307" s="155"/>
      <x:c r="I307" s="155"/>
      <x:c r="J307" s="154"/>
      <x:c r="K307" s="154" t="str">
        <x:f t="shared" si="4"/>
      </x:c>
      <x:c r="L307" s="154"/>
      <x:c r="M307" s="156"/>
      <x:c r="N307" s="154" t="str">
        <x:f>IFERROR(HYPERLINK(VLOOKUP($B307,'Hack Database'!$A:$J,9,FALSE),"Open Page"),"")</x:f>
      </x:c>
      <x:c r="O307" s="154" t="str">
        <x:f>IFERROR(HYPERLINK(VLOOKUP($B307,'Hack Database'!$A:$J,10,FALSE),"Download"),"")</x:f>
      </x:c>
      <x:c r="P307" s="157"/>
    </x:row>
    <x:row r="308">
      <x:c r="A308" s="154" t="str">
        <x:f>IF($J308="Yes",COUNTIF($J$2:J308,"Yes"),"")</x:f>
      </x:c>
      <x:c r="B308" s="154"/>
      <x:c r="C308" s="154" t="str">
        <x:f>IFERROR(VLOOKUP($B308,'Hack Database'!$A:$J,2,FALSE),"")</x:f>
      </x:c>
      <x:c r="D308" s="154" t="str">
        <x:f>IFERROR(VLOOKUP($B308,'Hack Database'!$A:$J,3,FALSE),"")</x:f>
      </x:c>
      <x:c r="E308" s="154" t="str">
        <x:f>IFERROR(VLOOKUP($B308,'Hack Database'!$A:$J,4,FALSE),"")</x:f>
      </x:c>
      <x:c r="F308" s="154" t="str">
        <x:f>IFERROR(VLOOKUP($B308,'Hack Database'!$A:$J,5,FALSE),"")</x:f>
      </x:c>
      <x:c r="G308" s="154" t="str">
        <x:f>IFERROR(VLOOKUP($B308,'Hack Database'!$A:$J,6,FALSE),"")</x:f>
      </x:c>
      <x:c r="H308" s="155"/>
      <x:c r="I308" s="155"/>
      <x:c r="J308" s="154"/>
      <x:c r="K308" s="154" t="str">
        <x:f t="shared" si="4"/>
      </x:c>
      <x:c r="L308" s="154"/>
      <x:c r="M308" s="156"/>
      <x:c r="N308" s="154" t="str">
        <x:f>IFERROR(HYPERLINK(VLOOKUP($B308,'Hack Database'!$A:$J,9,FALSE),"Open Page"),"")</x:f>
      </x:c>
      <x:c r="O308" s="154" t="str">
        <x:f>IFERROR(HYPERLINK(VLOOKUP($B308,'Hack Database'!$A:$J,10,FALSE),"Download"),"")</x:f>
      </x:c>
      <x:c r="P308" s="157"/>
    </x:row>
    <x:row r="309">
      <x:c r="A309" s="154" t="str">
        <x:f>IF($J309="Yes",COUNTIF($J$2:J309,"Yes"),"")</x:f>
      </x:c>
      <x:c r="B309" s="154"/>
      <x:c r="C309" s="154" t="str">
        <x:f>IFERROR(VLOOKUP($B309,'Hack Database'!$A:$J,2,FALSE),"")</x:f>
      </x:c>
      <x:c r="D309" s="154" t="str">
        <x:f>IFERROR(VLOOKUP($B309,'Hack Database'!$A:$J,3,FALSE),"")</x:f>
      </x:c>
      <x:c r="E309" s="154" t="str">
        <x:f>IFERROR(VLOOKUP($B309,'Hack Database'!$A:$J,4,FALSE),"")</x:f>
      </x:c>
      <x:c r="F309" s="154" t="str">
        <x:f>IFERROR(VLOOKUP($B309,'Hack Database'!$A:$J,5,FALSE),"")</x:f>
      </x:c>
      <x:c r="G309" s="154" t="str">
        <x:f>IFERROR(VLOOKUP($B309,'Hack Database'!$A:$J,6,FALSE),"")</x:f>
      </x:c>
      <x:c r="H309" s="155"/>
      <x:c r="I309" s="155"/>
      <x:c r="J309" s="154"/>
      <x:c r="K309" s="154" t="str">
        <x:f t="shared" si="4"/>
      </x:c>
      <x:c r="L309" s="154"/>
      <x:c r="M309" s="156"/>
      <x:c r="N309" s="154" t="str">
        <x:f>IFERROR(HYPERLINK(VLOOKUP($B309,'Hack Database'!$A:$J,9,FALSE),"Open Page"),"")</x:f>
      </x:c>
      <x:c r="O309" s="154" t="str">
        <x:f>IFERROR(HYPERLINK(VLOOKUP($B309,'Hack Database'!$A:$J,10,FALSE),"Download"),"")</x:f>
      </x:c>
      <x:c r="P309" s="157"/>
    </x:row>
    <x:row r="310">
      <x:c r="A310" s="154" t="str">
        <x:f>IF($J310="Yes",COUNTIF($J$2:J310,"Yes"),"")</x:f>
      </x:c>
      <x:c r="B310" s="154"/>
      <x:c r="C310" s="154" t="str">
        <x:f>IFERROR(VLOOKUP($B310,'Hack Database'!$A:$J,2,FALSE),"")</x:f>
      </x:c>
      <x:c r="D310" s="154" t="str">
        <x:f>IFERROR(VLOOKUP($B310,'Hack Database'!$A:$J,3,FALSE),"")</x:f>
      </x:c>
      <x:c r="E310" s="154" t="str">
        <x:f>IFERROR(VLOOKUP($B310,'Hack Database'!$A:$J,4,FALSE),"")</x:f>
      </x:c>
      <x:c r="F310" s="154" t="str">
        <x:f>IFERROR(VLOOKUP($B310,'Hack Database'!$A:$J,5,FALSE),"")</x:f>
      </x:c>
      <x:c r="G310" s="154" t="str">
        <x:f>IFERROR(VLOOKUP($B310,'Hack Database'!$A:$J,6,FALSE),"")</x:f>
      </x:c>
      <x:c r="H310" s="155"/>
      <x:c r="I310" s="155"/>
      <x:c r="J310" s="154"/>
      <x:c r="K310" s="154" t="str">
        <x:f t="shared" si="4"/>
      </x:c>
      <x:c r="L310" s="154"/>
      <x:c r="M310" s="156"/>
      <x:c r="N310" s="154" t="str">
        <x:f>IFERROR(HYPERLINK(VLOOKUP($B310,'Hack Database'!$A:$J,9,FALSE),"Open Page"),"")</x:f>
      </x:c>
      <x:c r="O310" s="154" t="str">
        <x:f>IFERROR(HYPERLINK(VLOOKUP($B310,'Hack Database'!$A:$J,10,FALSE),"Download"),"")</x:f>
      </x:c>
      <x:c r="P310" s="157"/>
    </x:row>
    <x:row r="311">
      <x:c r="A311" s="154" t="str">
        <x:f>IF($J311="Yes",COUNTIF($J$2:J311,"Yes"),"")</x:f>
      </x:c>
      <x:c r="B311" s="154"/>
      <x:c r="C311" s="154" t="str">
        <x:f>IFERROR(VLOOKUP($B311,'Hack Database'!$A:$J,2,FALSE),"")</x:f>
      </x:c>
      <x:c r="D311" s="154" t="str">
        <x:f>IFERROR(VLOOKUP($B311,'Hack Database'!$A:$J,3,FALSE),"")</x:f>
      </x:c>
      <x:c r="E311" s="154" t="str">
        <x:f>IFERROR(VLOOKUP($B311,'Hack Database'!$A:$J,4,FALSE),"")</x:f>
      </x:c>
      <x:c r="F311" s="154" t="str">
        <x:f>IFERROR(VLOOKUP($B311,'Hack Database'!$A:$J,5,FALSE),"")</x:f>
      </x:c>
      <x:c r="G311" s="154" t="str">
        <x:f>IFERROR(VLOOKUP($B311,'Hack Database'!$A:$J,6,FALSE),"")</x:f>
      </x:c>
      <x:c r="H311" s="155"/>
      <x:c r="I311" s="155"/>
      <x:c r="J311" s="154"/>
      <x:c r="K311" s="154" t="str">
        <x:f t="shared" si="4"/>
      </x:c>
      <x:c r="L311" s="154"/>
      <x:c r="M311" s="156"/>
      <x:c r="N311" s="154" t="str">
        <x:f>IFERROR(HYPERLINK(VLOOKUP($B311,'Hack Database'!$A:$J,9,FALSE),"Open Page"),"")</x:f>
      </x:c>
      <x:c r="O311" s="154" t="str">
        <x:f>IFERROR(HYPERLINK(VLOOKUP($B311,'Hack Database'!$A:$J,10,FALSE),"Download"),"")</x:f>
      </x:c>
      <x:c r="P311" s="157"/>
    </x:row>
    <x:row r="312">
      <x:c r="A312" s="154" t="str">
        <x:f>IF($J312="Yes",COUNTIF($J$2:J312,"Yes"),"")</x:f>
      </x:c>
      <x:c r="B312" s="154"/>
      <x:c r="C312" s="154" t="str">
        <x:f>IFERROR(VLOOKUP($B312,'Hack Database'!$A:$J,2,FALSE),"")</x:f>
      </x:c>
      <x:c r="D312" s="154" t="str">
        <x:f>IFERROR(VLOOKUP($B312,'Hack Database'!$A:$J,3,FALSE),"")</x:f>
      </x:c>
      <x:c r="E312" s="154" t="str">
        <x:f>IFERROR(VLOOKUP($B312,'Hack Database'!$A:$J,4,FALSE),"")</x:f>
      </x:c>
      <x:c r="F312" s="154" t="str">
        <x:f>IFERROR(VLOOKUP($B312,'Hack Database'!$A:$J,5,FALSE),"")</x:f>
      </x:c>
      <x:c r="G312" s="154" t="str">
        <x:f>IFERROR(VLOOKUP($B312,'Hack Database'!$A:$J,6,FALSE),"")</x:f>
      </x:c>
      <x:c r="H312" s="155"/>
      <x:c r="I312" s="155"/>
      <x:c r="J312" s="154"/>
      <x:c r="K312" s="154" t="str">
        <x:f t="shared" si="4"/>
      </x:c>
      <x:c r="L312" s="154"/>
      <x:c r="M312" s="156"/>
      <x:c r="N312" s="154" t="str">
        <x:f>IFERROR(HYPERLINK(VLOOKUP($B312,'Hack Database'!$A:$J,9,FALSE),"Open Page"),"")</x:f>
      </x:c>
      <x:c r="O312" s="154" t="str">
        <x:f>IFERROR(HYPERLINK(VLOOKUP($B312,'Hack Database'!$A:$J,10,FALSE),"Download"),"")</x:f>
      </x:c>
      <x:c r="P312" s="157"/>
    </x:row>
    <x:row r="313">
      <x:c r="A313" s="154" t="str">
        <x:f>IF($J313="Yes",COUNTIF($J$2:J313,"Yes"),"")</x:f>
      </x:c>
      <x:c r="B313" s="154"/>
      <x:c r="C313" s="154" t="str">
        <x:f>IFERROR(VLOOKUP($B313,'Hack Database'!$A:$J,2,FALSE),"")</x:f>
      </x:c>
      <x:c r="D313" s="154" t="str">
        <x:f>IFERROR(VLOOKUP($B313,'Hack Database'!$A:$J,3,FALSE),"")</x:f>
      </x:c>
      <x:c r="E313" s="154" t="str">
        <x:f>IFERROR(VLOOKUP($B313,'Hack Database'!$A:$J,4,FALSE),"")</x:f>
      </x:c>
      <x:c r="F313" s="154" t="str">
        <x:f>IFERROR(VLOOKUP($B313,'Hack Database'!$A:$J,5,FALSE),"")</x:f>
      </x:c>
      <x:c r="G313" s="154" t="str">
        <x:f>IFERROR(VLOOKUP($B313,'Hack Database'!$A:$J,6,FALSE),"")</x:f>
      </x:c>
      <x:c r="H313" s="155"/>
      <x:c r="I313" s="155"/>
      <x:c r="J313" s="154"/>
      <x:c r="K313" s="154" t="str">
        <x:f t="shared" si="4"/>
      </x:c>
      <x:c r="L313" s="154"/>
      <x:c r="M313" s="156"/>
      <x:c r="N313" s="154" t="str">
        <x:f>IFERROR(HYPERLINK(VLOOKUP($B313,'Hack Database'!$A:$J,9,FALSE),"Open Page"),"")</x:f>
      </x:c>
      <x:c r="O313" s="154" t="str">
        <x:f>IFERROR(HYPERLINK(VLOOKUP($B313,'Hack Database'!$A:$J,10,FALSE),"Download"),"")</x:f>
      </x:c>
      <x:c r="P313" s="157"/>
    </x:row>
    <x:row r="314">
      <x:c r="A314" s="154" t="str">
        <x:f>IF($J314="Yes",COUNTIF($J$2:J314,"Yes"),"")</x:f>
      </x:c>
      <x:c r="B314" s="154"/>
      <x:c r="C314" s="154" t="str">
        <x:f>IFERROR(VLOOKUP($B314,'Hack Database'!$A:$J,2,FALSE),"")</x:f>
      </x:c>
      <x:c r="D314" s="154" t="str">
        <x:f>IFERROR(VLOOKUP($B314,'Hack Database'!$A:$J,3,FALSE),"")</x:f>
      </x:c>
      <x:c r="E314" s="154" t="str">
        <x:f>IFERROR(VLOOKUP($B314,'Hack Database'!$A:$J,4,FALSE),"")</x:f>
      </x:c>
      <x:c r="F314" s="154" t="str">
        <x:f>IFERROR(VLOOKUP($B314,'Hack Database'!$A:$J,5,FALSE),"")</x:f>
      </x:c>
      <x:c r="G314" s="154" t="str">
        <x:f>IFERROR(VLOOKUP($B314,'Hack Database'!$A:$J,6,FALSE),"")</x:f>
      </x:c>
      <x:c r="H314" s="155"/>
      <x:c r="I314" s="155"/>
      <x:c r="J314" s="154"/>
      <x:c r="K314" s="154" t="str">
        <x:f t="shared" si="4"/>
      </x:c>
      <x:c r="L314" s="154"/>
      <x:c r="M314" s="156"/>
      <x:c r="N314" s="154" t="str">
        <x:f>IFERROR(HYPERLINK(VLOOKUP($B314,'Hack Database'!$A:$J,9,FALSE),"Open Page"),"")</x:f>
      </x:c>
      <x:c r="O314" s="154" t="str">
        <x:f>IFERROR(HYPERLINK(VLOOKUP($B314,'Hack Database'!$A:$J,10,FALSE),"Download"),"")</x:f>
      </x:c>
      <x:c r="P314" s="157"/>
    </x:row>
    <x:row r="315">
      <x:c r="A315" s="154" t="str">
        <x:f>IF($J315="Yes",COUNTIF($J$2:J315,"Yes"),"")</x:f>
      </x:c>
      <x:c r="B315" s="154"/>
      <x:c r="C315" s="154" t="str">
        <x:f>IFERROR(VLOOKUP($B315,'Hack Database'!$A:$J,2,FALSE),"")</x:f>
      </x:c>
      <x:c r="D315" s="154" t="str">
        <x:f>IFERROR(VLOOKUP($B315,'Hack Database'!$A:$J,3,FALSE),"")</x:f>
      </x:c>
      <x:c r="E315" s="154" t="str">
        <x:f>IFERROR(VLOOKUP($B315,'Hack Database'!$A:$J,4,FALSE),"")</x:f>
      </x:c>
      <x:c r="F315" s="154" t="str">
        <x:f>IFERROR(VLOOKUP($B315,'Hack Database'!$A:$J,5,FALSE),"")</x:f>
      </x:c>
      <x:c r="G315" s="154" t="str">
        <x:f>IFERROR(VLOOKUP($B315,'Hack Database'!$A:$J,6,FALSE),"")</x:f>
      </x:c>
      <x:c r="H315" s="155"/>
      <x:c r="I315" s="155"/>
      <x:c r="J315" s="154"/>
      <x:c r="K315" s="154" t="str">
        <x:f t="shared" si="4"/>
      </x:c>
      <x:c r="L315" s="154"/>
      <x:c r="M315" s="156"/>
      <x:c r="N315" s="154" t="str">
        <x:f>IFERROR(HYPERLINK(VLOOKUP($B315,'Hack Database'!$A:$J,9,FALSE),"Open Page"),"")</x:f>
      </x:c>
      <x:c r="O315" s="154" t="str">
        <x:f>IFERROR(HYPERLINK(VLOOKUP($B315,'Hack Database'!$A:$J,10,FALSE),"Download"),"")</x:f>
      </x:c>
      <x:c r="P315" s="157"/>
    </x:row>
    <x:row r="316">
      <x:c r="A316" s="154" t="str">
        <x:f>IF($J316="Yes",COUNTIF($J$2:J316,"Yes"),"")</x:f>
      </x:c>
      <x:c r="B316" s="154"/>
      <x:c r="C316" s="154" t="str">
        <x:f>IFERROR(VLOOKUP($B316,'Hack Database'!$A:$J,2,FALSE),"")</x:f>
      </x:c>
      <x:c r="D316" s="154" t="str">
        <x:f>IFERROR(VLOOKUP($B316,'Hack Database'!$A:$J,3,FALSE),"")</x:f>
      </x:c>
      <x:c r="E316" s="154" t="str">
        <x:f>IFERROR(VLOOKUP($B316,'Hack Database'!$A:$J,4,FALSE),"")</x:f>
      </x:c>
      <x:c r="F316" s="154" t="str">
        <x:f>IFERROR(VLOOKUP($B316,'Hack Database'!$A:$J,5,FALSE),"")</x:f>
      </x:c>
      <x:c r="G316" s="154" t="str">
        <x:f>IFERROR(VLOOKUP($B316,'Hack Database'!$A:$J,6,FALSE),"")</x:f>
      </x:c>
      <x:c r="H316" s="155"/>
      <x:c r="I316" s="155"/>
      <x:c r="J316" s="154"/>
      <x:c r="K316" s="154" t="str">
        <x:f t="shared" si="4"/>
      </x:c>
      <x:c r="L316" s="154"/>
      <x:c r="M316" s="156"/>
      <x:c r="N316" s="154" t="str">
        <x:f>IFERROR(HYPERLINK(VLOOKUP($B316,'Hack Database'!$A:$J,9,FALSE),"Open Page"),"")</x:f>
      </x:c>
      <x:c r="O316" s="154" t="str">
        <x:f>IFERROR(HYPERLINK(VLOOKUP($B316,'Hack Database'!$A:$J,10,FALSE),"Download"),"")</x:f>
      </x:c>
      <x:c r="P316" s="157"/>
    </x:row>
    <x:row r="317">
      <x:c r="A317" s="154" t="str">
        <x:f>IF($J317="Yes",COUNTIF($J$2:J317,"Yes"),"")</x:f>
      </x:c>
      <x:c r="B317" s="154"/>
      <x:c r="C317" s="154" t="str">
        <x:f>IFERROR(VLOOKUP($B317,'Hack Database'!$A:$J,2,FALSE),"")</x:f>
      </x:c>
      <x:c r="D317" s="154" t="str">
        <x:f>IFERROR(VLOOKUP($B317,'Hack Database'!$A:$J,3,FALSE),"")</x:f>
      </x:c>
      <x:c r="E317" s="154" t="str">
        <x:f>IFERROR(VLOOKUP($B317,'Hack Database'!$A:$J,4,FALSE),"")</x:f>
      </x:c>
      <x:c r="F317" s="154" t="str">
        <x:f>IFERROR(VLOOKUP($B317,'Hack Database'!$A:$J,5,FALSE),"")</x:f>
      </x:c>
      <x:c r="G317" s="154" t="str">
        <x:f>IFERROR(VLOOKUP($B317,'Hack Database'!$A:$J,6,FALSE),"")</x:f>
      </x:c>
      <x:c r="H317" s="155"/>
      <x:c r="I317" s="155"/>
      <x:c r="J317" s="154"/>
      <x:c r="K317" s="154" t="str">
        <x:f t="shared" si="4"/>
      </x:c>
      <x:c r="L317" s="154"/>
      <x:c r="M317" s="156"/>
      <x:c r="N317" s="154" t="str">
        <x:f>IFERROR(HYPERLINK(VLOOKUP($B317,'Hack Database'!$A:$J,9,FALSE),"Open Page"),"")</x:f>
      </x:c>
      <x:c r="O317" s="154" t="str">
        <x:f>IFERROR(HYPERLINK(VLOOKUP($B317,'Hack Database'!$A:$J,10,FALSE),"Download"),"")</x:f>
      </x:c>
      <x:c r="P317" s="157"/>
    </x:row>
    <x:row r="318">
      <x:c r="A318" s="154" t="str">
        <x:f>IF($J318="Yes",COUNTIF($J$2:J318,"Yes"),"")</x:f>
      </x:c>
      <x:c r="B318" s="154"/>
      <x:c r="C318" s="154" t="str">
        <x:f>IFERROR(VLOOKUP($B318,'Hack Database'!$A:$J,2,FALSE),"")</x:f>
      </x:c>
      <x:c r="D318" s="154" t="str">
        <x:f>IFERROR(VLOOKUP($B318,'Hack Database'!$A:$J,3,FALSE),"")</x:f>
      </x:c>
      <x:c r="E318" s="154" t="str">
        <x:f>IFERROR(VLOOKUP($B318,'Hack Database'!$A:$J,4,FALSE),"")</x:f>
      </x:c>
      <x:c r="F318" s="154" t="str">
        <x:f>IFERROR(VLOOKUP($B318,'Hack Database'!$A:$J,5,FALSE),"")</x:f>
      </x:c>
      <x:c r="G318" s="154" t="str">
        <x:f>IFERROR(VLOOKUP($B318,'Hack Database'!$A:$J,6,FALSE),"")</x:f>
      </x:c>
      <x:c r="H318" s="155"/>
      <x:c r="I318" s="155"/>
      <x:c r="J318" s="154"/>
      <x:c r="K318" s="154" t="str">
        <x:f t="shared" si="4"/>
      </x:c>
      <x:c r="L318" s="154"/>
      <x:c r="M318" s="156"/>
      <x:c r="N318" s="154" t="str">
        <x:f>IFERROR(HYPERLINK(VLOOKUP($B318,'Hack Database'!$A:$J,9,FALSE),"Open Page"),"")</x:f>
      </x:c>
      <x:c r="O318" s="154" t="str">
        <x:f>IFERROR(HYPERLINK(VLOOKUP($B318,'Hack Database'!$A:$J,10,FALSE),"Download"),"")</x:f>
      </x:c>
      <x:c r="P318" s="157"/>
    </x:row>
    <x:row r="319">
      <x:c r="A319" s="154" t="str">
        <x:f>IF($J319="Yes",COUNTIF($J$2:J319,"Yes"),"")</x:f>
      </x:c>
      <x:c r="B319" s="154"/>
      <x:c r="C319" s="154" t="str">
        <x:f>IFERROR(VLOOKUP($B319,'Hack Database'!$A:$J,2,FALSE),"")</x:f>
      </x:c>
      <x:c r="D319" s="154" t="str">
        <x:f>IFERROR(VLOOKUP($B319,'Hack Database'!$A:$J,3,FALSE),"")</x:f>
      </x:c>
      <x:c r="E319" s="154" t="str">
        <x:f>IFERROR(VLOOKUP($B319,'Hack Database'!$A:$J,4,FALSE),"")</x:f>
      </x:c>
      <x:c r="F319" s="154" t="str">
        <x:f>IFERROR(VLOOKUP($B319,'Hack Database'!$A:$J,5,FALSE),"")</x:f>
      </x:c>
      <x:c r="G319" s="154" t="str">
        <x:f>IFERROR(VLOOKUP($B319,'Hack Database'!$A:$J,6,FALSE),"")</x:f>
      </x:c>
      <x:c r="H319" s="155"/>
      <x:c r="I319" s="155"/>
      <x:c r="J319" s="154"/>
      <x:c r="K319" s="154" t="str">
        <x:f t="shared" si="4"/>
      </x:c>
      <x:c r="L319" s="154"/>
      <x:c r="M319" s="156"/>
      <x:c r="N319" s="154" t="str">
        <x:f>IFERROR(HYPERLINK(VLOOKUP($B319,'Hack Database'!$A:$J,9,FALSE),"Open Page"),"")</x:f>
      </x:c>
      <x:c r="O319" s="154" t="str">
        <x:f>IFERROR(HYPERLINK(VLOOKUP($B319,'Hack Database'!$A:$J,10,FALSE),"Download"),"")</x:f>
      </x:c>
      <x:c r="P319" s="157"/>
    </x:row>
    <x:row r="320">
      <x:c r="A320" s="154" t="str">
        <x:f>IF($J320="Yes",COUNTIF($J$2:J320,"Yes"),"")</x:f>
      </x:c>
      <x:c r="B320" s="154"/>
      <x:c r="C320" s="154" t="str">
        <x:f>IFERROR(VLOOKUP($B320,'Hack Database'!$A:$J,2,FALSE),"")</x:f>
      </x:c>
      <x:c r="D320" s="154" t="str">
        <x:f>IFERROR(VLOOKUP($B320,'Hack Database'!$A:$J,3,FALSE),"")</x:f>
      </x:c>
      <x:c r="E320" s="154" t="str">
        <x:f>IFERROR(VLOOKUP($B320,'Hack Database'!$A:$J,4,FALSE),"")</x:f>
      </x:c>
      <x:c r="F320" s="154" t="str">
        <x:f>IFERROR(VLOOKUP($B320,'Hack Database'!$A:$J,5,FALSE),"")</x:f>
      </x:c>
      <x:c r="G320" s="154" t="str">
        <x:f>IFERROR(VLOOKUP($B320,'Hack Database'!$A:$J,6,FALSE),"")</x:f>
      </x:c>
      <x:c r="H320" s="155"/>
      <x:c r="I320" s="155"/>
      <x:c r="J320" s="154"/>
      <x:c r="K320" s="154" t="str">
        <x:f t="shared" si="4"/>
      </x:c>
      <x:c r="L320" s="154"/>
      <x:c r="M320" s="156"/>
      <x:c r="N320" s="154" t="str">
        <x:f>IFERROR(HYPERLINK(VLOOKUP($B320,'Hack Database'!$A:$J,9,FALSE),"Open Page"),"")</x:f>
      </x:c>
      <x:c r="O320" s="154" t="str">
        <x:f>IFERROR(HYPERLINK(VLOOKUP($B320,'Hack Database'!$A:$J,10,FALSE),"Download"),"")</x:f>
      </x:c>
      <x:c r="P320" s="157"/>
    </x:row>
    <x:row r="321">
      <x:c r="A321" s="154" t="str">
        <x:f>IF($J321="Yes",COUNTIF($J$2:J321,"Yes"),"")</x:f>
      </x:c>
      <x:c r="B321" s="154"/>
      <x:c r="C321" s="154" t="str">
        <x:f>IFERROR(VLOOKUP($B321,'Hack Database'!$A:$J,2,FALSE),"")</x:f>
      </x:c>
      <x:c r="D321" s="154" t="str">
        <x:f>IFERROR(VLOOKUP($B321,'Hack Database'!$A:$J,3,FALSE),"")</x:f>
      </x:c>
      <x:c r="E321" s="154" t="str">
        <x:f>IFERROR(VLOOKUP($B321,'Hack Database'!$A:$J,4,FALSE),"")</x:f>
      </x:c>
      <x:c r="F321" s="154" t="str">
        <x:f>IFERROR(VLOOKUP($B321,'Hack Database'!$A:$J,5,FALSE),"")</x:f>
      </x:c>
      <x:c r="G321" s="154" t="str">
        <x:f>IFERROR(VLOOKUP($B321,'Hack Database'!$A:$J,6,FALSE),"")</x:f>
      </x:c>
      <x:c r="H321" s="155"/>
      <x:c r="I321" s="155"/>
      <x:c r="J321" s="154"/>
      <x:c r="K321" s="154" t="str">
        <x:f t="shared" si="4"/>
      </x:c>
      <x:c r="L321" s="154"/>
      <x:c r="M321" s="156"/>
      <x:c r="N321" s="154" t="str">
        <x:f>IFERROR(HYPERLINK(VLOOKUP($B321,'Hack Database'!$A:$J,9,FALSE),"Open Page"),"")</x:f>
      </x:c>
      <x:c r="O321" s="154" t="str">
        <x:f>IFERROR(HYPERLINK(VLOOKUP($B321,'Hack Database'!$A:$J,10,FALSE),"Download"),"")</x:f>
      </x:c>
      <x:c r="P321" s="157"/>
    </x:row>
    <x:row r="322">
      <x:c r="A322" s="154" t="str">
        <x:f>IF($J322="Yes",COUNTIF($J$2:J322,"Yes"),"")</x:f>
      </x:c>
      <x:c r="B322" s="154"/>
      <x:c r="C322" s="154" t="str">
        <x:f>IFERROR(VLOOKUP($B322,'Hack Database'!$A:$J,2,FALSE),"")</x:f>
      </x:c>
      <x:c r="D322" s="154" t="str">
        <x:f>IFERROR(VLOOKUP($B322,'Hack Database'!$A:$J,3,FALSE),"")</x:f>
      </x:c>
      <x:c r="E322" s="154" t="str">
        <x:f>IFERROR(VLOOKUP($B322,'Hack Database'!$A:$J,4,FALSE),"")</x:f>
      </x:c>
      <x:c r="F322" s="154" t="str">
        <x:f>IFERROR(VLOOKUP($B322,'Hack Database'!$A:$J,5,FALSE),"")</x:f>
      </x:c>
      <x:c r="G322" s="154" t="str">
        <x:f>IFERROR(VLOOKUP($B322,'Hack Database'!$A:$J,6,FALSE),"")</x:f>
      </x:c>
      <x:c r="H322" s="155"/>
      <x:c r="I322" s="155"/>
      <x:c r="J322" s="154"/>
      <x:c r="K322" s="154" t="str">
        <x:f t="shared" ref="K322:K385" si="5">IF($B322="","",IF($J322="Yes","100% Complete",IF($H322="","Planned",IF($I322="","In Progress","Finished"))))</x:f>
      </x:c>
      <x:c r="L322" s="154"/>
      <x:c r="M322" s="156"/>
      <x:c r="N322" s="154" t="str">
        <x:f>IFERROR(HYPERLINK(VLOOKUP($B322,'Hack Database'!$A:$J,9,FALSE),"Open Page"),"")</x:f>
      </x:c>
      <x:c r="O322" s="154" t="str">
        <x:f>IFERROR(HYPERLINK(VLOOKUP($B322,'Hack Database'!$A:$J,10,FALSE),"Download"),"")</x:f>
      </x:c>
      <x:c r="P322" s="157"/>
    </x:row>
    <x:row r="323">
      <x:c r="A323" s="154" t="str">
        <x:f>IF($J323="Yes",COUNTIF($J$2:J323,"Yes"),"")</x:f>
      </x:c>
      <x:c r="B323" s="154"/>
      <x:c r="C323" s="154" t="str">
        <x:f>IFERROR(VLOOKUP($B323,'Hack Database'!$A:$J,2,FALSE),"")</x:f>
      </x:c>
      <x:c r="D323" s="154" t="str">
        <x:f>IFERROR(VLOOKUP($B323,'Hack Database'!$A:$J,3,FALSE),"")</x:f>
      </x:c>
      <x:c r="E323" s="154" t="str">
        <x:f>IFERROR(VLOOKUP($B323,'Hack Database'!$A:$J,4,FALSE),"")</x:f>
      </x:c>
      <x:c r="F323" s="154" t="str">
        <x:f>IFERROR(VLOOKUP($B323,'Hack Database'!$A:$J,5,FALSE),"")</x:f>
      </x:c>
      <x:c r="G323" s="154" t="str">
        <x:f>IFERROR(VLOOKUP($B323,'Hack Database'!$A:$J,6,FALSE),"")</x:f>
      </x:c>
      <x:c r="H323" s="155"/>
      <x:c r="I323" s="155"/>
      <x:c r="J323" s="154"/>
      <x:c r="K323" s="154" t="str">
        <x:f t="shared" si="5"/>
      </x:c>
      <x:c r="L323" s="154"/>
      <x:c r="M323" s="156"/>
      <x:c r="N323" s="154" t="str">
        <x:f>IFERROR(HYPERLINK(VLOOKUP($B323,'Hack Database'!$A:$J,9,FALSE),"Open Page"),"")</x:f>
      </x:c>
      <x:c r="O323" s="154" t="str">
        <x:f>IFERROR(HYPERLINK(VLOOKUP($B323,'Hack Database'!$A:$J,10,FALSE),"Download"),"")</x:f>
      </x:c>
      <x:c r="P323" s="157"/>
    </x:row>
    <x:row r="324">
      <x:c r="A324" s="154" t="str">
        <x:f>IF($J324="Yes",COUNTIF($J$2:J324,"Yes"),"")</x:f>
      </x:c>
      <x:c r="B324" s="154"/>
      <x:c r="C324" s="154" t="str">
        <x:f>IFERROR(VLOOKUP($B324,'Hack Database'!$A:$J,2,FALSE),"")</x:f>
      </x:c>
      <x:c r="D324" s="154" t="str">
        <x:f>IFERROR(VLOOKUP($B324,'Hack Database'!$A:$J,3,FALSE),"")</x:f>
      </x:c>
      <x:c r="E324" s="154" t="str">
        <x:f>IFERROR(VLOOKUP($B324,'Hack Database'!$A:$J,4,FALSE),"")</x:f>
      </x:c>
      <x:c r="F324" s="154" t="str">
        <x:f>IFERROR(VLOOKUP($B324,'Hack Database'!$A:$J,5,FALSE),"")</x:f>
      </x:c>
      <x:c r="G324" s="154" t="str">
        <x:f>IFERROR(VLOOKUP($B324,'Hack Database'!$A:$J,6,FALSE),"")</x:f>
      </x:c>
      <x:c r="H324" s="155"/>
      <x:c r="I324" s="155"/>
      <x:c r="J324" s="154"/>
      <x:c r="K324" s="154" t="str">
        <x:f t="shared" si="5"/>
      </x:c>
      <x:c r="L324" s="154"/>
      <x:c r="M324" s="156"/>
      <x:c r="N324" s="154" t="str">
        <x:f>IFERROR(HYPERLINK(VLOOKUP($B324,'Hack Database'!$A:$J,9,FALSE),"Open Page"),"")</x:f>
      </x:c>
      <x:c r="O324" s="154" t="str">
        <x:f>IFERROR(HYPERLINK(VLOOKUP($B324,'Hack Database'!$A:$J,10,FALSE),"Download"),"")</x:f>
      </x:c>
      <x:c r="P324" s="157"/>
    </x:row>
    <x:row r="325">
      <x:c r="A325" s="154" t="str">
        <x:f>IF($J325="Yes",COUNTIF($J$2:J325,"Yes"),"")</x:f>
      </x:c>
      <x:c r="B325" s="154"/>
      <x:c r="C325" s="154" t="str">
        <x:f>IFERROR(VLOOKUP($B325,'Hack Database'!$A:$J,2,FALSE),"")</x:f>
      </x:c>
      <x:c r="D325" s="154" t="str">
        <x:f>IFERROR(VLOOKUP($B325,'Hack Database'!$A:$J,3,FALSE),"")</x:f>
      </x:c>
      <x:c r="E325" s="154" t="str">
        <x:f>IFERROR(VLOOKUP($B325,'Hack Database'!$A:$J,4,FALSE),"")</x:f>
      </x:c>
      <x:c r="F325" s="154" t="str">
        <x:f>IFERROR(VLOOKUP($B325,'Hack Database'!$A:$J,5,FALSE),"")</x:f>
      </x:c>
      <x:c r="G325" s="154" t="str">
        <x:f>IFERROR(VLOOKUP($B325,'Hack Database'!$A:$J,6,FALSE),"")</x:f>
      </x:c>
      <x:c r="H325" s="155"/>
      <x:c r="I325" s="155"/>
      <x:c r="J325" s="154"/>
      <x:c r="K325" s="154" t="str">
        <x:f t="shared" si="5"/>
      </x:c>
      <x:c r="L325" s="154"/>
      <x:c r="M325" s="156"/>
      <x:c r="N325" s="154" t="str">
        <x:f>IFERROR(HYPERLINK(VLOOKUP($B325,'Hack Database'!$A:$J,9,FALSE),"Open Page"),"")</x:f>
      </x:c>
      <x:c r="O325" s="154" t="str">
        <x:f>IFERROR(HYPERLINK(VLOOKUP($B325,'Hack Database'!$A:$J,10,FALSE),"Download"),"")</x:f>
      </x:c>
      <x:c r="P325" s="157"/>
    </x:row>
    <x:row r="326">
      <x:c r="A326" s="154" t="str">
        <x:f>IF($J326="Yes",COUNTIF($J$2:J326,"Yes"),"")</x:f>
      </x:c>
      <x:c r="B326" s="154"/>
      <x:c r="C326" s="154" t="str">
        <x:f>IFERROR(VLOOKUP($B326,'Hack Database'!$A:$J,2,FALSE),"")</x:f>
      </x:c>
      <x:c r="D326" s="154" t="str">
        <x:f>IFERROR(VLOOKUP($B326,'Hack Database'!$A:$J,3,FALSE),"")</x:f>
      </x:c>
      <x:c r="E326" s="154" t="str">
        <x:f>IFERROR(VLOOKUP($B326,'Hack Database'!$A:$J,4,FALSE),"")</x:f>
      </x:c>
      <x:c r="F326" s="154" t="str">
        <x:f>IFERROR(VLOOKUP($B326,'Hack Database'!$A:$J,5,FALSE),"")</x:f>
      </x:c>
      <x:c r="G326" s="154" t="str">
        <x:f>IFERROR(VLOOKUP($B326,'Hack Database'!$A:$J,6,FALSE),"")</x:f>
      </x:c>
      <x:c r="H326" s="155"/>
      <x:c r="I326" s="155"/>
      <x:c r="J326" s="154"/>
      <x:c r="K326" s="154" t="str">
        <x:f t="shared" si="5"/>
      </x:c>
      <x:c r="L326" s="154"/>
      <x:c r="M326" s="156"/>
      <x:c r="N326" s="154" t="str">
        <x:f>IFERROR(HYPERLINK(VLOOKUP($B326,'Hack Database'!$A:$J,9,FALSE),"Open Page"),"")</x:f>
      </x:c>
      <x:c r="O326" s="154" t="str">
        <x:f>IFERROR(HYPERLINK(VLOOKUP($B326,'Hack Database'!$A:$J,10,FALSE),"Download"),"")</x:f>
      </x:c>
      <x:c r="P326" s="157"/>
    </x:row>
    <x:row r="327">
      <x:c r="A327" s="154" t="str">
        <x:f>IF($J327="Yes",COUNTIF($J$2:J327,"Yes"),"")</x:f>
      </x:c>
      <x:c r="B327" s="154"/>
      <x:c r="C327" s="154" t="str">
        <x:f>IFERROR(VLOOKUP($B327,'Hack Database'!$A:$J,2,FALSE),"")</x:f>
      </x:c>
      <x:c r="D327" s="154" t="str">
        <x:f>IFERROR(VLOOKUP($B327,'Hack Database'!$A:$J,3,FALSE),"")</x:f>
      </x:c>
      <x:c r="E327" s="154" t="str">
        <x:f>IFERROR(VLOOKUP($B327,'Hack Database'!$A:$J,4,FALSE),"")</x:f>
      </x:c>
      <x:c r="F327" s="154" t="str">
        <x:f>IFERROR(VLOOKUP($B327,'Hack Database'!$A:$J,5,FALSE),"")</x:f>
      </x:c>
      <x:c r="G327" s="154" t="str">
        <x:f>IFERROR(VLOOKUP($B327,'Hack Database'!$A:$J,6,FALSE),"")</x:f>
      </x:c>
      <x:c r="H327" s="155"/>
      <x:c r="I327" s="155"/>
      <x:c r="J327" s="154"/>
      <x:c r="K327" s="154" t="str">
        <x:f t="shared" si="5"/>
      </x:c>
      <x:c r="L327" s="154"/>
      <x:c r="M327" s="156"/>
      <x:c r="N327" s="154" t="str">
        <x:f>IFERROR(HYPERLINK(VLOOKUP($B327,'Hack Database'!$A:$J,9,FALSE),"Open Page"),"")</x:f>
      </x:c>
      <x:c r="O327" s="154" t="str">
        <x:f>IFERROR(HYPERLINK(VLOOKUP($B327,'Hack Database'!$A:$J,10,FALSE),"Download"),"")</x:f>
      </x:c>
      <x:c r="P327" s="157"/>
    </x:row>
    <x:row r="328">
      <x:c r="A328" s="154" t="str">
        <x:f>IF($J328="Yes",COUNTIF($J$2:J328,"Yes"),"")</x:f>
      </x:c>
      <x:c r="B328" s="154"/>
      <x:c r="C328" s="154" t="str">
        <x:f>IFERROR(VLOOKUP($B328,'Hack Database'!$A:$J,2,FALSE),"")</x:f>
      </x:c>
      <x:c r="D328" s="154" t="str">
        <x:f>IFERROR(VLOOKUP($B328,'Hack Database'!$A:$J,3,FALSE),"")</x:f>
      </x:c>
      <x:c r="E328" s="154" t="str">
        <x:f>IFERROR(VLOOKUP($B328,'Hack Database'!$A:$J,4,FALSE),"")</x:f>
      </x:c>
      <x:c r="F328" s="154" t="str">
        <x:f>IFERROR(VLOOKUP($B328,'Hack Database'!$A:$J,5,FALSE),"")</x:f>
      </x:c>
      <x:c r="G328" s="154" t="str">
        <x:f>IFERROR(VLOOKUP($B328,'Hack Database'!$A:$J,6,FALSE),"")</x:f>
      </x:c>
      <x:c r="H328" s="155"/>
      <x:c r="I328" s="155"/>
      <x:c r="J328" s="154"/>
      <x:c r="K328" s="154" t="str">
        <x:f t="shared" si="5"/>
      </x:c>
      <x:c r="L328" s="154"/>
      <x:c r="M328" s="156"/>
      <x:c r="N328" s="154" t="str">
        <x:f>IFERROR(HYPERLINK(VLOOKUP($B328,'Hack Database'!$A:$J,9,FALSE),"Open Page"),"")</x:f>
      </x:c>
      <x:c r="O328" s="154" t="str">
        <x:f>IFERROR(HYPERLINK(VLOOKUP($B328,'Hack Database'!$A:$J,10,FALSE),"Download"),"")</x:f>
      </x:c>
      <x:c r="P328" s="157"/>
    </x:row>
    <x:row r="329">
      <x:c r="A329" s="154" t="str">
        <x:f>IF($J329="Yes",COUNTIF($J$2:J329,"Yes"),"")</x:f>
      </x:c>
      <x:c r="B329" s="154"/>
      <x:c r="C329" s="154" t="str">
        <x:f>IFERROR(VLOOKUP($B329,'Hack Database'!$A:$J,2,FALSE),"")</x:f>
      </x:c>
      <x:c r="D329" s="154" t="str">
        <x:f>IFERROR(VLOOKUP($B329,'Hack Database'!$A:$J,3,FALSE),"")</x:f>
      </x:c>
      <x:c r="E329" s="154" t="str">
        <x:f>IFERROR(VLOOKUP($B329,'Hack Database'!$A:$J,4,FALSE),"")</x:f>
      </x:c>
      <x:c r="F329" s="154" t="str">
        <x:f>IFERROR(VLOOKUP($B329,'Hack Database'!$A:$J,5,FALSE),"")</x:f>
      </x:c>
      <x:c r="G329" s="154" t="str">
        <x:f>IFERROR(VLOOKUP($B329,'Hack Database'!$A:$J,6,FALSE),"")</x:f>
      </x:c>
      <x:c r="H329" s="155"/>
      <x:c r="I329" s="155"/>
      <x:c r="J329" s="154"/>
      <x:c r="K329" s="154" t="str">
        <x:f t="shared" si="5"/>
      </x:c>
      <x:c r="L329" s="154"/>
      <x:c r="M329" s="156"/>
      <x:c r="N329" s="154" t="str">
        <x:f>IFERROR(HYPERLINK(VLOOKUP($B329,'Hack Database'!$A:$J,9,FALSE),"Open Page"),"")</x:f>
      </x:c>
      <x:c r="O329" s="154" t="str">
        <x:f>IFERROR(HYPERLINK(VLOOKUP($B329,'Hack Database'!$A:$J,10,FALSE),"Download"),"")</x:f>
      </x:c>
      <x:c r="P329" s="157"/>
    </x:row>
    <x:row r="330">
      <x:c r="A330" s="154" t="str">
        <x:f>IF($J330="Yes",COUNTIF($J$2:J330,"Yes"),"")</x:f>
      </x:c>
      <x:c r="B330" s="154"/>
      <x:c r="C330" s="154" t="str">
        <x:f>IFERROR(VLOOKUP($B330,'Hack Database'!$A:$J,2,FALSE),"")</x:f>
      </x:c>
      <x:c r="D330" s="154" t="str">
        <x:f>IFERROR(VLOOKUP($B330,'Hack Database'!$A:$J,3,FALSE),"")</x:f>
      </x:c>
      <x:c r="E330" s="154" t="str">
        <x:f>IFERROR(VLOOKUP($B330,'Hack Database'!$A:$J,4,FALSE),"")</x:f>
      </x:c>
      <x:c r="F330" s="154" t="str">
        <x:f>IFERROR(VLOOKUP($B330,'Hack Database'!$A:$J,5,FALSE),"")</x:f>
      </x:c>
      <x:c r="G330" s="154" t="str">
        <x:f>IFERROR(VLOOKUP($B330,'Hack Database'!$A:$J,6,FALSE),"")</x:f>
      </x:c>
      <x:c r="H330" s="155"/>
      <x:c r="I330" s="155"/>
      <x:c r="J330" s="154"/>
      <x:c r="K330" s="154" t="str">
        <x:f t="shared" si="5"/>
      </x:c>
      <x:c r="L330" s="154"/>
      <x:c r="M330" s="156"/>
      <x:c r="N330" s="154" t="str">
        <x:f>IFERROR(HYPERLINK(VLOOKUP($B330,'Hack Database'!$A:$J,9,FALSE),"Open Page"),"")</x:f>
      </x:c>
      <x:c r="O330" s="154" t="str">
        <x:f>IFERROR(HYPERLINK(VLOOKUP($B330,'Hack Database'!$A:$J,10,FALSE),"Download"),"")</x:f>
      </x:c>
      <x:c r="P330" s="157"/>
    </x:row>
    <x:row r="331">
      <x:c r="A331" s="154" t="str">
        <x:f>IF($J331="Yes",COUNTIF($J$2:J331,"Yes"),"")</x:f>
      </x:c>
      <x:c r="B331" s="154"/>
      <x:c r="C331" s="154" t="str">
        <x:f>IFERROR(VLOOKUP($B331,'Hack Database'!$A:$J,2,FALSE),"")</x:f>
      </x:c>
      <x:c r="D331" s="154" t="str">
        <x:f>IFERROR(VLOOKUP($B331,'Hack Database'!$A:$J,3,FALSE),"")</x:f>
      </x:c>
      <x:c r="E331" s="154" t="str">
        <x:f>IFERROR(VLOOKUP($B331,'Hack Database'!$A:$J,4,FALSE),"")</x:f>
      </x:c>
      <x:c r="F331" s="154" t="str">
        <x:f>IFERROR(VLOOKUP($B331,'Hack Database'!$A:$J,5,FALSE),"")</x:f>
      </x:c>
      <x:c r="G331" s="154" t="str">
        <x:f>IFERROR(VLOOKUP($B331,'Hack Database'!$A:$J,6,FALSE),"")</x:f>
      </x:c>
      <x:c r="H331" s="155"/>
      <x:c r="I331" s="155"/>
      <x:c r="J331" s="154"/>
      <x:c r="K331" s="154" t="str">
        <x:f t="shared" si="5"/>
      </x:c>
      <x:c r="L331" s="154"/>
      <x:c r="M331" s="156"/>
      <x:c r="N331" s="154" t="str">
        <x:f>IFERROR(HYPERLINK(VLOOKUP($B331,'Hack Database'!$A:$J,9,FALSE),"Open Page"),"")</x:f>
      </x:c>
      <x:c r="O331" s="154" t="str">
        <x:f>IFERROR(HYPERLINK(VLOOKUP($B331,'Hack Database'!$A:$J,10,FALSE),"Download"),"")</x:f>
      </x:c>
      <x:c r="P331" s="157"/>
    </x:row>
    <x:row r="332">
      <x:c r="A332" s="154" t="str">
        <x:f>IF($J332="Yes",COUNTIF($J$2:J332,"Yes"),"")</x:f>
      </x:c>
      <x:c r="B332" s="154"/>
      <x:c r="C332" s="154" t="str">
        <x:f>IFERROR(VLOOKUP($B332,'Hack Database'!$A:$J,2,FALSE),"")</x:f>
      </x:c>
      <x:c r="D332" s="154" t="str">
        <x:f>IFERROR(VLOOKUP($B332,'Hack Database'!$A:$J,3,FALSE),"")</x:f>
      </x:c>
      <x:c r="E332" s="154" t="str">
        <x:f>IFERROR(VLOOKUP($B332,'Hack Database'!$A:$J,4,FALSE),"")</x:f>
      </x:c>
      <x:c r="F332" s="154" t="str">
        <x:f>IFERROR(VLOOKUP($B332,'Hack Database'!$A:$J,5,FALSE),"")</x:f>
      </x:c>
      <x:c r="G332" s="154" t="str">
        <x:f>IFERROR(VLOOKUP($B332,'Hack Database'!$A:$J,6,FALSE),"")</x:f>
      </x:c>
      <x:c r="H332" s="155"/>
      <x:c r="I332" s="155"/>
      <x:c r="J332" s="154"/>
      <x:c r="K332" s="154" t="str">
        <x:f t="shared" si="5"/>
      </x:c>
      <x:c r="L332" s="154"/>
      <x:c r="M332" s="156"/>
      <x:c r="N332" s="154" t="str">
        <x:f>IFERROR(HYPERLINK(VLOOKUP($B332,'Hack Database'!$A:$J,9,FALSE),"Open Page"),"")</x:f>
      </x:c>
      <x:c r="O332" s="154" t="str">
        <x:f>IFERROR(HYPERLINK(VLOOKUP($B332,'Hack Database'!$A:$J,10,FALSE),"Download"),"")</x:f>
      </x:c>
      <x:c r="P332" s="157"/>
    </x:row>
    <x:row r="333">
      <x:c r="A333" s="154" t="str">
        <x:f>IF($J333="Yes",COUNTIF($J$2:J333,"Yes"),"")</x:f>
      </x:c>
      <x:c r="B333" s="154"/>
      <x:c r="C333" s="154" t="str">
        <x:f>IFERROR(VLOOKUP($B333,'Hack Database'!$A:$J,2,FALSE),"")</x:f>
      </x:c>
      <x:c r="D333" s="154" t="str">
        <x:f>IFERROR(VLOOKUP($B333,'Hack Database'!$A:$J,3,FALSE),"")</x:f>
      </x:c>
      <x:c r="E333" s="154" t="str">
        <x:f>IFERROR(VLOOKUP($B333,'Hack Database'!$A:$J,4,FALSE),"")</x:f>
      </x:c>
      <x:c r="F333" s="154" t="str">
        <x:f>IFERROR(VLOOKUP($B333,'Hack Database'!$A:$J,5,FALSE),"")</x:f>
      </x:c>
      <x:c r="G333" s="154" t="str">
        <x:f>IFERROR(VLOOKUP($B333,'Hack Database'!$A:$J,6,FALSE),"")</x:f>
      </x:c>
      <x:c r="H333" s="155"/>
      <x:c r="I333" s="155"/>
      <x:c r="J333" s="154"/>
      <x:c r="K333" s="154" t="str">
        <x:f t="shared" si="5"/>
      </x:c>
      <x:c r="L333" s="154"/>
      <x:c r="M333" s="156"/>
      <x:c r="N333" s="154" t="str">
        <x:f>IFERROR(HYPERLINK(VLOOKUP($B333,'Hack Database'!$A:$J,9,FALSE),"Open Page"),"")</x:f>
      </x:c>
      <x:c r="O333" s="154" t="str">
        <x:f>IFERROR(HYPERLINK(VLOOKUP($B333,'Hack Database'!$A:$J,10,FALSE),"Download"),"")</x:f>
      </x:c>
      <x:c r="P333" s="157"/>
    </x:row>
    <x:row r="334">
      <x:c r="A334" s="154" t="str">
        <x:f>IF($J334="Yes",COUNTIF($J$2:J334,"Yes"),"")</x:f>
      </x:c>
      <x:c r="B334" s="154"/>
      <x:c r="C334" s="154" t="str">
        <x:f>IFERROR(VLOOKUP($B334,'Hack Database'!$A:$J,2,FALSE),"")</x:f>
      </x:c>
      <x:c r="D334" s="154" t="str">
        <x:f>IFERROR(VLOOKUP($B334,'Hack Database'!$A:$J,3,FALSE),"")</x:f>
      </x:c>
      <x:c r="E334" s="154" t="str">
        <x:f>IFERROR(VLOOKUP($B334,'Hack Database'!$A:$J,4,FALSE),"")</x:f>
      </x:c>
      <x:c r="F334" s="154" t="str">
        <x:f>IFERROR(VLOOKUP($B334,'Hack Database'!$A:$J,5,FALSE),"")</x:f>
      </x:c>
      <x:c r="G334" s="154" t="str">
        <x:f>IFERROR(VLOOKUP($B334,'Hack Database'!$A:$J,6,FALSE),"")</x:f>
      </x:c>
      <x:c r="H334" s="155"/>
      <x:c r="I334" s="155"/>
      <x:c r="J334" s="154"/>
      <x:c r="K334" s="154" t="str">
        <x:f t="shared" si="5"/>
      </x:c>
      <x:c r="L334" s="154"/>
      <x:c r="M334" s="156"/>
      <x:c r="N334" s="154" t="str">
        <x:f>IFERROR(HYPERLINK(VLOOKUP($B334,'Hack Database'!$A:$J,9,FALSE),"Open Page"),"")</x:f>
      </x:c>
      <x:c r="O334" s="154" t="str">
        <x:f>IFERROR(HYPERLINK(VLOOKUP($B334,'Hack Database'!$A:$J,10,FALSE),"Download"),"")</x:f>
      </x:c>
      <x:c r="P334" s="157"/>
    </x:row>
    <x:row r="335">
      <x:c r="A335" s="154" t="str">
        <x:f>IF($J335="Yes",COUNTIF($J$2:J335,"Yes"),"")</x:f>
      </x:c>
      <x:c r="B335" s="154"/>
      <x:c r="C335" s="154" t="str">
        <x:f>IFERROR(VLOOKUP($B335,'Hack Database'!$A:$J,2,FALSE),"")</x:f>
      </x:c>
      <x:c r="D335" s="154" t="str">
        <x:f>IFERROR(VLOOKUP($B335,'Hack Database'!$A:$J,3,FALSE),"")</x:f>
      </x:c>
      <x:c r="E335" s="154" t="str">
        <x:f>IFERROR(VLOOKUP($B335,'Hack Database'!$A:$J,4,FALSE),"")</x:f>
      </x:c>
      <x:c r="F335" s="154" t="str">
        <x:f>IFERROR(VLOOKUP($B335,'Hack Database'!$A:$J,5,FALSE),"")</x:f>
      </x:c>
      <x:c r="G335" s="154" t="str">
        <x:f>IFERROR(VLOOKUP($B335,'Hack Database'!$A:$J,6,FALSE),"")</x:f>
      </x:c>
      <x:c r="H335" s="155"/>
      <x:c r="I335" s="155"/>
      <x:c r="J335" s="154"/>
      <x:c r="K335" s="154" t="str">
        <x:f t="shared" si="5"/>
      </x:c>
      <x:c r="L335" s="154"/>
      <x:c r="M335" s="156"/>
      <x:c r="N335" s="154" t="str">
        <x:f>IFERROR(HYPERLINK(VLOOKUP($B335,'Hack Database'!$A:$J,9,FALSE),"Open Page"),"")</x:f>
      </x:c>
      <x:c r="O335" s="154" t="str">
        <x:f>IFERROR(HYPERLINK(VLOOKUP($B335,'Hack Database'!$A:$J,10,FALSE),"Download"),"")</x:f>
      </x:c>
      <x:c r="P335" s="157"/>
    </x:row>
    <x:row r="336">
      <x:c r="A336" s="154" t="str">
        <x:f>IF($J336="Yes",COUNTIF($J$2:J336,"Yes"),"")</x:f>
      </x:c>
      <x:c r="B336" s="154"/>
      <x:c r="C336" s="154" t="str">
        <x:f>IFERROR(VLOOKUP($B336,'Hack Database'!$A:$J,2,FALSE),"")</x:f>
      </x:c>
      <x:c r="D336" s="154" t="str">
        <x:f>IFERROR(VLOOKUP($B336,'Hack Database'!$A:$J,3,FALSE),"")</x:f>
      </x:c>
      <x:c r="E336" s="154" t="str">
        <x:f>IFERROR(VLOOKUP($B336,'Hack Database'!$A:$J,4,FALSE),"")</x:f>
      </x:c>
      <x:c r="F336" s="154" t="str">
        <x:f>IFERROR(VLOOKUP($B336,'Hack Database'!$A:$J,5,FALSE),"")</x:f>
      </x:c>
      <x:c r="G336" s="154" t="str">
        <x:f>IFERROR(VLOOKUP($B336,'Hack Database'!$A:$J,6,FALSE),"")</x:f>
      </x:c>
      <x:c r="H336" s="155"/>
      <x:c r="I336" s="155"/>
      <x:c r="J336" s="154"/>
      <x:c r="K336" s="154" t="str">
        <x:f t="shared" si="5"/>
      </x:c>
      <x:c r="L336" s="154"/>
      <x:c r="M336" s="156"/>
      <x:c r="N336" s="154" t="str">
        <x:f>IFERROR(HYPERLINK(VLOOKUP($B336,'Hack Database'!$A:$J,9,FALSE),"Open Page"),"")</x:f>
      </x:c>
      <x:c r="O336" s="154" t="str">
        <x:f>IFERROR(HYPERLINK(VLOOKUP($B336,'Hack Database'!$A:$J,10,FALSE),"Download"),"")</x:f>
      </x:c>
      <x:c r="P336" s="157"/>
    </x:row>
    <x:row r="337">
      <x:c r="A337" s="154" t="str">
        <x:f>IF($J337="Yes",COUNTIF($J$2:J337,"Yes"),"")</x:f>
      </x:c>
      <x:c r="B337" s="154"/>
      <x:c r="C337" s="154" t="str">
        <x:f>IFERROR(VLOOKUP($B337,'Hack Database'!$A:$J,2,FALSE),"")</x:f>
      </x:c>
      <x:c r="D337" s="154" t="str">
        <x:f>IFERROR(VLOOKUP($B337,'Hack Database'!$A:$J,3,FALSE),"")</x:f>
      </x:c>
      <x:c r="E337" s="154" t="str">
        <x:f>IFERROR(VLOOKUP($B337,'Hack Database'!$A:$J,4,FALSE),"")</x:f>
      </x:c>
      <x:c r="F337" s="154" t="str">
        <x:f>IFERROR(VLOOKUP($B337,'Hack Database'!$A:$J,5,FALSE),"")</x:f>
      </x:c>
      <x:c r="G337" s="154" t="str">
        <x:f>IFERROR(VLOOKUP($B337,'Hack Database'!$A:$J,6,FALSE),"")</x:f>
      </x:c>
      <x:c r="H337" s="155"/>
      <x:c r="I337" s="155"/>
      <x:c r="J337" s="154"/>
      <x:c r="K337" s="154" t="str">
        <x:f t="shared" si="5"/>
      </x:c>
      <x:c r="L337" s="154"/>
      <x:c r="M337" s="156"/>
      <x:c r="N337" s="154" t="str">
        <x:f>IFERROR(HYPERLINK(VLOOKUP($B337,'Hack Database'!$A:$J,9,FALSE),"Open Page"),"")</x:f>
      </x:c>
      <x:c r="O337" s="154" t="str">
        <x:f>IFERROR(HYPERLINK(VLOOKUP($B337,'Hack Database'!$A:$J,10,FALSE),"Download"),"")</x:f>
      </x:c>
      <x:c r="P337" s="157"/>
    </x:row>
    <x:row r="338">
      <x:c r="A338" s="154" t="str">
        <x:f>IF($J338="Yes",COUNTIF($J$2:J338,"Yes"),"")</x:f>
      </x:c>
      <x:c r="B338" s="154"/>
      <x:c r="C338" s="154" t="str">
        <x:f>IFERROR(VLOOKUP($B338,'Hack Database'!$A:$J,2,FALSE),"")</x:f>
      </x:c>
      <x:c r="D338" s="154" t="str">
        <x:f>IFERROR(VLOOKUP($B338,'Hack Database'!$A:$J,3,FALSE),"")</x:f>
      </x:c>
      <x:c r="E338" s="154" t="str">
        <x:f>IFERROR(VLOOKUP($B338,'Hack Database'!$A:$J,4,FALSE),"")</x:f>
      </x:c>
      <x:c r="F338" s="154" t="str">
        <x:f>IFERROR(VLOOKUP($B338,'Hack Database'!$A:$J,5,FALSE),"")</x:f>
      </x:c>
      <x:c r="G338" s="154" t="str">
        <x:f>IFERROR(VLOOKUP($B338,'Hack Database'!$A:$J,6,FALSE),"")</x:f>
      </x:c>
      <x:c r="H338" s="155"/>
      <x:c r="I338" s="155"/>
      <x:c r="J338" s="154"/>
      <x:c r="K338" s="154" t="str">
        <x:f t="shared" si="5"/>
      </x:c>
      <x:c r="L338" s="154"/>
      <x:c r="M338" s="156"/>
      <x:c r="N338" s="154" t="str">
        <x:f>IFERROR(HYPERLINK(VLOOKUP($B338,'Hack Database'!$A:$J,9,FALSE),"Open Page"),"")</x:f>
      </x:c>
      <x:c r="O338" s="154" t="str">
        <x:f>IFERROR(HYPERLINK(VLOOKUP($B338,'Hack Database'!$A:$J,10,FALSE),"Download"),"")</x:f>
      </x:c>
      <x:c r="P338" s="157"/>
    </x:row>
    <x:row r="339">
      <x:c r="A339" s="154" t="str">
        <x:f>IF($J339="Yes",COUNTIF($J$2:J339,"Yes"),"")</x:f>
      </x:c>
      <x:c r="B339" s="154"/>
      <x:c r="C339" s="154" t="str">
        <x:f>IFERROR(VLOOKUP($B339,'Hack Database'!$A:$J,2,FALSE),"")</x:f>
      </x:c>
      <x:c r="D339" s="154" t="str">
        <x:f>IFERROR(VLOOKUP($B339,'Hack Database'!$A:$J,3,FALSE),"")</x:f>
      </x:c>
      <x:c r="E339" s="154" t="str">
        <x:f>IFERROR(VLOOKUP($B339,'Hack Database'!$A:$J,4,FALSE),"")</x:f>
      </x:c>
      <x:c r="F339" s="154" t="str">
        <x:f>IFERROR(VLOOKUP($B339,'Hack Database'!$A:$J,5,FALSE),"")</x:f>
      </x:c>
      <x:c r="G339" s="154" t="str">
        <x:f>IFERROR(VLOOKUP($B339,'Hack Database'!$A:$J,6,FALSE),"")</x:f>
      </x:c>
      <x:c r="H339" s="155"/>
      <x:c r="I339" s="155"/>
      <x:c r="J339" s="154"/>
      <x:c r="K339" s="154" t="str">
        <x:f t="shared" si="5"/>
      </x:c>
      <x:c r="L339" s="154"/>
      <x:c r="M339" s="156"/>
      <x:c r="N339" s="154" t="str">
        <x:f>IFERROR(HYPERLINK(VLOOKUP($B339,'Hack Database'!$A:$J,9,FALSE),"Open Page"),"")</x:f>
      </x:c>
      <x:c r="O339" s="154" t="str">
        <x:f>IFERROR(HYPERLINK(VLOOKUP($B339,'Hack Database'!$A:$J,10,FALSE),"Download"),"")</x:f>
      </x:c>
      <x:c r="P339" s="157"/>
    </x:row>
    <x:row r="340">
      <x:c r="A340" s="154" t="str">
        <x:f>IF($J340="Yes",COUNTIF($J$2:J340,"Yes"),"")</x:f>
      </x:c>
      <x:c r="B340" s="154"/>
      <x:c r="C340" s="154" t="str">
        <x:f>IFERROR(VLOOKUP($B340,'Hack Database'!$A:$J,2,FALSE),"")</x:f>
      </x:c>
      <x:c r="D340" s="154" t="str">
        <x:f>IFERROR(VLOOKUP($B340,'Hack Database'!$A:$J,3,FALSE),"")</x:f>
      </x:c>
      <x:c r="E340" s="154" t="str">
        <x:f>IFERROR(VLOOKUP($B340,'Hack Database'!$A:$J,4,FALSE),"")</x:f>
      </x:c>
      <x:c r="F340" s="154" t="str">
        <x:f>IFERROR(VLOOKUP($B340,'Hack Database'!$A:$J,5,FALSE),"")</x:f>
      </x:c>
      <x:c r="G340" s="154" t="str">
        <x:f>IFERROR(VLOOKUP($B340,'Hack Database'!$A:$J,6,FALSE),"")</x:f>
      </x:c>
      <x:c r="H340" s="155"/>
      <x:c r="I340" s="155"/>
      <x:c r="J340" s="154"/>
      <x:c r="K340" s="154" t="str">
        <x:f t="shared" si="5"/>
      </x:c>
      <x:c r="L340" s="154"/>
      <x:c r="M340" s="156"/>
      <x:c r="N340" s="154" t="str">
        <x:f>IFERROR(HYPERLINK(VLOOKUP($B340,'Hack Database'!$A:$J,9,FALSE),"Open Page"),"")</x:f>
      </x:c>
      <x:c r="O340" s="154" t="str">
        <x:f>IFERROR(HYPERLINK(VLOOKUP($B340,'Hack Database'!$A:$J,10,FALSE),"Download"),"")</x:f>
      </x:c>
      <x:c r="P340" s="157"/>
    </x:row>
    <x:row r="341">
      <x:c r="A341" s="154" t="str">
        <x:f>IF($J341="Yes",COUNTIF($J$2:J341,"Yes"),"")</x:f>
      </x:c>
      <x:c r="B341" s="154"/>
      <x:c r="C341" s="154" t="str">
        <x:f>IFERROR(VLOOKUP($B341,'Hack Database'!$A:$J,2,FALSE),"")</x:f>
      </x:c>
      <x:c r="D341" s="154" t="str">
        <x:f>IFERROR(VLOOKUP($B341,'Hack Database'!$A:$J,3,FALSE),"")</x:f>
      </x:c>
      <x:c r="E341" s="154" t="str">
        <x:f>IFERROR(VLOOKUP($B341,'Hack Database'!$A:$J,4,FALSE),"")</x:f>
      </x:c>
      <x:c r="F341" s="154" t="str">
        <x:f>IFERROR(VLOOKUP($B341,'Hack Database'!$A:$J,5,FALSE),"")</x:f>
      </x:c>
      <x:c r="G341" s="154" t="str">
        <x:f>IFERROR(VLOOKUP($B341,'Hack Database'!$A:$J,6,FALSE),"")</x:f>
      </x:c>
      <x:c r="H341" s="155"/>
      <x:c r="I341" s="155"/>
      <x:c r="J341" s="154"/>
      <x:c r="K341" s="154" t="str">
        <x:f t="shared" si="5"/>
      </x:c>
      <x:c r="L341" s="154"/>
      <x:c r="M341" s="156"/>
      <x:c r="N341" s="154" t="str">
        <x:f>IFERROR(HYPERLINK(VLOOKUP($B341,'Hack Database'!$A:$J,9,FALSE),"Open Page"),"")</x:f>
      </x:c>
      <x:c r="O341" s="154" t="str">
        <x:f>IFERROR(HYPERLINK(VLOOKUP($B341,'Hack Database'!$A:$J,10,FALSE),"Download"),"")</x:f>
      </x:c>
      <x:c r="P341" s="157"/>
    </x:row>
    <x:row r="342">
      <x:c r="A342" s="154" t="str">
        <x:f>IF($J342="Yes",COUNTIF($J$2:J342,"Yes"),"")</x:f>
      </x:c>
      <x:c r="B342" s="154"/>
      <x:c r="C342" s="154" t="str">
        <x:f>IFERROR(VLOOKUP($B342,'Hack Database'!$A:$J,2,FALSE),"")</x:f>
      </x:c>
      <x:c r="D342" s="154" t="str">
        <x:f>IFERROR(VLOOKUP($B342,'Hack Database'!$A:$J,3,FALSE),"")</x:f>
      </x:c>
      <x:c r="E342" s="154" t="str">
        <x:f>IFERROR(VLOOKUP($B342,'Hack Database'!$A:$J,4,FALSE),"")</x:f>
      </x:c>
      <x:c r="F342" s="154" t="str">
        <x:f>IFERROR(VLOOKUP($B342,'Hack Database'!$A:$J,5,FALSE),"")</x:f>
      </x:c>
      <x:c r="G342" s="154" t="str">
        <x:f>IFERROR(VLOOKUP($B342,'Hack Database'!$A:$J,6,FALSE),"")</x:f>
      </x:c>
      <x:c r="H342" s="155"/>
      <x:c r="I342" s="155"/>
      <x:c r="J342" s="154"/>
      <x:c r="K342" s="154" t="str">
        <x:f t="shared" si="5"/>
      </x:c>
      <x:c r="L342" s="154"/>
      <x:c r="M342" s="156"/>
      <x:c r="N342" s="154" t="str">
        <x:f>IFERROR(HYPERLINK(VLOOKUP($B342,'Hack Database'!$A:$J,9,FALSE),"Open Page"),"")</x:f>
      </x:c>
      <x:c r="O342" s="154" t="str">
        <x:f>IFERROR(HYPERLINK(VLOOKUP($B342,'Hack Database'!$A:$J,10,FALSE),"Download"),"")</x:f>
      </x:c>
      <x:c r="P342" s="157"/>
    </x:row>
    <x:row r="343">
      <x:c r="A343" s="154" t="str">
        <x:f>IF($J343="Yes",COUNTIF($J$2:J343,"Yes"),"")</x:f>
      </x:c>
      <x:c r="B343" s="154"/>
      <x:c r="C343" s="154" t="str">
        <x:f>IFERROR(VLOOKUP($B343,'Hack Database'!$A:$J,2,FALSE),"")</x:f>
      </x:c>
      <x:c r="D343" s="154" t="str">
        <x:f>IFERROR(VLOOKUP($B343,'Hack Database'!$A:$J,3,FALSE),"")</x:f>
      </x:c>
      <x:c r="E343" s="154" t="str">
        <x:f>IFERROR(VLOOKUP($B343,'Hack Database'!$A:$J,4,FALSE),"")</x:f>
      </x:c>
      <x:c r="F343" s="154" t="str">
        <x:f>IFERROR(VLOOKUP($B343,'Hack Database'!$A:$J,5,FALSE),"")</x:f>
      </x:c>
      <x:c r="G343" s="154" t="str">
        <x:f>IFERROR(VLOOKUP($B343,'Hack Database'!$A:$J,6,FALSE),"")</x:f>
      </x:c>
      <x:c r="H343" s="155"/>
      <x:c r="I343" s="155"/>
      <x:c r="J343" s="154"/>
      <x:c r="K343" s="154" t="str">
        <x:f t="shared" si="5"/>
      </x:c>
      <x:c r="L343" s="154"/>
      <x:c r="M343" s="156"/>
      <x:c r="N343" s="154" t="str">
        <x:f>IFERROR(HYPERLINK(VLOOKUP($B343,'Hack Database'!$A:$J,9,FALSE),"Open Page"),"")</x:f>
      </x:c>
      <x:c r="O343" s="154" t="str">
        <x:f>IFERROR(HYPERLINK(VLOOKUP($B343,'Hack Database'!$A:$J,10,FALSE),"Download"),"")</x:f>
      </x:c>
      <x:c r="P343" s="157"/>
    </x:row>
    <x:row r="344">
      <x:c r="A344" s="154" t="str">
        <x:f>IF($J344="Yes",COUNTIF($J$2:J344,"Yes"),"")</x:f>
      </x:c>
      <x:c r="B344" s="154"/>
      <x:c r="C344" s="154" t="str">
        <x:f>IFERROR(VLOOKUP($B344,'Hack Database'!$A:$J,2,FALSE),"")</x:f>
      </x:c>
      <x:c r="D344" s="154" t="str">
        <x:f>IFERROR(VLOOKUP($B344,'Hack Database'!$A:$J,3,FALSE),"")</x:f>
      </x:c>
      <x:c r="E344" s="154" t="str">
        <x:f>IFERROR(VLOOKUP($B344,'Hack Database'!$A:$J,4,FALSE),"")</x:f>
      </x:c>
      <x:c r="F344" s="154" t="str">
        <x:f>IFERROR(VLOOKUP($B344,'Hack Database'!$A:$J,5,FALSE),"")</x:f>
      </x:c>
      <x:c r="G344" s="154" t="str">
        <x:f>IFERROR(VLOOKUP($B344,'Hack Database'!$A:$J,6,FALSE),"")</x:f>
      </x:c>
      <x:c r="H344" s="155"/>
      <x:c r="I344" s="155"/>
      <x:c r="J344" s="154"/>
      <x:c r="K344" s="154" t="str">
        <x:f t="shared" si="5"/>
      </x:c>
      <x:c r="L344" s="154"/>
      <x:c r="M344" s="156"/>
      <x:c r="N344" s="154" t="str">
        <x:f>IFERROR(HYPERLINK(VLOOKUP($B344,'Hack Database'!$A:$J,9,FALSE),"Open Page"),"")</x:f>
      </x:c>
      <x:c r="O344" s="154" t="str">
        <x:f>IFERROR(HYPERLINK(VLOOKUP($B344,'Hack Database'!$A:$J,10,FALSE),"Download"),"")</x:f>
      </x:c>
      <x:c r="P344" s="157"/>
    </x:row>
    <x:row r="345">
      <x:c r="A345" s="154" t="str">
        <x:f>IF($J345="Yes",COUNTIF($J$2:J345,"Yes"),"")</x:f>
      </x:c>
      <x:c r="B345" s="154"/>
      <x:c r="C345" s="154" t="str">
        <x:f>IFERROR(VLOOKUP($B345,'Hack Database'!$A:$J,2,FALSE),"")</x:f>
      </x:c>
      <x:c r="D345" s="154" t="str">
        <x:f>IFERROR(VLOOKUP($B345,'Hack Database'!$A:$J,3,FALSE),"")</x:f>
      </x:c>
      <x:c r="E345" s="154" t="str">
        <x:f>IFERROR(VLOOKUP($B345,'Hack Database'!$A:$J,4,FALSE),"")</x:f>
      </x:c>
      <x:c r="F345" s="154" t="str">
        <x:f>IFERROR(VLOOKUP($B345,'Hack Database'!$A:$J,5,FALSE),"")</x:f>
      </x:c>
      <x:c r="G345" s="154" t="str">
        <x:f>IFERROR(VLOOKUP($B345,'Hack Database'!$A:$J,6,FALSE),"")</x:f>
      </x:c>
      <x:c r="H345" s="155"/>
      <x:c r="I345" s="155"/>
      <x:c r="J345" s="154"/>
      <x:c r="K345" s="154" t="str">
        <x:f t="shared" si="5"/>
      </x:c>
      <x:c r="L345" s="154"/>
      <x:c r="M345" s="156"/>
      <x:c r="N345" s="154" t="str">
        <x:f>IFERROR(HYPERLINK(VLOOKUP($B345,'Hack Database'!$A:$J,9,FALSE),"Open Page"),"")</x:f>
      </x:c>
      <x:c r="O345" s="154" t="str">
        <x:f>IFERROR(HYPERLINK(VLOOKUP($B345,'Hack Database'!$A:$J,10,FALSE),"Download"),"")</x:f>
      </x:c>
      <x:c r="P345" s="157"/>
    </x:row>
    <x:row r="346">
      <x:c r="A346" s="154" t="str">
        <x:f>IF($J346="Yes",COUNTIF($J$2:J346,"Yes"),"")</x:f>
      </x:c>
      <x:c r="B346" s="154"/>
      <x:c r="C346" s="154" t="str">
        <x:f>IFERROR(VLOOKUP($B346,'Hack Database'!$A:$J,2,FALSE),"")</x:f>
      </x:c>
      <x:c r="D346" s="154" t="str">
        <x:f>IFERROR(VLOOKUP($B346,'Hack Database'!$A:$J,3,FALSE),"")</x:f>
      </x:c>
      <x:c r="E346" s="154" t="str">
        <x:f>IFERROR(VLOOKUP($B346,'Hack Database'!$A:$J,4,FALSE),"")</x:f>
      </x:c>
      <x:c r="F346" s="154" t="str">
        <x:f>IFERROR(VLOOKUP($B346,'Hack Database'!$A:$J,5,FALSE),"")</x:f>
      </x:c>
      <x:c r="G346" s="154" t="str">
        <x:f>IFERROR(VLOOKUP($B346,'Hack Database'!$A:$J,6,FALSE),"")</x:f>
      </x:c>
      <x:c r="H346" s="155"/>
      <x:c r="I346" s="155"/>
      <x:c r="J346" s="154"/>
      <x:c r="K346" s="154" t="str">
        <x:f t="shared" si="5"/>
      </x:c>
      <x:c r="L346" s="154"/>
      <x:c r="M346" s="156"/>
      <x:c r="N346" s="154" t="str">
        <x:f>IFERROR(HYPERLINK(VLOOKUP($B346,'Hack Database'!$A:$J,9,FALSE),"Open Page"),"")</x:f>
      </x:c>
      <x:c r="O346" s="154" t="str">
        <x:f>IFERROR(HYPERLINK(VLOOKUP($B346,'Hack Database'!$A:$J,10,FALSE),"Download"),"")</x:f>
      </x:c>
      <x:c r="P346" s="157"/>
    </x:row>
    <x:row r="347">
      <x:c r="A347" s="154" t="str">
        <x:f>IF($J347="Yes",COUNTIF($J$2:J347,"Yes"),"")</x:f>
      </x:c>
      <x:c r="B347" s="154"/>
      <x:c r="C347" s="154" t="str">
        <x:f>IFERROR(VLOOKUP($B347,'Hack Database'!$A:$J,2,FALSE),"")</x:f>
      </x:c>
      <x:c r="D347" s="154" t="str">
        <x:f>IFERROR(VLOOKUP($B347,'Hack Database'!$A:$J,3,FALSE),"")</x:f>
      </x:c>
      <x:c r="E347" s="154" t="str">
        <x:f>IFERROR(VLOOKUP($B347,'Hack Database'!$A:$J,4,FALSE),"")</x:f>
      </x:c>
      <x:c r="F347" s="154" t="str">
        <x:f>IFERROR(VLOOKUP($B347,'Hack Database'!$A:$J,5,FALSE),"")</x:f>
      </x:c>
      <x:c r="G347" s="154" t="str">
        <x:f>IFERROR(VLOOKUP($B347,'Hack Database'!$A:$J,6,FALSE),"")</x:f>
      </x:c>
      <x:c r="H347" s="155"/>
      <x:c r="I347" s="155"/>
      <x:c r="J347" s="154"/>
      <x:c r="K347" s="154" t="str">
        <x:f t="shared" si="5"/>
      </x:c>
      <x:c r="L347" s="154"/>
      <x:c r="M347" s="156"/>
      <x:c r="N347" s="154" t="str">
        <x:f>IFERROR(HYPERLINK(VLOOKUP($B347,'Hack Database'!$A:$J,9,FALSE),"Open Page"),"")</x:f>
      </x:c>
      <x:c r="O347" s="154" t="str">
        <x:f>IFERROR(HYPERLINK(VLOOKUP($B347,'Hack Database'!$A:$J,10,FALSE),"Download"),"")</x:f>
      </x:c>
      <x:c r="P347" s="157"/>
    </x:row>
    <x:row r="348">
      <x:c r="A348" s="154" t="str">
        <x:f>IF($J348="Yes",COUNTIF($J$2:J348,"Yes"),"")</x:f>
      </x:c>
      <x:c r="B348" s="154"/>
      <x:c r="C348" s="154" t="str">
        <x:f>IFERROR(VLOOKUP($B348,'Hack Database'!$A:$J,2,FALSE),"")</x:f>
      </x:c>
      <x:c r="D348" s="154" t="str">
        <x:f>IFERROR(VLOOKUP($B348,'Hack Database'!$A:$J,3,FALSE),"")</x:f>
      </x:c>
      <x:c r="E348" s="154" t="str">
        <x:f>IFERROR(VLOOKUP($B348,'Hack Database'!$A:$J,4,FALSE),"")</x:f>
      </x:c>
      <x:c r="F348" s="154" t="str">
        <x:f>IFERROR(VLOOKUP($B348,'Hack Database'!$A:$J,5,FALSE),"")</x:f>
      </x:c>
      <x:c r="G348" s="154" t="str">
        <x:f>IFERROR(VLOOKUP($B348,'Hack Database'!$A:$J,6,FALSE),"")</x:f>
      </x:c>
      <x:c r="H348" s="155"/>
      <x:c r="I348" s="155"/>
      <x:c r="J348" s="154"/>
      <x:c r="K348" s="154" t="str">
        <x:f t="shared" si="5"/>
      </x:c>
      <x:c r="L348" s="154"/>
      <x:c r="M348" s="156"/>
      <x:c r="N348" s="154" t="str">
        <x:f>IFERROR(HYPERLINK(VLOOKUP($B348,'Hack Database'!$A:$J,9,FALSE),"Open Page"),"")</x:f>
      </x:c>
      <x:c r="O348" s="154" t="str">
        <x:f>IFERROR(HYPERLINK(VLOOKUP($B348,'Hack Database'!$A:$J,10,FALSE),"Download"),"")</x:f>
      </x:c>
      <x:c r="P348" s="157"/>
    </x:row>
    <x:row r="349">
      <x:c r="A349" s="154" t="str">
        <x:f>IF($J349="Yes",COUNTIF($J$2:J349,"Yes"),"")</x:f>
      </x:c>
      <x:c r="B349" s="154"/>
      <x:c r="C349" s="154" t="str">
        <x:f>IFERROR(VLOOKUP($B349,'Hack Database'!$A:$J,2,FALSE),"")</x:f>
      </x:c>
      <x:c r="D349" s="154" t="str">
        <x:f>IFERROR(VLOOKUP($B349,'Hack Database'!$A:$J,3,FALSE),"")</x:f>
      </x:c>
      <x:c r="E349" s="154" t="str">
        <x:f>IFERROR(VLOOKUP($B349,'Hack Database'!$A:$J,4,FALSE),"")</x:f>
      </x:c>
      <x:c r="F349" s="154" t="str">
        <x:f>IFERROR(VLOOKUP($B349,'Hack Database'!$A:$J,5,FALSE),"")</x:f>
      </x:c>
      <x:c r="G349" s="154" t="str">
        <x:f>IFERROR(VLOOKUP($B349,'Hack Database'!$A:$J,6,FALSE),"")</x:f>
      </x:c>
      <x:c r="H349" s="155"/>
      <x:c r="I349" s="155"/>
      <x:c r="J349" s="154"/>
      <x:c r="K349" s="154" t="str">
        <x:f t="shared" si="5"/>
      </x:c>
      <x:c r="L349" s="154"/>
      <x:c r="M349" s="156"/>
      <x:c r="N349" s="154" t="str">
        <x:f>IFERROR(HYPERLINK(VLOOKUP($B349,'Hack Database'!$A:$J,9,FALSE),"Open Page"),"")</x:f>
      </x:c>
      <x:c r="O349" s="154" t="str">
        <x:f>IFERROR(HYPERLINK(VLOOKUP($B349,'Hack Database'!$A:$J,10,FALSE),"Download"),"")</x:f>
      </x:c>
      <x:c r="P349" s="157"/>
    </x:row>
    <x:row r="350">
      <x:c r="A350" s="154" t="str">
        <x:f>IF($J350="Yes",COUNTIF($J$2:J350,"Yes"),"")</x:f>
      </x:c>
      <x:c r="B350" s="154"/>
      <x:c r="C350" s="154" t="str">
        <x:f>IFERROR(VLOOKUP($B350,'Hack Database'!$A:$J,2,FALSE),"")</x:f>
      </x:c>
      <x:c r="D350" s="154" t="str">
        <x:f>IFERROR(VLOOKUP($B350,'Hack Database'!$A:$J,3,FALSE),"")</x:f>
      </x:c>
      <x:c r="E350" s="154" t="str">
        <x:f>IFERROR(VLOOKUP($B350,'Hack Database'!$A:$J,4,FALSE),"")</x:f>
      </x:c>
      <x:c r="F350" s="154" t="str">
        <x:f>IFERROR(VLOOKUP($B350,'Hack Database'!$A:$J,5,FALSE),"")</x:f>
      </x:c>
      <x:c r="G350" s="154" t="str">
        <x:f>IFERROR(VLOOKUP($B350,'Hack Database'!$A:$J,6,FALSE),"")</x:f>
      </x:c>
      <x:c r="H350" s="155"/>
      <x:c r="I350" s="155"/>
      <x:c r="J350" s="154"/>
      <x:c r="K350" s="154" t="str">
        <x:f t="shared" si="5"/>
      </x:c>
      <x:c r="L350" s="154"/>
      <x:c r="M350" s="156"/>
      <x:c r="N350" s="154" t="str">
        <x:f>IFERROR(HYPERLINK(VLOOKUP($B350,'Hack Database'!$A:$J,9,FALSE),"Open Page"),"")</x:f>
      </x:c>
      <x:c r="O350" s="154" t="str">
        <x:f>IFERROR(HYPERLINK(VLOOKUP($B350,'Hack Database'!$A:$J,10,FALSE),"Download"),"")</x:f>
      </x:c>
      <x:c r="P350" s="157"/>
    </x:row>
    <x:row r="351">
      <x:c r="A351" s="154" t="str">
        <x:f>IF($J351="Yes",COUNTIF($J$2:J351,"Yes"),"")</x:f>
      </x:c>
      <x:c r="B351" s="154"/>
      <x:c r="C351" s="154" t="str">
        <x:f>IFERROR(VLOOKUP($B351,'Hack Database'!$A:$J,2,FALSE),"")</x:f>
      </x:c>
      <x:c r="D351" s="154" t="str">
        <x:f>IFERROR(VLOOKUP($B351,'Hack Database'!$A:$J,3,FALSE),"")</x:f>
      </x:c>
      <x:c r="E351" s="154" t="str">
        <x:f>IFERROR(VLOOKUP($B351,'Hack Database'!$A:$J,4,FALSE),"")</x:f>
      </x:c>
      <x:c r="F351" s="154" t="str">
        <x:f>IFERROR(VLOOKUP($B351,'Hack Database'!$A:$J,5,FALSE),"")</x:f>
      </x:c>
      <x:c r="G351" s="154" t="str">
        <x:f>IFERROR(VLOOKUP($B351,'Hack Database'!$A:$J,6,FALSE),"")</x:f>
      </x:c>
      <x:c r="H351" s="155"/>
      <x:c r="I351" s="155"/>
      <x:c r="J351" s="154"/>
      <x:c r="K351" s="154" t="str">
        <x:f t="shared" si="5"/>
      </x:c>
      <x:c r="L351" s="154"/>
      <x:c r="M351" s="156"/>
      <x:c r="N351" s="154" t="str">
        <x:f>IFERROR(HYPERLINK(VLOOKUP($B351,'Hack Database'!$A:$J,9,FALSE),"Open Page"),"")</x:f>
      </x:c>
      <x:c r="O351" s="154" t="str">
        <x:f>IFERROR(HYPERLINK(VLOOKUP($B351,'Hack Database'!$A:$J,10,FALSE),"Download"),"")</x:f>
      </x:c>
      <x:c r="P351" s="157"/>
    </x:row>
    <x:row r="352">
      <x:c r="A352" s="154" t="str">
        <x:f>IF($J352="Yes",COUNTIF($J$2:J352,"Yes"),"")</x:f>
      </x:c>
      <x:c r="B352" s="154"/>
      <x:c r="C352" s="154" t="str">
        <x:f>IFERROR(VLOOKUP($B352,'Hack Database'!$A:$J,2,FALSE),"")</x:f>
      </x:c>
      <x:c r="D352" s="154" t="str">
        <x:f>IFERROR(VLOOKUP($B352,'Hack Database'!$A:$J,3,FALSE),"")</x:f>
      </x:c>
      <x:c r="E352" s="154" t="str">
        <x:f>IFERROR(VLOOKUP($B352,'Hack Database'!$A:$J,4,FALSE),"")</x:f>
      </x:c>
      <x:c r="F352" s="154" t="str">
        <x:f>IFERROR(VLOOKUP($B352,'Hack Database'!$A:$J,5,FALSE),"")</x:f>
      </x:c>
      <x:c r="G352" s="154" t="str">
        <x:f>IFERROR(VLOOKUP($B352,'Hack Database'!$A:$J,6,FALSE),"")</x:f>
      </x:c>
      <x:c r="H352" s="155"/>
      <x:c r="I352" s="155"/>
      <x:c r="J352" s="154"/>
      <x:c r="K352" s="154" t="str">
        <x:f t="shared" si="5"/>
      </x:c>
      <x:c r="L352" s="154"/>
      <x:c r="M352" s="156"/>
      <x:c r="N352" s="154" t="str">
        <x:f>IFERROR(HYPERLINK(VLOOKUP($B352,'Hack Database'!$A:$J,9,FALSE),"Open Page"),"")</x:f>
      </x:c>
      <x:c r="O352" s="154" t="str">
        <x:f>IFERROR(HYPERLINK(VLOOKUP($B352,'Hack Database'!$A:$J,10,FALSE),"Download"),"")</x:f>
      </x:c>
      <x:c r="P352" s="157"/>
    </x:row>
    <x:row r="353">
      <x:c r="A353" s="154" t="str">
        <x:f>IF($J353="Yes",COUNTIF($J$2:J353,"Yes"),"")</x:f>
      </x:c>
      <x:c r="B353" s="154"/>
      <x:c r="C353" s="154" t="str">
        <x:f>IFERROR(VLOOKUP($B353,'Hack Database'!$A:$J,2,FALSE),"")</x:f>
      </x:c>
      <x:c r="D353" s="154" t="str">
        <x:f>IFERROR(VLOOKUP($B353,'Hack Database'!$A:$J,3,FALSE),"")</x:f>
      </x:c>
      <x:c r="E353" s="154" t="str">
        <x:f>IFERROR(VLOOKUP($B353,'Hack Database'!$A:$J,4,FALSE),"")</x:f>
      </x:c>
      <x:c r="F353" s="154" t="str">
        <x:f>IFERROR(VLOOKUP($B353,'Hack Database'!$A:$J,5,FALSE),"")</x:f>
      </x:c>
      <x:c r="G353" s="154" t="str">
        <x:f>IFERROR(VLOOKUP($B353,'Hack Database'!$A:$J,6,FALSE),"")</x:f>
      </x:c>
      <x:c r="H353" s="155"/>
      <x:c r="I353" s="155"/>
      <x:c r="J353" s="154"/>
      <x:c r="K353" s="154" t="str">
        <x:f t="shared" si="5"/>
      </x:c>
      <x:c r="L353" s="154"/>
      <x:c r="M353" s="156"/>
      <x:c r="N353" s="154" t="str">
        <x:f>IFERROR(HYPERLINK(VLOOKUP($B353,'Hack Database'!$A:$J,9,FALSE),"Open Page"),"")</x:f>
      </x:c>
      <x:c r="O353" s="154" t="str">
        <x:f>IFERROR(HYPERLINK(VLOOKUP($B353,'Hack Database'!$A:$J,10,FALSE),"Download"),"")</x:f>
      </x:c>
      <x:c r="P353" s="157"/>
    </x:row>
    <x:row r="354">
      <x:c r="A354" s="154" t="str">
        <x:f>IF($J354="Yes",COUNTIF($J$2:J354,"Yes"),"")</x:f>
      </x:c>
      <x:c r="B354" s="154"/>
      <x:c r="C354" s="154" t="str">
        <x:f>IFERROR(VLOOKUP($B354,'Hack Database'!$A:$J,2,FALSE),"")</x:f>
      </x:c>
      <x:c r="D354" s="154" t="str">
        <x:f>IFERROR(VLOOKUP($B354,'Hack Database'!$A:$J,3,FALSE),"")</x:f>
      </x:c>
      <x:c r="E354" s="154" t="str">
        <x:f>IFERROR(VLOOKUP($B354,'Hack Database'!$A:$J,4,FALSE),"")</x:f>
      </x:c>
      <x:c r="F354" s="154" t="str">
        <x:f>IFERROR(VLOOKUP($B354,'Hack Database'!$A:$J,5,FALSE),"")</x:f>
      </x:c>
      <x:c r="G354" s="154" t="str">
        <x:f>IFERROR(VLOOKUP($B354,'Hack Database'!$A:$J,6,FALSE),"")</x:f>
      </x:c>
      <x:c r="H354" s="155"/>
      <x:c r="I354" s="155"/>
      <x:c r="J354" s="154"/>
      <x:c r="K354" s="154" t="str">
        <x:f t="shared" si="5"/>
      </x:c>
      <x:c r="L354" s="154"/>
      <x:c r="M354" s="156"/>
      <x:c r="N354" s="154" t="str">
        <x:f>IFERROR(HYPERLINK(VLOOKUP($B354,'Hack Database'!$A:$J,9,FALSE),"Open Page"),"")</x:f>
      </x:c>
      <x:c r="O354" s="154" t="str">
        <x:f>IFERROR(HYPERLINK(VLOOKUP($B354,'Hack Database'!$A:$J,10,FALSE),"Download"),"")</x:f>
      </x:c>
      <x:c r="P354" s="157"/>
    </x:row>
    <x:row r="355">
      <x:c r="A355" s="154" t="str">
        <x:f>IF($J355="Yes",COUNTIF($J$2:J355,"Yes"),"")</x:f>
      </x:c>
      <x:c r="B355" s="154"/>
      <x:c r="C355" s="154" t="str">
        <x:f>IFERROR(VLOOKUP($B355,'Hack Database'!$A:$J,2,FALSE),"")</x:f>
      </x:c>
      <x:c r="D355" s="154" t="str">
        <x:f>IFERROR(VLOOKUP($B355,'Hack Database'!$A:$J,3,FALSE),"")</x:f>
      </x:c>
      <x:c r="E355" s="154" t="str">
        <x:f>IFERROR(VLOOKUP($B355,'Hack Database'!$A:$J,4,FALSE),"")</x:f>
      </x:c>
      <x:c r="F355" s="154" t="str">
        <x:f>IFERROR(VLOOKUP($B355,'Hack Database'!$A:$J,5,FALSE),"")</x:f>
      </x:c>
      <x:c r="G355" s="154" t="str">
        <x:f>IFERROR(VLOOKUP($B355,'Hack Database'!$A:$J,6,FALSE),"")</x:f>
      </x:c>
      <x:c r="H355" s="155"/>
      <x:c r="I355" s="155"/>
      <x:c r="J355" s="154"/>
      <x:c r="K355" s="154" t="str">
        <x:f t="shared" si="5"/>
      </x:c>
      <x:c r="L355" s="154"/>
      <x:c r="M355" s="156"/>
      <x:c r="N355" s="154" t="str">
        <x:f>IFERROR(HYPERLINK(VLOOKUP($B355,'Hack Database'!$A:$J,9,FALSE),"Open Page"),"")</x:f>
      </x:c>
      <x:c r="O355" s="154" t="str">
        <x:f>IFERROR(HYPERLINK(VLOOKUP($B355,'Hack Database'!$A:$J,10,FALSE),"Download"),"")</x:f>
      </x:c>
      <x:c r="P355" s="157"/>
    </x:row>
    <x:row r="356">
      <x:c r="A356" s="154" t="str">
        <x:f>IF($J356="Yes",COUNTIF($J$2:J356,"Yes"),"")</x:f>
      </x:c>
      <x:c r="B356" s="154"/>
      <x:c r="C356" s="154" t="str">
        <x:f>IFERROR(VLOOKUP($B356,'Hack Database'!$A:$J,2,FALSE),"")</x:f>
      </x:c>
      <x:c r="D356" s="154" t="str">
        <x:f>IFERROR(VLOOKUP($B356,'Hack Database'!$A:$J,3,FALSE),"")</x:f>
      </x:c>
      <x:c r="E356" s="154" t="str">
        <x:f>IFERROR(VLOOKUP($B356,'Hack Database'!$A:$J,4,FALSE),"")</x:f>
      </x:c>
      <x:c r="F356" s="154" t="str">
        <x:f>IFERROR(VLOOKUP($B356,'Hack Database'!$A:$J,5,FALSE),"")</x:f>
      </x:c>
      <x:c r="G356" s="154" t="str">
        <x:f>IFERROR(VLOOKUP($B356,'Hack Database'!$A:$J,6,FALSE),"")</x:f>
      </x:c>
      <x:c r="H356" s="155"/>
      <x:c r="I356" s="155"/>
      <x:c r="J356" s="154"/>
      <x:c r="K356" s="154" t="str">
        <x:f t="shared" si="5"/>
      </x:c>
      <x:c r="L356" s="154"/>
      <x:c r="M356" s="156"/>
      <x:c r="N356" s="154" t="str">
        <x:f>IFERROR(HYPERLINK(VLOOKUP($B356,'Hack Database'!$A:$J,9,FALSE),"Open Page"),"")</x:f>
      </x:c>
      <x:c r="O356" s="154" t="str">
        <x:f>IFERROR(HYPERLINK(VLOOKUP($B356,'Hack Database'!$A:$J,10,FALSE),"Download"),"")</x:f>
      </x:c>
      <x:c r="P356" s="157"/>
    </x:row>
    <x:row r="357">
      <x:c r="A357" s="154" t="str">
        <x:f>IF($J357="Yes",COUNTIF($J$2:J357,"Yes"),"")</x:f>
      </x:c>
      <x:c r="B357" s="154"/>
      <x:c r="C357" s="154" t="str">
        <x:f>IFERROR(VLOOKUP($B357,'Hack Database'!$A:$J,2,FALSE),"")</x:f>
      </x:c>
      <x:c r="D357" s="154" t="str">
        <x:f>IFERROR(VLOOKUP($B357,'Hack Database'!$A:$J,3,FALSE),"")</x:f>
      </x:c>
      <x:c r="E357" s="154" t="str">
        <x:f>IFERROR(VLOOKUP($B357,'Hack Database'!$A:$J,4,FALSE),"")</x:f>
      </x:c>
      <x:c r="F357" s="154" t="str">
        <x:f>IFERROR(VLOOKUP($B357,'Hack Database'!$A:$J,5,FALSE),"")</x:f>
      </x:c>
      <x:c r="G357" s="154" t="str">
        <x:f>IFERROR(VLOOKUP($B357,'Hack Database'!$A:$J,6,FALSE),"")</x:f>
      </x:c>
      <x:c r="H357" s="155"/>
      <x:c r="I357" s="155"/>
      <x:c r="J357" s="154"/>
      <x:c r="K357" s="154" t="str">
        <x:f t="shared" si="5"/>
      </x:c>
      <x:c r="L357" s="154"/>
      <x:c r="M357" s="156"/>
      <x:c r="N357" s="154" t="str">
        <x:f>IFERROR(HYPERLINK(VLOOKUP($B357,'Hack Database'!$A:$J,9,FALSE),"Open Page"),"")</x:f>
      </x:c>
      <x:c r="O357" s="154" t="str">
        <x:f>IFERROR(HYPERLINK(VLOOKUP($B357,'Hack Database'!$A:$J,10,FALSE),"Download"),"")</x:f>
      </x:c>
      <x:c r="P357" s="157"/>
    </x:row>
    <x:row r="358">
      <x:c r="A358" s="154" t="str">
        <x:f>IF($J358="Yes",COUNTIF($J$2:J358,"Yes"),"")</x:f>
      </x:c>
      <x:c r="B358" s="154"/>
      <x:c r="C358" s="154" t="str">
        <x:f>IFERROR(VLOOKUP($B358,'Hack Database'!$A:$J,2,FALSE),"")</x:f>
      </x:c>
      <x:c r="D358" s="154" t="str">
        <x:f>IFERROR(VLOOKUP($B358,'Hack Database'!$A:$J,3,FALSE),"")</x:f>
      </x:c>
      <x:c r="E358" s="154" t="str">
        <x:f>IFERROR(VLOOKUP($B358,'Hack Database'!$A:$J,4,FALSE),"")</x:f>
      </x:c>
      <x:c r="F358" s="154" t="str">
        <x:f>IFERROR(VLOOKUP($B358,'Hack Database'!$A:$J,5,FALSE),"")</x:f>
      </x:c>
      <x:c r="G358" s="154" t="str">
        <x:f>IFERROR(VLOOKUP($B358,'Hack Database'!$A:$J,6,FALSE),"")</x:f>
      </x:c>
      <x:c r="H358" s="155"/>
      <x:c r="I358" s="155"/>
      <x:c r="J358" s="154"/>
      <x:c r="K358" s="154" t="str">
        <x:f t="shared" si="5"/>
      </x:c>
      <x:c r="L358" s="154"/>
      <x:c r="M358" s="156"/>
      <x:c r="N358" s="154" t="str">
        <x:f>IFERROR(HYPERLINK(VLOOKUP($B358,'Hack Database'!$A:$J,9,FALSE),"Open Page"),"")</x:f>
      </x:c>
      <x:c r="O358" s="154" t="str">
        <x:f>IFERROR(HYPERLINK(VLOOKUP($B358,'Hack Database'!$A:$J,10,FALSE),"Download"),"")</x:f>
      </x:c>
      <x:c r="P358" s="157"/>
    </x:row>
    <x:row r="359">
      <x:c r="A359" s="154" t="str">
        <x:f>IF($J359="Yes",COUNTIF($J$2:J359,"Yes"),"")</x:f>
      </x:c>
      <x:c r="B359" s="154"/>
      <x:c r="C359" s="154" t="str">
        <x:f>IFERROR(VLOOKUP($B359,'Hack Database'!$A:$J,2,FALSE),"")</x:f>
      </x:c>
      <x:c r="D359" s="154" t="str">
        <x:f>IFERROR(VLOOKUP($B359,'Hack Database'!$A:$J,3,FALSE),"")</x:f>
      </x:c>
      <x:c r="E359" s="154" t="str">
        <x:f>IFERROR(VLOOKUP($B359,'Hack Database'!$A:$J,4,FALSE),"")</x:f>
      </x:c>
      <x:c r="F359" s="154" t="str">
        <x:f>IFERROR(VLOOKUP($B359,'Hack Database'!$A:$J,5,FALSE),"")</x:f>
      </x:c>
      <x:c r="G359" s="154" t="str">
        <x:f>IFERROR(VLOOKUP($B359,'Hack Database'!$A:$J,6,FALSE),"")</x:f>
      </x:c>
      <x:c r="H359" s="155"/>
      <x:c r="I359" s="155"/>
      <x:c r="J359" s="154"/>
      <x:c r="K359" s="154" t="str">
        <x:f t="shared" si="5"/>
      </x:c>
      <x:c r="L359" s="154"/>
      <x:c r="M359" s="156"/>
      <x:c r="N359" s="154" t="str">
        <x:f>IFERROR(HYPERLINK(VLOOKUP($B359,'Hack Database'!$A:$J,9,FALSE),"Open Page"),"")</x:f>
      </x:c>
      <x:c r="O359" s="154" t="str">
        <x:f>IFERROR(HYPERLINK(VLOOKUP($B359,'Hack Database'!$A:$J,10,FALSE),"Download"),"")</x:f>
      </x:c>
      <x:c r="P359" s="157"/>
    </x:row>
    <x:row r="360">
      <x:c r="A360" s="154" t="str">
        <x:f>IF($J360="Yes",COUNTIF($J$2:J360,"Yes"),"")</x:f>
      </x:c>
      <x:c r="B360" s="154"/>
      <x:c r="C360" s="154" t="str">
        <x:f>IFERROR(VLOOKUP($B360,'Hack Database'!$A:$J,2,FALSE),"")</x:f>
      </x:c>
      <x:c r="D360" s="154" t="str">
        <x:f>IFERROR(VLOOKUP($B360,'Hack Database'!$A:$J,3,FALSE),"")</x:f>
      </x:c>
      <x:c r="E360" s="154" t="str">
        <x:f>IFERROR(VLOOKUP($B360,'Hack Database'!$A:$J,4,FALSE),"")</x:f>
      </x:c>
      <x:c r="F360" s="154" t="str">
        <x:f>IFERROR(VLOOKUP($B360,'Hack Database'!$A:$J,5,FALSE),"")</x:f>
      </x:c>
      <x:c r="G360" s="154" t="str">
        <x:f>IFERROR(VLOOKUP($B360,'Hack Database'!$A:$J,6,FALSE),"")</x:f>
      </x:c>
      <x:c r="H360" s="155"/>
      <x:c r="I360" s="155"/>
      <x:c r="J360" s="154"/>
      <x:c r="K360" s="154" t="str">
        <x:f t="shared" si="5"/>
      </x:c>
      <x:c r="L360" s="154"/>
      <x:c r="M360" s="156"/>
      <x:c r="N360" s="154" t="str">
        <x:f>IFERROR(HYPERLINK(VLOOKUP($B360,'Hack Database'!$A:$J,9,FALSE),"Open Page"),"")</x:f>
      </x:c>
      <x:c r="O360" s="154" t="str">
        <x:f>IFERROR(HYPERLINK(VLOOKUP($B360,'Hack Database'!$A:$J,10,FALSE),"Download"),"")</x:f>
      </x:c>
      <x:c r="P360" s="157"/>
    </x:row>
    <x:row r="361">
      <x:c r="A361" s="154" t="str">
        <x:f>IF($J361="Yes",COUNTIF($J$2:J361,"Yes"),"")</x:f>
      </x:c>
      <x:c r="B361" s="154"/>
      <x:c r="C361" s="154" t="str">
        <x:f>IFERROR(VLOOKUP($B361,'Hack Database'!$A:$J,2,FALSE),"")</x:f>
      </x:c>
      <x:c r="D361" s="154" t="str">
        <x:f>IFERROR(VLOOKUP($B361,'Hack Database'!$A:$J,3,FALSE),"")</x:f>
      </x:c>
      <x:c r="E361" s="154" t="str">
        <x:f>IFERROR(VLOOKUP($B361,'Hack Database'!$A:$J,4,FALSE),"")</x:f>
      </x:c>
      <x:c r="F361" s="154" t="str">
        <x:f>IFERROR(VLOOKUP($B361,'Hack Database'!$A:$J,5,FALSE),"")</x:f>
      </x:c>
      <x:c r="G361" s="154" t="str">
        <x:f>IFERROR(VLOOKUP($B361,'Hack Database'!$A:$J,6,FALSE),"")</x:f>
      </x:c>
      <x:c r="H361" s="155"/>
      <x:c r="I361" s="155"/>
      <x:c r="J361" s="154"/>
      <x:c r="K361" s="154" t="str">
        <x:f t="shared" si="5"/>
      </x:c>
      <x:c r="L361" s="154"/>
      <x:c r="M361" s="156"/>
      <x:c r="N361" s="154" t="str">
        <x:f>IFERROR(HYPERLINK(VLOOKUP($B361,'Hack Database'!$A:$J,9,FALSE),"Open Page"),"")</x:f>
      </x:c>
      <x:c r="O361" s="154" t="str">
        <x:f>IFERROR(HYPERLINK(VLOOKUP($B361,'Hack Database'!$A:$J,10,FALSE),"Download"),"")</x:f>
      </x:c>
      <x:c r="P361" s="157"/>
    </x:row>
    <x:row r="362">
      <x:c r="A362" s="154" t="str">
        <x:f>IF($J362="Yes",COUNTIF($J$2:J362,"Yes"),"")</x:f>
      </x:c>
      <x:c r="B362" s="154"/>
      <x:c r="C362" s="154" t="str">
        <x:f>IFERROR(VLOOKUP($B362,'Hack Database'!$A:$J,2,FALSE),"")</x:f>
      </x:c>
      <x:c r="D362" s="154" t="str">
        <x:f>IFERROR(VLOOKUP($B362,'Hack Database'!$A:$J,3,FALSE),"")</x:f>
      </x:c>
      <x:c r="E362" s="154" t="str">
        <x:f>IFERROR(VLOOKUP($B362,'Hack Database'!$A:$J,4,FALSE),"")</x:f>
      </x:c>
      <x:c r="F362" s="154" t="str">
        <x:f>IFERROR(VLOOKUP($B362,'Hack Database'!$A:$J,5,FALSE),"")</x:f>
      </x:c>
      <x:c r="G362" s="154" t="str">
        <x:f>IFERROR(VLOOKUP($B362,'Hack Database'!$A:$J,6,FALSE),"")</x:f>
      </x:c>
      <x:c r="H362" s="155"/>
      <x:c r="I362" s="155"/>
      <x:c r="J362" s="154"/>
      <x:c r="K362" s="154" t="str">
        <x:f t="shared" si="5"/>
      </x:c>
      <x:c r="L362" s="154"/>
      <x:c r="M362" s="156"/>
      <x:c r="N362" s="154" t="str">
        <x:f>IFERROR(HYPERLINK(VLOOKUP($B362,'Hack Database'!$A:$J,9,FALSE),"Open Page"),"")</x:f>
      </x:c>
      <x:c r="O362" s="154" t="str">
        <x:f>IFERROR(HYPERLINK(VLOOKUP($B362,'Hack Database'!$A:$J,10,FALSE),"Download"),"")</x:f>
      </x:c>
      <x:c r="P362" s="157"/>
    </x:row>
    <x:row r="363">
      <x:c r="A363" s="154" t="str">
        <x:f>IF($J363="Yes",COUNTIF($J$2:J363,"Yes"),"")</x:f>
      </x:c>
      <x:c r="B363" s="154"/>
      <x:c r="C363" s="154" t="str">
        <x:f>IFERROR(VLOOKUP($B363,'Hack Database'!$A:$J,2,FALSE),"")</x:f>
      </x:c>
      <x:c r="D363" s="154" t="str">
        <x:f>IFERROR(VLOOKUP($B363,'Hack Database'!$A:$J,3,FALSE),"")</x:f>
      </x:c>
      <x:c r="E363" s="154" t="str">
        <x:f>IFERROR(VLOOKUP($B363,'Hack Database'!$A:$J,4,FALSE),"")</x:f>
      </x:c>
      <x:c r="F363" s="154" t="str">
        <x:f>IFERROR(VLOOKUP($B363,'Hack Database'!$A:$J,5,FALSE),"")</x:f>
      </x:c>
      <x:c r="G363" s="154" t="str">
        <x:f>IFERROR(VLOOKUP($B363,'Hack Database'!$A:$J,6,FALSE),"")</x:f>
      </x:c>
      <x:c r="H363" s="155"/>
      <x:c r="I363" s="155"/>
      <x:c r="J363" s="154"/>
      <x:c r="K363" s="154" t="str">
        <x:f t="shared" si="5"/>
      </x:c>
      <x:c r="L363" s="154"/>
      <x:c r="M363" s="156"/>
      <x:c r="N363" s="154" t="str">
        <x:f>IFERROR(HYPERLINK(VLOOKUP($B363,'Hack Database'!$A:$J,9,FALSE),"Open Page"),"")</x:f>
      </x:c>
      <x:c r="O363" s="154" t="str">
        <x:f>IFERROR(HYPERLINK(VLOOKUP($B363,'Hack Database'!$A:$J,10,FALSE),"Download"),"")</x:f>
      </x:c>
      <x:c r="P363" s="157"/>
    </x:row>
    <x:row r="364">
      <x:c r="A364" s="154" t="str">
        <x:f>IF($J364="Yes",COUNTIF($J$2:J364,"Yes"),"")</x:f>
      </x:c>
      <x:c r="B364" s="154"/>
      <x:c r="C364" s="154" t="str">
        <x:f>IFERROR(VLOOKUP($B364,'Hack Database'!$A:$J,2,FALSE),"")</x:f>
      </x:c>
      <x:c r="D364" s="154" t="str">
        <x:f>IFERROR(VLOOKUP($B364,'Hack Database'!$A:$J,3,FALSE),"")</x:f>
      </x:c>
      <x:c r="E364" s="154" t="str">
        <x:f>IFERROR(VLOOKUP($B364,'Hack Database'!$A:$J,4,FALSE),"")</x:f>
      </x:c>
      <x:c r="F364" s="154" t="str">
        <x:f>IFERROR(VLOOKUP($B364,'Hack Database'!$A:$J,5,FALSE),"")</x:f>
      </x:c>
      <x:c r="G364" s="154" t="str">
        <x:f>IFERROR(VLOOKUP($B364,'Hack Database'!$A:$J,6,FALSE),"")</x:f>
      </x:c>
      <x:c r="H364" s="155"/>
      <x:c r="I364" s="155"/>
      <x:c r="J364" s="154"/>
      <x:c r="K364" s="154" t="str">
        <x:f t="shared" si="5"/>
      </x:c>
      <x:c r="L364" s="154"/>
      <x:c r="M364" s="156"/>
      <x:c r="N364" s="154" t="str">
        <x:f>IFERROR(HYPERLINK(VLOOKUP($B364,'Hack Database'!$A:$J,9,FALSE),"Open Page"),"")</x:f>
      </x:c>
      <x:c r="O364" s="154" t="str">
        <x:f>IFERROR(HYPERLINK(VLOOKUP($B364,'Hack Database'!$A:$J,10,FALSE),"Download"),"")</x:f>
      </x:c>
      <x:c r="P364" s="157"/>
    </x:row>
    <x:row r="365">
      <x:c r="A365" s="154" t="str">
        <x:f>IF($J365="Yes",COUNTIF($J$2:J365,"Yes"),"")</x:f>
      </x:c>
      <x:c r="B365" s="154"/>
      <x:c r="C365" s="154" t="str">
        <x:f>IFERROR(VLOOKUP($B365,'Hack Database'!$A:$J,2,FALSE),"")</x:f>
      </x:c>
      <x:c r="D365" s="154" t="str">
        <x:f>IFERROR(VLOOKUP($B365,'Hack Database'!$A:$J,3,FALSE),"")</x:f>
      </x:c>
      <x:c r="E365" s="154" t="str">
        <x:f>IFERROR(VLOOKUP($B365,'Hack Database'!$A:$J,4,FALSE),"")</x:f>
      </x:c>
      <x:c r="F365" s="154" t="str">
        <x:f>IFERROR(VLOOKUP($B365,'Hack Database'!$A:$J,5,FALSE),"")</x:f>
      </x:c>
      <x:c r="G365" s="154" t="str">
        <x:f>IFERROR(VLOOKUP($B365,'Hack Database'!$A:$J,6,FALSE),"")</x:f>
      </x:c>
      <x:c r="H365" s="155"/>
      <x:c r="I365" s="155"/>
      <x:c r="J365" s="154"/>
      <x:c r="K365" s="154" t="str">
        <x:f t="shared" si="5"/>
      </x:c>
      <x:c r="L365" s="154"/>
      <x:c r="M365" s="156"/>
      <x:c r="N365" s="154" t="str">
        <x:f>IFERROR(HYPERLINK(VLOOKUP($B365,'Hack Database'!$A:$J,9,FALSE),"Open Page"),"")</x:f>
      </x:c>
      <x:c r="O365" s="154" t="str">
        <x:f>IFERROR(HYPERLINK(VLOOKUP($B365,'Hack Database'!$A:$J,10,FALSE),"Download"),"")</x:f>
      </x:c>
      <x:c r="P365" s="157"/>
    </x:row>
    <x:row r="366">
      <x:c r="A366" s="154" t="str">
        <x:f>IF($J366="Yes",COUNTIF($J$2:J366,"Yes"),"")</x:f>
      </x:c>
      <x:c r="B366" s="154"/>
      <x:c r="C366" s="154" t="str">
        <x:f>IFERROR(VLOOKUP($B366,'Hack Database'!$A:$J,2,FALSE),"")</x:f>
      </x:c>
      <x:c r="D366" s="154" t="str">
        <x:f>IFERROR(VLOOKUP($B366,'Hack Database'!$A:$J,3,FALSE),"")</x:f>
      </x:c>
      <x:c r="E366" s="154" t="str">
        <x:f>IFERROR(VLOOKUP($B366,'Hack Database'!$A:$J,4,FALSE),"")</x:f>
      </x:c>
      <x:c r="F366" s="154" t="str">
        <x:f>IFERROR(VLOOKUP($B366,'Hack Database'!$A:$J,5,FALSE),"")</x:f>
      </x:c>
      <x:c r="G366" s="154" t="str">
        <x:f>IFERROR(VLOOKUP($B366,'Hack Database'!$A:$J,6,FALSE),"")</x:f>
      </x:c>
      <x:c r="H366" s="155"/>
      <x:c r="I366" s="155"/>
      <x:c r="J366" s="154"/>
      <x:c r="K366" s="154" t="str">
        <x:f t="shared" si="5"/>
      </x:c>
      <x:c r="L366" s="154"/>
      <x:c r="M366" s="156"/>
      <x:c r="N366" s="154" t="str">
        <x:f>IFERROR(HYPERLINK(VLOOKUP($B366,'Hack Database'!$A:$J,9,FALSE),"Open Page"),"")</x:f>
      </x:c>
      <x:c r="O366" s="154" t="str">
        <x:f>IFERROR(HYPERLINK(VLOOKUP($B366,'Hack Database'!$A:$J,10,FALSE),"Download"),"")</x:f>
      </x:c>
      <x:c r="P366" s="157"/>
    </x:row>
    <x:row r="367">
      <x:c r="A367" s="154" t="str">
        <x:f>IF($J367="Yes",COUNTIF($J$2:J367,"Yes"),"")</x:f>
      </x:c>
      <x:c r="B367" s="154"/>
      <x:c r="C367" s="154" t="str">
        <x:f>IFERROR(VLOOKUP($B367,'Hack Database'!$A:$J,2,FALSE),"")</x:f>
      </x:c>
      <x:c r="D367" s="154" t="str">
        <x:f>IFERROR(VLOOKUP($B367,'Hack Database'!$A:$J,3,FALSE),"")</x:f>
      </x:c>
      <x:c r="E367" s="154" t="str">
        <x:f>IFERROR(VLOOKUP($B367,'Hack Database'!$A:$J,4,FALSE),"")</x:f>
      </x:c>
      <x:c r="F367" s="154" t="str">
        <x:f>IFERROR(VLOOKUP($B367,'Hack Database'!$A:$J,5,FALSE),"")</x:f>
      </x:c>
      <x:c r="G367" s="154" t="str">
        <x:f>IFERROR(VLOOKUP($B367,'Hack Database'!$A:$J,6,FALSE),"")</x:f>
      </x:c>
      <x:c r="H367" s="155"/>
      <x:c r="I367" s="155"/>
      <x:c r="J367" s="154"/>
      <x:c r="K367" s="154" t="str">
        <x:f t="shared" si="5"/>
      </x:c>
      <x:c r="L367" s="154"/>
      <x:c r="M367" s="156"/>
      <x:c r="N367" s="154" t="str">
        <x:f>IFERROR(HYPERLINK(VLOOKUP($B367,'Hack Database'!$A:$J,9,FALSE),"Open Page"),"")</x:f>
      </x:c>
      <x:c r="O367" s="154" t="str">
        <x:f>IFERROR(HYPERLINK(VLOOKUP($B367,'Hack Database'!$A:$J,10,FALSE),"Download"),"")</x:f>
      </x:c>
      <x:c r="P367" s="157"/>
    </x:row>
    <x:row r="368">
      <x:c r="A368" s="154" t="str">
        <x:f>IF($J368="Yes",COUNTIF($J$2:J368,"Yes"),"")</x:f>
      </x:c>
      <x:c r="B368" s="154"/>
      <x:c r="C368" s="154" t="str">
        <x:f>IFERROR(VLOOKUP($B368,'Hack Database'!$A:$J,2,FALSE),"")</x:f>
      </x:c>
      <x:c r="D368" s="154" t="str">
        <x:f>IFERROR(VLOOKUP($B368,'Hack Database'!$A:$J,3,FALSE),"")</x:f>
      </x:c>
      <x:c r="E368" s="154" t="str">
        <x:f>IFERROR(VLOOKUP($B368,'Hack Database'!$A:$J,4,FALSE),"")</x:f>
      </x:c>
      <x:c r="F368" s="154" t="str">
        <x:f>IFERROR(VLOOKUP($B368,'Hack Database'!$A:$J,5,FALSE),"")</x:f>
      </x:c>
      <x:c r="G368" s="154" t="str">
        <x:f>IFERROR(VLOOKUP($B368,'Hack Database'!$A:$J,6,FALSE),"")</x:f>
      </x:c>
      <x:c r="H368" s="155"/>
      <x:c r="I368" s="155"/>
      <x:c r="J368" s="154"/>
      <x:c r="K368" s="154" t="str">
        <x:f t="shared" si="5"/>
      </x:c>
      <x:c r="L368" s="154"/>
      <x:c r="M368" s="156"/>
      <x:c r="N368" s="154" t="str">
        <x:f>IFERROR(HYPERLINK(VLOOKUP($B368,'Hack Database'!$A:$J,9,FALSE),"Open Page"),"")</x:f>
      </x:c>
      <x:c r="O368" s="154" t="str">
        <x:f>IFERROR(HYPERLINK(VLOOKUP($B368,'Hack Database'!$A:$J,10,FALSE),"Download"),"")</x:f>
      </x:c>
      <x:c r="P368" s="157"/>
    </x:row>
    <x:row r="369">
      <x:c r="A369" s="154" t="str">
        <x:f>IF($J369="Yes",COUNTIF($J$2:J369,"Yes"),"")</x:f>
      </x:c>
      <x:c r="B369" s="154"/>
      <x:c r="C369" s="154" t="str">
        <x:f>IFERROR(VLOOKUP($B369,'Hack Database'!$A:$J,2,FALSE),"")</x:f>
      </x:c>
      <x:c r="D369" s="154" t="str">
        <x:f>IFERROR(VLOOKUP($B369,'Hack Database'!$A:$J,3,FALSE),"")</x:f>
      </x:c>
      <x:c r="E369" s="154" t="str">
        <x:f>IFERROR(VLOOKUP($B369,'Hack Database'!$A:$J,4,FALSE),"")</x:f>
      </x:c>
      <x:c r="F369" s="154" t="str">
        <x:f>IFERROR(VLOOKUP($B369,'Hack Database'!$A:$J,5,FALSE),"")</x:f>
      </x:c>
      <x:c r="G369" s="154" t="str">
        <x:f>IFERROR(VLOOKUP($B369,'Hack Database'!$A:$J,6,FALSE),"")</x:f>
      </x:c>
      <x:c r="H369" s="155"/>
      <x:c r="I369" s="155"/>
      <x:c r="J369" s="154"/>
      <x:c r="K369" s="154" t="str">
        <x:f t="shared" si="5"/>
      </x:c>
      <x:c r="L369" s="154"/>
      <x:c r="M369" s="156"/>
      <x:c r="N369" s="154" t="str">
        <x:f>IFERROR(HYPERLINK(VLOOKUP($B369,'Hack Database'!$A:$J,9,FALSE),"Open Page"),"")</x:f>
      </x:c>
      <x:c r="O369" s="154" t="str">
        <x:f>IFERROR(HYPERLINK(VLOOKUP($B369,'Hack Database'!$A:$J,10,FALSE),"Download"),"")</x:f>
      </x:c>
      <x:c r="P369" s="157"/>
    </x:row>
    <x:row r="370">
      <x:c r="A370" s="154" t="str">
        <x:f>IF($J370="Yes",COUNTIF($J$2:J370,"Yes"),"")</x:f>
      </x:c>
      <x:c r="B370" s="154"/>
      <x:c r="C370" s="154" t="str">
        <x:f>IFERROR(VLOOKUP($B370,'Hack Database'!$A:$J,2,FALSE),"")</x:f>
      </x:c>
      <x:c r="D370" s="154" t="str">
        <x:f>IFERROR(VLOOKUP($B370,'Hack Database'!$A:$J,3,FALSE),"")</x:f>
      </x:c>
      <x:c r="E370" s="154" t="str">
        <x:f>IFERROR(VLOOKUP($B370,'Hack Database'!$A:$J,4,FALSE),"")</x:f>
      </x:c>
      <x:c r="F370" s="154" t="str">
        <x:f>IFERROR(VLOOKUP($B370,'Hack Database'!$A:$J,5,FALSE),"")</x:f>
      </x:c>
      <x:c r="G370" s="154" t="str">
        <x:f>IFERROR(VLOOKUP($B370,'Hack Database'!$A:$J,6,FALSE),"")</x:f>
      </x:c>
      <x:c r="H370" s="155"/>
      <x:c r="I370" s="155"/>
      <x:c r="J370" s="154"/>
      <x:c r="K370" s="154" t="str">
        <x:f t="shared" si="5"/>
      </x:c>
      <x:c r="L370" s="154"/>
      <x:c r="M370" s="156"/>
      <x:c r="N370" s="154" t="str">
        <x:f>IFERROR(HYPERLINK(VLOOKUP($B370,'Hack Database'!$A:$J,9,FALSE),"Open Page"),"")</x:f>
      </x:c>
      <x:c r="O370" s="154" t="str">
        <x:f>IFERROR(HYPERLINK(VLOOKUP($B370,'Hack Database'!$A:$J,10,FALSE),"Download"),"")</x:f>
      </x:c>
      <x:c r="P370" s="157"/>
    </x:row>
    <x:row r="371">
      <x:c r="A371" s="154" t="str">
        <x:f>IF($J371="Yes",COUNTIF($J$2:J371,"Yes"),"")</x:f>
      </x:c>
      <x:c r="B371" s="154"/>
      <x:c r="C371" s="154" t="str">
        <x:f>IFERROR(VLOOKUP($B371,'Hack Database'!$A:$J,2,FALSE),"")</x:f>
      </x:c>
      <x:c r="D371" s="154" t="str">
        <x:f>IFERROR(VLOOKUP($B371,'Hack Database'!$A:$J,3,FALSE),"")</x:f>
      </x:c>
      <x:c r="E371" s="154" t="str">
        <x:f>IFERROR(VLOOKUP($B371,'Hack Database'!$A:$J,4,FALSE),"")</x:f>
      </x:c>
      <x:c r="F371" s="154" t="str">
        <x:f>IFERROR(VLOOKUP($B371,'Hack Database'!$A:$J,5,FALSE),"")</x:f>
      </x:c>
      <x:c r="G371" s="154" t="str">
        <x:f>IFERROR(VLOOKUP($B371,'Hack Database'!$A:$J,6,FALSE),"")</x:f>
      </x:c>
      <x:c r="H371" s="155"/>
      <x:c r="I371" s="155"/>
      <x:c r="J371" s="154"/>
      <x:c r="K371" s="154" t="str">
        <x:f t="shared" si="5"/>
      </x:c>
      <x:c r="L371" s="154"/>
      <x:c r="M371" s="156"/>
      <x:c r="N371" s="154" t="str">
        <x:f>IFERROR(HYPERLINK(VLOOKUP($B371,'Hack Database'!$A:$J,9,FALSE),"Open Page"),"")</x:f>
      </x:c>
      <x:c r="O371" s="154" t="str">
        <x:f>IFERROR(HYPERLINK(VLOOKUP($B371,'Hack Database'!$A:$J,10,FALSE),"Download"),"")</x:f>
      </x:c>
      <x:c r="P371" s="157"/>
    </x:row>
    <x:row r="372">
      <x:c r="A372" s="154" t="str">
        <x:f>IF($J372="Yes",COUNTIF($J$2:J372,"Yes"),"")</x:f>
      </x:c>
      <x:c r="B372" s="154"/>
      <x:c r="C372" s="154" t="str">
        <x:f>IFERROR(VLOOKUP($B372,'Hack Database'!$A:$J,2,FALSE),"")</x:f>
      </x:c>
      <x:c r="D372" s="154" t="str">
        <x:f>IFERROR(VLOOKUP($B372,'Hack Database'!$A:$J,3,FALSE),"")</x:f>
      </x:c>
      <x:c r="E372" s="154" t="str">
        <x:f>IFERROR(VLOOKUP($B372,'Hack Database'!$A:$J,4,FALSE),"")</x:f>
      </x:c>
      <x:c r="F372" s="154" t="str">
        <x:f>IFERROR(VLOOKUP($B372,'Hack Database'!$A:$J,5,FALSE),"")</x:f>
      </x:c>
      <x:c r="G372" s="154" t="str">
        <x:f>IFERROR(VLOOKUP($B372,'Hack Database'!$A:$J,6,FALSE),"")</x:f>
      </x:c>
      <x:c r="H372" s="155"/>
      <x:c r="I372" s="155"/>
      <x:c r="J372" s="154"/>
      <x:c r="K372" s="154" t="str">
        <x:f t="shared" si="5"/>
      </x:c>
      <x:c r="L372" s="154"/>
      <x:c r="M372" s="156"/>
      <x:c r="N372" s="154" t="str">
        <x:f>IFERROR(HYPERLINK(VLOOKUP($B372,'Hack Database'!$A:$J,9,FALSE),"Open Page"),"")</x:f>
      </x:c>
      <x:c r="O372" s="154" t="str">
        <x:f>IFERROR(HYPERLINK(VLOOKUP($B372,'Hack Database'!$A:$J,10,FALSE),"Download"),"")</x:f>
      </x:c>
      <x:c r="P372" s="157"/>
    </x:row>
    <x:row r="373">
      <x:c r="A373" s="154" t="str">
        <x:f>IF($J373="Yes",COUNTIF($J$2:J373,"Yes"),"")</x:f>
      </x:c>
      <x:c r="B373" s="154"/>
      <x:c r="C373" s="154" t="str">
        <x:f>IFERROR(VLOOKUP($B373,'Hack Database'!$A:$J,2,FALSE),"")</x:f>
      </x:c>
      <x:c r="D373" s="154" t="str">
        <x:f>IFERROR(VLOOKUP($B373,'Hack Database'!$A:$J,3,FALSE),"")</x:f>
      </x:c>
      <x:c r="E373" s="154" t="str">
        <x:f>IFERROR(VLOOKUP($B373,'Hack Database'!$A:$J,4,FALSE),"")</x:f>
      </x:c>
      <x:c r="F373" s="154" t="str">
        <x:f>IFERROR(VLOOKUP($B373,'Hack Database'!$A:$J,5,FALSE),"")</x:f>
      </x:c>
      <x:c r="G373" s="154" t="str">
        <x:f>IFERROR(VLOOKUP($B373,'Hack Database'!$A:$J,6,FALSE),"")</x:f>
      </x:c>
      <x:c r="H373" s="155"/>
      <x:c r="I373" s="155"/>
      <x:c r="J373" s="154"/>
      <x:c r="K373" s="154" t="str">
        <x:f t="shared" si="5"/>
      </x:c>
      <x:c r="L373" s="154"/>
      <x:c r="M373" s="156"/>
      <x:c r="N373" s="154" t="str">
        <x:f>IFERROR(HYPERLINK(VLOOKUP($B373,'Hack Database'!$A:$J,9,FALSE),"Open Page"),"")</x:f>
      </x:c>
      <x:c r="O373" s="154" t="str">
        <x:f>IFERROR(HYPERLINK(VLOOKUP($B373,'Hack Database'!$A:$J,10,FALSE),"Download"),"")</x:f>
      </x:c>
      <x:c r="P373" s="157"/>
    </x:row>
    <x:row r="374">
      <x:c r="A374" s="154" t="str">
        <x:f>IF($J374="Yes",COUNTIF($J$2:J374,"Yes"),"")</x:f>
      </x:c>
      <x:c r="B374" s="154"/>
      <x:c r="C374" s="154" t="str">
        <x:f>IFERROR(VLOOKUP($B374,'Hack Database'!$A:$J,2,FALSE),"")</x:f>
      </x:c>
      <x:c r="D374" s="154" t="str">
        <x:f>IFERROR(VLOOKUP($B374,'Hack Database'!$A:$J,3,FALSE),"")</x:f>
      </x:c>
      <x:c r="E374" s="154" t="str">
        <x:f>IFERROR(VLOOKUP($B374,'Hack Database'!$A:$J,4,FALSE),"")</x:f>
      </x:c>
      <x:c r="F374" s="154" t="str">
        <x:f>IFERROR(VLOOKUP($B374,'Hack Database'!$A:$J,5,FALSE),"")</x:f>
      </x:c>
      <x:c r="G374" s="154" t="str">
        <x:f>IFERROR(VLOOKUP($B374,'Hack Database'!$A:$J,6,FALSE),"")</x:f>
      </x:c>
      <x:c r="H374" s="155"/>
      <x:c r="I374" s="155"/>
      <x:c r="J374" s="154"/>
      <x:c r="K374" s="154" t="str">
        <x:f t="shared" si="5"/>
      </x:c>
      <x:c r="L374" s="154"/>
      <x:c r="M374" s="156"/>
      <x:c r="N374" s="154" t="str">
        <x:f>IFERROR(HYPERLINK(VLOOKUP($B374,'Hack Database'!$A:$J,9,FALSE),"Open Page"),"")</x:f>
      </x:c>
      <x:c r="O374" s="154" t="str">
        <x:f>IFERROR(HYPERLINK(VLOOKUP($B374,'Hack Database'!$A:$J,10,FALSE),"Download"),"")</x:f>
      </x:c>
      <x:c r="P374" s="157"/>
    </x:row>
    <x:row r="375">
      <x:c r="A375" s="154" t="str">
        <x:f>IF($J375="Yes",COUNTIF($J$2:J375,"Yes"),"")</x:f>
      </x:c>
      <x:c r="B375" s="154"/>
      <x:c r="C375" s="154" t="str">
        <x:f>IFERROR(VLOOKUP($B375,'Hack Database'!$A:$J,2,FALSE),"")</x:f>
      </x:c>
      <x:c r="D375" s="154" t="str">
        <x:f>IFERROR(VLOOKUP($B375,'Hack Database'!$A:$J,3,FALSE),"")</x:f>
      </x:c>
      <x:c r="E375" s="154" t="str">
        <x:f>IFERROR(VLOOKUP($B375,'Hack Database'!$A:$J,4,FALSE),"")</x:f>
      </x:c>
      <x:c r="F375" s="154" t="str">
        <x:f>IFERROR(VLOOKUP($B375,'Hack Database'!$A:$J,5,FALSE),"")</x:f>
      </x:c>
      <x:c r="G375" s="154" t="str">
        <x:f>IFERROR(VLOOKUP($B375,'Hack Database'!$A:$J,6,FALSE),"")</x:f>
      </x:c>
      <x:c r="H375" s="155"/>
      <x:c r="I375" s="155"/>
      <x:c r="J375" s="154"/>
      <x:c r="K375" s="154" t="str">
        <x:f t="shared" si="5"/>
      </x:c>
      <x:c r="L375" s="154"/>
      <x:c r="M375" s="156"/>
      <x:c r="N375" s="154" t="str">
        <x:f>IFERROR(HYPERLINK(VLOOKUP($B375,'Hack Database'!$A:$J,9,FALSE),"Open Page"),"")</x:f>
      </x:c>
      <x:c r="O375" s="154" t="str">
        <x:f>IFERROR(HYPERLINK(VLOOKUP($B375,'Hack Database'!$A:$J,10,FALSE),"Download"),"")</x:f>
      </x:c>
      <x:c r="P375" s="157"/>
    </x:row>
    <x:row r="376">
      <x:c r="A376" s="154" t="str">
        <x:f>IF($J376="Yes",COUNTIF($J$2:J376,"Yes"),"")</x:f>
      </x:c>
      <x:c r="B376" s="154"/>
      <x:c r="C376" s="154" t="str">
        <x:f>IFERROR(VLOOKUP($B376,'Hack Database'!$A:$J,2,FALSE),"")</x:f>
      </x:c>
      <x:c r="D376" s="154" t="str">
        <x:f>IFERROR(VLOOKUP($B376,'Hack Database'!$A:$J,3,FALSE),"")</x:f>
      </x:c>
      <x:c r="E376" s="154" t="str">
        <x:f>IFERROR(VLOOKUP($B376,'Hack Database'!$A:$J,4,FALSE),"")</x:f>
      </x:c>
      <x:c r="F376" s="154" t="str">
        <x:f>IFERROR(VLOOKUP($B376,'Hack Database'!$A:$J,5,FALSE),"")</x:f>
      </x:c>
      <x:c r="G376" s="154" t="str">
        <x:f>IFERROR(VLOOKUP($B376,'Hack Database'!$A:$J,6,FALSE),"")</x:f>
      </x:c>
      <x:c r="H376" s="155"/>
      <x:c r="I376" s="155"/>
      <x:c r="J376" s="154"/>
      <x:c r="K376" s="154" t="str">
        <x:f t="shared" si="5"/>
      </x:c>
      <x:c r="L376" s="154"/>
      <x:c r="M376" s="156"/>
      <x:c r="N376" s="154" t="str">
        <x:f>IFERROR(HYPERLINK(VLOOKUP($B376,'Hack Database'!$A:$J,9,FALSE),"Open Page"),"")</x:f>
      </x:c>
      <x:c r="O376" s="154" t="str">
        <x:f>IFERROR(HYPERLINK(VLOOKUP($B376,'Hack Database'!$A:$J,10,FALSE),"Download"),"")</x:f>
      </x:c>
      <x:c r="P376" s="157"/>
    </x:row>
    <x:row r="377">
      <x:c r="A377" s="154" t="str">
        <x:f>IF($J377="Yes",COUNTIF($J$2:J377,"Yes"),"")</x:f>
      </x:c>
      <x:c r="B377" s="154"/>
      <x:c r="C377" s="154" t="str">
        <x:f>IFERROR(VLOOKUP($B377,'Hack Database'!$A:$J,2,FALSE),"")</x:f>
      </x:c>
      <x:c r="D377" s="154" t="str">
        <x:f>IFERROR(VLOOKUP($B377,'Hack Database'!$A:$J,3,FALSE),"")</x:f>
      </x:c>
      <x:c r="E377" s="154" t="str">
        <x:f>IFERROR(VLOOKUP($B377,'Hack Database'!$A:$J,4,FALSE),"")</x:f>
      </x:c>
      <x:c r="F377" s="154" t="str">
        <x:f>IFERROR(VLOOKUP($B377,'Hack Database'!$A:$J,5,FALSE),"")</x:f>
      </x:c>
      <x:c r="G377" s="154" t="str">
        <x:f>IFERROR(VLOOKUP($B377,'Hack Database'!$A:$J,6,FALSE),"")</x:f>
      </x:c>
      <x:c r="H377" s="155"/>
      <x:c r="I377" s="155"/>
      <x:c r="J377" s="154"/>
      <x:c r="K377" s="154" t="str">
        <x:f t="shared" si="5"/>
      </x:c>
      <x:c r="L377" s="154"/>
      <x:c r="M377" s="156"/>
      <x:c r="N377" s="154" t="str">
        <x:f>IFERROR(HYPERLINK(VLOOKUP($B377,'Hack Database'!$A:$J,9,FALSE),"Open Page"),"")</x:f>
      </x:c>
      <x:c r="O377" s="154" t="str">
        <x:f>IFERROR(HYPERLINK(VLOOKUP($B377,'Hack Database'!$A:$J,10,FALSE),"Download"),"")</x:f>
      </x:c>
      <x:c r="P377" s="157"/>
    </x:row>
    <x:row r="378">
      <x:c r="A378" s="154" t="str">
        <x:f>IF($J378="Yes",COUNTIF($J$2:J378,"Yes"),"")</x:f>
      </x:c>
      <x:c r="B378" s="154"/>
      <x:c r="C378" s="154" t="str">
        <x:f>IFERROR(VLOOKUP($B378,'Hack Database'!$A:$J,2,FALSE),"")</x:f>
      </x:c>
      <x:c r="D378" s="154" t="str">
        <x:f>IFERROR(VLOOKUP($B378,'Hack Database'!$A:$J,3,FALSE),"")</x:f>
      </x:c>
      <x:c r="E378" s="154" t="str">
        <x:f>IFERROR(VLOOKUP($B378,'Hack Database'!$A:$J,4,FALSE),"")</x:f>
      </x:c>
      <x:c r="F378" s="154" t="str">
        <x:f>IFERROR(VLOOKUP($B378,'Hack Database'!$A:$J,5,FALSE),"")</x:f>
      </x:c>
      <x:c r="G378" s="154" t="str">
        <x:f>IFERROR(VLOOKUP($B378,'Hack Database'!$A:$J,6,FALSE),"")</x:f>
      </x:c>
      <x:c r="H378" s="155"/>
      <x:c r="I378" s="155"/>
      <x:c r="J378" s="154"/>
      <x:c r="K378" s="154" t="str">
        <x:f t="shared" si="5"/>
      </x:c>
      <x:c r="L378" s="154"/>
      <x:c r="M378" s="156"/>
      <x:c r="N378" s="154" t="str">
        <x:f>IFERROR(HYPERLINK(VLOOKUP($B378,'Hack Database'!$A:$J,9,FALSE),"Open Page"),"")</x:f>
      </x:c>
      <x:c r="O378" s="154" t="str">
        <x:f>IFERROR(HYPERLINK(VLOOKUP($B378,'Hack Database'!$A:$J,10,FALSE),"Download"),"")</x:f>
      </x:c>
      <x:c r="P378" s="157"/>
    </x:row>
    <x:row r="379">
      <x:c r="A379" s="154" t="str">
        <x:f>IF($J379="Yes",COUNTIF($J$2:J379,"Yes"),"")</x:f>
      </x:c>
      <x:c r="B379" s="154"/>
      <x:c r="C379" s="154" t="str">
        <x:f>IFERROR(VLOOKUP($B379,'Hack Database'!$A:$J,2,FALSE),"")</x:f>
      </x:c>
      <x:c r="D379" s="154" t="str">
        <x:f>IFERROR(VLOOKUP($B379,'Hack Database'!$A:$J,3,FALSE),"")</x:f>
      </x:c>
      <x:c r="E379" s="154" t="str">
        <x:f>IFERROR(VLOOKUP($B379,'Hack Database'!$A:$J,4,FALSE),"")</x:f>
      </x:c>
      <x:c r="F379" s="154" t="str">
        <x:f>IFERROR(VLOOKUP($B379,'Hack Database'!$A:$J,5,FALSE),"")</x:f>
      </x:c>
      <x:c r="G379" s="154" t="str">
        <x:f>IFERROR(VLOOKUP($B379,'Hack Database'!$A:$J,6,FALSE),"")</x:f>
      </x:c>
      <x:c r="H379" s="155"/>
      <x:c r="I379" s="155"/>
      <x:c r="J379" s="154"/>
      <x:c r="K379" s="154" t="str">
        <x:f t="shared" si="5"/>
      </x:c>
      <x:c r="L379" s="154"/>
      <x:c r="M379" s="156"/>
      <x:c r="N379" s="154" t="str">
        <x:f>IFERROR(HYPERLINK(VLOOKUP($B379,'Hack Database'!$A:$J,9,FALSE),"Open Page"),"")</x:f>
      </x:c>
      <x:c r="O379" s="154" t="str">
        <x:f>IFERROR(HYPERLINK(VLOOKUP($B379,'Hack Database'!$A:$J,10,FALSE),"Download"),"")</x:f>
      </x:c>
      <x:c r="P379" s="157"/>
    </x:row>
    <x:row r="380">
      <x:c r="A380" s="154" t="str">
        <x:f>IF($J380="Yes",COUNTIF($J$2:J380,"Yes"),"")</x:f>
      </x:c>
      <x:c r="B380" s="154"/>
      <x:c r="C380" s="154" t="str">
        <x:f>IFERROR(VLOOKUP($B380,'Hack Database'!$A:$J,2,FALSE),"")</x:f>
      </x:c>
      <x:c r="D380" s="154" t="str">
        <x:f>IFERROR(VLOOKUP($B380,'Hack Database'!$A:$J,3,FALSE),"")</x:f>
      </x:c>
      <x:c r="E380" s="154" t="str">
        <x:f>IFERROR(VLOOKUP($B380,'Hack Database'!$A:$J,4,FALSE),"")</x:f>
      </x:c>
      <x:c r="F380" s="154" t="str">
        <x:f>IFERROR(VLOOKUP($B380,'Hack Database'!$A:$J,5,FALSE),"")</x:f>
      </x:c>
      <x:c r="G380" s="154" t="str">
        <x:f>IFERROR(VLOOKUP($B380,'Hack Database'!$A:$J,6,FALSE),"")</x:f>
      </x:c>
      <x:c r="H380" s="155"/>
      <x:c r="I380" s="155"/>
      <x:c r="J380" s="154"/>
      <x:c r="K380" s="154" t="str">
        <x:f t="shared" si="5"/>
      </x:c>
      <x:c r="L380" s="154"/>
      <x:c r="M380" s="156"/>
      <x:c r="N380" s="154" t="str">
        <x:f>IFERROR(HYPERLINK(VLOOKUP($B380,'Hack Database'!$A:$J,9,FALSE),"Open Page"),"")</x:f>
      </x:c>
      <x:c r="O380" s="154" t="str">
        <x:f>IFERROR(HYPERLINK(VLOOKUP($B380,'Hack Database'!$A:$J,10,FALSE),"Download"),"")</x:f>
      </x:c>
      <x:c r="P380" s="157"/>
    </x:row>
    <x:row r="381">
      <x:c r="A381" s="154" t="str">
        <x:f>IF($J381="Yes",COUNTIF($J$2:J381,"Yes"),"")</x:f>
      </x:c>
      <x:c r="B381" s="154"/>
      <x:c r="C381" s="154" t="str">
        <x:f>IFERROR(VLOOKUP($B381,'Hack Database'!$A:$J,2,FALSE),"")</x:f>
      </x:c>
      <x:c r="D381" s="154" t="str">
        <x:f>IFERROR(VLOOKUP($B381,'Hack Database'!$A:$J,3,FALSE),"")</x:f>
      </x:c>
      <x:c r="E381" s="154" t="str">
        <x:f>IFERROR(VLOOKUP($B381,'Hack Database'!$A:$J,4,FALSE),"")</x:f>
      </x:c>
      <x:c r="F381" s="154" t="str">
        <x:f>IFERROR(VLOOKUP($B381,'Hack Database'!$A:$J,5,FALSE),"")</x:f>
      </x:c>
      <x:c r="G381" s="154" t="str">
        <x:f>IFERROR(VLOOKUP($B381,'Hack Database'!$A:$J,6,FALSE),"")</x:f>
      </x:c>
      <x:c r="H381" s="155"/>
      <x:c r="I381" s="155"/>
      <x:c r="J381" s="154"/>
      <x:c r="K381" s="154" t="str">
        <x:f t="shared" si="5"/>
      </x:c>
      <x:c r="L381" s="154"/>
      <x:c r="M381" s="156"/>
      <x:c r="N381" s="154" t="str">
        <x:f>IFERROR(HYPERLINK(VLOOKUP($B381,'Hack Database'!$A:$J,9,FALSE),"Open Page"),"")</x:f>
      </x:c>
      <x:c r="O381" s="154" t="str">
        <x:f>IFERROR(HYPERLINK(VLOOKUP($B381,'Hack Database'!$A:$J,10,FALSE),"Download"),"")</x:f>
      </x:c>
      <x:c r="P381" s="157"/>
    </x:row>
    <x:row r="382">
      <x:c r="A382" s="154" t="str">
        <x:f>IF($J382="Yes",COUNTIF($J$2:J382,"Yes"),"")</x:f>
      </x:c>
      <x:c r="B382" s="154"/>
      <x:c r="C382" s="154" t="str">
        <x:f>IFERROR(VLOOKUP($B382,'Hack Database'!$A:$J,2,FALSE),"")</x:f>
      </x:c>
      <x:c r="D382" s="154" t="str">
        <x:f>IFERROR(VLOOKUP($B382,'Hack Database'!$A:$J,3,FALSE),"")</x:f>
      </x:c>
      <x:c r="E382" s="154" t="str">
        <x:f>IFERROR(VLOOKUP($B382,'Hack Database'!$A:$J,4,FALSE),"")</x:f>
      </x:c>
      <x:c r="F382" s="154" t="str">
        <x:f>IFERROR(VLOOKUP($B382,'Hack Database'!$A:$J,5,FALSE),"")</x:f>
      </x:c>
      <x:c r="G382" s="154" t="str">
        <x:f>IFERROR(VLOOKUP($B382,'Hack Database'!$A:$J,6,FALSE),"")</x:f>
      </x:c>
      <x:c r="H382" s="155"/>
      <x:c r="I382" s="155"/>
      <x:c r="J382" s="154"/>
      <x:c r="K382" s="154" t="str">
        <x:f t="shared" si="5"/>
      </x:c>
      <x:c r="L382" s="154"/>
      <x:c r="M382" s="156"/>
      <x:c r="N382" s="154" t="str">
        <x:f>IFERROR(HYPERLINK(VLOOKUP($B382,'Hack Database'!$A:$J,9,FALSE),"Open Page"),"")</x:f>
      </x:c>
      <x:c r="O382" s="154" t="str">
        <x:f>IFERROR(HYPERLINK(VLOOKUP($B382,'Hack Database'!$A:$J,10,FALSE),"Download"),"")</x:f>
      </x:c>
      <x:c r="P382" s="157"/>
    </x:row>
    <x:row r="383">
      <x:c r="A383" s="154" t="str">
        <x:f>IF($J383="Yes",COUNTIF($J$2:J383,"Yes"),"")</x:f>
      </x:c>
      <x:c r="B383" s="154"/>
      <x:c r="C383" s="154" t="str">
        <x:f>IFERROR(VLOOKUP($B383,'Hack Database'!$A:$J,2,FALSE),"")</x:f>
      </x:c>
      <x:c r="D383" s="154" t="str">
        <x:f>IFERROR(VLOOKUP($B383,'Hack Database'!$A:$J,3,FALSE),"")</x:f>
      </x:c>
      <x:c r="E383" s="154" t="str">
        <x:f>IFERROR(VLOOKUP($B383,'Hack Database'!$A:$J,4,FALSE),"")</x:f>
      </x:c>
      <x:c r="F383" s="154" t="str">
        <x:f>IFERROR(VLOOKUP($B383,'Hack Database'!$A:$J,5,FALSE),"")</x:f>
      </x:c>
      <x:c r="G383" s="154" t="str">
        <x:f>IFERROR(VLOOKUP($B383,'Hack Database'!$A:$J,6,FALSE),"")</x:f>
      </x:c>
      <x:c r="H383" s="155"/>
      <x:c r="I383" s="155"/>
      <x:c r="J383" s="154"/>
      <x:c r="K383" s="154" t="str">
        <x:f t="shared" si="5"/>
      </x:c>
      <x:c r="L383" s="154"/>
      <x:c r="M383" s="156"/>
      <x:c r="N383" s="154" t="str">
        <x:f>IFERROR(HYPERLINK(VLOOKUP($B383,'Hack Database'!$A:$J,9,FALSE),"Open Page"),"")</x:f>
      </x:c>
      <x:c r="O383" s="154" t="str">
        <x:f>IFERROR(HYPERLINK(VLOOKUP($B383,'Hack Database'!$A:$J,10,FALSE),"Download"),"")</x:f>
      </x:c>
      <x:c r="P383" s="157"/>
    </x:row>
    <x:row r="384">
      <x:c r="A384" s="154" t="str">
        <x:f>IF($J384="Yes",COUNTIF($J$2:J384,"Yes"),"")</x:f>
      </x:c>
      <x:c r="B384" s="154"/>
      <x:c r="C384" s="154" t="str">
        <x:f>IFERROR(VLOOKUP($B384,'Hack Database'!$A:$J,2,FALSE),"")</x:f>
      </x:c>
      <x:c r="D384" s="154" t="str">
        <x:f>IFERROR(VLOOKUP($B384,'Hack Database'!$A:$J,3,FALSE),"")</x:f>
      </x:c>
      <x:c r="E384" s="154" t="str">
        <x:f>IFERROR(VLOOKUP($B384,'Hack Database'!$A:$J,4,FALSE),"")</x:f>
      </x:c>
      <x:c r="F384" s="154" t="str">
        <x:f>IFERROR(VLOOKUP($B384,'Hack Database'!$A:$J,5,FALSE),"")</x:f>
      </x:c>
      <x:c r="G384" s="154" t="str">
        <x:f>IFERROR(VLOOKUP($B384,'Hack Database'!$A:$J,6,FALSE),"")</x:f>
      </x:c>
      <x:c r="H384" s="155"/>
      <x:c r="I384" s="155"/>
      <x:c r="J384" s="154"/>
      <x:c r="K384" s="154" t="str">
        <x:f t="shared" si="5"/>
      </x:c>
      <x:c r="L384" s="154"/>
      <x:c r="M384" s="156"/>
      <x:c r="N384" s="154" t="str">
        <x:f>IFERROR(HYPERLINK(VLOOKUP($B384,'Hack Database'!$A:$J,9,FALSE),"Open Page"),"")</x:f>
      </x:c>
      <x:c r="O384" s="154" t="str">
        <x:f>IFERROR(HYPERLINK(VLOOKUP($B384,'Hack Database'!$A:$J,10,FALSE),"Download"),"")</x:f>
      </x:c>
      <x:c r="P384" s="157"/>
    </x:row>
    <x:row r="385">
      <x:c r="A385" s="154" t="str">
        <x:f>IF($J385="Yes",COUNTIF($J$2:J385,"Yes"),"")</x:f>
      </x:c>
      <x:c r="B385" s="154"/>
      <x:c r="C385" s="154" t="str">
        <x:f>IFERROR(VLOOKUP($B385,'Hack Database'!$A:$J,2,FALSE),"")</x:f>
      </x:c>
      <x:c r="D385" s="154" t="str">
        <x:f>IFERROR(VLOOKUP($B385,'Hack Database'!$A:$J,3,FALSE),"")</x:f>
      </x:c>
      <x:c r="E385" s="154" t="str">
        <x:f>IFERROR(VLOOKUP($B385,'Hack Database'!$A:$J,4,FALSE),"")</x:f>
      </x:c>
      <x:c r="F385" s="154" t="str">
        <x:f>IFERROR(VLOOKUP($B385,'Hack Database'!$A:$J,5,FALSE),"")</x:f>
      </x:c>
      <x:c r="G385" s="154" t="str">
        <x:f>IFERROR(VLOOKUP($B385,'Hack Database'!$A:$J,6,FALSE),"")</x:f>
      </x:c>
      <x:c r="H385" s="155"/>
      <x:c r="I385" s="155"/>
      <x:c r="J385" s="154"/>
      <x:c r="K385" s="154" t="str">
        <x:f t="shared" si="5"/>
      </x:c>
      <x:c r="L385" s="154"/>
      <x:c r="M385" s="156"/>
      <x:c r="N385" s="154" t="str">
        <x:f>IFERROR(HYPERLINK(VLOOKUP($B385,'Hack Database'!$A:$J,9,FALSE),"Open Page"),"")</x:f>
      </x:c>
      <x:c r="O385" s="154" t="str">
        <x:f>IFERROR(HYPERLINK(VLOOKUP($B385,'Hack Database'!$A:$J,10,FALSE),"Download"),"")</x:f>
      </x:c>
      <x:c r="P385" s="157"/>
    </x:row>
    <x:row r="386">
      <x:c r="A386" s="154" t="str">
        <x:f>IF($J386="Yes",COUNTIF($J$2:J386,"Yes"),"")</x:f>
      </x:c>
      <x:c r="B386" s="154"/>
      <x:c r="C386" s="154" t="str">
        <x:f>IFERROR(VLOOKUP($B386,'Hack Database'!$A:$J,2,FALSE),"")</x:f>
      </x:c>
      <x:c r="D386" s="154" t="str">
        <x:f>IFERROR(VLOOKUP($B386,'Hack Database'!$A:$J,3,FALSE),"")</x:f>
      </x:c>
      <x:c r="E386" s="154" t="str">
        <x:f>IFERROR(VLOOKUP($B386,'Hack Database'!$A:$J,4,FALSE),"")</x:f>
      </x:c>
      <x:c r="F386" s="154" t="str">
        <x:f>IFERROR(VLOOKUP($B386,'Hack Database'!$A:$J,5,FALSE),"")</x:f>
      </x:c>
      <x:c r="G386" s="154" t="str">
        <x:f>IFERROR(VLOOKUP($B386,'Hack Database'!$A:$J,6,FALSE),"")</x:f>
      </x:c>
      <x:c r="H386" s="155"/>
      <x:c r="I386" s="155"/>
      <x:c r="J386" s="154"/>
      <x:c r="K386" s="154" t="str">
        <x:f t="shared" ref="K386:K449" si="6">IF($B386="","",IF($J386="Yes","100% Complete",IF($H386="","Planned",IF($I386="","In Progress","Finished"))))</x:f>
      </x:c>
      <x:c r="L386" s="154"/>
      <x:c r="M386" s="156"/>
      <x:c r="N386" s="154" t="str">
        <x:f>IFERROR(HYPERLINK(VLOOKUP($B386,'Hack Database'!$A:$J,9,FALSE),"Open Page"),"")</x:f>
      </x:c>
      <x:c r="O386" s="154" t="str">
        <x:f>IFERROR(HYPERLINK(VLOOKUP($B386,'Hack Database'!$A:$J,10,FALSE),"Download"),"")</x:f>
      </x:c>
      <x:c r="P386" s="157"/>
    </x:row>
    <x:row r="387">
      <x:c r="A387" s="154" t="str">
        <x:f>IF($J387="Yes",COUNTIF($J$2:J387,"Yes"),"")</x:f>
      </x:c>
      <x:c r="B387" s="154"/>
      <x:c r="C387" s="154" t="str">
        <x:f>IFERROR(VLOOKUP($B387,'Hack Database'!$A:$J,2,FALSE),"")</x:f>
      </x:c>
      <x:c r="D387" s="154" t="str">
        <x:f>IFERROR(VLOOKUP($B387,'Hack Database'!$A:$J,3,FALSE),"")</x:f>
      </x:c>
      <x:c r="E387" s="154" t="str">
        <x:f>IFERROR(VLOOKUP($B387,'Hack Database'!$A:$J,4,FALSE),"")</x:f>
      </x:c>
      <x:c r="F387" s="154" t="str">
        <x:f>IFERROR(VLOOKUP($B387,'Hack Database'!$A:$J,5,FALSE),"")</x:f>
      </x:c>
      <x:c r="G387" s="154" t="str">
        <x:f>IFERROR(VLOOKUP($B387,'Hack Database'!$A:$J,6,FALSE),"")</x:f>
      </x:c>
      <x:c r="H387" s="155"/>
      <x:c r="I387" s="155"/>
      <x:c r="J387" s="154"/>
      <x:c r="K387" s="154" t="str">
        <x:f t="shared" si="6"/>
      </x:c>
      <x:c r="L387" s="154"/>
      <x:c r="M387" s="156"/>
      <x:c r="N387" s="154" t="str">
        <x:f>IFERROR(HYPERLINK(VLOOKUP($B387,'Hack Database'!$A:$J,9,FALSE),"Open Page"),"")</x:f>
      </x:c>
      <x:c r="O387" s="154" t="str">
        <x:f>IFERROR(HYPERLINK(VLOOKUP($B387,'Hack Database'!$A:$J,10,FALSE),"Download"),"")</x:f>
      </x:c>
      <x:c r="P387" s="157"/>
    </x:row>
    <x:row r="388">
      <x:c r="A388" s="154" t="str">
        <x:f>IF($J388="Yes",COUNTIF($J$2:J388,"Yes"),"")</x:f>
      </x:c>
      <x:c r="B388" s="154"/>
      <x:c r="C388" s="154" t="str">
        <x:f>IFERROR(VLOOKUP($B388,'Hack Database'!$A:$J,2,FALSE),"")</x:f>
      </x:c>
      <x:c r="D388" s="154" t="str">
        <x:f>IFERROR(VLOOKUP($B388,'Hack Database'!$A:$J,3,FALSE),"")</x:f>
      </x:c>
      <x:c r="E388" s="154" t="str">
        <x:f>IFERROR(VLOOKUP($B388,'Hack Database'!$A:$J,4,FALSE),"")</x:f>
      </x:c>
      <x:c r="F388" s="154" t="str">
        <x:f>IFERROR(VLOOKUP($B388,'Hack Database'!$A:$J,5,FALSE),"")</x:f>
      </x:c>
      <x:c r="G388" s="154" t="str">
        <x:f>IFERROR(VLOOKUP($B388,'Hack Database'!$A:$J,6,FALSE),"")</x:f>
      </x:c>
      <x:c r="H388" s="155"/>
      <x:c r="I388" s="155"/>
      <x:c r="J388" s="154"/>
      <x:c r="K388" s="154" t="str">
        <x:f t="shared" si="6"/>
      </x:c>
      <x:c r="L388" s="154"/>
      <x:c r="M388" s="156"/>
      <x:c r="N388" s="154" t="str">
        <x:f>IFERROR(HYPERLINK(VLOOKUP($B388,'Hack Database'!$A:$J,9,FALSE),"Open Page"),"")</x:f>
      </x:c>
      <x:c r="O388" s="154" t="str">
        <x:f>IFERROR(HYPERLINK(VLOOKUP($B388,'Hack Database'!$A:$J,10,FALSE),"Download"),"")</x:f>
      </x:c>
      <x:c r="P388" s="157"/>
    </x:row>
    <x:row r="389">
      <x:c r="A389" s="154" t="str">
        <x:f>IF($J389="Yes",COUNTIF($J$2:J389,"Yes"),"")</x:f>
      </x:c>
      <x:c r="B389" s="154"/>
      <x:c r="C389" s="154" t="str">
        <x:f>IFERROR(VLOOKUP($B389,'Hack Database'!$A:$J,2,FALSE),"")</x:f>
      </x:c>
      <x:c r="D389" s="154" t="str">
        <x:f>IFERROR(VLOOKUP($B389,'Hack Database'!$A:$J,3,FALSE),"")</x:f>
      </x:c>
      <x:c r="E389" s="154" t="str">
        <x:f>IFERROR(VLOOKUP($B389,'Hack Database'!$A:$J,4,FALSE),"")</x:f>
      </x:c>
      <x:c r="F389" s="154" t="str">
        <x:f>IFERROR(VLOOKUP($B389,'Hack Database'!$A:$J,5,FALSE),"")</x:f>
      </x:c>
      <x:c r="G389" s="154" t="str">
        <x:f>IFERROR(VLOOKUP($B389,'Hack Database'!$A:$J,6,FALSE),"")</x:f>
      </x:c>
      <x:c r="H389" s="155"/>
      <x:c r="I389" s="155"/>
      <x:c r="J389" s="154"/>
      <x:c r="K389" s="154" t="str">
        <x:f t="shared" si="6"/>
      </x:c>
      <x:c r="L389" s="154"/>
      <x:c r="M389" s="156"/>
      <x:c r="N389" s="154" t="str">
        <x:f>IFERROR(HYPERLINK(VLOOKUP($B389,'Hack Database'!$A:$J,9,FALSE),"Open Page"),"")</x:f>
      </x:c>
      <x:c r="O389" s="154" t="str">
        <x:f>IFERROR(HYPERLINK(VLOOKUP($B389,'Hack Database'!$A:$J,10,FALSE),"Download"),"")</x:f>
      </x:c>
      <x:c r="P389" s="157"/>
    </x:row>
    <x:row r="390">
      <x:c r="A390" s="154" t="str">
        <x:f>IF($J390="Yes",COUNTIF($J$2:J390,"Yes"),"")</x:f>
      </x:c>
      <x:c r="B390" s="154"/>
      <x:c r="C390" s="154" t="str">
        <x:f>IFERROR(VLOOKUP($B390,'Hack Database'!$A:$J,2,FALSE),"")</x:f>
      </x:c>
      <x:c r="D390" s="154" t="str">
        <x:f>IFERROR(VLOOKUP($B390,'Hack Database'!$A:$J,3,FALSE),"")</x:f>
      </x:c>
      <x:c r="E390" s="154" t="str">
        <x:f>IFERROR(VLOOKUP($B390,'Hack Database'!$A:$J,4,FALSE),"")</x:f>
      </x:c>
      <x:c r="F390" s="154" t="str">
        <x:f>IFERROR(VLOOKUP($B390,'Hack Database'!$A:$J,5,FALSE),"")</x:f>
      </x:c>
      <x:c r="G390" s="154" t="str">
        <x:f>IFERROR(VLOOKUP($B390,'Hack Database'!$A:$J,6,FALSE),"")</x:f>
      </x:c>
      <x:c r="H390" s="155"/>
      <x:c r="I390" s="155"/>
      <x:c r="J390" s="154"/>
      <x:c r="K390" s="154" t="str">
        <x:f t="shared" si="6"/>
      </x:c>
      <x:c r="L390" s="154"/>
      <x:c r="M390" s="156"/>
      <x:c r="N390" s="154" t="str">
        <x:f>IFERROR(HYPERLINK(VLOOKUP($B390,'Hack Database'!$A:$J,9,FALSE),"Open Page"),"")</x:f>
      </x:c>
      <x:c r="O390" s="154" t="str">
        <x:f>IFERROR(HYPERLINK(VLOOKUP($B390,'Hack Database'!$A:$J,10,FALSE),"Download"),"")</x:f>
      </x:c>
      <x:c r="P390" s="157"/>
    </x:row>
    <x:row r="391">
      <x:c r="A391" s="154" t="str">
        <x:f>IF($J391="Yes",COUNTIF($J$2:J391,"Yes"),"")</x:f>
      </x:c>
      <x:c r="B391" s="154"/>
      <x:c r="C391" s="154" t="str">
        <x:f>IFERROR(VLOOKUP($B391,'Hack Database'!$A:$J,2,FALSE),"")</x:f>
      </x:c>
      <x:c r="D391" s="154" t="str">
        <x:f>IFERROR(VLOOKUP($B391,'Hack Database'!$A:$J,3,FALSE),"")</x:f>
      </x:c>
      <x:c r="E391" s="154" t="str">
        <x:f>IFERROR(VLOOKUP($B391,'Hack Database'!$A:$J,4,FALSE),"")</x:f>
      </x:c>
      <x:c r="F391" s="154" t="str">
        <x:f>IFERROR(VLOOKUP($B391,'Hack Database'!$A:$J,5,FALSE),"")</x:f>
      </x:c>
      <x:c r="G391" s="154" t="str">
        <x:f>IFERROR(VLOOKUP($B391,'Hack Database'!$A:$J,6,FALSE),"")</x:f>
      </x:c>
      <x:c r="H391" s="155"/>
      <x:c r="I391" s="155"/>
      <x:c r="J391" s="154"/>
      <x:c r="K391" s="154" t="str">
        <x:f t="shared" si="6"/>
      </x:c>
      <x:c r="L391" s="154"/>
      <x:c r="M391" s="156"/>
      <x:c r="N391" s="154" t="str">
        <x:f>IFERROR(HYPERLINK(VLOOKUP($B391,'Hack Database'!$A:$J,9,FALSE),"Open Page"),"")</x:f>
      </x:c>
      <x:c r="O391" s="154" t="str">
        <x:f>IFERROR(HYPERLINK(VLOOKUP($B391,'Hack Database'!$A:$J,10,FALSE),"Download"),"")</x:f>
      </x:c>
      <x:c r="P391" s="157"/>
    </x:row>
    <x:row r="392">
      <x:c r="A392" s="154" t="str">
        <x:f>IF($J392="Yes",COUNTIF($J$2:J392,"Yes"),"")</x:f>
      </x:c>
      <x:c r="B392" s="154"/>
      <x:c r="C392" s="154" t="str">
        <x:f>IFERROR(VLOOKUP($B392,'Hack Database'!$A:$J,2,FALSE),"")</x:f>
      </x:c>
      <x:c r="D392" s="154" t="str">
        <x:f>IFERROR(VLOOKUP($B392,'Hack Database'!$A:$J,3,FALSE),"")</x:f>
      </x:c>
      <x:c r="E392" s="154" t="str">
        <x:f>IFERROR(VLOOKUP($B392,'Hack Database'!$A:$J,4,FALSE),"")</x:f>
      </x:c>
      <x:c r="F392" s="154" t="str">
        <x:f>IFERROR(VLOOKUP($B392,'Hack Database'!$A:$J,5,FALSE),"")</x:f>
      </x:c>
      <x:c r="G392" s="154" t="str">
        <x:f>IFERROR(VLOOKUP($B392,'Hack Database'!$A:$J,6,FALSE),"")</x:f>
      </x:c>
      <x:c r="H392" s="155"/>
      <x:c r="I392" s="155"/>
      <x:c r="J392" s="154"/>
      <x:c r="K392" s="154" t="str">
        <x:f t="shared" si="6"/>
      </x:c>
      <x:c r="L392" s="154"/>
      <x:c r="M392" s="156"/>
      <x:c r="N392" s="154" t="str">
        <x:f>IFERROR(HYPERLINK(VLOOKUP($B392,'Hack Database'!$A:$J,9,FALSE),"Open Page"),"")</x:f>
      </x:c>
      <x:c r="O392" s="154" t="str">
        <x:f>IFERROR(HYPERLINK(VLOOKUP($B392,'Hack Database'!$A:$J,10,FALSE),"Download"),"")</x:f>
      </x:c>
      <x:c r="P392" s="157"/>
    </x:row>
    <x:row r="393">
      <x:c r="A393" s="154" t="str">
        <x:f>IF($J393="Yes",COUNTIF($J$2:J393,"Yes"),"")</x:f>
      </x:c>
      <x:c r="B393" s="154"/>
      <x:c r="C393" s="154" t="str">
        <x:f>IFERROR(VLOOKUP($B393,'Hack Database'!$A:$J,2,FALSE),"")</x:f>
      </x:c>
      <x:c r="D393" s="154" t="str">
        <x:f>IFERROR(VLOOKUP($B393,'Hack Database'!$A:$J,3,FALSE),"")</x:f>
      </x:c>
      <x:c r="E393" s="154" t="str">
        <x:f>IFERROR(VLOOKUP($B393,'Hack Database'!$A:$J,4,FALSE),"")</x:f>
      </x:c>
      <x:c r="F393" s="154" t="str">
        <x:f>IFERROR(VLOOKUP($B393,'Hack Database'!$A:$J,5,FALSE),"")</x:f>
      </x:c>
      <x:c r="G393" s="154" t="str">
        <x:f>IFERROR(VLOOKUP($B393,'Hack Database'!$A:$J,6,FALSE),"")</x:f>
      </x:c>
      <x:c r="H393" s="155"/>
      <x:c r="I393" s="155"/>
      <x:c r="J393" s="154"/>
      <x:c r="K393" s="154" t="str">
        <x:f t="shared" si="6"/>
      </x:c>
      <x:c r="L393" s="154"/>
      <x:c r="M393" s="156"/>
      <x:c r="N393" s="154" t="str">
        <x:f>IFERROR(HYPERLINK(VLOOKUP($B393,'Hack Database'!$A:$J,9,FALSE),"Open Page"),"")</x:f>
      </x:c>
      <x:c r="O393" s="154" t="str">
        <x:f>IFERROR(HYPERLINK(VLOOKUP($B393,'Hack Database'!$A:$J,10,FALSE),"Download"),"")</x:f>
      </x:c>
      <x:c r="P393" s="157"/>
    </x:row>
    <x:row r="394">
      <x:c r="A394" s="154" t="str">
        <x:f>IF($J394="Yes",COUNTIF($J$2:J394,"Yes"),"")</x:f>
      </x:c>
      <x:c r="B394" s="154"/>
      <x:c r="C394" s="154" t="str">
        <x:f>IFERROR(VLOOKUP($B394,'Hack Database'!$A:$J,2,FALSE),"")</x:f>
      </x:c>
      <x:c r="D394" s="154" t="str">
        <x:f>IFERROR(VLOOKUP($B394,'Hack Database'!$A:$J,3,FALSE),"")</x:f>
      </x:c>
      <x:c r="E394" s="154" t="str">
        <x:f>IFERROR(VLOOKUP($B394,'Hack Database'!$A:$J,4,FALSE),"")</x:f>
      </x:c>
      <x:c r="F394" s="154" t="str">
        <x:f>IFERROR(VLOOKUP($B394,'Hack Database'!$A:$J,5,FALSE),"")</x:f>
      </x:c>
      <x:c r="G394" s="154" t="str">
        <x:f>IFERROR(VLOOKUP($B394,'Hack Database'!$A:$J,6,FALSE),"")</x:f>
      </x:c>
      <x:c r="H394" s="155"/>
      <x:c r="I394" s="155"/>
      <x:c r="J394" s="154"/>
      <x:c r="K394" s="154" t="str">
        <x:f t="shared" si="6"/>
      </x:c>
      <x:c r="L394" s="154"/>
      <x:c r="M394" s="156"/>
      <x:c r="N394" s="154" t="str">
        <x:f>IFERROR(HYPERLINK(VLOOKUP($B394,'Hack Database'!$A:$J,9,FALSE),"Open Page"),"")</x:f>
      </x:c>
      <x:c r="O394" s="154" t="str">
        <x:f>IFERROR(HYPERLINK(VLOOKUP($B394,'Hack Database'!$A:$J,10,FALSE),"Download"),"")</x:f>
      </x:c>
      <x:c r="P394" s="157"/>
    </x:row>
    <x:row r="395">
      <x:c r="A395" s="154" t="str">
        <x:f>IF($J395="Yes",COUNTIF($J$2:J395,"Yes"),"")</x:f>
      </x:c>
      <x:c r="B395" s="154"/>
      <x:c r="C395" s="154" t="str">
        <x:f>IFERROR(VLOOKUP($B395,'Hack Database'!$A:$J,2,FALSE),"")</x:f>
      </x:c>
      <x:c r="D395" s="154" t="str">
        <x:f>IFERROR(VLOOKUP($B395,'Hack Database'!$A:$J,3,FALSE),"")</x:f>
      </x:c>
      <x:c r="E395" s="154" t="str">
        <x:f>IFERROR(VLOOKUP($B395,'Hack Database'!$A:$J,4,FALSE),"")</x:f>
      </x:c>
      <x:c r="F395" s="154" t="str">
        <x:f>IFERROR(VLOOKUP($B395,'Hack Database'!$A:$J,5,FALSE),"")</x:f>
      </x:c>
      <x:c r="G395" s="154" t="str">
        <x:f>IFERROR(VLOOKUP($B395,'Hack Database'!$A:$J,6,FALSE),"")</x:f>
      </x:c>
      <x:c r="H395" s="155"/>
      <x:c r="I395" s="155"/>
      <x:c r="J395" s="154"/>
      <x:c r="K395" s="154" t="str">
        <x:f t="shared" si="6"/>
      </x:c>
      <x:c r="L395" s="154"/>
      <x:c r="M395" s="156"/>
      <x:c r="N395" s="154" t="str">
        <x:f>IFERROR(HYPERLINK(VLOOKUP($B395,'Hack Database'!$A:$J,9,FALSE),"Open Page"),"")</x:f>
      </x:c>
      <x:c r="O395" s="154" t="str">
        <x:f>IFERROR(HYPERLINK(VLOOKUP($B395,'Hack Database'!$A:$J,10,FALSE),"Download"),"")</x:f>
      </x:c>
      <x:c r="P395" s="157"/>
    </x:row>
    <x:row r="396">
      <x:c r="A396" s="154" t="str">
        <x:f>IF($J396="Yes",COUNTIF($J$2:J396,"Yes"),"")</x:f>
      </x:c>
      <x:c r="B396" s="154"/>
      <x:c r="C396" s="154" t="str">
        <x:f>IFERROR(VLOOKUP($B396,'Hack Database'!$A:$J,2,FALSE),"")</x:f>
      </x:c>
      <x:c r="D396" s="154" t="str">
        <x:f>IFERROR(VLOOKUP($B396,'Hack Database'!$A:$J,3,FALSE),"")</x:f>
      </x:c>
      <x:c r="E396" s="154" t="str">
        <x:f>IFERROR(VLOOKUP($B396,'Hack Database'!$A:$J,4,FALSE),"")</x:f>
      </x:c>
      <x:c r="F396" s="154" t="str">
        <x:f>IFERROR(VLOOKUP($B396,'Hack Database'!$A:$J,5,FALSE),"")</x:f>
      </x:c>
      <x:c r="G396" s="154" t="str">
        <x:f>IFERROR(VLOOKUP($B396,'Hack Database'!$A:$J,6,FALSE),"")</x:f>
      </x:c>
      <x:c r="H396" s="155"/>
      <x:c r="I396" s="155"/>
      <x:c r="J396" s="154"/>
      <x:c r="K396" s="154" t="str">
        <x:f t="shared" si="6"/>
      </x:c>
      <x:c r="L396" s="154"/>
      <x:c r="M396" s="156"/>
      <x:c r="N396" s="154" t="str">
        <x:f>IFERROR(HYPERLINK(VLOOKUP($B396,'Hack Database'!$A:$J,9,FALSE),"Open Page"),"")</x:f>
      </x:c>
      <x:c r="O396" s="154" t="str">
        <x:f>IFERROR(HYPERLINK(VLOOKUP($B396,'Hack Database'!$A:$J,10,FALSE),"Download"),"")</x:f>
      </x:c>
      <x:c r="P396" s="157"/>
    </x:row>
    <x:row r="397">
      <x:c r="A397" s="154" t="str">
        <x:f>IF($J397="Yes",COUNTIF($J$2:J397,"Yes"),"")</x:f>
      </x:c>
      <x:c r="B397" s="154"/>
      <x:c r="C397" s="154" t="str">
        <x:f>IFERROR(VLOOKUP($B397,'Hack Database'!$A:$J,2,FALSE),"")</x:f>
      </x:c>
      <x:c r="D397" s="154" t="str">
        <x:f>IFERROR(VLOOKUP($B397,'Hack Database'!$A:$J,3,FALSE),"")</x:f>
      </x:c>
      <x:c r="E397" s="154" t="str">
        <x:f>IFERROR(VLOOKUP($B397,'Hack Database'!$A:$J,4,FALSE),"")</x:f>
      </x:c>
      <x:c r="F397" s="154" t="str">
        <x:f>IFERROR(VLOOKUP($B397,'Hack Database'!$A:$J,5,FALSE),"")</x:f>
      </x:c>
      <x:c r="G397" s="154" t="str">
        <x:f>IFERROR(VLOOKUP($B397,'Hack Database'!$A:$J,6,FALSE),"")</x:f>
      </x:c>
      <x:c r="H397" s="155"/>
      <x:c r="I397" s="155"/>
      <x:c r="J397" s="154"/>
      <x:c r="K397" s="154" t="str">
        <x:f t="shared" si="6"/>
      </x:c>
      <x:c r="L397" s="154"/>
      <x:c r="M397" s="156"/>
      <x:c r="N397" s="154" t="str">
        <x:f>IFERROR(HYPERLINK(VLOOKUP($B397,'Hack Database'!$A:$J,9,FALSE),"Open Page"),"")</x:f>
      </x:c>
      <x:c r="O397" s="154" t="str">
        <x:f>IFERROR(HYPERLINK(VLOOKUP($B397,'Hack Database'!$A:$J,10,FALSE),"Download"),"")</x:f>
      </x:c>
      <x:c r="P397" s="157"/>
    </x:row>
    <x:row r="398">
      <x:c r="A398" s="154" t="str">
        <x:f>IF($J398="Yes",COUNTIF($J$2:J398,"Yes"),"")</x:f>
      </x:c>
      <x:c r="B398" s="154"/>
      <x:c r="C398" s="154" t="str">
        <x:f>IFERROR(VLOOKUP($B398,'Hack Database'!$A:$J,2,FALSE),"")</x:f>
      </x:c>
      <x:c r="D398" s="154" t="str">
        <x:f>IFERROR(VLOOKUP($B398,'Hack Database'!$A:$J,3,FALSE),"")</x:f>
      </x:c>
      <x:c r="E398" s="154" t="str">
        <x:f>IFERROR(VLOOKUP($B398,'Hack Database'!$A:$J,4,FALSE),"")</x:f>
      </x:c>
      <x:c r="F398" s="154" t="str">
        <x:f>IFERROR(VLOOKUP($B398,'Hack Database'!$A:$J,5,FALSE),"")</x:f>
      </x:c>
      <x:c r="G398" s="154" t="str">
        <x:f>IFERROR(VLOOKUP($B398,'Hack Database'!$A:$J,6,FALSE),"")</x:f>
      </x:c>
      <x:c r="H398" s="155"/>
      <x:c r="I398" s="155"/>
      <x:c r="J398" s="154"/>
      <x:c r="K398" s="154" t="str">
        <x:f t="shared" si="6"/>
      </x:c>
      <x:c r="L398" s="154"/>
      <x:c r="M398" s="156"/>
      <x:c r="N398" s="154" t="str">
        <x:f>IFERROR(HYPERLINK(VLOOKUP($B398,'Hack Database'!$A:$J,9,FALSE),"Open Page"),"")</x:f>
      </x:c>
      <x:c r="O398" s="154" t="str">
        <x:f>IFERROR(HYPERLINK(VLOOKUP($B398,'Hack Database'!$A:$J,10,FALSE),"Download"),"")</x:f>
      </x:c>
      <x:c r="P398" s="157"/>
    </x:row>
    <x:row r="399">
      <x:c r="A399" s="154" t="str">
        <x:f>IF($J399="Yes",COUNTIF($J$2:J399,"Yes"),"")</x:f>
      </x:c>
      <x:c r="B399" s="154"/>
      <x:c r="C399" s="154" t="str">
        <x:f>IFERROR(VLOOKUP($B399,'Hack Database'!$A:$J,2,FALSE),"")</x:f>
      </x:c>
      <x:c r="D399" s="154" t="str">
        <x:f>IFERROR(VLOOKUP($B399,'Hack Database'!$A:$J,3,FALSE),"")</x:f>
      </x:c>
      <x:c r="E399" s="154" t="str">
        <x:f>IFERROR(VLOOKUP($B399,'Hack Database'!$A:$J,4,FALSE),"")</x:f>
      </x:c>
      <x:c r="F399" s="154" t="str">
        <x:f>IFERROR(VLOOKUP($B399,'Hack Database'!$A:$J,5,FALSE),"")</x:f>
      </x:c>
      <x:c r="G399" s="154" t="str">
        <x:f>IFERROR(VLOOKUP($B399,'Hack Database'!$A:$J,6,FALSE),"")</x:f>
      </x:c>
      <x:c r="H399" s="155"/>
      <x:c r="I399" s="155"/>
      <x:c r="J399" s="154"/>
      <x:c r="K399" s="154" t="str">
        <x:f t="shared" si="6"/>
      </x:c>
      <x:c r="L399" s="154"/>
      <x:c r="M399" s="156"/>
      <x:c r="N399" s="154" t="str">
        <x:f>IFERROR(HYPERLINK(VLOOKUP($B399,'Hack Database'!$A:$J,9,FALSE),"Open Page"),"")</x:f>
      </x:c>
      <x:c r="O399" s="154" t="str">
        <x:f>IFERROR(HYPERLINK(VLOOKUP($B399,'Hack Database'!$A:$J,10,FALSE),"Download"),"")</x:f>
      </x:c>
      <x:c r="P399" s="157"/>
    </x:row>
    <x:row r="400">
      <x:c r="A400" s="154" t="str">
        <x:f>IF($J400="Yes",COUNTIF($J$2:J400,"Yes"),"")</x:f>
      </x:c>
      <x:c r="B400" s="154"/>
      <x:c r="C400" s="154" t="str">
        <x:f>IFERROR(VLOOKUP($B400,'Hack Database'!$A:$J,2,FALSE),"")</x:f>
      </x:c>
      <x:c r="D400" s="154" t="str">
        <x:f>IFERROR(VLOOKUP($B400,'Hack Database'!$A:$J,3,FALSE),"")</x:f>
      </x:c>
      <x:c r="E400" s="154" t="str">
        <x:f>IFERROR(VLOOKUP($B400,'Hack Database'!$A:$J,4,FALSE),"")</x:f>
      </x:c>
      <x:c r="F400" s="154" t="str">
        <x:f>IFERROR(VLOOKUP($B400,'Hack Database'!$A:$J,5,FALSE),"")</x:f>
      </x:c>
      <x:c r="G400" s="154" t="str">
        <x:f>IFERROR(VLOOKUP($B400,'Hack Database'!$A:$J,6,FALSE),"")</x:f>
      </x:c>
      <x:c r="H400" s="155"/>
      <x:c r="I400" s="155"/>
      <x:c r="J400" s="154"/>
      <x:c r="K400" s="154" t="str">
        <x:f t="shared" si="6"/>
      </x:c>
      <x:c r="L400" s="154"/>
      <x:c r="M400" s="156"/>
      <x:c r="N400" s="154" t="str">
        <x:f>IFERROR(HYPERLINK(VLOOKUP($B400,'Hack Database'!$A:$J,9,FALSE),"Open Page"),"")</x:f>
      </x:c>
      <x:c r="O400" s="154" t="str">
        <x:f>IFERROR(HYPERLINK(VLOOKUP($B400,'Hack Database'!$A:$J,10,FALSE),"Download"),"")</x:f>
      </x:c>
      <x:c r="P400" s="157"/>
    </x:row>
    <x:row r="401">
      <x:c r="A401" s="154" t="str">
        <x:f>IF($J401="Yes",COUNTIF($J$2:J401,"Yes"),"")</x:f>
      </x:c>
      <x:c r="B401" s="154"/>
      <x:c r="C401" s="154" t="str">
        <x:f>IFERROR(VLOOKUP($B401,'Hack Database'!$A:$J,2,FALSE),"")</x:f>
      </x:c>
      <x:c r="D401" s="154" t="str">
        <x:f>IFERROR(VLOOKUP($B401,'Hack Database'!$A:$J,3,FALSE),"")</x:f>
      </x:c>
      <x:c r="E401" s="154" t="str">
        <x:f>IFERROR(VLOOKUP($B401,'Hack Database'!$A:$J,4,FALSE),"")</x:f>
      </x:c>
      <x:c r="F401" s="154" t="str">
        <x:f>IFERROR(VLOOKUP($B401,'Hack Database'!$A:$J,5,FALSE),"")</x:f>
      </x:c>
      <x:c r="G401" s="154" t="str">
        <x:f>IFERROR(VLOOKUP($B401,'Hack Database'!$A:$J,6,FALSE),"")</x:f>
      </x:c>
      <x:c r="H401" s="155"/>
      <x:c r="I401" s="155"/>
      <x:c r="J401" s="154"/>
      <x:c r="K401" s="154" t="str">
        <x:f t="shared" si="6"/>
      </x:c>
      <x:c r="L401" s="154"/>
      <x:c r="M401" s="156"/>
      <x:c r="N401" s="154" t="str">
        <x:f>IFERROR(HYPERLINK(VLOOKUP($B401,'Hack Database'!$A:$J,9,FALSE),"Open Page"),"")</x:f>
      </x:c>
      <x:c r="O401" s="154" t="str">
        <x:f>IFERROR(HYPERLINK(VLOOKUP($B401,'Hack Database'!$A:$J,10,FALSE),"Download"),"")</x:f>
      </x:c>
      <x:c r="P401" s="157"/>
    </x:row>
    <x:row r="402">
      <x:c r="A402" s="154" t="str">
        <x:f>IF($J402="Yes",COUNTIF($J$2:J402,"Yes"),"")</x:f>
      </x:c>
      <x:c r="B402" s="154"/>
      <x:c r="C402" s="154" t="str">
        <x:f>IFERROR(VLOOKUP($B402,'Hack Database'!$A:$J,2,FALSE),"")</x:f>
      </x:c>
      <x:c r="D402" s="154" t="str">
        <x:f>IFERROR(VLOOKUP($B402,'Hack Database'!$A:$J,3,FALSE),"")</x:f>
      </x:c>
      <x:c r="E402" s="154" t="str">
        <x:f>IFERROR(VLOOKUP($B402,'Hack Database'!$A:$J,4,FALSE),"")</x:f>
      </x:c>
      <x:c r="F402" s="154" t="str">
        <x:f>IFERROR(VLOOKUP($B402,'Hack Database'!$A:$J,5,FALSE),"")</x:f>
      </x:c>
      <x:c r="G402" s="154" t="str">
        <x:f>IFERROR(VLOOKUP($B402,'Hack Database'!$A:$J,6,FALSE),"")</x:f>
      </x:c>
      <x:c r="H402" s="155"/>
      <x:c r="I402" s="155"/>
      <x:c r="J402" s="154"/>
      <x:c r="K402" s="154" t="str">
        <x:f t="shared" si="6"/>
      </x:c>
      <x:c r="L402" s="154"/>
      <x:c r="M402" s="156"/>
      <x:c r="N402" s="154" t="str">
        <x:f>IFERROR(HYPERLINK(VLOOKUP($B402,'Hack Database'!$A:$J,9,FALSE),"Open Page"),"")</x:f>
      </x:c>
      <x:c r="O402" s="154" t="str">
        <x:f>IFERROR(HYPERLINK(VLOOKUP($B402,'Hack Database'!$A:$J,10,FALSE),"Download"),"")</x:f>
      </x:c>
      <x:c r="P402" s="157"/>
    </x:row>
    <x:row r="403">
      <x:c r="A403" s="154" t="str">
        <x:f>IF($J403="Yes",COUNTIF($J$2:J403,"Yes"),"")</x:f>
      </x:c>
      <x:c r="B403" s="154"/>
      <x:c r="C403" s="154" t="str">
        <x:f>IFERROR(VLOOKUP($B403,'Hack Database'!$A:$J,2,FALSE),"")</x:f>
      </x:c>
      <x:c r="D403" s="154" t="str">
        <x:f>IFERROR(VLOOKUP($B403,'Hack Database'!$A:$J,3,FALSE),"")</x:f>
      </x:c>
      <x:c r="E403" s="154" t="str">
        <x:f>IFERROR(VLOOKUP($B403,'Hack Database'!$A:$J,4,FALSE),"")</x:f>
      </x:c>
      <x:c r="F403" s="154" t="str">
        <x:f>IFERROR(VLOOKUP($B403,'Hack Database'!$A:$J,5,FALSE),"")</x:f>
      </x:c>
      <x:c r="G403" s="154" t="str">
        <x:f>IFERROR(VLOOKUP($B403,'Hack Database'!$A:$J,6,FALSE),"")</x:f>
      </x:c>
      <x:c r="H403" s="155"/>
      <x:c r="I403" s="155"/>
      <x:c r="J403" s="154"/>
      <x:c r="K403" s="154" t="str">
        <x:f t="shared" si="6"/>
      </x:c>
      <x:c r="L403" s="154"/>
      <x:c r="M403" s="156"/>
      <x:c r="N403" s="154" t="str">
        <x:f>IFERROR(HYPERLINK(VLOOKUP($B403,'Hack Database'!$A:$J,9,FALSE),"Open Page"),"")</x:f>
      </x:c>
      <x:c r="O403" s="154" t="str">
        <x:f>IFERROR(HYPERLINK(VLOOKUP($B403,'Hack Database'!$A:$J,10,FALSE),"Download"),"")</x:f>
      </x:c>
      <x:c r="P403" s="157"/>
    </x:row>
    <x:row r="404">
      <x:c r="A404" s="154" t="str">
        <x:f>IF($J404="Yes",COUNTIF($J$2:J404,"Yes"),"")</x:f>
      </x:c>
      <x:c r="B404" s="154"/>
      <x:c r="C404" s="154" t="str">
        <x:f>IFERROR(VLOOKUP($B404,'Hack Database'!$A:$J,2,FALSE),"")</x:f>
      </x:c>
      <x:c r="D404" s="154" t="str">
        <x:f>IFERROR(VLOOKUP($B404,'Hack Database'!$A:$J,3,FALSE),"")</x:f>
      </x:c>
      <x:c r="E404" s="154" t="str">
        <x:f>IFERROR(VLOOKUP($B404,'Hack Database'!$A:$J,4,FALSE),"")</x:f>
      </x:c>
      <x:c r="F404" s="154" t="str">
        <x:f>IFERROR(VLOOKUP($B404,'Hack Database'!$A:$J,5,FALSE),"")</x:f>
      </x:c>
      <x:c r="G404" s="154" t="str">
        <x:f>IFERROR(VLOOKUP($B404,'Hack Database'!$A:$J,6,FALSE),"")</x:f>
      </x:c>
      <x:c r="H404" s="155"/>
      <x:c r="I404" s="155"/>
      <x:c r="J404" s="154"/>
      <x:c r="K404" s="154" t="str">
        <x:f t="shared" si="6"/>
      </x:c>
      <x:c r="L404" s="154"/>
      <x:c r="M404" s="156"/>
      <x:c r="N404" s="154" t="str">
        <x:f>IFERROR(HYPERLINK(VLOOKUP($B404,'Hack Database'!$A:$J,9,FALSE),"Open Page"),"")</x:f>
      </x:c>
      <x:c r="O404" s="154" t="str">
        <x:f>IFERROR(HYPERLINK(VLOOKUP($B404,'Hack Database'!$A:$J,10,FALSE),"Download"),"")</x:f>
      </x:c>
      <x:c r="P404" s="157"/>
    </x:row>
    <x:row r="405">
      <x:c r="A405" s="154" t="str">
        <x:f>IF($J405="Yes",COUNTIF($J$2:J405,"Yes"),"")</x:f>
      </x:c>
      <x:c r="B405" s="154"/>
      <x:c r="C405" s="154" t="str">
        <x:f>IFERROR(VLOOKUP($B405,'Hack Database'!$A:$J,2,FALSE),"")</x:f>
      </x:c>
      <x:c r="D405" s="154" t="str">
        <x:f>IFERROR(VLOOKUP($B405,'Hack Database'!$A:$J,3,FALSE),"")</x:f>
      </x:c>
      <x:c r="E405" s="154" t="str">
        <x:f>IFERROR(VLOOKUP($B405,'Hack Database'!$A:$J,4,FALSE),"")</x:f>
      </x:c>
      <x:c r="F405" s="154" t="str">
        <x:f>IFERROR(VLOOKUP($B405,'Hack Database'!$A:$J,5,FALSE),"")</x:f>
      </x:c>
      <x:c r="G405" s="154" t="str">
        <x:f>IFERROR(VLOOKUP($B405,'Hack Database'!$A:$J,6,FALSE),"")</x:f>
      </x:c>
      <x:c r="H405" s="155"/>
      <x:c r="I405" s="155"/>
      <x:c r="J405" s="154"/>
      <x:c r="K405" s="154" t="str">
        <x:f t="shared" si="6"/>
      </x:c>
      <x:c r="L405" s="154"/>
      <x:c r="M405" s="156"/>
      <x:c r="N405" s="154" t="str">
        <x:f>IFERROR(HYPERLINK(VLOOKUP($B405,'Hack Database'!$A:$J,9,FALSE),"Open Page"),"")</x:f>
      </x:c>
      <x:c r="O405" s="154" t="str">
        <x:f>IFERROR(HYPERLINK(VLOOKUP($B405,'Hack Database'!$A:$J,10,FALSE),"Download"),"")</x:f>
      </x:c>
      <x:c r="P405" s="157"/>
    </x:row>
    <x:row r="406">
      <x:c r="A406" s="154" t="str">
        <x:f>IF($J406="Yes",COUNTIF($J$2:J406,"Yes"),"")</x:f>
      </x:c>
      <x:c r="B406" s="154"/>
      <x:c r="C406" s="154" t="str">
        <x:f>IFERROR(VLOOKUP($B406,'Hack Database'!$A:$J,2,FALSE),"")</x:f>
      </x:c>
      <x:c r="D406" s="154" t="str">
        <x:f>IFERROR(VLOOKUP($B406,'Hack Database'!$A:$J,3,FALSE),"")</x:f>
      </x:c>
      <x:c r="E406" s="154" t="str">
        <x:f>IFERROR(VLOOKUP($B406,'Hack Database'!$A:$J,4,FALSE),"")</x:f>
      </x:c>
      <x:c r="F406" s="154" t="str">
        <x:f>IFERROR(VLOOKUP($B406,'Hack Database'!$A:$J,5,FALSE),"")</x:f>
      </x:c>
      <x:c r="G406" s="154" t="str">
        <x:f>IFERROR(VLOOKUP($B406,'Hack Database'!$A:$J,6,FALSE),"")</x:f>
      </x:c>
      <x:c r="H406" s="155"/>
      <x:c r="I406" s="155"/>
      <x:c r="J406" s="154"/>
      <x:c r="K406" s="154" t="str">
        <x:f t="shared" si="6"/>
      </x:c>
      <x:c r="L406" s="154"/>
      <x:c r="M406" s="156"/>
      <x:c r="N406" s="154" t="str">
        <x:f>IFERROR(HYPERLINK(VLOOKUP($B406,'Hack Database'!$A:$J,9,FALSE),"Open Page"),"")</x:f>
      </x:c>
      <x:c r="O406" s="154" t="str">
        <x:f>IFERROR(HYPERLINK(VLOOKUP($B406,'Hack Database'!$A:$J,10,FALSE),"Download"),"")</x:f>
      </x:c>
      <x:c r="P406" s="157"/>
    </x:row>
    <x:row r="407">
      <x:c r="A407" s="154" t="str">
        <x:f>IF($J407="Yes",COUNTIF($J$2:J407,"Yes"),"")</x:f>
      </x:c>
      <x:c r="B407" s="154"/>
      <x:c r="C407" s="154" t="str">
        <x:f>IFERROR(VLOOKUP($B407,'Hack Database'!$A:$J,2,FALSE),"")</x:f>
      </x:c>
      <x:c r="D407" s="154" t="str">
        <x:f>IFERROR(VLOOKUP($B407,'Hack Database'!$A:$J,3,FALSE),"")</x:f>
      </x:c>
      <x:c r="E407" s="154" t="str">
        <x:f>IFERROR(VLOOKUP($B407,'Hack Database'!$A:$J,4,FALSE),"")</x:f>
      </x:c>
      <x:c r="F407" s="154" t="str">
        <x:f>IFERROR(VLOOKUP($B407,'Hack Database'!$A:$J,5,FALSE),"")</x:f>
      </x:c>
      <x:c r="G407" s="154" t="str">
        <x:f>IFERROR(VLOOKUP($B407,'Hack Database'!$A:$J,6,FALSE),"")</x:f>
      </x:c>
      <x:c r="H407" s="155"/>
      <x:c r="I407" s="155"/>
      <x:c r="J407" s="154"/>
      <x:c r="K407" s="154" t="str">
        <x:f t="shared" si="6"/>
      </x:c>
      <x:c r="L407" s="154"/>
      <x:c r="M407" s="156"/>
      <x:c r="N407" s="154" t="str">
        <x:f>IFERROR(HYPERLINK(VLOOKUP($B407,'Hack Database'!$A:$J,9,FALSE),"Open Page"),"")</x:f>
      </x:c>
      <x:c r="O407" s="154" t="str">
        <x:f>IFERROR(HYPERLINK(VLOOKUP($B407,'Hack Database'!$A:$J,10,FALSE),"Download"),"")</x:f>
      </x:c>
      <x:c r="P407" s="157"/>
    </x:row>
    <x:row r="408">
      <x:c r="A408" s="154" t="str">
        <x:f>IF($J408="Yes",COUNTIF($J$2:J408,"Yes"),"")</x:f>
      </x:c>
      <x:c r="B408" s="154"/>
      <x:c r="C408" s="154" t="str">
        <x:f>IFERROR(VLOOKUP($B408,'Hack Database'!$A:$J,2,FALSE),"")</x:f>
      </x:c>
      <x:c r="D408" s="154" t="str">
        <x:f>IFERROR(VLOOKUP($B408,'Hack Database'!$A:$J,3,FALSE),"")</x:f>
      </x:c>
      <x:c r="E408" s="154" t="str">
        <x:f>IFERROR(VLOOKUP($B408,'Hack Database'!$A:$J,4,FALSE),"")</x:f>
      </x:c>
      <x:c r="F408" s="154" t="str">
        <x:f>IFERROR(VLOOKUP($B408,'Hack Database'!$A:$J,5,FALSE),"")</x:f>
      </x:c>
      <x:c r="G408" s="154" t="str">
        <x:f>IFERROR(VLOOKUP($B408,'Hack Database'!$A:$J,6,FALSE),"")</x:f>
      </x:c>
      <x:c r="H408" s="155"/>
      <x:c r="I408" s="155"/>
      <x:c r="J408" s="154"/>
      <x:c r="K408" s="154" t="str">
        <x:f t="shared" si="6"/>
      </x:c>
      <x:c r="L408" s="154"/>
      <x:c r="M408" s="156"/>
      <x:c r="N408" s="154" t="str">
        <x:f>IFERROR(HYPERLINK(VLOOKUP($B408,'Hack Database'!$A:$J,9,FALSE),"Open Page"),"")</x:f>
      </x:c>
      <x:c r="O408" s="154" t="str">
        <x:f>IFERROR(HYPERLINK(VLOOKUP($B408,'Hack Database'!$A:$J,10,FALSE),"Download"),"")</x:f>
      </x:c>
      <x:c r="P408" s="157"/>
    </x:row>
    <x:row r="409">
      <x:c r="A409" s="154" t="str">
        <x:f>IF($J409="Yes",COUNTIF($J$2:J409,"Yes"),"")</x:f>
      </x:c>
      <x:c r="B409" s="154"/>
      <x:c r="C409" s="154" t="str">
        <x:f>IFERROR(VLOOKUP($B409,'Hack Database'!$A:$J,2,FALSE),"")</x:f>
      </x:c>
      <x:c r="D409" s="154" t="str">
        <x:f>IFERROR(VLOOKUP($B409,'Hack Database'!$A:$J,3,FALSE),"")</x:f>
      </x:c>
      <x:c r="E409" s="154" t="str">
        <x:f>IFERROR(VLOOKUP($B409,'Hack Database'!$A:$J,4,FALSE),"")</x:f>
      </x:c>
      <x:c r="F409" s="154" t="str">
        <x:f>IFERROR(VLOOKUP($B409,'Hack Database'!$A:$J,5,FALSE),"")</x:f>
      </x:c>
      <x:c r="G409" s="154" t="str">
        <x:f>IFERROR(VLOOKUP($B409,'Hack Database'!$A:$J,6,FALSE),"")</x:f>
      </x:c>
      <x:c r="H409" s="155"/>
      <x:c r="I409" s="155"/>
      <x:c r="J409" s="154"/>
      <x:c r="K409" s="154" t="str">
        <x:f t="shared" si="6"/>
      </x:c>
      <x:c r="L409" s="154"/>
      <x:c r="M409" s="156"/>
      <x:c r="N409" s="154" t="str">
        <x:f>IFERROR(HYPERLINK(VLOOKUP($B409,'Hack Database'!$A:$J,9,FALSE),"Open Page"),"")</x:f>
      </x:c>
      <x:c r="O409" s="154" t="str">
        <x:f>IFERROR(HYPERLINK(VLOOKUP($B409,'Hack Database'!$A:$J,10,FALSE),"Download"),"")</x:f>
      </x:c>
      <x:c r="P409" s="157"/>
    </x:row>
    <x:row r="410">
      <x:c r="A410" s="154" t="str">
        <x:f>IF($J410="Yes",COUNTIF($J$2:J410,"Yes"),"")</x:f>
      </x:c>
      <x:c r="B410" s="154"/>
      <x:c r="C410" s="154" t="str">
        <x:f>IFERROR(VLOOKUP($B410,'Hack Database'!$A:$J,2,FALSE),"")</x:f>
      </x:c>
      <x:c r="D410" s="154" t="str">
        <x:f>IFERROR(VLOOKUP($B410,'Hack Database'!$A:$J,3,FALSE),"")</x:f>
      </x:c>
      <x:c r="E410" s="154" t="str">
        <x:f>IFERROR(VLOOKUP($B410,'Hack Database'!$A:$J,4,FALSE),"")</x:f>
      </x:c>
      <x:c r="F410" s="154" t="str">
        <x:f>IFERROR(VLOOKUP($B410,'Hack Database'!$A:$J,5,FALSE),"")</x:f>
      </x:c>
      <x:c r="G410" s="154" t="str">
        <x:f>IFERROR(VLOOKUP($B410,'Hack Database'!$A:$J,6,FALSE),"")</x:f>
      </x:c>
      <x:c r="H410" s="155"/>
      <x:c r="I410" s="155"/>
      <x:c r="J410" s="154"/>
      <x:c r="K410" s="154" t="str">
        <x:f t="shared" si="6"/>
      </x:c>
      <x:c r="L410" s="154"/>
      <x:c r="M410" s="156"/>
      <x:c r="N410" s="154" t="str">
        <x:f>IFERROR(HYPERLINK(VLOOKUP($B410,'Hack Database'!$A:$J,9,FALSE),"Open Page"),"")</x:f>
      </x:c>
      <x:c r="O410" s="154" t="str">
        <x:f>IFERROR(HYPERLINK(VLOOKUP($B410,'Hack Database'!$A:$J,10,FALSE),"Download"),"")</x:f>
      </x:c>
      <x:c r="P410" s="157"/>
    </x:row>
    <x:row r="411">
      <x:c r="A411" s="154" t="str">
        <x:f>IF($J411="Yes",COUNTIF($J$2:J411,"Yes"),"")</x:f>
      </x:c>
      <x:c r="B411" s="154"/>
      <x:c r="C411" s="154" t="str">
        <x:f>IFERROR(VLOOKUP($B411,'Hack Database'!$A:$J,2,FALSE),"")</x:f>
      </x:c>
      <x:c r="D411" s="154" t="str">
        <x:f>IFERROR(VLOOKUP($B411,'Hack Database'!$A:$J,3,FALSE),"")</x:f>
      </x:c>
      <x:c r="E411" s="154" t="str">
        <x:f>IFERROR(VLOOKUP($B411,'Hack Database'!$A:$J,4,FALSE),"")</x:f>
      </x:c>
      <x:c r="F411" s="154" t="str">
        <x:f>IFERROR(VLOOKUP($B411,'Hack Database'!$A:$J,5,FALSE),"")</x:f>
      </x:c>
      <x:c r="G411" s="154" t="str">
        <x:f>IFERROR(VLOOKUP($B411,'Hack Database'!$A:$J,6,FALSE),"")</x:f>
      </x:c>
      <x:c r="H411" s="155"/>
      <x:c r="I411" s="155"/>
      <x:c r="J411" s="154"/>
      <x:c r="K411" s="154" t="str">
        <x:f t="shared" si="6"/>
      </x:c>
      <x:c r="L411" s="154"/>
      <x:c r="M411" s="156"/>
      <x:c r="N411" s="154" t="str">
        <x:f>IFERROR(HYPERLINK(VLOOKUP($B411,'Hack Database'!$A:$J,9,FALSE),"Open Page"),"")</x:f>
      </x:c>
      <x:c r="O411" s="154" t="str">
        <x:f>IFERROR(HYPERLINK(VLOOKUP($B411,'Hack Database'!$A:$J,10,FALSE),"Download"),"")</x:f>
      </x:c>
      <x:c r="P411" s="157"/>
    </x:row>
    <x:row r="412">
      <x:c r="A412" s="154" t="str">
        <x:f>IF($J412="Yes",COUNTIF($J$2:J412,"Yes"),"")</x:f>
      </x:c>
      <x:c r="B412" s="154"/>
      <x:c r="C412" s="154" t="str">
        <x:f>IFERROR(VLOOKUP($B412,'Hack Database'!$A:$J,2,FALSE),"")</x:f>
      </x:c>
      <x:c r="D412" s="154" t="str">
        <x:f>IFERROR(VLOOKUP($B412,'Hack Database'!$A:$J,3,FALSE),"")</x:f>
      </x:c>
      <x:c r="E412" s="154" t="str">
        <x:f>IFERROR(VLOOKUP($B412,'Hack Database'!$A:$J,4,FALSE),"")</x:f>
      </x:c>
      <x:c r="F412" s="154" t="str">
        <x:f>IFERROR(VLOOKUP($B412,'Hack Database'!$A:$J,5,FALSE),"")</x:f>
      </x:c>
      <x:c r="G412" s="154" t="str">
        <x:f>IFERROR(VLOOKUP($B412,'Hack Database'!$A:$J,6,FALSE),"")</x:f>
      </x:c>
      <x:c r="H412" s="155"/>
      <x:c r="I412" s="155"/>
      <x:c r="J412" s="154"/>
      <x:c r="K412" s="154" t="str">
        <x:f t="shared" si="6"/>
      </x:c>
      <x:c r="L412" s="154"/>
      <x:c r="M412" s="156"/>
      <x:c r="N412" s="154" t="str">
        <x:f>IFERROR(HYPERLINK(VLOOKUP($B412,'Hack Database'!$A:$J,9,FALSE),"Open Page"),"")</x:f>
      </x:c>
      <x:c r="O412" s="154" t="str">
        <x:f>IFERROR(HYPERLINK(VLOOKUP($B412,'Hack Database'!$A:$J,10,FALSE),"Download"),"")</x:f>
      </x:c>
      <x:c r="P412" s="157"/>
    </x:row>
    <x:row r="413">
      <x:c r="A413" s="154" t="str">
        <x:f>IF($J413="Yes",COUNTIF($J$2:J413,"Yes"),"")</x:f>
      </x:c>
      <x:c r="B413" s="154"/>
      <x:c r="C413" s="154" t="str">
        <x:f>IFERROR(VLOOKUP($B413,'Hack Database'!$A:$J,2,FALSE),"")</x:f>
      </x:c>
      <x:c r="D413" s="154" t="str">
        <x:f>IFERROR(VLOOKUP($B413,'Hack Database'!$A:$J,3,FALSE),"")</x:f>
      </x:c>
      <x:c r="E413" s="154" t="str">
        <x:f>IFERROR(VLOOKUP($B413,'Hack Database'!$A:$J,4,FALSE),"")</x:f>
      </x:c>
      <x:c r="F413" s="154" t="str">
        <x:f>IFERROR(VLOOKUP($B413,'Hack Database'!$A:$J,5,FALSE),"")</x:f>
      </x:c>
      <x:c r="G413" s="154" t="str">
        <x:f>IFERROR(VLOOKUP($B413,'Hack Database'!$A:$J,6,FALSE),"")</x:f>
      </x:c>
      <x:c r="H413" s="155"/>
      <x:c r="I413" s="155"/>
      <x:c r="J413" s="154"/>
      <x:c r="K413" s="154" t="str">
        <x:f t="shared" si="6"/>
      </x:c>
      <x:c r="L413" s="154"/>
      <x:c r="M413" s="156"/>
      <x:c r="N413" s="154" t="str">
        <x:f>IFERROR(HYPERLINK(VLOOKUP($B413,'Hack Database'!$A:$J,9,FALSE),"Open Page"),"")</x:f>
      </x:c>
      <x:c r="O413" s="154" t="str">
        <x:f>IFERROR(HYPERLINK(VLOOKUP($B413,'Hack Database'!$A:$J,10,FALSE),"Download"),"")</x:f>
      </x:c>
      <x:c r="P413" s="157"/>
    </x:row>
    <x:row r="414">
      <x:c r="A414" s="154" t="str">
        <x:f>IF($J414="Yes",COUNTIF($J$2:J414,"Yes"),"")</x:f>
      </x:c>
      <x:c r="B414" s="154"/>
      <x:c r="C414" s="154" t="str">
        <x:f>IFERROR(VLOOKUP($B414,'Hack Database'!$A:$J,2,FALSE),"")</x:f>
      </x:c>
      <x:c r="D414" s="154" t="str">
        <x:f>IFERROR(VLOOKUP($B414,'Hack Database'!$A:$J,3,FALSE),"")</x:f>
      </x:c>
      <x:c r="E414" s="154" t="str">
        <x:f>IFERROR(VLOOKUP($B414,'Hack Database'!$A:$J,4,FALSE),"")</x:f>
      </x:c>
      <x:c r="F414" s="154" t="str">
        <x:f>IFERROR(VLOOKUP($B414,'Hack Database'!$A:$J,5,FALSE),"")</x:f>
      </x:c>
      <x:c r="G414" s="154" t="str">
        <x:f>IFERROR(VLOOKUP($B414,'Hack Database'!$A:$J,6,FALSE),"")</x:f>
      </x:c>
      <x:c r="H414" s="155"/>
      <x:c r="I414" s="155"/>
      <x:c r="J414" s="154"/>
      <x:c r="K414" s="154" t="str">
        <x:f t="shared" si="6"/>
      </x:c>
      <x:c r="L414" s="154"/>
      <x:c r="M414" s="156"/>
      <x:c r="N414" s="154" t="str">
        <x:f>IFERROR(HYPERLINK(VLOOKUP($B414,'Hack Database'!$A:$J,9,FALSE),"Open Page"),"")</x:f>
      </x:c>
      <x:c r="O414" s="154" t="str">
        <x:f>IFERROR(HYPERLINK(VLOOKUP($B414,'Hack Database'!$A:$J,10,FALSE),"Download"),"")</x:f>
      </x:c>
      <x:c r="P414" s="157"/>
    </x:row>
    <x:row r="415">
      <x:c r="A415" s="154" t="str">
        <x:f>IF($J415="Yes",COUNTIF($J$2:J415,"Yes"),"")</x:f>
      </x:c>
      <x:c r="B415" s="154"/>
      <x:c r="C415" s="154" t="str">
        <x:f>IFERROR(VLOOKUP($B415,'Hack Database'!$A:$J,2,FALSE),"")</x:f>
      </x:c>
      <x:c r="D415" s="154" t="str">
        <x:f>IFERROR(VLOOKUP($B415,'Hack Database'!$A:$J,3,FALSE),"")</x:f>
      </x:c>
      <x:c r="E415" s="154" t="str">
        <x:f>IFERROR(VLOOKUP($B415,'Hack Database'!$A:$J,4,FALSE),"")</x:f>
      </x:c>
      <x:c r="F415" s="154" t="str">
        <x:f>IFERROR(VLOOKUP($B415,'Hack Database'!$A:$J,5,FALSE),"")</x:f>
      </x:c>
      <x:c r="G415" s="154" t="str">
        <x:f>IFERROR(VLOOKUP($B415,'Hack Database'!$A:$J,6,FALSE),"")</x:f>
      </x:c>
      <x:c r="H415" s="155"/>
      <x:c r="I415" s="155"/>
      <x:c r="J415" s="154"/>
      <x:c r="K415" s="154" t="str">
        <x:f t="shared" si="6"/>
      </x:c>
      <x:c r="L415" s="154"/>
      <x:c r="M415" s="156"/>
      <x:c r="N415" s="154" t="str">
        <x:f>IFERROR(HYPERLINK(VLOOKUP($B415,'Hack Database'!$A:$J,9,FALSE),"Open Page"),"")</x:f>
      </x:c>
      <x:c r="O415" s="154" t="str">
        <x:f>IFERROR(HYPERLINK(VLOOKUP($B415,'Hack Database'!$A:$J,10,FALSE),"Download"),"")</x:f>
      </x:c>
      <x:c r="P415" s="157"/>
    </x:row>
    <x:row r="416">
      <x:c r="A416" s="154" t="str">
        <x:f>IF($J416="Yes",COUNTIF($J$2:J416,"Yes"),"")</x:f>
      </x:c>
      <x:c r="B416" s="154"/>
      <x:c r="C416" s="154" t="str">
        <x:f>IFERROR(VLOOKUP($B416,'Hack Database'!$A:$J,2,FALSE),"")</x:f>
      </x:c>
      <x:c r="D416" s="154" t="str">
        <x:f>IFERROR(VLOOKUP($B416,'Hack Database'!$A:$J,3,FALSE),"")</x:f>
      </x:c>
      <x:c r="E416" s="154" t="str">
        <x:f>IFERROR(VLOOKUP($B416,'Hack Database'!$A:$J,4,FALSE),"")</x:f>
      </x:c>
      <x:c r="F416" s="154" t="str">
        <x:f>IFERROR(VLOOKUP($B416,'Hack Database'!$A:$J,5,FALSE),"")</x:f>
      </x:c>
      <x:c r="G416" s="154" t="str">
        <x:f>IFERROR(VLOOKUP($B416,'Hack Database'!$A:$J,6,FALSE),"")</x:f>
      </x:c>
      <x:c r="H416" s="155"/>
      <x:c r="I416" s="155"/>
      <x:c r="J416" s="154"/>
      <x:c r="K416" s="154" t="str">
        <x:f t="shared" si="6"/>
      </x:c>
      <x:c r="L416" s="154"/>
      <x:c r="M416" s="156"/>
      <x:c r="N416" s="154" t="str">
        <x:f>IFERROR(HYPERLINK(VLOOKUP($B416,'Hack Database'!$A:$J,9,FALSE),"Open Page"),"")</x:f>
      </x:c>
      <x:c r="O416" s="154" t="str">
        <x:f>IFERROR(HYPERLINK(VLOOKUP($B416,'Hack Database'!$A:$J,10,FALSE),"Download"),"")</x:f>
      </x:c>
      <x:c r="P416" s="157"/>
    </x:row>
    <x:row r="417">
      <x:c r="A417" s="154" t="str">
        <x:f>IF($J417="Yes",COUNTIF($J$2:J417,"Yes"),"")</x:f>
      </x:c>
      <x:c r="B417" s="154"/>
      <x:c r="C417" s="154" t="str">
        <x:f>IFERROR(VLOOKUP($B417,'Hack Database'!$A:$J,2,FALSE),"")</x:f>
      </x:c>
      <x:c r="D417" s="154" t="str">
        <x:f>IFERROR(VLOOKUP($B417,'Hack Database'!$A:$J,3,FALSE),"")</x:f>
      </x:c>
      <x:c r="E417" s="154" t="str">
        <x:f>IFERROR(VLOOKUP($B417,'Hack Database'!$A:$J,4,FALSE),"")</x:f>
      </x:c>
      <x:c r="F417" s="154" t="str">
        <x:f>IFERROR(VLOOKUP($B417,'Hack Database'!$A:$J,5,FALSE),"")</x:f>
      </x:c>
      <x:c r="G417" s="154" t="str">
        <x:f>IFERROR(VLOOKUP($B417,'Hack Database'!$A:$J,6,FALSE),"")</x:f>
      </x:c>
      <x:c r="H417" s="155"/>
      <x:c r="I417" s="155"/>
      <x:c r="J417" s="154"/>
      <x:c r="K417" s="154" t="str">
        <x:f t="shared" si="6"/>
      </x:c>
      <x:c r="L417" s="154"/>
      <x:c r="M417" s="156"/>
      <x:c r="N417" s="154" t="str">
        <x:f>IFERROR(HYPERLINK(VLOOKUP($B417,'Hack Database'!$A:$J,9,FALSE),"Open Page"),"")</x:f>
      </x:c>
      <x:c r="O417" s="154" t="str">
        <x:f>IFERROR(HYPERLINK(VLOOKUP($B417,'Hack Database'!$A:$J,10,FALSE),"Download"),"")</x:f>
      </x:c>
      <x:c r="P417" s="157"/>
    </x:row>
    <x:row r="418">
      <x:c r="A418" s="154" t="str">
        <x:f>IF($J418="Yes",COUNTIF($J$2:J418,"Yes"),"")</x:f>
      </x:c>
      <x:c r="B418" s="154"/>
      <x:c r="C418" s="154" t="str">
        <x:f>IFERROR(VLOOKUP($B418,'Hack Database'!$A:$J,2,FALSE),"")</x:f>
      </x:c>
      <x:c r="D418" s="154" t="str">
        <x:f>IFERROR(VLOOKUP($B418,'Hack Database'!$A:$J,3,FALSE),"")</x:f>
      </x:c>
      <x:c r="E418" s="154" t="str">
        <x:f>IFERROR(VLOOKUP($B418,'Hack Database'!$A:$J,4,FALSE),"")</x:f>
      </x:c>
      <x:c r="F418" s="154" t="str">
        <x:f>IFERROR(VLOOKUP($B418,'Hack Database'!$A:$J,5,FALSE),"")</x:f>
      </x:c>
      <x:c r="G418" s="154" t="str">
        <x:f>IFERROR(VLOOKUP($B418,'Hack Database'!$A:$J,6,FALSE),"")</x:f>
      </x:c>
      <x:c r="H418" s="155"/>
      <x:c r="I418" s="155"/>
      <x:c r="J418" s="154"/>
      <x:c r="K418" s="154" t="str">
        <x:f t="shared" si="6"/>
      </x:c>
      <x:c r="L418" s="154"/>
      <x:c r="M418" s="156"/>
      <x:c r="N418" s="154" t="str">
        <x:f>IFERROR(HYPERLINK(VLOOKUP($B418,'Hack Database'!$A:$J,9,FALSE),"Open Page"),"")</x:f>
      </x:c>
      <x:c r="O418" s="154" t="str">
        <x:f>IFERROR(HYPERLINK(VLOOKUP($B418,'Hack Database'!$A:$J,10,FALSE),"Download"),"")</x:f>
      </x:c>
      <x:c r="P418" s="157"/>
    </x:row>
    <x:row r="419">
      <x:c r="A419" s="154" t="str">
        <x:f>IF($J419="Yes",COUNTIF($J$2:J419,"Yes"),"")</x:f>
      </x:c>
      <x:c r="B419" s="154"/>
      <x:c r="C419" s="154" t="str">
        <x:f>IFERROR(VLOOKUP($B419,'Hack Database'!$A:$J,2,FALSE),"")</x:f>
      </x:c>
      <x:c r="D419" s="154" t="str">
        <x:f>IFERROR(VLOOKUP($B419,'Hack Database'!$A:$J,3,FALSE),"")</x:f>
      </x:c>
      <x:c r="E419" s="154" t="str">
        <x:f>IFERROR(VLOOKUP($B419,'Hack Database'!$A:$J,4,FALSE),"")</x:f>
      </x:c>
      <x:c r="F419" s="154" t="str">
        <x:f>IFERROR(VLOOKUP($B419,'Hack Database'!$A:$J,5,FALSE),"")</x:f>
      </x:c>
      <x:c r="G419" s="154" t="str">
        <x:f>IFERROR(VLOOKUP($B419,'Hack Database'!$A:$J,6,FALSE),"")</x:f>
      </x:c>
      <x:c r="H419" s="155"/>
      <x:c r="I419" s="155"/>
      <x:c r="J419" s="154"/>
      <x:c r="K419" s="154" t="str">
        <x:f t="shared" si="6"/>
      </x:c>
      <x:c r="L419" s="154"/>
      <x:c r="M419" s="156"/>
      <x:c r="N419" s="154" t="str">
        <x:f>IFERROR(HYPERLINK(VLOOKUP($B419,'Hack Database'!$A:$J,9,FALSE),"Open Page"),"")</x:f>
      </x:c>
      <x:c r="O419" s="154" t="str">
        <x:f>IFERROR(HYPERLINK(VLOOKUP($B419,'Hack Database'!$A:$J,10,FALSE),"Download"),"")</x:f>
      </x:c>
      <x:c r="P419" s="157"/>
    </x:row>
    <x:row r="420">
      <x:c r="A420" s="154" t="str">
        <x:f>IF($J420="Yes",COUNTIF($J$2:J420,"Yes"),"")</x:f>
      </x:c>
      <x:c r="B420" s="154"/>
      <x:c r="C420" s="154" t="str">
        <x:f>IFERROR(VLOOKUP($B420,'Hack Database'!$A:$J,2,FALSE),"")</x:f>
      </x:c>
      <x:c r="D420" s="154" t="str">
        <x:f>IFERROR(VLOOKUP($B420,'Hack Database'!$A:$J,3,FALSE),"")</x:f>
      </x:c>
      <x:c r="E420" s="154" t="str">
        <x:f>IFERROR(VLOOKUP($B420,'Hack Database'!$A:$J,4,FALSE),"")</x:f>
      </x:c>
      <x:c r="F420" s="154" t="str">
        <x:f>IFERROR(VLOOKUP($B420,'Hack Database'!$A:$J,5,FALSE),"")</x:f>
      </x:c>
      <x:c r="G420" s="154" t="str">
        <x:f>IFERROR(VLOOKUP($B420,'Hack Database'!$A:$J,6,FALSE),"")</x:f>
      </x:c>
      <x:c r="H420" s="155"/>
      <x:c r="I420" s="155"/>
      <x:c r="J420" s="154"/>
      <x:c r="K420" s="154" t="str">
        <x:f t="shared" si="6"/>
      </x:c>
      <x:c r="L420" s="154"/>
      <x:c r="M420" s="156"/>
      <x:c r="N420" s="154" t="str">
        <x:f>IFERROR(HYPERLINK(VLOOKUP($B420,'Hack Database'!$A:$J,9,FALSE),"Open Page"),"")</x:f>
      </x:c>
      <x:c r="O420" s="154" t="str">
        <x:f>IFERROR(HYPERLINK(VLOOKUP($B420,'Hack Database'!$A:$J,10,FALSE),"Download"),"")</x:f>
      </x:c>
      <x:c r="P420" s="157"/>
    </x:row>
    <x:row r="421">
      <x:c r="A421" s="154" t="str">
        <x:f>IF($J421="Yes",COUNTIF($J$2:J421,"Yes"),"")</x:f>
      </x:c>
      <x:c r="B421" s="154"/>
      <x:c r="C421" s="154" t="str">
        <x:f>IFERROR(VLOOKUP($B421,'Hack Database'!$A:$J,2,FALSE),"")</x:f>
      </x:c>
      <x:c r="D421" s="154" t="str">
        <x:f>IFERROR(VLOOKUP($B421,'Hack Database'!$A:$J,3,FALSE),"")</x:f>
      </x:c>
      <x:c r="E421" s="154" t="str">
        <x:f>IFERROR(VLOOKUP($B421,'Hack Database'!$A:$J,4,FALSE),"")</x:f>
      </x:c>
      <x:c r="F421" s="154" t="str">
        <x:f>IFERROR(VLOOKUP($B421,'Hack Database'!$A:$J,5,FALSE),"")</x:f>
      </x:c>
      <x:c r="G421" s="154" t="str">
        <x:f>IFERROR(VLOOKUP($B421,'Hack Database'!$A:$J,6,FALSE),"")</x:f>
      </x:c>
      <x:c r="H421" s="155"/>
      <x:c r="I421" s="155"/>
      <x:c r="J421" s="154"/>
      <x:c r="K421" s="154" t="str">
        <x:f t="shared" si="6"/>
      </x:c>
      <x:c r="L421" s="154"/>
      <x:c r="M421" s="156"/>
      <x:c r="N421" s="154" t="str">
        <x:f>IFERROR(HYPERLINK(VLOOKUP($B421,'Hack Database'!$A:$J,9,FALSE),"Open Page"),"")</x:f>
      </x:c>
      <x:c r="O421" s="154" t="str">
        <x:f>IFERROR(HYPERLINK(VLOOKUP($B421,'Hack Database'!$A:$J,10,FALSE),"Download"),"")</x:f>
      </x:c>
      <x:c r="P421" s="157"/>
    </x:row>
    <x:row r="422">
      <x:c r="A422" s="154" t="str">
        <x:f>IF($J422="Yes",COUNTIF($J$2:J422,"Yes"),"")</x:f>
      </x:c>
      <x:c r="B422" s="154"/>
      <x:c r="C422" s="154" t="str">
        <x:f>IFERROR(VLOOKUP($B422,'Hack Database'!$A:$J,2,FALSE),"")</x:f>
      </x:c>
      <x:c r="D422" s="154" t="str">
        <x:f>IFERROR(VLOOKUP($B422,'Hack Database'!$A:$J,3,FALSE),"")</x:f>
      </x:c>
      <x:c r="E422" s="154" t="str">
        <x:f>IFERROR(VLOOKUP($B422,'Hack Database'!$A:$J,4,FALSE),"")</x:f>
      </x:c>
      <x:c r="F422" s="154" t="str">
        <x:f>IFERROR(VLOOKUP($B422,'Hack Database'!$A:$J,5,FALSE),"")</x:f>
      </x:c>
      <x:c r="G422" s="154" t="str">
        <x:f>IFERROR(VLOOKUP($B422,'Hack Database'!$A:$J,6,FALSE),"")</x:f>
      </x:c>
      <x:c r="H422" s="155"/>
      <x:c r="I422" s="155"/>
      <x:c r="J422" s="154"/>
      <x:c r="K422" s="154" t="str">
        <x:f t="shared" si="6"/>
      </x:c>
      <x:c r="L422" s="154"/>
      <x:c r="M422" s="156"/>
      <x:c r="N422" s="154" t="str">
        <x:f>IFERROR(HYPERLINK(VLOOKUP($B422,'Hack Database'!$A:$J,9,FALSE),"Open Page"),"")</x:f>
      </x:c>
      <x:c r="O422" s="154" t="str">
        <x:f>IFERROR(HYPERLINK(VLOOKUP($B422,'Hack Database'!$A:$J,10,FALSE),"Download"),"")</x:f>
      </x:c>
      <x:c r="P422" s="157"/>
    </x:row>
    <x:row r="423">
      <x:c r="A423" s="154" t="str">
        <x:f>IF($J423="Yes",COUNTIF($J$2:J423,"Yes"),"")</x:f>
      </x:c>
      <x:c r="B423" s="154"/>
      <x:c r="C423" s="154" t="str">
        <x:f>IFERROR(VLOOKUP($B423,'Hack Database'!$A:$J,2,FALSE),"")</x:f>
      </x:c>
      <x:c r="D423" s="154" t="str">
        <x:f>IFERROR(VLOOKUP($B423,'Hack Database'!$A:$J,3,FALSE),"")</x:f>
      </x:c>
      <x:c r="E423" s="154" t="str">
        <x:f>IFERROR(VLOOKUP($B423,'Hack Database'!$A:$J,4,FALSE),"")</x:f>
      </x:c>
      <x:c r="F423" s="154" t="str">
        <x:f>IFERROR(VLOOKUP($B423,'Hack Database'!$A:$J,5,FALSE),"")</x:f>
      </x:c>
      <x:c r="G423" s="154" t="str">
        <x:f>IFERROR(VLOOKUP($B423,'Hack Database'!$A:$J,6,FALSE),"")</x:f>
      </x:c>
      <x:c r="H423" s="155"/>
      <x:c r="I423" s="155"/>
      <x:c r="J423" s="154"/>
      <x:c r="K423" s="154" t="str">
        <x:f t="shared" si="6"/>
      </x:c>
      <x:c r="L423" s="154"/>
      <x:c r="M423" s="156"/>
      <x:c r="N423" s="154" t="str">
        <x:f>IFERROR(HYPERLINK(VLOOKUP($B423,'Hack Database'!$A:$J,9,FALSE),"Open Page"),"")</x:f>
      </x:c>
      <x:c r="O423" s="154" t="str">
        <x:f>IFERROR(HYPERLINK(VLOOKUP($B423,'Hack Database'!$A:$J,10,FALSE),"Download"),"")</x:f>
      </x:c>
      <x:c r="P423" s="157"/>
    </x:row>
    <x:row r="424">
      <x:c r="A424" s="154" t="str">
        <x:f>IF($J424="Yes",COUNTIF($J$2:J424,"Yes"),"")</x:f>
      </x:c>
      <x:c r="B424" s="154"/>
      <x:c r="C424" s="154" t="str">
        <x:f>IFERROR(VLOOKUP($B424,'Hack Database'!$A:$J,2,FALSE),"")</x:f>
      </x:c>
      <x:c r="D424" s="154" t="str">
        <x:f>IFERROR(VLOOKUP($B424,'Hack Database'!$A:$J,3,FALSE),"")</x:f>
      </x:c>
      <x:c r="E424" s="154" t="str">
        <x:f>IFERROR(VLOOKUP($B424,'Hack Database'!$A:$J,4,FALSE),"")</x:f>
      </x:c>
      <x:c r="F424" s="154" t="str">
        <x:f>IFERROR(VLOOKUP($B424,'Hack Database'!$A:$J,5,FALSE),"")</x:f>
      </x:c>
      <x:c r="G424" s="154" t="str">
        <x:f>IFERROR(VLOOKUP($B424,'Hack Database'!$A:$J,6,FALSE),"")</x:f>
      </x:c>
      <x:c r="H424" s="155"/>
      <x:c r="I424" s="155"/>
      <x:c r="J424" s="154"/>
      <x:c r="K424" s="154" t="str">
        <x:f t="shared" si="6"/>
      </x:c>
      <x:c r="L424" s="154"/>
      <x:c r="M424" s="156"/>
      <x:c r="N424" s="154" t="str">
        <x:f>IFERROR(HYPERLINK(VLOOKUP($B424,'Hack Database'!$A:$J,9,FALSE),"Open Page"),"")</x:f>
      </x:c>
      <x:c r="O424" s="154" t="str">
        <x:f>IFERROR(HYPERLINK(VLOOKUP($B424,'Hack Database'!$A:$J,10,FALSE),"Download"),"")</x:f>
      </x:c>
      <x:c r="P424" s="157"/>
    </x:row>
    <x:row r="425">
      <x:c r="A425" s="154" t="str">
        <x:f>IF($J425="Yes",COUNTIF($J$2:J425,"Yes"),"")</x:f>
      </x:c>
      <x:c r="B425" s="154"/>
      <x:c r="C425" s="154" t="str">
        <x:f>IFERROR(VLOOKUP($B425,'Hack Database'!$A:$J,2,FALSE),"")</x:f>
      </x:c>
      <x:c r="D425" s="154" t="str">
        <x:f>IFERROR(VLOOKUP($B425,'Hack Database'!$A:$J,3,FALSE),"")</x:f>
      </x:c>
      <x:c r="E425" s="154" t="str">
        <x:f>IFERROR(VLOOKUP($B425,'Hack Database'!$A:$J,4,FALSE),"")</x:f>
      </x:c>
      <x:c r="F425" s="154" t="str">
        <x:f>IFERROR(VLOOKUP($B425,'Hack Database'!$A:$J,5,FALSE),"")</x:f>
      </x:c>
      <x:c r="G425" s="154" t="str">
        <x:f>IFERROR(VLOOKUP($B425,'Hack Database'!$A:$J,6,FALSE),"")</x:f>
      </x:c>
      <x:c r="H425" s="155"/>
      <x:c r="I425" s="155"/>
      <x:c r="J425" s="154"/>
      <x:c r="K425" s="154" t="str">
        <x:f t="shared" si="6"/>
      </x:c>
      <x:c r="L425" s="154"/>
      <x:c r="M425" s="156"/>
      <x:c r="N425" s="154" t="str">
        <x:f>IFERROR(HYPERLINK(VLOOKUP($B425,'Hack Database'!$A:$J,9,FALSE),"Open Page"),"")</x:f>
      </x:c>
      <x:c r="O425" s="154" t="str">
        <x:f>IFERROR(HYPERLINK(VLOOKUP($B425,'Hack Database'!$A:$J,10,FALSE),"Download"),"")</x:f>
      </x:c>
      <x:c r="P425" s="157"/>
    </x:row>
    <x:row r="426">
      <x:c r="A426" s="154" t="str">
        <x:f>IF($J426="Yes",COUNTIF($J$2:J426,"Yes"),"")</x:f>
      </x:c>
      <x:c r="B426" s="154"/>
      <x:c r="C426" s="154" t="str">
        <x:f>IFERROR(VLOOKUP($B426,'Hack Database'!$A:$J,2,FALSE),"")</x:f>
      </x:c>
      <x:c r="D426" s="154" t="str">
        <x:f>IFERROR(VLOOKUP($B426,'Hack Database'!$A:$J,3,FALSE),"")</x:f>
      </x:c>
      <x:c r="E426" s="154" t="str">
        <x:f>IFERROR(VLOOKUP($B426,'Hack Database'!$A:$J,4,FALSE),"")</x:f>
      </x:c>
      <x:c r="F426" s="154" t="str">
        <x:f>IFERROR(VLOOKUP($B426,'Hack Database'!$A:$J,5,FALSE),"")</x:f>
      </x:c>
      <x:c r="G426" s="154" t="str">
        <x:f>IFERROR(VLOOKUP($B426,'Hack Database'!$A:$J,6,FALSE),"")</x:f>
      </x:c>
      <x:c r="H426" s="155"/>
      <x:c r="I426" s="155"/>
      <x:c r="J426" s="154"/>
      <x:c r="K426" s="154" t="str">
        <x:f t="shared" si="6"/>
      </x:c>
      <x:c r="L426" s="154"/>
      <x:c r="M426" s="156"/>
      <x:c r="N426" s="154" t="str">
        <x:f>IFERROR(HYPERLINK(VLOOKUP($B426,'Hack Database'!$A:$J,9,FALSE),"Open Page"),"")</x:f>
      </x:c>
      <x:c r="O426" s="154" t="str">
        <x:f>IFERROR(HYPERLINK(VLOOKUP($B426,'Hack Database'!$A:$J,10,FALSE),"Download"),"")</x:f>
      </x:c>
      <x:c r="P426" s="157"/>
    </x:row>
    <x:row r="427">
      <x:c r="A427" s="154" t="str">
        <x:f>IF($J427="Yes",COUNTIF($J$2:J427,"Yes"),"")</x:f>
      </x:c>
      <x:c r="B427" s="154"/>
      <x:c r="C427" s="154" t="str">
        <x:f>IFERROR(VLOOKUP($B427,'Hack Database'!$A:$J,2,FALSE),"")</x:f>
      </x:c>
      <x:c r="D427" s="154" t="str">
        <x:f>IFERROR(VLOOKUP($B427,'Hack Database'!$A:$J,3,FALSE),"")</x:f>
      </x:c>
      <x:c r="E427" s="154" t="str">
        <x:f>IFERROR(VLOOKUP($B427,'Hack Database'!$A:$J,4,FALSE),"")</x:f>
      </x:c>
      <x:c r="F427" s="154" t="str">
        <x:f>IFERROR(VLOOKUP($B427,'Hack Database'!$A:$J,5,FALSE),"")</x:f>
      </x:c>
      <x:c r="G427" s="154" t="str">
        <x:f>IFERROR(VLOOKUP($B427,'Hack Database'!$A:$J,6,FALSE),"")</x:f>
      </x:c>
      <x:c r="H427" s="155"/>
      <x:c r="I427" s="155"/>
      <x:c r="J427" s="154"/>
      <x:c r="K427" s="154" t="str">
        <x:f t="shared" si="6"/>
      </x:c>
      <x:c r="L427" s="154"/>
      <x:c r="M427" s="156"/>
      <x:c r="N427" s="154" t="str">
        <x:f>IFERROR(HYPERLINK(VLOOKUP($B427,'Hack Database'!$A:$J,9,FALSE),"Open Page"),"")</x:f>
      </x:c>
      <x:c r="O427" s="154" t="str">
        <x:f>IFERROR(HYPERLINK(VLOOKUP($B427,'Hack Database'!$A:$J,10,FALSE),"Download"),"")</x:f>
      </x:c>
      <x:c r="P427" s="157"/>
    </x:row>
    <x:row r="428">
      <x:c r="A428" s="154" t="str">
        <x:f>IF($J428="Yes",COUNTIF($J$2:J428,"Yes"),"")</x:f>
      </x:c>
      <x:c r="B428" s="154"/>
      <x:c r="C428" s="154" t="str">
        <x:f>IFERROR(VLOOKUP($B428,'Hack Database'!$A:$J,2,FALSE),"")</x:f>
      </x:c>
      <x:c r="D428" s="154" t="str">
        <x:f>IFERROR(VLOOKUP($B428,'Hack Database'!$A:$J,3,FALSE),"")</x:f>
      </x:c>
      <x:c r="E428" s="154" t="str">
        <x:f>IFERROR(VLOOKUP($B428,'Hack Database'!$A:$J,4,FALSE),"")</x:f>
      </x:c>
      <x:c r="F428" s="154" t="str">
        <x:f>IFERROR(VLOOKUP($B428,'Hack Database'!$A:$J,5,FALSE),"")</x:f>
      </x:c>
      <x:c r="G428" s="154" t="str">
        <x:f>IFERROR(VLOOKUP($B428,'Hack Database'!$A:$J,6,FALSE),"")</x:f>
      </x:c>
      <x:c r="H428" s="155"/>
      <x:c r="I428" s="155"/>
      <x:c r="J428" s="154"/>
      <x:c r="K428" s="154" t="str">
        <x:f t="shared" si="6"/>
      </x:c>
      <x:c r="L428" s="154"/>
      <x:c r="M428" s="156"/>
      <x:c r="N428" s="154" t="str">
        <x:f>IFERROR(HYPERLINK(VLOOKUP($B428,'Hack Database'!$A:$J,9,FALSE),"Open Page"),"")</x:f>
      </x:c>
      <x:c r="O428" s="154" t="str">
        <x:f>IFERROR(HYPERLINK(VLOOKUP($B428,'Hack Database'!$A:$J,10,FALSE),"Download"),"")</x:f>
      </x:c>
      <x:c r="P428" s="157"/>
    </x:row>
    <x:row r="429">
      <x:c r="A429" s="154" t="str">
        <x:f>IF($J429="Yes",COUNTIF($J$2:J429,"Yes"),"")</x:f>
      </x:c>
      <x:c r="B429" s="154"/>
      <x:c r="C429" s="154" t="str">
        <x:f>IFERROR(VLOOKUP($B429,'Hack Database'!$A:$J,2,FALSE),"")</x:f>
      </x:c>
      <x:c r="D429" s="154" t="str">
        <x:f>IFERROR(VLOOKUP($B429,'Hack Database'!$A:$J,3,FALSE),"")</x:f>
      </x:c>
      <x:c r="E429" s="154" t="str">
        <x:f>IFERROR(VLOOKUP($B429,'Hack Database'!$A:$J,4,FALSE),"")</x:f>
      </x:c>
      <x:c r="F429" s="154" t="str">
        <x:f>IFERROR(VLOOKUP($B429,'Hack Database'!$A:$J,5,FALSE),"")</x:f>
      </x:c>
      <x:c r="G429" s="154" t="str">
        <x:f>IFERROR(VLOOKUP($B429,'Hack Database'!$A:$J,6,FALSE),"")</x:f>
      </x:c>
      <x:c r="H429" s="155"/>
      <x:c r="I429" s="155"/>
      <x:c r="J429" s="154"/>
      <x:c r="K429" s="154" t="str">
        <x:f t="shared" si="6"/>
      </x:c>
      <x:c r="L429" s="154"/>
      <x:c r="M429" s="156"/>
      <x:c r="N429" s="154" t="str">
        <x:f>IFERROR(HYPERLINK(VLOOKUP($B429,'Hack Database'!$A:$J,9,FALSE),"Open Page"),"")</x:f>
      </x:c>
      <x:c r="O429" s="154" t="str">
        <x:f>IFERROR(HYPERLINK(VLOOKUP($B429,'Hack Database'!$A:$J,10,FALSE),"Download"),"")</x:f>
      </x:c>
      <x:c r="P429" s="157"/>
    </x:row>
    <x:row r="430">
      <x:c r="A430" s="154" t="str">
        <x:f>IF($J430="Yes",COUNTIF($J$2:J430,"Yes"),"")</x:f>
      </x:c>
      <x:c r="B430" s="154"/>
      <x:c r="C430" s="154" t="str">
        <x:f>IFERROR(VLOOKUP($B430,'Hack Database'!$A:$J,2,FALSE),"")</x:f>
      </x:c>
      <x:c r="D430" s="154" t="str">
        <x:f>IFERROR(VLOOKUP($B430,'Hack Database'!$A:$J,3,FALSE),"")</x:f>
      </x:c>
      <x:c r="E430" s="154" t="str">
        <x:f>IFERROR(VLOOKUP($B430,'Hack Database'!$A:$J,4,FALSE),"")</x:f>
      </x:c>
      <x:c r="F430" s="154" t="str">
        <x:f>IFERROR(VLOOKUP($B430,'Hack Database'!$A:$J,5,FALSE),"")</x:f>
      </x:c>
      <x:c r="G430" s="154" t="str">
        <x:f>IFERROR(VLOOKUP($B430,'Hack Database'!$A:$J,6,FALSE),"")</x:f>
      </x:c>
      <x:c r="H430" s="155"/>
      <x:c r="I430" s="155"/>
      <x:c r="J430" s="154"/>
      <x:c r="K430" s="154" t="str">
        <x:f t="shared" si="6"/>
      </x:c>
      <x:c r="L430" s="154"/>
      <x:c r="M430" s="156"/>
      <x:c r="N430" s="154" t="str">
        <x:f>IFERROR(HYPERLINK(VLOOKUP($B430,'Hack Database'!$A:$J,9,FALSE),"Open Page"),"")</x:f>
      </x:c>
      <x:c r="O430" s="154" t="str">
        <x:f>IFERROR(HYPERLINK(VLOOKUP($B430,'Hack Database'!$A:$J,10,FALSE),"Download"),"")</x:f>
      </x:c>
      <x:c r="P430" s="157"/>
    </x:row>
    <x:row r="431">
      <x:c r="A431" s="154" t="str">
        <x:f>IF($J431="Yes",COUNTIF($J$2:J431,"Yes"),"")</x:f>
      </x:c>
      <x:c r="B431" s="154"/>
      <x:c r="C431" s="154" t="str">
        <x:f>IFERROR(VLOOKUP($B431,'Hack Database'!$A:$J,2,FALSE),"")</x:f>
      </x:c>
      <x:c r="D431" s="154" t="str">
        <x:f>IFERROR(VLOOKUP($B431,'Hack Database'!$A:$J,3,FALSE),"")</x:f>
      </x:c>
      <x:c r="E431" s="154" t="str">
        <x:f>IFERROR(VLOOKUP($B431,'Hack Database'!$A:$J,4,FALSE),"")</x:f>
      </x:c>
      <x:c r="F431" s="154" t="str">
        <x:f>IFERROR(VLOOKUP($B431,'Hack Database'!$A:$J,5,FALSE),"")</x:f>
      </x:c>
      <x:c r="G431" s="154" t="str">
        <x:f>IFERROR(VLOOKUP($B431,'Hack Database'!$A:$J,6,FALSE),"")</x:f>
      </x:c>
      <x:c r="H431" s="155"/>
      <x:c r="I431" s="155"/>
      <x:c r="J431" s="154"/>
      <x:c r="K431" s="154" t="str">
        <x:f t="shared" si="6"/>
      </x:c>
      <x:c r="L431" s="154"/>
      <x:c r="M431" s="156"/>
      <x:c r="N431" s="154" t="str">
        <x:f>IFERROR(HYPERLINK(VLOOKUP($B431,'Hack Database'!$A:$J,9,FALSE),"Open Page"),"")</x:f>
      </x:c>
      <x:c r="O431" s="154" t="str">
        <x:f>IFERROR(HYPERLINK(VLOOKUP($B431,'Hack Database'!$A:$J,10,FALSE),"Download"),"")</x:f>
      </x:c>
      <x:c r="P431" s="157"/>
    </x:row>
    <x:row r="432">
      <x:c r="A432" s="154" t="str">
        <x:f>IF($J432="Yes",COUNTIF($J$2:J432,"Yes"),"")</x:f>
      </x:c>
      <x:c r="B432" s="154"/>
      <x:c r="C432" s="154" t="str">
        <x:f>IFERROR(VLOOKUP($B432,'Hack Database'!$A:$J,2,FALSE),"")</x:f>
      </x:c>
      <x:c r="D432" s="154" t="str">
        <x:f>IFERROR(VLOOKUP($B432,'Hack Database'!$A:$J,3,FALSE),"")</x:f>
      </x:c>
      <x:c r="E432" s="154" t="str">
        <x:f>IFERROR(VLOOKUP($B432,'Hack Database'!$A:$J,4,FALSE),"")</x:f>
      </x:c>
      <x:c r="F432" s="154" t="str">
        <x:f>IFERROR(VLOOKUP($B432,'Hack Database'!$A:$J,5,FALSE),"")</x:f>
      </x:c>
      <x:c r="G432" s="154" t="str">
        <x:f>IFERROR(VLOOKUP($B432,'Hack Database'!$A:$J,6,FALSE),"")</x:f>
      </x:c>
      <x:c r="H432" s="155"/>
      <x:c r="I432" s="155"/>
      <x:c r="J432" s="154"/>
      <x:c r="K432" s="154" t="str">
        <x:f t="shared" si="6"/>
      </x:c>
      <x:c r="L432" s="154"/>
      <x:c r="M432" s="156"/>
      <x:c r="N432" s="154" t="str">
        <x:f>IFERROR(HYPERLINK(VLOOKUP($B432,'Hack Database'!$A:$J,9,FALSE),"Open Page"),"")</x:f>
      </x:c>
      <x:c r="O432" s="154" t="str">
        <x:f>IFERROR(HYPERLINK(VLOOKUP($B432,'Hack Database'!$A:$J,10,FALSE),"Download"),"")</x:f>
      </x:c>
      <x:c r="P432" s="157"/>
    </x:row>
    <x:row r="433">
      <x:c r="A433" s="154" t="str">
        <x:f>IF($J433="Yes",COUNTIF($J$2:J433,"Yes"),"")</x:f>
      </x:c>
      <x:c r="B433" s="154"/>
      <x:c r="C433" s="154" t="str">
        <x:f>IFERROR(VLOOKUP($B433,'Hack Database'!$A:$J,2,FALSE),"")</x:f>
      </x:c>
      <x:c r="D433" s="154" t="str">
        <x:f>IFERROR(VLOOKUP($B433,'Hack Database'!$A:$J,3,FALSE),"")</x:f>
      </x:c>
      <x:c r="E433" s="154" t="str">
        <x:f>IFERROR(VLOOKUP($B433,'Hack Database'!$A:$J,4,FALSE),"")</x:f>
      </x:c>
      <x:c r="F433" s="154" t="str">
        <x:f>IFERROR(VLOOKUP($B433,'Hack Database'!$A:$J,5,FALSE),"")</x:f>
      </x:c>
      <x:c r="G433" s="154" t="str">
        <x:f>IFERROR(VLOOKUP($B433,'Hack Database'!$A:$J,6,FALSE),"")</x:f>
      </x:c>
      <x:c r="H433" s="155"/>
      <x:c r="I433" s="155"/>
      <x:c r="J433" s="154"/>
      <x:c r="K433" s="154" t="str">
        <x:f t="shared" si="6"/>
      </x:c>
      <x:c r="L433" s="154"/>
      <x:c r="M433" s="156"/>
      <x:c r="N433" s="154" t="str">
        <x:f>IFERROR(HYPERLINK(VLOOKUP($B433,'Hack Database'!$A:$J,9,FALSE),"Open Page"),"")</x:f>
      </x:c>
      <x:c r="O433" s="154" t="str">
        <x:f>IFERROR(HYPERLINK(VLOOKUP($B433,'Hack Database'!$A:$J,10,FALSE),"Download"),"")</x:f>
      </x:c>
      <x:c r="P433" s="157"/>
    </x:row>
    <x:row r="434">
      <x:c r="A434" s="154" t="str">
        <x:f>IF($J434="Yes",COUNTIF($J$2:J434,"Yes"),"")</x:f>
      </x:c>
      <x:c r="B434" s="154"/>
      <x:c r="C434" s="154" t="str">
        <x:f>IFERROR(VLOOKUP($B434,'Hack Database'!$A:$J,2,FALSE),"")</x:f>
      </x:c>
      <x:c r="D434" s="154" t="str">
        <x:f>IFERROR(VLOOKUP($B434,'Hack Database'!$A:$J,3,FALSE),"")</x:f>
      </x:c>
      <x:c r="E434" s="154" t="str">
        <x:f>IFERROR(VLOOKUP($B434,'Hack Database'!$A:$J,4,FALSE),"")</x:f>
      </x:c>
      <x:c r="F434" s="154" t="str">
        <x:f>IFERROR(VLOOKUP($B434,'Hack Database'!$A:$J,5,FALSE),"")</x:f>
      </x:c>
      <x:c r="G434" s="154" t="str">
        <x:f>IFERROR(VLOOKUP($B434,'Hack Database'!$A:$J,6,FALSE),"")</x:f>
      </x:c>
      <x:c r="H434" s="155"/>
      <x:c r="I434" s="155"/>
      <x:c r="J434" s="154"/>
      <x:c r="K434" s="154" t="str">
        <x:f t="shared" si="6"/>
      </x:c>
      <x:c r="L434" s="154"/>
      <x:c r="M434" s="156"/>
      <x:c r="N434" s="154" t="str">
        <x:f>IFERROR(HYPERLINK(VLOOKUP($B434,'Hack Database'!$A:$J,9,FALSE),"Open Page"),"")</x:f>
      </x:c>
      <x:c r="O434" s="154" t="str">
        <x:f>IFERROR(HYPERLINK(VLOOKUP($B434,'Hack Database'!$A:$J,10,FALSE),"Download"),"")</x:f>
      </x:c>
      <x:c r="P434" s="157"/>
    </x:row>
    <x:row r="435">
      <x:c r="A435" s="154" t="str">
        <x:f>IF($J435="Yes",COUNTIF($J$2:J435,"Yes"),"")</x:f>
      </x:c>
      <x:c r="B435" s="154"/>
      <x:c r="C435" s="154" t="str">
        <x:f>IFERROR(VLOOKUP($B435,'Hack Database'!$A:$J,2,FALSE),"")</x:f>
      </x:c>
      <x:c r="D435" s="154" t="str">
        <x:f>IFERROR(VLOOKUP($B435,'Hack Database'!$A:$J,3,FALSE),"")</x:f>
      </x:c>
      <x:c r="E435" s="154" t="str">
        <x:f>IFERROR(VLOOKUP($B435,'Hack Database'!$A:$J,4,FALSE),"")</x:f>
      </x:c>
      <x:c r="F435" s="154" t="str">
        <x:f>IFERROR(VLOOKUP($B435,'Hack Database'!$A:$J,5,FALSE),"")</x:f>
      </x:c>
      <x:c r="G435" s="154" t="str">
        <x:f>IFERROR(VLOOKUP($B435,'Hack Database'!$A:$J,6,FALSE),"")</x:f>
      </x:c>
      <x:c r="H435" s="155"/>
      <x:c r="I435" s="155"/>
      <x:c r="J435" s="154"/>
      <x:c r="K435" s="154" t="str">
        <x:f t="shared" si="6"/>
      </x:c>
      <x:c r="L435" s="154"/>
      <x:c r="M435" s="156"/>
      <x:c r="N435" s="154" t="str">
        <x:f>IFERROR(HYPERLINK(VLOOKUP($B435,'Hack Database'!$A:$J,9,FALSE),"Open Page"),"")</x:f>
      </x:c>
      <x:c r="O435" s="154" t="str">
        <x:f>IFERROR(HYPERLINK(VLOOKUP($B435,'Hack Database'!$A:$J,10,FALSE),"Download"),"")</x:f>
      </x:c>
      <x:c r="P435" s="157"/>
    </x:row>
    <x:row r="436">
      <x:c r="A436" s="154" t="str">
        <x:f>IF($J436="Yes",COUNTIF($J$2:J436,"Yes"),"")</x:f>
      </x:c>
      <x:c r="B436" s="154"/>
      <x:c r="C436" s="154" t="str">
        <x:f>IFERROR(VLOOKUP($B436,'Hack Database'!$A:$J,2,FALSE),"")</x:f>
      </x:c>
      <x:c r="D436" s="154" t="str">
        <x:f>IFERROR(VLOOKUP($B436,'Hack Database'!$A:$J,3,FALSE),"")</x:f>
      </x:c>
      <x:c r="E436" s="154" t="str">
        <x:f>IFERROR(VLOOKUP($B436,'Hack Database'!$A:$J,4,FALSE),"")</x:f>
      </x:c>
      <x:c r="F436" s="154" t="str">
        <x:f>IFERROR(VLOOKUP($B436,'Hack Database'!$A:$J,5,FALSE),"")</x:f>
      </x:c>
      <x:c r="G436" s="154" t="str">
        <x:f>IFERROR(VLOOKUP($B436,'Hack Database'!$A:$J,6,FALSE),"")</x:f>
      </x:c>
      <x:c r="H436" s="155"/>
      <x:c r="I436" s="155"/>
      <x:c r="J436" s="154"/>
      <x:c r="K436" s="154" t="str">
        <x:f t="shared" si="6"/>
      </x:c>
      <x:c r="L436" s="154"/>
      <x:c r="M436" s="156"/>
      <x:c r="N436" s="154" t="str">
        <x:f>IFERROR(HYPERLINK(VLOOKUP($B436,'Hack Database'!$A:$J,9,FALSE),"Open Page"),"")</x:f>
      </x:c>
      <x:c r="O436" s="154" t="str">
        <x:f>IFERROR(HYPERLINK(VLOOKUP($B436,'Hack Database'!$A:$J,10,FALSE),"Download"),"")</x:f>
      </x:c>
      <x:c r="P436" s="157"/>
    </x:row>
    <x:row r="437">
      <x:c r="A437" s="154" t="str">
        <x:f>IF($J437="Yes",COUNTIF($J$2:J437,"Yes"),"")</x:f>
      </x:c>
      <x:c r="B437" s="154"/>
      <x:c r="C437" s="154" t="str">
        <x:f>IFERROR(VLOOKUP($B437,'Hack Database'!$A:$J,2,FALSE),"")</x:f>
      </x:c>
      <x:c r="D437" s="154" t="str">
        <x:f>IFERROR(VLOOKUP($B437,'Hack Database'!$A:$J,3,FALSE),"")</x:f>
      </x:c>
      <x:c r="E437" s="154" t="str">
        <x:f>IFERROR(VLOOKUP($B437,'Hack Database'!$A:$J,4,FALSE),"")</x:f>
      </x:c>
      <x:c r="F437" s="154" t="str">
        <x:f>IFERROR(VLOOKUP($B437,'Hack Database'!$A:$J,5,FALSE),"")</x:f>
      </x:c>
      <x:c r="G437" s="154" t="str">
        <x:f>IFERROR(VLOOKUP($B437,'Hack Database'!$A:$J,6,FALSE),"")</x:f>
      </x:c>
      <x:c r="H437" s="155"/>
      <x:c r="I437" s="155"/>
      <x:c r="J437" s="154"/>
      <x:c r="K437" s="154" t="str">
        <x:f t="shared" si="6"/>
      </x:c>
      <x:c r="L437" s="154"/>
      <x:c r="M437" s="156"/>
      <x:c r="N437" s="154" t="str">
        <x:f>IFERROR(HYPERLINK(VLOOKUP($B437,'Hack Database'!$A:$J,9,FALSE),"Open Page"),"")</x:f>
      </x:c>
      <x:c r="O437" s="154" t="str">
        <x:f>IFERROR(HYPERLINK(VLOOKUP($B437,'Hack Database'!$A:$J,10,FALSE),"Download"),"")</x:f>
      </x:c>
      <x:c r="P437" s="157"/>
    </x:row>
    <x:row r="438">
      <x:c r="A438" s="154" t="str">
        <x:f>IF($J438="Yes",COUNTIF($J$2:J438,"Yes"),"")</x:f>
      </x:c>
      <x:c r="B438" s="154"/>
      <x:c r="C438" s="154" t="str">
        <x:f>IFERROR(VLOOKUP($B438,'Hack Database'!$A:$J,2,FALSE),"")</x:f>
      </x:c>
      <x:c r="D438" s="154" t="str">
        <x:f>IFERROR(VLOOKUP($B438,'Hack Database'!$A:$J,3,FALSE),"")</x:f>
      </x:c>
      <x:c r="E438" s="154" t="str">
        <x:f>IFERROR(VLOOKUP($B438,'Hack Database'!$A:$J,4,FALSE),"")</x:f>
      </x:c>
      <x:c r="F438" s="154" t="str">
        <x:f>IFERROR(VLOOKUP($B438,'Hack Database'!$A:$J,5,FALSE),"")</x:f>
      </x:c>
      <x:c r="G438" s="154" t="str">
        <x:f>IFERROR(VLOOKUP($B438,'Hack Database'!$A:$J,6,FALSE),"")</x:f>
      </x:c>
      <x:c r="H438" s="155"/>
      <x:c r="I438" s="155"/>
      <x:c r="J438" s="154"/>
      <x:c r="K438" s="154" t="str">
        <x:f t="shared" si="6"/>
      </x:c>
      <x:c r="L438" s="154"/>
      <x:c r="M438" s="156"/>
      <x:c r="N438" s="154" t="str">
        <x:f>IFERROR(HYPERLINK(VLOOKUP($B438,'Hack Database'!$A:$J,9,FALSE),"Open Page"),"")</x:f>
      </x:c>
      <x:c r="O438" s="154" t="str">
        <x:f>IFERROR(HYPERLINK(VLOOKUP($B438,'Hack Database'!$A:$J,10,FALSE),"Download"),"")</x:f>
      </x:c>
      <x:c r="P438" s="157"/>
    </x:row>
    <x:row r="439">
      <x:c r="A439" s="154" t="str">
        <x:f>IF($J439="Yes",COUNTIF($J$2:J439,"Yes"),"")</x:f>
      </x:c>
      <x:c r="B439" s="154"/>
      <x:c r="C439" s="154" t="str">
        <x:f>IFERROR(VLOOKUP($B439,'Hack Database'!$A:$J,2,FALSE),"")</x:f>
      </x:c>
      <x:c r="D439" s="154" t="str">
        <x:f>IFERROR(VLOOKUP($B439,'Hack Database'!$A:$J,3,FALSE),"")</x:f>
      </x:c>
      <x:c r="E439" s="154" t="str">
        <x:f>IFERROR(VLOOKUP($B439,'Hack Database'!$A:$J,4,FALSE),"")</x:f>
      </x:c>
      <x:c r="F439" s="154" t="str">
        <x:f>IFERROR(VLOOKUP($B439,'Hack Database'!$A:$J,5,FALSE),"")</x:f>
      </x:c>
      <x:c r="G439" s="154" t="str">
        <x:f>IFERROR(VLOOKUP($B439,'Hack Database'!$A:$J,6,FALSE),"")</x:f>
      </x:c>
      <x:c r="H439" s="155"/>
      <x:c r="I439" s="155"/>
      <x:c r="J439" s="154"/>
      <x:c r="K439" s="154" t="str">
        <x:f t="shared" si="6"/>
      </x:c>
      <x:c r="L439" s="154"/>
      <x:c r="M439" s="156"/>
      <x:c r="N439" s="154" t="str">
        <x:f>IFERROR(HYPERLINK(VLOOKUP($B439,'Hack Database'!$A:$J,9,FALSE),"Open Page"),"")</x:f>
      </x:c>
      <x:c r="O439" s="154" t="str">
        <x:f>IFERROR(HYPERLINK(VLOOKUP($B439,'Hack Database'!$A:$J,10,FALSE),"Download"),"")</x:f>
      </x:c>
      <x:c r="P439" s="157"/>
    </x:row>
    <x:row r="440">
      <x:c r="A440" s="154" t="str">
        <x:f>IF($J440="Yes",COUNTIF($J$2:J440,"Yes"),"")</x:f>
      </x:c>
      <x:c r="B440" s="154"/>
      <x:c r="C440" s="154" t="str">
        <x:f>IFERROR(VLOOKUP($B440,'Hack Database'!$A:$J,2,FALSE),"")</x:f>
      </x:c>
      <x:c r="D440" s="154" t="str">
        <x:f>IFERROR(VLOOKUP($B440,'Hack Database'!$A:$J,3,FALSE),"")</x:f>
      </x:c>
      <x:c r="E440" s="154" t="str">
        <x:f>IFERROR(VLOOKUP($B440,'Hack Database'!$A:$J,4,FALSE),"")</x:f>
      </x:c>
      <x:c r="F440" s="154" t="str">
        <x:f>IFERROR(VLOOKUP($B440,'Hack Database'!$A:$J,5,FALSE),"")</x:f>
      </x:c>
      <x:c r="G440" s="154" t="str">
        <x:f>IFERROR(VLOOKUP($B440,'Hack Database'!$A:$J,6,FALSE),"")</x:f>
      </x:c>
      <x:c r="H440" s="155"/>
      <x:c r="I440" s="155"/>
      <x:c r="J440" s="154"/>
      <x:c r="K440" s="154" t="str">
        <x:f t="shared" si="6"/>
      </x:c>
      <x:c r="L440" s="154"/>
      <x:c r="M440" s="156"/>
      <x:c r="N440" s="154" t="str">
        <x:f>IFERROR(HYPERLINK(VLOOKUP($B440,'Hack Database'!$A:$J,9,FALSE),"Open Page"),"")</x:f>
      </x:c>
      <x:c r="O440" s="154" t="str">
        <x:f>IFERROR(HYPERLINK(VLOOKUP($B440,'Hack Database'!$A:$J,10,FALSE),"Download"),"")</x:f>
      </x:c>
      <x:c r="P440" s="157"/>
    </x:row>
    <x:row r="441">
      <x:c r="A441" s="154" t="str">
        <x:f>IF($J441="Yes",COUNTIF($J$2:J441,"Yes"),"")</x:f>
      </x:c>
      <x:c r="B441" s="154"/>
      <x:c r="C441" s="154" t="str">
        <x:f>IFERROR(VLOOKUP($B441,'Hack Database'!$A:$J,2,FALSE),"")</x:f>
      </x:c>
      <x:c r="D441" s="154" t="str">
        <x:f>IFERROR(VLOOKUP($B441,'Hack Database'!$A:$J,3,FALSE),"")</x:f>
      </x:c>
      <x:c r="E441" s="154" t="str">
        <x:f>IFERROR(VLOOKUP($B441,'Hack Database'!$A:$J,4,FALSE),"")</x:f>
      </x:c>
      <x:c r="F441" s="154" t="str">
        <x:f>IFERROR(VLOOKUP($B441,'Hack Database'!$A:$J,5,FALSE),"")</x:f>
      </x:c>
      <x:c r="G441" s="154" t="str">
        <x:f>IFERROR(VLOOKUP($B441,'Hack Database'!$A:$J,6,FALSE),"")</x:f>
      </x:c>
      <x:c r="H441" s="155"/>
      <x:c r="I441" s="155"/>
      <x:c r="J441" s="154"/>
      <x:c r="K441" s="154" t="str">
        <x:f t="shared" si="6"/>
      </x:c>
      <x:c r="L441" s="154"/>
      <x:c r="M441" s="156"/>
      <x:c r="N441" s="154" t="str">
        <x:f>IFERROR(HYPERLINK(VLOOKUP($B441,'Hack Database'!$A:$J,9,FALSE),"Open Page"),"")</x:f>
      </x:c>
      <x:c r="O441" s="154" t="str">
        <x:f>IFERROR(HYPERLINK(VLOOKUP($B441,'Hack Database'!$A:$J,10,FALSE),"Download"),"")</x:f>
      </x:c>
      <x:c r="P441" s="157"/>
    </x:row>
    <x:row r="442">
      <x:c r="A442" s="154" t="str">
        <x:f>IF($J442="Yes",COUNTIF($J$2:J442,"Yes"),"")</x:f>
      </x:c>
      <x:c r="B442" s="154"/>
      <x:c r="C442" s="154" t="str">
        <x:f>IFERROR(VLOOKUP($B442,'Hack Database'!$A:$J,2,FALSE),"")</x:f>
      </x:c>
      <x:c r="D442" s="154" t="str">
        <x:f>IFERROR(VLOOKUP($B442,'Hack Database'!$A:$J,3,FALSE),"")</x:f>
      </x:c>
      <x:c r="E442" s="154" t="str">
        <x:f>IFERROR(VLOOKUP($B442,'Hack Database'!$A:$J,4,FALSE),"")</x:f>
      </x:c>
      <x:c r="F442" s="154" t="str">
        <x:f>IFERROR(VLOOKUP($B442,'Hack Database'!$A:$J,5,FALSE),"")</x:f>
      </x:c>
      <x:c r="G442" s="154" t="str">
        <x:f>IFERROR(VLOOKUP($B442,'Hack Database'!$A:$J,6,FALSE),"")</x:f>
      </x:c>
      <x:c r="H442" s="155"/>
      <x:c r="I442" s="155"/>
      <x:c r="J442" s="154"/>
      <x:c r="K442" s="154" t="str">
        <x:f t="shared" si="6"/>
      </x:c>
      <x:c r="L442" s="154"/>
      <x:c r="M442" s="156"/>
      <x:c r="N442" s="154" t="str">
        <x:f>IFERROR(HYPERLINK(VLOOKUP($B442,'Hack Database'!$A:$J,9,FALSE),"Open Page"),"")</x:f>
      </x:c>
      <x:c r="O442" s="154" t="str">
        <x:f>IFERROR(HYPERLINK(VLOOKUP($B442,'Hack Database'!$A:$J,10,FALSE),"Download"),"")</x:f>
      </x:c>
      <x:c r="P442" s="157"/>
    </x:row>
    <x:row r="443">
      <x:c r="A443" s="154" t="str">
        <x:f>IF($J443="Yes",COUNTIF($J$2:J443,"Yes"),"")</x:f>
      </x:c>
      <x:c r="B443" s="154"/>
      <x:c r="C443" s="154" t="str">
        <x:f>IFERROR(VLOOKUP($B443,'Hack Database'!$A:$J,2,FALSE),"")</x:f>
      </x:c>
      <x:c r="D443" s="154" t="str">
        <x:f>IFERROR(VLOOKUP($B443,'Hack Database'!$A:$J,3,FALSE),"")</x:f>
      </x:c>
      <x:c r="E443" s="154" t="str">
        <x:f>IFERROR(VLOOKUP($B443,'Hack Database'!$A:$J,4,FALSE),"")</x:f>
      </x:c>
      <x:c r="F443" s="154" t="str">
        <x:f>IFERROR(VLOOKUP($B443,'Hack Database'!$A:$J,5,FALSE),"")</x:f>
      </x:c>
      <x:c r="G443" s="154" t="str">
        <x:f>IFERROR(VLOOKUP($B443,'Hack Database'!$A:$J,6,FALSE),"")</x:f>
      </x:c>
      <x:c r="H443" s="155"/>
      <x:c r="I443" s="155"/>
      <x:c r="J443" s="154"/>
      <x:c r="K443" s="154" t="str">
        <x:f t="shared" si="6"/>
      </x:c>
      <x:c r="L443" s="154"/>
      <x:c r="M443" s="156"/>
      <x:c r="N443" s="154" t="str">
        <x:f>IFERROR(HYPERLINK(VLOOKUP($B443,'Hack Database'!$A:$J,9,FALSE),"Open Page"),"")</x:f>
      </x:c>
      <x:c r="O443" s="154" t="str">
        <x:f>IFERROR(HYPERLINK(VLOOKUP($B443,'Hack Database'!$A:$J,10,FALSE),"Download"),"")</x:f>
      </x:c>
      <x:c r="P443" s="157"/>
    </x:row>
    <x:row r="444">
      <x:c r="A444" s="154" t="str">
        <x:f>IF($J444="Yes",COUNTIF($J$2:J444,"Yes"),"")</x:f>
      </x:c>
      <x:c r="B444" s="154"/>
      <x:c r="C444" s="154" t="str">
        <x:f>IFERROR(VLOOKUP($B444,'Hack Database'!$A:$J,2,FALSE),"")</x:f>
      </x:c>
      <x:c r="D444" s="154" t="str">
        <x:f>IFERROR(VLOOKUP($B444,'Hack Database'!$A:$J,3,FALSE),"")</x:f>
      </x:c>
      <x:c r="E444" s="154" t="str">
        <x:f>IFERROR(VLOOKUP($B444,'Hack Database'!$A:$J,4,FALSE),"")</x:f>
      </x:c>
      <x:c r="F444" s="154" t="str">
        <x:f>IFERROR(VLOOKUP($B444,'Hack Database'!$A:$J,5,FALSE),"")</x:f>
      </x:c>
      <x:c r="G444" s="154" t="str">
        <x:f>IFERROR(VLOOKUP($B444,'Hack Database'!$A:$J,6,FALSE),"")</x:f>
      </x:c>
      <x:c r="H444" s="155"/>
      <x:c r="I444" s="155"/>
      <x:c r="J444" s="154"/>
      <x:c r="K444" s="154" t="str">
        <x:f t="shared" si="6"/>
      </x:c>
      <x:c r="L444" s="154"/>
      <x:c r="M444" s="156"/>
      <x:c r="N444" s="154" t="str">
        <x:f>IFERROR(HYPERLINK(VLOOKUP($B444,'Hack Database'!$A:$J,9,FALSE),"Open Page"),"")</x:f>
      </x:c>
      <x:c r="O444" s="154" t="str">
        <x:f>IFERROR(HYPERLINK(VLOOKUP($B444,'Hack Database'!$A:$J,10,FALSE),"Download"),"")</x:f>
      </x:c>
      <x:c r="P444" s="157"/>
    </x:row>
    <x:row r="445">
      <x:c r="A445" s="154" t="str">
        <x:f>IF($J445="Yes",COUNTIF($J$2:J445,"Yes"),"")</x:f>
      </x:c>
      <x:c r="B445" s="154"/>
      <x:c r="C445" s="154" t="str">
        <x:f>IFERROR(VLOOKUP($B445,'Hack Database'!$A:$J,2,FALSE),"")</x:f>
      </x:c>
      <x:c r="D445" s="154" t="str">
        <x:f>IFERROR(VLOOKUP($B445,'Hack Database'!$A:$J,3,FALSE),"")</x:f>
      </x:c>
      <x:c r="E445" s="154" t="str">
        <x:f>IFERROR(VLOOKUP($B445,'Hack Database'!$A:$J,4,FALSE),"")</x:f>
      </x:c>
      <x:c r="F445" s="154" t="str">
        <x:f>IFERROR(VLOOKUP($B445,'Hack Database'!$A:$J,5,FALSE),"")</x:f>
      </x:c>
      <x:c r="G445" s="154" t="str">
        <x:f>IFERROR(VLOOKUP($B445,'Hack Database'!$A:$J,6,FALSE),"")</x:f>
      </x:c>
      <x:c r="H445" s="155"/>
      <x:c r="I445" s="155"/>
      <x:c r="J445" s="154"/>
      <x:c r="K445" s="154" t="str">
        <x:f t="shared" si="6"/>
      </x:c>
      <x:c r="L445" s="154"/>
      <x:c r="M445" s="156"/>
      <x:c r="N445" s="154" t="str">
        <x:f>IFERROR(HYPERLINK(VLOOKUP($B445,'Hack Database'!$A:$J,9,FALSE),"Open Page"),"")</x:f>
      </x:c>
      <x:c r="O445" s="154" t="str">
        <x:f>IFERROR(HYPERLINK(VLOOKUP($B445,'Hack Database'!$A:$J,10,FALSE),"Download"),"")</x:f>
      </x:c>
      <x:c r="P445" s="157"/>
    </x:row>
    <x:row r="446">
      <x:c r="A446" s="154" t="str">
        <x:f>IF($J446="Yes",COUNTIF($J$2:J446,"Yes"),"")</x:f>
      </x:c>
      <x:c r="B446" s="154"/>
      <x:c r="C446" s="154" t="str">
        <x:f>IFERROR(VLOOKUP($B446,'Hack Database'!$A:$J,2,FALSE),"")</x:f>
      </x:c>
      <x:c r="D446" s="154" t="str">
        <x:f>IFERROR(VLOOKUP($B446,'Hack Database'!$A:$J,3,FALSE),"")</x:f>
      </x:c>
      <x:c r="E446" s="154" t="str">
        <x:f>IFERROR(VLOOKUP($B446,'Hack Database'!$A:$J,4,FALSE),"")</x:f>
      </x:c>
      <x:c r="F446" s="154" t="str">
        <x:f>IFERROR(VLOOKUP($B446,'Hack Database'!$A:$J,5,FALSE),"")</x:f>
      </x:c>
      <x:c r="G446" s="154" t="str">
        <x:f>IFERROR(VLOOKUP($B446,'Hack Database'!$A:$J,6,FALSE),"")</x:f>
      </x:c>
      <x:c r="H446" s="155"/>
      <x:c r="I446" s="155"/>
      <x:c r="J446" s="154"/>
      <x:c r="K446" s="154" t="str">
        <x:f t="shared" si="6"/>
      </x:c>
      <x:c r="L446" s="154"/>
      <x:c r="M446" s="156"/>
      <x:c r="N446" s="154" t="str">
        <x:f>IFERROR(HYPERLINK(VLOOKUP($B446,'Hack Database'!$A:$J,9,FALSE),"Open Page"),"")</x:f>
      </x:c>
      <x:c r="O446" s="154" t="str">
        <x:f>IFERROR(HYPERLINK(VLOOKUP($B446,'Hack Database'!$A:$J,10,FALSE),"Download"),"")</x:f>
      </x:c>
      <x:c r="P446" s="157"/>
    </x:row>
    <x:row r="447">
      <x:c r="A447" s="154" t="str">
        <x:f>IF($J447="Yes",COUNTIF($J$2:J447,"Yes"),"")</x:f>
      </x:c>
      <x:c r="B447" s="154"/>
      <x:c r="C447" s="154" t="str">
        <x:f>IFERROR(VLOOKUP($B447,'Hack Database'!$A:$J,2,FALSE),"")</x:f>
      </x:c>
      <x:c r="D447" s="154" t="str">
        <x:f>IFERROR(VLOOKUP($B447,'Hack Database'!$A:$J,3,FALSE),"")</x:f>
      </x:c>
      <x:c r="E447" s="154" t="str">
        <x:f>IFERROR(VLOOKUP($B447,'Hack Database'!$A:$J,4,FALSE),"")</x:f>
      </x:c>
      <x:c r="F447" s="154" t="str">
        <x:f>IFERROR(VLOOKUP($B447,'Hack Database'!$A:$J,5,FALSE),"")</x:f>
      </x:c>
      <x:c r="G447" s="154" t="str">
        <x:f>IFERROR(VLOOKUP($B447,'Hack Database'!$A:$J,6,FALSE),"")</x:f>
      </x:c>
      <x:c r="H447" s="155"/>
      <x:c r="I447" s="155"/>
      <x:c r="J447" s="154"/>
      <x:c r="K447" s="154" t="str">
        <x:f t="shared" si="6"/>
      </x:c>
      <x:c r="L447" s="154"/>
      <x:c r="M447" s="156"/>
      <x:c r="N447" s="154" t="str">
        <x:f>IFERROR(HYPERLINK(VLOOKUP($B447,'Hack Database'!$A:$J,9,FALSE),"Open Page"),"")</x:f>
      </x:c>
      <x:c r="O447" s="154" t="str">
        <x:f>IFERROR(HYPERLINK(VLOOKUP($B447,'Hack Database'!$A:$J,10,FALSE),"Download"),"")</x:f>
      </x:c>
      <x:c r="P447" s="157"/>
    </x:row>
    <x:row r="448">
      <x:c r="A448" s="154" t="str">
        <x:f>IF($J448="Yes",COUNTIF($J$2:J448,"Yes"),"")</x:f>
      </x:c>
      <x:c r="B448" s="154"/>
      <x:c r="C448" s="154" t="str">
        <x:f>IFERROR(VLOOKUP($B448,'Hack Database'!$A:$J,2,FALSE),"")</x:f>
      </x:c>
      <x:c r="D448" s="154" t="str">
        <x:f>IFERROR(VLOOKUP($B448,'Hack Database'!$A:$J,3,FALSE),"")</x:f>
      </x:c>
      <x:c r="E448" s="154" t="str">
        <x:f>IFERROR(VLOOKUP($B448,'Hack Database'!$A:$J,4,FALSE),"")</x:f>
      </x:c>
      <x:c r="F448" s="154" t="str">
        <x:f>IFERROR(VLOOKUP($B448,'Hack Database'!$A:$J,5,FALSE),"")</x:f>
      </x:c>
      <x:c r="G448" s="154" t="str">
        <x:f>IFERROR(VLOOKUP($B448,'Hack Database'!$A:$J,6,FALSE),"")</x:f>
      </x:c>
      <x:c r="H448" s="155"/>
      <x:c r="I448" s="155"/>
      <x:c r="J448" s="154"/>
      <x:c r="K448" s="154" t="str">
        <x:f t="shared" si="6"/>
      </x:c>
      <x:c r="L448" s="154"/>
      <x:c r="M448" s="156"/>
      <x:c r="N448" s="154" t="str">
        <x:f>IFERROR(HYPERLINK(VLOOKUP($B448,'Hack Database'!$A:$J,9,FALSE),"Open Page"),"")</x:f>
      </x:c>
      <x:c r="O448" s="154" t="str">
        <x:f>IFERROR(HYPERLINK(VLOOKUP($B448,'Hack Database'!$A:$J,10,FALSE),"Download"),"")</x:f>
      </x:c>
      <x:c r="P448" s="157"/>
    </x:row>
    <x:row r="449">
      <x:c r="A449" s="154" t="str">
        <x:f>IF($J449="Yes",COUNTIF($J$2:J449,"Yes"),"")</x:f>
      </x:c>
      <x:c r="B449" s="154"/>
      <x:c r="C449" s="154" t="str">
        <x:f>IFERROR(VLOOKUP($B449,'Hack Database'!$A:$J,2,FALSE),"")</x:f>
      </x:c>
      <x:c r="D449" s="154" t="str">
        <x:f>IFERROR(VLOOKUP($B449,'Hack Database'!$A:$J,3,FALSE),"")</x:f>
      </x:c>
      <x:c r="E449" s="154" t="str">
        <x:f>IFERROR(VLOOKUP($B449,'Hack Database'!$A:$J,4,FALSE),"")</x:f>
      </x:c>
      <x:c r="F449" s="154" t="str">
        <x:f>IFERROR(VLOOKUP($B449,'Hack Database'!$A:$J,5,FALSE),"")</x:f>
      </x:c>
      <x:c r="G449" s="154" t="str">
        <x:f>IFERROR(VLOOKUP($B449,'Hack Database'!$A:$J,6,FALSE),"")</x:f>
      </x:c>
      <x:c r="H449" s="155"/>
      <x:c r="I449" s="155"/>
      <x:c r="J449" s="154"/>
      <x:c r="K449" s="154" t="str">
        <x:f t="shared" si="6"/>
      </x:c>
      <x:c r="L449" s="154"/>
      <x:c r="M449" s="156"/>
      <x:c r="N449" s="154" t="str">
        <x:f>IFERROR(HYPERLINK(VLOOKUP($B449,'Hack Database'!$A:$J,9,FALSE),"Open Page"),"")</x:f>
      </x:c>
      <x:c r="O449" s="154" t="str">
        <x:f>IFERROR(HYPERLINK(VLOOKUP($B449,'Hack Database'!$A:$J,10,FALSE),"Download"),"")</x:f>
      </x:c>
      <x:c r="P449" s="157"/>
    </x:row>
    <x:row r="450">
      <x:c r="A450" s="154" t="str">
        <x:f>IF($J450="Yes",COUNTIF($J$2:J450,"Yes"),"")</x:f>
      </x:c>
      <x:c r="B450" s="154"/>
      <x:c r="C450" s="154" t="str">
        <x:f>IFERROR(VLOOKUP($B450,'Hack Database'!$A:$J,2,FALSE),"")</x:f>
      </x:c>
      <x:c r="D450" s="154" t="str">
        <x:f>IFERROR(VLOOKUP($B450,'Hack Database'!$A:$J,3,FALSE),"")</x:f>
      </x:c>
      <x:c r="E450" s="154" t="str">
        <x:f>IFERROR(VLOOKUP($B450,'Hack Database'!$A:$J,4,FALSE),"")</x:f>
      </x:c>
      <x:c r="F450" s="154" t="str">
        <x:f>IFERROR(VLOOKUP($B450,'Hack Database'!$A:$J,5,FALSE),"")</x:f>
      </x:c>
      <x:c r="G450" s="154" t="str">
        <x:f>IFERROR(VLOOKUP($B450,'Hack Database'!$A:$J,6,FALSE),"")</x:f>
      </x:c>
      <x:c r="H450" s="155"/>
      <x:c r="I450" s="155"/>
      <x:c r="J450" s="154"/>
      <x:c r="K450" s="154" t="str">
        <x:f t="shared" ref="K450:K500" si="7">IF($B450="","",IF($J450="Yes","100% Complete",IF($H450="","Planned",IF($I450="","In Progress","Finished"))))</x:f>
      </x:c>
      <x:c r="L450" s="154"/>
      <x:c r="M450" s="156"/>
      <x:c r="N450" s="154" t="str">
        <x:f>IFERROR(HYPERLINK(VLOOKUP($B450,'Hack Database'!$A:$J,9,FALSE),"Open Page"),"")</x:f>
      </x:c>
      <x:c r="O450" s="154" t="str">
        <x:f>IFERROR(HYPERLINK(VLOOKUP($B450,'Hack Database'!$A:$J,10,FALSE),"Download"),"")</x:f>
      </x:c>
      <x:c r="P450" s="157"/>
    </x:row>
    <x:row r="451">
      <x:c r="A451" s="154" t="str">
        <x:f>IF($J451="Yes",COUNTIF($J$2:J451,"Yes"),"")</x:f>
      </x:c>
      <x:c r="B451" s="154"/>
      <x:c r="C451" s="154" t="str">
        <x:f>IFERROR(VLOOKUP($B451,'Hack Database'!$A:$J,2,FALSE),"")</x:f>
      </x:c>
      <x:c r="D451" s="154" t="str">
        <x:f>IFERROR(VLOOKUP($B451,'Hack Database'!$A:$J,3,FALSE),"")</x:f>
      </x:c>
      <x:c r="E451" s="154" t="str">
        <x:f>IFERROR(VLOOKUP($B451,'Hack Database'!$A:$J,4,FALSE),"")</x:f>
      </x:c>
      <x:c r="F451" s="154" t="str">
        <x:f>IFERROR(VLOOKUP($B451,'Hack Database'!$A:$J,5,FALSE),"")</x:f>
      </x:c>
      <x:c r="G451" s="154" t="str">
        <x:f>IFERROR(VLOOKUP($B451,'Hack Database'!$A:$J,6,FALSE),"")</x:f>
      </x:c>
      <x:c r="H451" s="155"/>
      <x:c r="I451" s="155"/>
      <x:c r="J451" s="154"/>
      <x:c r="K451" s="154" t="str">
        <x:f t="shared" si="7"/>
      </x:c>
      <x:c r="L451" s="154"/>
      <x:c r="M451" s="156"/>
      <x:c r="N451" s="154" t="str">
        <x:f>IFERROR(HYPERLINK(VLOOKUP($B451,'Hack Database'!$A:$J,9,FALSE),"Open Page"),"")</x:f>
      </x:c>
      <x:c r="O451" s="154" t="str">
        <x:f>IFERROR(HYPERLINK(VLOOKUP($B451,'Hack Database'!$A:$J,10,FALSE),"Download"),"")</x:f>
      </x:c>
      <x:c r="P451" s="157"/>
    </x:row>
    <x:row r="452">
      <x:c r="A452" s="154" t="str">
        <x:f>IF($J452="Yes",COUNTIF($J$2:J452,"Yes"),"")</x:f>
      </x:c>
      <x:c r="B452" s="154"/>
      <x:c r="C452" s="154" t="str">
        <x:f>IFERROR(VLOOKUP($B452,'Hack Database'!$A:$J,2,FALSE),"")</x:f>
      </x:c>
      <x:c r="D452" s="154" t="str">
        <x:f>IFERROR(VLOOKUP($B452,'Hack Database'!$A:$J,3,FALSE),"")</x:f>
      </x:c>
      <x:c r="E452" s="154" t="str">
        <x:f>IFERROR(VLOOKUP($B452,'Hack Database'!$A:$J,4,FALSE),"")</x:f>
      </x:c>
      <x:c r="F452" s="154" t="str">
        <x:f>IFERROR(VLOOKUP($B452,'Hack Database'!$A:$J,5,FALSE),"")</x:f>
      </x:c>
      <x:c r="G452" s="154" t="str">
        <x:f>IFERROR(VLOOKUP($B452,'Hack Database'!$A:$J,6,FALSE),"")</x:f>
      </x:c>
      <x:c r="H452" s="155"/>
      <x:c r="I452" s="155"/>
      <x:c r="J452" s="154"/>
      <x:c r="K452" s="154" t="str">
        <x:f t="shared" si="7"/>
      </x:c>
      <x:c r="L452" s="154"/>
      <x:c r="M452" s="156"/>
      <x:c r="N452" s="154" t="str">
        <x:f>IFERROR(HYPERLINK(VLOOKUP($B452,'Hack Database'!$A:$J,9,FALSE),"Open Page"),"")</x:f>
      </x:c>
      <x:c r="O452" s="154" t="str">
        <x:f>IFERROR(HYPERLINK(VLOOKUP($B452,'Hack Database'!$A:$J,10,FALSE),"Download"),"")</x:f>
      </x:c>
      <x:c r="P452" s="157"/>
    </x:row>
    <x:row r="453">
      <x:c r="A453" s="154" t="str">
        <x:f>IF($J453="Yes",COUNTIF($J$2:J453,"Yes"),"")</x:f>
      </x:c>
      <x:c r="B453" s="154"/>
      <x:c r="C453" s="154" t="str">
        <x:f>IFERROR(VLOOKUP($B453,'Hack Database'!$A:$J,2,FALSE),"")</x:f>
      </x:c>
      <x:c r="D453" s="154" t="str">
        <x:f>IFERROR(VLOOKUP($B453,'Hack Database'!$A:$J,3,FALSE),"")</x:f>
      </x:c>
      <x:c r="E453" s="154" t="str">
        <x:f>IFERROR(VLOOKUP($B453,'Hack Database'!$A:$J,4,FALSE),"")</x:f>
      </x:c>
      <x:c r="F453" s="154" t="str">
        <x:f>IFERROR(VLOOKUP($B453,'Hack Database'!$A:$J,5,FALSE),"")</x:f>
      </x:c>
      <x:c r="G453" s="154" t="str">
        <x:f>IFERROR(VLOOKUP($B453,'Hack Database'!$A:$J,6,FALSE),"")</x:f>
      </x:c>
      <x:c r="H453" s="155"/>
      <x:c r="I453" s="155"/>
      <x:c r="J453" s="154"/>
      <x:c r="K453" s="154" t="str">
        <x:f t="shared" si="7"/>
      </x:c>
      <x:c r="L453" s="154"/>
      <x:c r="M453" s="156"/>
      <x:c r="N453" s="154" t="str">
        <x:f>IFERROR(HYPERLINK(VLOOKUP($B453,'Hack Database'!$A:$J,9,FALSE),"Open Page"),"")</x:f>
      </x:c>
      <x:c r="O453" s="154" t="str">
        <x:f>IFERROR(HYPERLINK(VLOOKUP($B453,'Hack Database'!$A:$J,10,FALSE),"Download"),"")</x:f>
      </x:c>
      <x:c r="P453" s="157"/>
    </x:row>
    <x:row r="454">
      <x:c r="A454" s="154" t="str">
        <x:f>IF($J454="Yes",COUNTIF($J$2:J454,"Yes"),"")</x:f>
      </x:c>
      <x:c r="B454" s="154"/>
      <x:c r="C454" s="154" t="str">
        <x:f>IFERROR(VLOOKUP($B454,'Hack Database'!$A:$J,2,FALSE),"")</x:f>
      </x:c>
      <x:c r="D454" s="154" t="str">
        <x:f>IFERROR(VLOOKUP($B454,'Hack Database'!$A:$J,3,FALSE),"")</x:f>
      </x:c>
      <x:c r="E454" s="154" t="str">
        <x:f>IFERROR(VLOOKUP($B454,'Hack Database'!$A:$J,4,FALSE),"")</x:f>
      </x:c>
      <x:c r="F454" s="154" t="str">
        <x:f>IFERROR(VLOOKUP($B454,'Hack Database'!$A:$J,5,FALSE),"")</x:f>
      </x:c>
      <x:c r="G454" s="154" t="str">
        <x:f>IFERROR(VLOOKUP($B454,'Hack Database'!$A:$J,6,FALSE),"")</x:f>
      </x:c>
      <x:c r="H454" s="155"/>
      <x:c r="I454" s="155"/>
      <x:c r="J454" s="154"/>
      <x:c r="K454" s="154" t="str">
        <x:f t="shared" si="7"/>
      </x:c>
      <x:c r="L454" s="154"/>
      <x:c r="M454" s="156"/>
      <x:c r="N454" s="154" t="str">
        <x:f>IFERROR(HYPERLINK(VLOOKUP($B454,'Hack Database'!$A:$J,9,FALSE),"Open Page"),"")</x:f>
      </x:c>
      <x:c r="O454" s="154" t="str">
        <x:f>IFERROR(HYPERLINK(VLOOKUP($B454,'Hack Database'!$A:$J,10,FALSE),"Download"),"")</x:f>
      </x:c>
      <x:c r="P454" s="157"/>
    </x:row>
    <x:row r="455">
      <x:c r="A455" s="154" t="str">
        <x:f>IF($J455="Yes",COUNTIF($J$2:J455,"Yes"),"")</x:f>
      </x:c>
      <x:c r="B455" s="154"/>
      <x:c r="C455" s="154" t="str">
        <x:f>IFERROR(VLOOKUP($B455,'Hack Database'!$A:$J,2,FALSE),"")</x:f>
      </x:c>
      <x:c r="D455" s="154" t="str">
        <x:f>IFERROR(VLOOKUP($B455,'Hack Database'!$A:$J,3,FALSE),"")</x:f>
      </x:c>
      <x:c r="E455" s="154" t="str">
        <x:f>IFERROR(VLOOKUP($B455,'Hack Database'!$A:$J,4,FALSE),"")</x:f>
      </x:c>
      <x:c r="F455" s="154" t="str">
        <x:f>IFERROR(VLOOKUP($B455,'Hack Database'!$A:$J,5,FALSE),"")</x:f>
      </x:c>
      <x:c r="G455" s="154" t="str">
        <x:f>IFERROR(VLOOKUP($B455,'Hack Database'!$A:$J,6,FALSE),"")</x:f>
      </x:c>
      <x:c r="H455" s="155"/>
      <x:c r="I455" s="155"/>
      <x:c r="J455" s="154"/>
      <x:c r="K455" s="154" t="str">
        <x:f t="shared" si="7"/>
      </x:c>
      <x:c r="L455" s="154"/>
      <x:c r="M455" s="156"/>
      <x:c r="N455" s="154" t="str">
        <x:f>IFERROR(HYPERLINK(VLOOKUP($B455,'Hack Database'!$A:$J,9,FALSE),"Open Page"),"")</x:f>
      </x:c>
      <x:c r="O455" s="154" t="str">
        <x:f>IFERROR(HYPERLINK(VLOOKUP($B455,'Hack Database'!$A:$J,10,FALSE),"Download"),"")</x:f>
      </x:c>
      <x:c r="P455" s="157"/>
    </x:row>
    <x:row r="456">
      <x:c r="A456" s="154" t="str">
        <x:f>IF($J456="Yes",COUNTIF($J$2:J456,"Yes"),"")</x:f>
      </x:c>
      <x:c r="B456" s="154"/>
      <x:c r="C456" s="154" t="str">
        <x:f>IFERROR(VLOOKUP($B456,'Hack Database'!$A:$J,2,FALSE),"")</x:f>
      </x:c>
      <x:c r="D456" s="154" t="str">
        <x:f>IFERROR(VLOOKUP($B456,'Hack Database'!$A:$J,3,FALSE),"")</x:f>
      </x:c>
      <x:c r="E456" s="154" t="str">
        <x:f>IFERROR(VLOOKUP($B456,'Hack Database'!$A:$J,4,FALSE),"")</x:f>
      </x:c>
      <x:c r="F456" s="154" t="str">
        <x:f>IFERROR(VLOOKUP($B456,'Hack Database'!$A:$J,5,FALSE),"")</x:f>
      </x:c>
      <x:c r="G456" s="154" t="str">
        <x:f>IFERROR(VLOOKUP($B456,'Hack Database'!$A:$J,6,FALSE),"")</x:f>
      </x:c>
      <x:c r="H456" s="155"/>
      <x:c r="I456" s="155"/>
      <x:c r="J456" s="154"/>
      <x:c r="K456" s="154" t="str">
        <x:f t="shared" si="7"/>
      </x:c>
      <x:c r="L456" s="154"/>
      <x:c r="M456" s="156"/>
      <x:c r="N456" s="154" t="str">
        <x:f>IFERROR(HYPERLINK(VLOOKUP($B456,'Hack Database'!$A:$J,9,FALSE),"Open Page"),"")</x:f>
      </x:c>
      <x:c r="O456" s="154" t="str">
        <x:f>IFERROR(HYPERLINK(VLOOKUP($B456,'Hack Database'!$A:$J,10,FALSE),"Download"),"")</x:f>
      </x:c>
      <x:c r="P456" s="157"/>
    </x:row>
    <x:row r="457">
      <x:c r="A457" s="154" t="str">
        <x:f>IF($J457="Yes",COUNTIF($J$2:J457,"Yes"),"")</x:f>
      </x:c>
      <x:c r="B457" s="154"/>
      <x:c r="C457" s="154" t="str">
        <x:f>IFERROR(VLOOKUP($B457,'Hack Database'!$A:$J,2,FALSE),"")</x:f>
      </x:c>
      <x:c r="D457" s="154" t="str">
        <x:f>IFERROR(VLOOKUP($B457,'Hack Database'!$A:$J,3,FALSE),"")</x:f>
      </x:c>
      <x:c r="E457" s="154" t="str">
        <x:f>IFERROR(VLOOKUP($B457,'Hack Database'!$A:$J,4,FALSE),"")</x:f>
      </x:c>
      <x:c r="F457" s="154" t="str">
        <x:f>IFERROR(VLOOKUP($B457,'Hack Database'!$A:$J,5,FALSE),"")</x:f>
      </x:c>
      <x:c r="G457" s="154" t="str">
        <x:f>IFERROR(VLOOKUP($B457,'Hack Database'!$A:$J,6,FALSE),"")</x:f>
      </x:c>
      <x:c r="H457" s="155"/>
      <x:c r="I457" s="155"/>
      <x:c r="J457" s="154"/>
      <x:c r="K457" s="154" t="str">
        <x:f t="shared" si="7"/>
      </x:c>
      <x:c r="L457" s="154"/>
      <x:c r="M457" s="156"/>
      <x:c r="N457" s="154" t="str">
        <x:f>IFERROR(HYPERLINK(VLOOKUP($B457,'Hack Database'!$A:$J,9,FALSE),"Open Page"),"")</x:f>
      </x:c>
      <x:c r="O457" s="154" t="str">
        <x:f>IFERROR(HYPERLINK(VLOOKUP($B457,'Hack Database'!$A:$J,10,FALSE),"Download"),"")</x:f>
      </x:c>
      <x:c r="P457" s="157"/>
    </x:row>
    <x:row r="458">
      <x:c r="A458" s="154" t="str">
        <x:f>IF($J458="Yes",COUNTIF($J$2:J458,"Yes"),"")</x:f>
      </x:c>
      <x:c r="B458" s="154"/>
      <x:c r="C458" s="154" t="str">
        <x:f>IFERROR(VLOOKUP($B458,'Hack Database'!$A:$J,2,FALSE),"")</x:f>
      </x:c>
      <x:c r="D458" s="154" t="str">
        <x:f>IFERROR(VLOOKUP($B458,'Hack Database'!$A:$J,3,FALSE),"")</x:f>
      </x:c>
      <x:c r="E458" s="154" t="str">
        <x:f>IFERROR(VLOOKUP($B458,'Hack Database'!$A:$J,4,FALSE),"")</x:f>
      </x:c>
      <x:c r="F458" s="154" t="str">
        <x:f>IFERROR(VLOOKUP($B458,'Hack Database'!$A:$J,5,FALSE),"")</x:f>
      </x:c>
      <x:c r="G458" s="154" t="str">
        <x:f>IFERROR(VLOOKUP($B458,'Hack Database'!$A:$J,6,FALSE),"")</x:f>
      </x:c>
      <x:c r="H458" s="155"/>
      <x:c r="I458" s="155"/>
      <x:c r="J458" s="154"/>
      <x:c r="K458" s="154" t="str">
        <x:f t="shared" si="7"/>
      </x:c>
      <x:c r="L458" s="154"/>
      <x:c r="M458" s="156"/>
      <x:c r="N458" s="154" t="str">
        <x:f>IFERROR(HYPERLINK(VLOOKUP($B458,'Hack Database'!$A:$J,9,FALSE),"Open Page"),"")</x:f>
      </x:c>
      <x:c r="O458" s="154" t="str">
        <x:f>IFERROR(HYPERLINK(VLOOKUP($B458,'Hack Database'!$A:$J,10,FALSE),"Download"),"")</x:f>
      </x:c>
      <x:c r="P458" s="157"/>
    </x:row>
    <x:row r="459">
      <x:c r="A459" s="154" t="str">
        <x:f>IF($J459="Yes",COUNTIF($J$2:J459,"Yes"),"")</x:f>
      </x:c>
      <x:c r="B459" s="154"/>
      <x:c r="C459" s="154" t="str">
        <x:f>IFERROR(VLOOKUP($B459,'Hack Database'!$A:$J,2,FALSE),"")</x:f>
      </x:c>
      <x:c r="D459" s="154" t="str">
        <x:f>IFERROR(VLOOKUP($B459,'Hack Database'!$A:$J,3,FALSE),"")</x:f>
      </x:c>
      <x:c r="E459" s="154" t="str">
        <x:f>IFERROR(VLOOKUP($B459,'Hack Database'!$A:$J,4,FALSE),"")</x:f>
      </x:c>
      <x:c r="F459" s="154" t="str">
        <x:f>IFERROR(VLOOKUP($B459,'Hack Database'!$A:$J,5,FALSE),"")</x:f>
      </x:c>
      <x:c r="G459" s="154" t="str">
        <x:f>IFERROR(VLOOKUP($B459,'Hack Database'!$A:$J,6,FALSE),"")</x:f>
      </x:c>
      <x:c r="H459" s="155"/>
      <x:c r="I459" s="155"/>
      <x:c r="J459" s="154"/>
      <x:c r="K459" s="154" t="str">
        <x:f t="shared" si="7"/>
      </x:c>
      <x:c r="L459" s="154"/>
      <x:c r="M459" s="156"/>
      <x:c r="N459" s="154" t="str">
        <x:f>IFERROR(HYPERLINK(VLOOKUP($B459,'Hack Database'!$A:$J,9,FALSE),"Open Page"),"")</x:f>
      </x:c>
      <x:c r="O459" s="154" t="str">
        <x:f>IFERROR(HYPERLINK(VLOOKUP($B459,'Hack Database'!$A:$J,10,FALSE),"Download"),"")</x:f>
      </x:c>
      <x:c r="P459" s="157"/>
    </x:row>
    <x:row r="460">
      <x:c r="A460" s="154" t="str">
        <x:f>IF($J460="Yes",COUNTIF($J$2:J460,"Yes"),"")</x:f>
      </x:c>
      <x:c r="B460" s="154"/>
      <x:c r="C460" s="154" t="str">
        <x:f>IFERROR(VLOOKUP($B460,'Hack Database'!$A:$J,2,FALSE),"")</x:f>
      </x:c>
      <x:c r="D460" s="154" t="str">
        <x:f>IFERROR(VLOOKUP($B460,'Hack Database'!$A:$J,3,FALSE),"")</x:f>
      </x:c>
      <x:c r="E460" s="154" t="str">
        <x:f>IFERROR(VLOOKUP($B460,'Hack Database'!$A:$J,4,FALSE),"")</x:f>
      </x:c>
      <x:c r="F460" s="154" t="str">
        <x:f>IFERROR(VLOOKUP($B460,'Hack Database'!$A:$J,5,FALSE),"")</x:f>
      </x:c>
      <x:c r="G460" s="154" t="str">
        <x:f>IFERROR(VLOOKUP($B460,'Hack Database'!$A:$J,6,FALSE),"")</x:f>
      </x:c>
      <x:c r="H460" s="155"/>
      <x:c r="I460" s="155"/>
      <x:c r="J460" s="154"/>
      <x:c r="K460" s="154" t="str">
        <x:f t="shared" si="7"/>
      </x:c>
      <x:c r="L460" s="154"/>
      <x:c r="M460" s="156"/>
      <x:c r="N460" s="154" t="str">
        <x:f>IFERROR(HYPERLINK(VLOOKUP($B460,'Hack Database'!$A:$J,9,FALSE),"Open Page"),"")</x:f>
      </x:c>
      <x:c r="O460" s="154" t="str">
        <x:f>IFERROR(HYPERLINK(VLOOKUP($B460,'Hack Database'!$A:$J,10,FALSE),"Download"),"")</x:f>
      </x:c>
      <x:c r="P460" s="157"/>
    </x:row>
    <x:row r="461">
      <x:c r="A461" s="154" t="str">
        <x:f>IF($J461="Yes",COUNTIF($J$2:J461,"Yes"),"")</x:f>
      </x:c>
      <x:c r="B461" s="154"/>
      <x:c r="C461" s="154" t="str">
        <x:f>IFERROR(VLOOKUP($B461,'Hack Database'!$A:$J,2,FALSE),"")</x:f>
      </x:c>
      <x:c r="D461" s="154" t="str">
        <x:f>IFERROR(VLOOKUP($B461,'Hack Database'!$A:$J,3,FALSE),"")</x:f>
      </x:c>
      <x:c r="E461" s="154" t="str">
        <x:f>IFERROR(VLOOKUP($B461,'Hack Database'!$A:$J,4,FALSE),"")</x:f>
      </x:c>
      <x:c r="F461" s="154" t="str">
        <x:f>IFERROR(VLOOKUP($B461,'Hack Database'!$A:$J,5,FALSE),"")</x:f>
      </x:c>
      <x:c r="G461" s="154" t="str">
        <x:f>IFERROR(VLOOKUP($B461,'Hack Database'!$A:$J,6,FALSE),"")</x:f>
      </x:c>
      <x:c r="H461" s="155"/>
      <x:c r="I461" s="155"/>
      <x:c r="J461" s="154"/>
      <x:c r="K461" s="154" t="str">
        <x:f t="shared" si="7"/>
      </x:c>
      <x:c r="L461" s="154"/>
      <x:c r="M461" s="156"/>
      <x:c r="N461" s="154" t="str">
        <x:f>IFERROR(HYPERLINK(VLOOKUP($B461,'Hack Database'!$A:$J,9,FALSE),"Open Page"),"")</x:f>
      </x:c>
      <x:c r="O461" s="154" t="str">
        <x:f>IFERROR(HYPERLINK(VLOOKUP($B461,'Hack Database'!$A:$J,10,FALSE),"Download"),"")</x:f>
      </x:c>
      <x:c r="P461" s="157"/>
    </x:row>
    <x:row r="462">
      <x:c r="A462" s="154" t="str">
        <x:f>IF($J462="Yes",COUNTIF($J$2:J462,"Yes"),"")</x:f>
      </x:c>
      <x:c r="B462" s="154"/>
      <x:c r="C462" s="154" t="str">
        <x:f>IFERROR(VLOOKUP($B462,'Hack Database'!$A:$J,2,FALSE),"")</x:f>
      </x:c>
      <x:c r="D462" s="154" t="str">
        <x:f>IFERROR(VLOOKUP($B462,'Hack Database'!$A:$J,3,FALSE),"")</x:f>
      </x:c>
      <x:c r="E462" s="154" t="str">
        <x:f>IFERROR(VLOOKUP($B462,'Hack Database'!$A:$J,4,FALSE),"")</x:f>
      </x:c>
      <x:c r="F462" s="154" t="str">
        <x:f>IFERROR(VLOOKUP($B462,'Hack Database'!$A:$J,5,FALSE),"")</x:f>
      </x:c>
      <x:c r="G462" s="154" t="str">
        <x:f>IFERROR(VLOOKUP($B462,'Hack Database'!$A:$J,6,FALSE),"")</x:f>
      </x:c>
      <x:c r="H462" s="155"/>
      <x:c r="I462" s="155"/>
      <x:c r="J462" s="154"/>
      <x:c r="K462" s="154" t="str">
        <x:f t="shared" si="7"/>
      </x:c>
      <x:c r="L462" s="154"/>
      <x:c r="M462" s="156"/>
      <x:c r="N462" s="154" t="str">
        <x:f>IFERROR(HYPERLINK(VLOOKUP($B462,'Hack Database'!$A:$J,9,FALSE),"Open Page"),"")</x:f>
      </x:c>
      <x:c r="O462" s="154" t="str">
        <x:f>IFERROR(HYPERLINK(VLOOKUP($B462,'Hack Database'!$A:$J,10,FALSE),"Download"),"")</x:f>
      </x:c>
      <x:c r="P462" s="157"/>
    </x:row>
    <x:row r="463">
      <x:c r="A463" s="154" t="str">
        <x:f>IF($J463="Yes",COUNTIF($J$2:J463,"Yes"),"")</x:f>
      </x:c>
      <x:c r="B463" s="154"/>
      <x:c r="C463" s="154" t="str">
        <x:f>IFERROR(VLOOKUP($B463,'Hack Database'!$A:$J,2,FALSE),"")</x:f>
      </x:c>
      <x:c r="D463" s="154" t="str">
        <x:f>IFERROR(VLOOKUP($B463,'Hack Database'!$A:$J,3,FALSE),"")</x:f>
      </x:c>
      <x:c r="E463" s="154" t="str">
        <x:f>IFERROR(VLOOKUP($B463,'Hack Database'!$A:$J,4,FALSE),"")</x:f>
      </x:c>
      <x:c r="F463" s="154" t="str">
        <x:f>IFERROR(VLOOKUP($B463,'Hack Database'!$A:$J,5,FALSE),"")</x:f>
      </x:c>
      <x:c r="G463" s="154" t="str">
        <x:f>IFERROR(VLOOKUP($B463,'Hack Database'!$A:$J,6,FALSE),"")</x:f>
      </x:c>
      <x:c r="H463" s="155"/>
      <x:c r="I463" s="155"/>
      <x:c r="J463" s="154"/>
      <x:c r="K463" s="154" t="str">
        <x:f t="shared" si="7"/>
      </x:c>
      <x:c r="L463" s="154"/>
      <x:c r="M463" s="156"/>
      <x:c r="N463" s="154" t="str">
        <x:f>IFERROR(HYPERLINK(VLOOKUP($B463,'Hack Database'!$A:$J,9,FALSE),"Open Page"),"")</x:f>
      </x:c>
      <x:c r="O463" s="154" t="str">
        <x:f>IFERROR(HYPERLINK(VLOOKUP($B463,'Hack Database'!$A:$J,10,FALSE),"Download"),"")</x:f>
      </x:c>
      <x:c r="P463" s="157"/>
    </x:row>
    <x:row r="464">
      <x:c r="A464" s="154" t="str">
        <x:f>IF($J464="Yes",COUNTIF($J$2:J464,"Yes"),"")</x:f>
      </x:c>
      <x:c r="B464" s="154"/>
      <x:c r="C464" s="154" t="str">
        <x:f>IFERROR(VLOOKUP($B464,'Hack Database'!$A:$J,2,FALSE),"")</x:f>
      </x:c>
      <x:c r="D464" s="154" t="str">
        <x:f>IFERROR(VLOOKUP($B464,'Hack Database'!$A:$J,3,FALSE),"")</x:f>
      </x:c>
      <x:c r="E464" s="154" t="str">
        <x:f>IFERROR(VLOOKUP($B464,'Hack Database'!$A:$J,4,FALSE),"")</x:f>
      </x:c>
      <x:c r="F464" s="154" t="str">
        <x:f>IFERROR(VLOOKUP($B464,'Hack Database'!$A:$J,5,FALSE),"")</x:f>
      </x:c>
      <x:c r="G464" s="154" t="str">
        <x:f>IFERROR(VLOOKUP($B464,'Hack Database'!$A:$J,6,FALSE),"")</x:f>
      </x:c>
      <x:c r="H464" s="155"/>
      <x:c r="I464" s="155"/>
      <x:c r="J464" s="154"/>
      <x:c r="K464" s="154" t="str">
        <x:f t="shared" si="7"/>
      </x:c>
      <x:c r="L464" s="154"/>
      <x:c r="M464" s="156"/>
      <x:c r="N464" s="154" t="str">
        <x:f>IFERROR(HYPERLINK(VLOOKUP($B464,'Hack Database'!$A:$J,9,FALSE),"Open Page"),"")</x:f>
      </x:c>
      <x:c r="O464" s="154" t="str">
        <x:f>IFERROR(HYPERLINK(VLOOKUP($B464,'Hack Database'!$A:$J,10,FALSE),"Download"),"")</x:f>
      </x:c>
      <x:c r="P464" s="157"/>
    </x:row>
    <x:row r="465">
      <x:c r="A465" s="154" t="str">
        <x:f>IF($J465="Yes",COUNTIF($J$2:J465,"Yes"),"")</x:f>
      </x:c>
      <x:c r="B465" s="154"/>
      <x:c r="C465" s="154" t="str">
        <x:f>IFERROR(VLOOKUP($B465,'Hack Database'!$A:$J,2,FALSE),"")</x:f>
      </x:c>
      <x:c r="D465" s="154" t="str">
        <x:f>IFERROR(VLOOKUP($B465,'Hack Database'!$A:$J,3,FALSE),"")</x:f>
      </x:c>
      <x:c r="E465" s="154" t="str">
        <x:f>IFERROR(VLOOKUP($B465,'Hack Database'!$A:$J,4,FALSE),"")</x:f>
      </x:c>
      <x:c r="F465" s="154" t="str">
        <x:f>IFERROR(VLOOKUP($B465,'Hack Database'!$A:$J,5,FALSE),"")</x:f>
      </x:c>
      <x:c r="G465" s="154" t="str">
        <x:f>IFERROR(VLOOKUP($B465,'Hack Database'!$A:$J,6,FALSE),"")</x:f>
      </x:c>
      <x:c r="H465" s="155"/>
      <x:c r="I465" s="155"/>
      <x:c r="J465" s="154"/>
      <x:c r="K465" s="154" t="str">
        <x:f t="shared" si="7"/>
      </x:c>
      <x:c r="L465" s="154"/>
      <x:c r="M465" s="156"/>
      <x:c r="N465" s="154" t="str">
        <x:f>IFERROR(HYPERLINK(VLOOKUP($B465,'Hack Database'!$A:$J,9,FALSE),"Open Page"),"")</x:f>
      </x:c>
      <x:c r="O465" s="154" t="str">
        <x:f>IFERROR(HYPERLINK(VLOOKUP($B465,'Hack Database'!$A:$J,10,FALSE),"Download"),"")</x:f>
      </x:c>
      <x:c r="P465" s="157"/>
    </x:row>
    <x:row r="466">
      <x:c r="A466" s="154" t="str">
        <x:f>IF($J466="Yes",COUNTIF($J$2:J466,"Yes"),"")</x:f>
      </x:c>
      <x:c r="B466" s="154"/>
      <x:c r="C466" s="154" t="str">
        <x:f>IFERROR(VLOOKUP($B466,'Hack Database'!$A:$J,2,FALSE),"")</x:f>
      </x:c>
      <x:c r="D466" s="154" t="str">
        <x:f>IFERROR(VLOOKUP($B466,'Hack Database'!$A:$J,3,FALSE),"")</x:f>
      </x:c>
      <x:c r="E466" s="154" t="str">
        <x:f>IFERROR(VLOOKUP($B466,'Hack Database'!$A:$J,4,FALSE),"")</x:f>
      </x:c>
      <x:c r="F466" s="154" t="str">
        <x:f>IFERROR(VLOOKUP($B466,'Hack Database'!$A:$J,5,FALSE),"")</x:f>
      </x:c>
      <x:c r="G466" s="154" t="str">
        <x:f>IFERROR(VLOOKUP($B466,'Hack Database'!$A:$J,6,FALSE),"")</x:f>
      </x:c>
      <x:c r="H466" s="155"/>
      <x:c r="I466" s="155"/>
      <x:c r="J466" s="154"/>
      <x:c r="K466" s="154" t="str">
        <x:f t="shared" si="7"/>
      </x:c>
      <x:c r="L466" s="154"/>
      <x:c r="M466" s="156"/>
      <x:c r="N466" s="154" t="str">
        <x:f>IFERROR(HYPERLINK(VLOOKUP($B466,'Hack Database'!$A:$J,9,FALSE),"Open Page"),"")</x:f>
      </x:c>
      <x:c r="O466" s="154" t="str">
        <x:f>IFERROR(HYPERLINK(VLOOKUP($B466,'Hack Database'!$A:$J,10,FALSE),"Download"),"")</x:f>
      </x:c>
      <x:c r="P466" s="157"/>
    </x:row>
    <x:row r="467">
      <x:c r="A467" s="154" t="str">
        <x:f>IF($J467="Yes",COUNTIF($J$2:J467,"Yes"),"")</x:f>
      </x:c>
      <x:c r="B467" s="154"/>
      <x:c r="C467" s="154" t="str">
        <x:f>IFERROR(VLOOKUP($B467,'Hack Database'!$A:$J,2,FALSE),"")</x:f>
      </x:c>
      <x:c r="D467" s="154" t="str">
        <x:f>IFERROR(VLOOKUP($B467,'Hack Database'!$A:$J,3,FALSE),"")</x:f>
      </x:c>
      <x:c r="E467" s="154" t="str">
        <x:f>IFERROR(VLOOKUP($B467,'Hack Database'!$A:$J,4,FALSE),"")</x:f>
      </x:c>
      <x:c r="F467" s="154" t="str">
        <x:f>IFERROR(VLOOKUP($B467,'Hack Database'!$A:$J,5,FALSE),"")</x:f>
      </x:c>
      <x:c r="G467" s="154" t="str">
        <x:f>IFERROR(VLOOKUP($B467,'Hack Database'!$A:$J,6,FALSE),"")</x:f>
      </x:c>
      <x:c r="H467" s="155"/>
      <x:c r="I467" s="155"/>
      <x:c r="J467" s="154"/>
      <x:c r="K467" s="154" t="str">
        <x:f t="shared" si="7"/>
      </x:c>
      <x:c r="L467" s="154"/>
      <x:c r="M467" s="156"/>
      <x:c r="N467" s="154" t="str">
        <x:f>IFERROR(HYPERLINK(VLOOKUP($B467,'Hack Database'!$A:$J,9,FALSE),"Open Page"),"")</x:f>
      </x:c>
      <x:c r="O467" s="154" t="str">
        <x:f>IFERROR(HYPERLINK(VLOOKUP($B467,'Hack Database'!$A:$J,10,FALSE),"Download"),"")</x:f>
      </x:c>
      <x:c r="P467" s="157"/>
    </x:row>
    <x:row r="468">
      <x:c r="A468" s="154" t="str">
        <x:f>IF($J468="Yes",COUNTIF($J$2:J468,"Yes"),"")</x:f>
      </x:c>
      <x:c r="B468" s="154"/>
      <x:c r="C468" s="154" t="str">
        <x:f>IFERROR(VLOOKUP($B468,'Hack Database'!$A:$J,2,FALSE),"")</x:f>
      </x:c>
      <x:c r="D468" s="154" t="str">
        <x:f>IFERROR(VLOOKUP($B468,'Hack Database'!$A:$J,3,FALSE),"")</x:f>
      </x:c>
      <x:c r="E468" s="154" t="str">
        <x:f>IFERROR(VLOOKUP($B468,'Hack Database'!$A:$J,4,FALSE),"")</x:f>
      </x:c>
      <x:c r="F468" s="154" t="str">
        <x:f>IFERROR(VLOOKUP($B468,'Hack Database'!$A:$J,5,FALSE),"")</x:f>
      </x:c>
      <x:c r="G468" s="154" t="str">
        <x:f>IFERROR(VLOOKUP($B468,'Hack Database'!$A:$J,6,FALSE),"")</x:f>
      </x:c>
      <x:c r="H468" s="155"/>
      <x:c r="I468" s="155"/>
      <x:c r="J468" s="154"/>
      <x:c r="K468" s="154" t="str">
        <x:f t="shared" si="7"/>
      </x:c>
      <x:c r="L468" s="154"/>
      <x:c r="M468" s="156"/>
      <x:c r="N468" s="154" t="str">
        <x:f>IFERROR(HYPERLINK(VLOOKUP($B468,'Hack Database'!$A:$J,9,FALSE),"Open Page"),"")</x:f>
      </x:c>
      <x:c r="O468" s="154" t="str">
        <x:f>IFERROR(HYPERLINK(VLOOKUP($B468,'Hack Database'!$A:$J,10,FALSE),"Download"),"")</x:f>
      </x:c>
      <x:c r="P468" s="157"/>
    </x:row>
    <x:row r="469">
      <x:c r="A469" s="154" t="str">
        <x:f>IF($J469="Yes",COUNTIF($J$2:J469,"Yes"),"")</x:f>
      </x:c>
      <x:c r="B469" s="154"/>
      <x:c r="C469" s="154" t="str">
        <x:f>IFERROR(VLOOKUP($B469,'Hack Database'!$A:$J,2,FALSE),"")</x:f>
      </x:c>
      <x:c r="D469" s="154" t="str">
        <x:f>IFERROR(VLOOKUP($B469,'Hack Database'!$A:$J,3,FALSE),"")</x:f>
      </x:c>
      <x:c r="E469" s="154" t="str">
        <x:f>IFERROR(VLOOKUP($B469,'Hack Database'!$A:$J,4,FALSE),"")</x:f>
      </x:c>
      <x:c r="F469" s="154" t="str">
        <x:f>IFERROR(VLOOKUP($B469,'Hack Database'!$A:$J,5,FALSE),"")</x:f>
      </x:c>
      <x:c r="G469" s="154" t="str">
        <x:f>IFERROR(VLOOKUP($B469,'Hack Database'!$A:$J,6,FALSE),"")</x:f>
      </x:c>
      <x:c r="H469" s="155"/>
      <x:c r="I469" s="155"/>
      <x:c r="J469" s="154"/>
      <x:c r="K469" s="154" t="str">
        <x:f t="shared" si="7"/>
      </x:c>
      <x:c r="L469" s="154"/>
      <x:c r="M469" s="156"/>
      <x:c r="N469" s="154" t="str">
        <x:f>IFERROR(HYPERLINK(VLOOKUP($B469,'Hack Database'!$A:$J,9,FALSE),"Open Page"),"")</x:f>
      </x:c>
      <x:c r="O469" s="154" t="str">
        <x:f>IFERROR(HYPERLINK(VLOOKUP($B469,'Hack Database'!$A:$J,10,FALSE),"Download"),"")</x:f>
      </x:c>
      <x:c r="P469" s="157"/>
    </x:row>
    <x:row r="470">
      <x:c r="A470" s="154" t="str">
        <x:f>IF($J470="Yes",COUNTIF($J$2:J470,"Yes"),"")</x:f>
      </x:c>
      <x:c r="B470" s="154"/>
      <x:c r="C470" s="154" t="str">
        <x:f>IFERROR(VLOOKUP($B470,'Hack Database'!$A:$J,2,FALSE),"")</x:f>
      </x:c>
      <x:c r="D470" s="154" t="str">
        <x:f>IFERROR(VLOOKUP($B470,'Hack Database'!$A:$J,3,FALSE),"")</x:f>
      </x:c>
      <x:c r="E470" s="154" t="str">
        <x:f>IFERROR(VLOOKUP($B470,'Hack Database'!$A:$J,4,FALSE),"")</x:f>
      </x:c>
      <x:c r="F470" s="154" t="str">
        <x:f>IFERROR(VLOOKUP($B470,'Hack Database'!$A:$J,5,FALSE),"")</x:f>
      </x:c>
      <x:c r="G470" s="154" t="str">
        <x:f>IFERROR(VLOOKUP($B470,'Hack Database'!$A:$J,6,FALSE),"")</x:f>
      </x:c>
      <x:c r="H470" s="155"/>
      <x:c r="I470" s="155"/>
      <x:c r="J470" s="154"/>
      <x:c r="K470" s="154" t="str">
        <x:f t="shared" si="7"/>
      </x:c>
      <x:c r="L470" s="154"/>
      <x:c r="M470" s="156"/>
      <x:c r="N470" s="154" t="str">
        <x:f>IFERROR(HYPERLINK(VLOOKUP($B470,'Hack Database'!$A:$J,9,FALSE),"Open Page"),"")</x:f>
      </x:c>
      <x:c r="O470" s="154" t="str">
        <x:f>IFERROR(HYPERLINK(VLOOKUP($B470,'Hack Database'!$A:$J,10,FALSE),"Download"),"")</x:f>
      </x:c>
      <x:c r="P470" s="157"/>
    </x:row>
    <x:row r="471">
      <x:c r="A471" s="154" t="str">
        <x:f>IF($J471="Yes",COUNTIF($J$2:J471,"Yes"),"")</x:f>
      </x:c>
      <x:c r="B471" s="154"/>
      <x:c r="C471" s="154" t="str">
        <x:f>IFERROR(VLOOKUP($B471,'Hack Database'!$A:$J,2,FALSE),"")</x:f>
      </x:c>
      <x:c r="D471" s="154" t="str">
        <x:f>IFERROR(VLOOKUP($B471,'Hack Database'!$A:$J,3,FALSE),"")</x:f>
      </x:c>
      <x:c r="E471" s="154" t="str">
        <x:f>IFERROR(VLOOKUP($B471,'Hack Database'!$A:$J,4,FALSE),"")</x:f>
      </x:c>
      <x:c r="F471" s="154" t="str">
        <x:f>IFERROR(VLOOKUP($B471,'Hack Database'!$A:$J,5,FALSE),"")</x:f>
      </x:c>
      <x:c r="G471" s="154" t="str">
        <x:f>IFERROR(VLOOKUP($B471,'Hack Database'!$A:$J,6,FALSE),"")</x:f>
      </x:c>
      <x:c r="H471" s="155"/>
      <x:c r="I471" s="155"/>
      <x:c r="J471" s="154"/>
      <x:c r="K471" s="154" t="str">
        <x:f t="shared" si="7"/>
      </x:c>
      <x:c r="L471" s="154"/>
      <x:c r="M471" s="156"/>
      <x:c r="N471" s="154" t="str">
        <x:f>IFERROR(HYPERLINK(VLOOKUP($B471,'Hack Database'!$A:$J,9,FALSE),"Open Page"),"")</x:f>
      </x:c>
      <x:c r="O471" s="154" t="str">
        <x:f>IFERROR(HYPERLINK(VLOOKUP($B471,'Hack Database'!$A:$J,10,FALSE),"Download"),"")</x:f>
      </x:c>
      <x:c r="P471" s="157"/>
    </x:row>
    <x:row r="472">
      <x:c r="A472" s="154" t="str">
        <x:f>IF($J472="Yes",COUNTIF($J$2:J472,"Yes"),"")</x:f>
      </x:c>
      <x:c r="B472" s="154"/>
      <x:c r="C472" s="154" t="str">
        <x:f>IFERROR(VLOOKUP($B472,'Hack Database'!$A:$J,2,FALSE),"")</x:f>
      </x:c>
      <x:c r="D472" s="154" t="str">
        <x:f>IFERROR(VLOOKUP($B472,'Hack Database'!$A:$J,3,FALSE),"")</x:f>
      </x:c>
      <x:c r="E472" s="154" t="str">
        <x:f>IFERROR(VLOOKUP($B472,'Hack Database'!$A:$J,4,FALSE),"")</x:f>
      </x:c>
      <x:c r="F472" s="154" t="str">
        <x:f>IFERROR(VLOOKUP($B472,'Hack Database'!$A:$J,5,FALSE),"")</x:f>
      </x:c>
      <x:c r="G472" s="154" t="str">
        <x:f>IFERROR(VLOOKUP($B472,'Hack Database'!$A:$J,6,FALSE),"")</x:f>
      </x:c>
      <x:c r="H472" s="155"/>
      <x:c r="I472" s="155"/>
      <x:c r="J472" s="154"/>
      <x:c r="K472" s="154" t="str">
        <x:f t="shared" si="7"/>
      </x:c>
      <x:c r="L472" s="154"/>
      <x:c r="M472" s="156"/>
      <x:c r="N472" s="154" t="str">
        <x:f>IFERROR(HYPERLINK(VLOOKUP($B472,'Hack Database'!$A:$J,9,FALSE),"Open Page"),"")</x:f>
      </x:c>
      <x:c r="O472" s="154" t="str">
        <x:f>IFERROR(HYPERLINK(VLOOKUP($B472,'Hack Database'!$A:$J,10,FALSE),"Download"),"")</x:f>
      </x:c>
      <x:c r="P472" s="157"/>
    </x:row>
    <x:row r="473">
      <x:c r="A473" s="154" t="str">
        <x:f>IF($J473="Yes",COUNTIF($J$2:J473,"Yes"),"")</x:f>
      </x:c>
      <x:c r="B473" s="154"/>
      <x:c r="C473" s="154" t="str">
        <x:f>IFERROR(VLOOKUP($B473,'Hack Database'!$A:$J,2,FALSE),"")</x:f>
      </x:c>
      <x:c r="D473" s="154" t="str">
        <x:f>IFERROR(VLOOKUP($B473,'Hack Database'!$A:$J,3,FALSE),"")</x:f>
      </x:c>
      <x:c r="E473" s="154" t="str">
        <x:f>IFERROR(VLOOKUP($B473,'Hack Database'!$A:$J,4,FALSE),"")</x:f>
      </x:c>
      <x:c r="F473" s="154" t="str">
        <x:f>IFERROR(VLOOKUP($B473,'Hack Database'!$A:$J,5,FALSE),"")</x:f>
      </x:c>
      <x:c r="G473" s="154" t="str">
        <x:f>IFERROR(VLOOKUP($B473,'Hack Database'!$A:$J,6,FALSE),"")</x:f>
      </x:c>
      <x:c r="H473" s="155"/>
      <x:c r="I473" s="155"/>
      <x:c r="J473" s="154"/>
      <x:c r="K473" s="154" t="str">
        <x:f t="shared" si="7"/>
      </x:c>
      <x:c r="L473" s="154"/>
      <x:c r="M473" s="156"/>
      <x:c r="N473" s="154" t="str">
        <x:f>IFERROR(HYPERLINK(VLOOKUP($B473,'Hack Database'!$A:$J,9,FALSE),"Open Page"),"")</x:f>
      </x:c>
      <x:c r="O473" s="154" t="str">
        <x:f>IFERROR(HYPERLINK(VLOOKUP($B473,'Hack Database'!$A:$J,10,FALSE),"Download"),"")</x:f>
      </x:c>
      <x:c r="P473" s="157"/>
    </x:row>
    <x:row r="474">
      <x:c r="A474" s="154" t="str">
        <x:f>IF($J474="Yes",COUNTIF($J$2:J474,"Yes"),"")</x:f>
      </x:c>
      <x:c r="B474" s="154"/>
      <x:c r="C474" s="154" t="str">
        <x:f>IFERROR(VLOOKUP($B474,'Hack Database'!$A:$J,2,FALSE),"")</x:f>
      </x:c>
      <x:c r="D474" s="154" t="str">
        <x:f>IFERROR(VLOOKUP($B474,'Hack Database'!$A:$J,3,FALSE),"")</x:f>
      </x:c>
      <x:c r="E474" s="154" t="str">
        <x:f>IFERROR(VLOOKUP($B474,'Hack Database'!$A:$J,4,FALSE),"")</x:f>
      </x:c>
      <x:c r="F474" s="154" t="str">
        <x:f>IFERROR(VLOOKUP($B474,'Hack Database'!$A:$J,5,FALSE),"")</x:f>
      </x:c>
      <x:c r="G474" s="154" t="str">
        <x:f>IFERROR(VLOOKUP($B474,'Hack Database'!$A:$J,6,FALSE),"")</x:f>
      </x:c>
      <x:c r="H474" s="155"/>
      <x:c r="I474" s="155"/>
      <x:c r="J474" s="154"/>
      <x:c r="K474" s="154" t="str">
        <x:f t="shared" si="7"/>
      </x:c>
      <x:c r="L474" s="154"/>
      <x:c r="M474" s="156"/>
      <x:c r="N474" s="154" t="str">
        <x:f>IFERROR(HYPERLINK(VLOOKUP($B474,'Hack Database'!$A:$J,9,FALSE),"Open Page"),"")</x:f>
      </x:c>
      <x:c r="O474" s="154" t="str">
        <x:f>IFERROR(HYPERLINK(VLOOKUP($B474,'Hack Database'!$A:$J,10,FALSE),"Download"),"")</x:f>
      </x:c>
      <x:c r="P474" s="157"/>
    </x:row>
    <x:row r="475">
      <x:c r="A475" s="154" t="str">
        <x:f>IF($J475="Yes",COUNTIF($J$2:J475,"Yes"),"")</x:f>
      </x:c>
      <x:c r="B475" s="154"/>
      <x:c r="C475" s="154" t="str">
        <x:f>IFERROR(VLOOKUP($B475,'Hack Database'!$A:$J,2,FALSE),"")</x:f>
      </x:c>
      <x:c r="D475" s="154" t="str">
        <x:f>IFERROR(VLOOKUP($B475,'Hack Database'!$A:$J,3,FALSE),"")</x:f>
      </x:c>
      <x:c r="E475" s="154" t="str">
        <x:f>IFERROR(VLOOKUP($B475,'Hack Database'!$A:$J,4,FALSE),"")</x:f>
      </x:c>
      <x:c r="F475" s="154" t="str">
        <x:f>IFERROR(VLOOKUP($B475,'Hack Database'!$A:$J,5,FALSE),"")</x:f>
      </x:c>
      <x:c r="G475" s="154" t="str">
        <x:f>IFERROR(VLOOKUP($B475,'Hack Database'!$A:$J,6,FALSE),"")</x:f>
      </x:c>
      <x:c r="H475" s="155"/>
      <x:c r="I475" s="155"/>
      <x:c r="J475" s="154"/>
      <x:c r="K475" s="154" t="str">
        <x:f t="shared" si="7"/>
      </x:c>
      <x:c r="L475" s="154"/>
      <x:c r="M475" s="156"/>
      <x:c r="N475" s="154" t="str">
        <x:f>IFERROR(HYPERLINK(VLOOKUP($B475,'Hack Database'!$A:$J,9,FALSE),"Open Page"),"")</x:f>
      </x:c>
      <x:c r="O475" s="154" t="str">
        <x:f>IFERROR(HYPERLINK(VLOOKUP($B475,'Hack Database'!$A:$J,10,FALSE),"Download"),"")</x:f>
      </x:c>
      <x:c r="P475" s="157"/>
    </x:row>
    <x:row r="476">
      <x:c r="A476" s="154" t="str">
        <x:f>IF($J476="Yes",COUNTIF($J$2:J476,"Yes"),"")</x:f>
      </x:c>
      <x:c r="B476" s="154"/>
      <x:c r="C476" s="154" t="str">
        <x:f>IFERROR(VLOOKUP($B476,'Hack Database'!$A:$J,2,FALSE),"")</x:f>
      </x:c>
      <x:c r="D476" s="154" t="str">
        <x:f>IFERROR(VLOOKUP($B476,'Hack Database'!$A:$J,3,FALSE),"")</x:f>
      </x:c>
      <x:c r="E476" s="154" t="str">
        <x:f>IFERROR(VLOOKUP($B476,'Hack Database'!$A:$J,4,FALSE),"")</x:f>
      </x:c>
      <x:c r="F476" s="154" t="str">
        <x:f>IFERROR(VLOOKUP($B476,'Hack Database'!$A:$J,5,FALSE),"")</x:f>
      </x:c>
      <x:c r="G476" s="154" t="str">
        <x:f>IFERROR(VLOOKUP($B476,'Hack Database'!$A:$J,6,FALSE),"")</x:f>
      </x:c>
      <x:c r="H476" s="155"/>
      <x:c r="I476" s="155"/>
      <x:c r="J476" s="154"/>
      <x:c r="K476" s="154" t="str">
        <x:f t="shared" si="7"/>
      </x:c>
      <x:c r="L476" s="154"/>
      <x:c r="M476" s="156"/>
      <x:c r="N476" s="154" t="str">
        <x:f>IFERROR(HYPERLINK(VLOOKUP($B476,'Hack Database'!$A:$J,9,FALSE),"Open Page"),"")</x:f>
      </x:c>
      <x:c r="O476" s="154" t="str">
        <x:f>IFERROR(HYPERLINK(VLOOKUP($B476,'Hack Database'!$A:$J,10,FALSE),"Download"),"")</x:f>
      </x:c>
      <x:c r="P476" s="157"/>
    </x:row>
    <x:row r="477">
      <x:c r="A477" s="154" t="str">
        <x:f>IF($J477="Yes",COUNTIF($J$2:J477,"Yes"),"")</x:f>
      </x:c>
      <x:c r="B477" s="154"/>
      <x:c r="C477" s="154" t="str">
        <x:f>IFERROR(VLOOKUP($B477,'Hack Database'!$A:$J,2,FALSE),"")</x:f>
      </x:c>
      <x:c r="D477" s="154" t="str">
        <x:f>IFERROR(VLOOKUP($B477,'Hack Database'!$A:$J,3,FALSE),"")</x:f>
      </x:c>
      <x:c r="E477" s="154" t="str">
        <x:f>IFERROR(VLOOKUP($B477,'Hack Database'!$A:$J,4,FALSE),"")</x:f>
      </x:c>
      <x:c r="F477" s="154" t="str">
        <x:f>IFERROR(VLOOKUP($B477,'Hack Database'!$A:$J,5,FALSE),"")</x:f>
      </x:c>
      <x:c r="G477" s="154" t="str">
        <x:f>IFERROR(VLOOKUP($B477,'Hack Database'!$A:$J,6,FALSE),"")</x:f>
      </x:c>
      <x:c r="H477" s="155"/>
      <x:c r="I477" s="155"/>
      <x:c r="J477" s="154"/>
      <x:c r="K477" s="154" t="str">
        <x:f t="shared" si="7"/>
      </x:c>
      <x:c r="L477" s="154"/>
      <x:c r="M477" s="156"/>
      <x:c r="N477" s="154" t="str">
        <x:f>IFERROR(HYPERLINK(VLOOKUP($B477,'Hack Database'!$A:$J,9,FALSE),"Open Page"),"")</x:f>
      </x:c>
      <x:c r="O477" s="154" t="str">
        <x:f>IFERROR(HYPERLINK(VLOOKUP($B477,'Hack Database'!$A:$J,10,FALSE),"Download"),"")</x:f>
      </x:c>
      <x:c r="P477" s="157"/>
    </x:row>
    <x:row r="478">
      <x:c r="A478" s="154" t="str">
        <x:f>IF($J478="Yes",COUNTIF($J$2:J478,"Yes"),"")</x:f>
      </x:c>
      <x:c r="B478" s="154"/>
      <x:c r="C478" s="154" t="str">
        <x:f>IFERROR(VLOOKUP($B478,'Hack Database'!$A:$J,2,FALSE),"")</x:f>
      </x:c>
      <x:c r="D478" s="154" t="str">
        <x:f>IFERROR(VLOOKUP($B478,'Hack Database'!$A:$J,3,FALSE),"")</x:f>
      </x:c>
      <x:c r="E478" s="154" t="str">
        <x:f>IFERROR(VLOOKUP($B478,'Hack Database'!$A:$J,4,FALSE),"")</x:f>
      </x:c>
      <x:c r="F478" s="154" t="str">
        <x:f>IFERROR(VLOOKUP($B478,'Hack Database'!$A:$J,5,FALSE),"")</x:f>
      </x:c>
      <x:c r="G478" s="154" t="str">
        <x:f>IFERROR(VLOOKUP($B478,'Hack Database'!$A:$J,6,FALSE),"")</x:f>
      </x:c>
      <x:c r="H478" s="155"/>
      <x:c r="I478" s="155"/>
      <x:c r="J478" s="154"/>
      <x:c r="K478" s="154" t="str">
        <x:f t="shared" si="7"/>
      </x:c>
      <x:c r="L478" s="154"/>
      <x:c r="M478" s="156"/>
      <x:c r="N478" s="154" t="str">
        <x:f>IFERROR(HYPERLINK(VLOOKUP($B478,'Hack Database'!$A:$J,9,FALSE),"Open Page"),"")</x:f>
      </x:c>
      <x:c r="O478" s="154" t="str">
        <x:f>IFERROR(HYPERLINK(VLOOKUP($B478,'Hack Database'!$A:$J,10,FALSE),"Download"),"")</x:f>
      </x:c>
      <x:c r="P478" s="157"/>
    </x:row>
    <x:row r="479">
      <x:c r="A479" s="154" t="str">
        <x:f>IF($J479="Yes",COUNTIF($J$2:J479,"Yes"),"")</x:f>
      </x:c>
      <x:c r="B479" s="154"/>
      <x:c r="C479" s="154" t="str">
        <x:f>IFERROR(VLOOKUP($B479,'Hack Database'!$A:$J,2,FALSE),"")</x:f>
      </x:c>
      <x:c r="D479" s="154" t="str">
        <x:f>IFERROR(VLOOKUP($B479,'Hack Database'!$A:$J,3,FALSE),"")</x:f>
      </x:c>
      <x:c r="E479" s="154" t="str">
        <x:f>IFERROR(VLOOKUP($B479,'Hack Database'!$A:$J,4,FALSE),"")</x:f>
      </x:c>
      <x:c r="F479" s="154" t="str">
        <x:f>IFERROR(VLOOKUP($B479,'Hack Database'!$A:$J,5,FALSE),"")</x:f>
      </x:c>
      <x:c r="G479" s="154" t="str">
        <x:f>IFERROR(VLOOKUP($B479,'Hack Database'!$A:$J,6,FALSE),"")</x:f>
      </x:c>
      <x:c r="H479" s="155"/>
      <x:c r="I479" s="155"/>
      <x:c r="J479" s="154"/>
      <x:c r="K479" s="154" t="str">
        <x:f t="shared" si="7"/>
      </x:c>
      <x:c r="L479" s="154"/>
      <x:c r="M479" s="156"/>
      <x:c r="N479" s="154" t="str">
        <x:f>IFERROR(HYPERLINK(VLOOKUP($B479,'Hack Database'!$A:$J,9,FALSE),"Open Page"),"")</x:f>
      </x:c>
      <x:c r="O479" s="154" t="str">
        <x:f>IFERROR(HYPERLINK(VLOOKUP($B479,'Hack Database'!$A:$J,10,FALSE),"Download"),"")</x:f>
      </x:c>
      <x:c r="P479" s="157"/>
    </x:row>
    <x:row r="480">
      <x:c r="A480" s="154" t="str">
        <x:f>IF($J480="Yes",COUNTIF($J$2:J480,"Yes"),"")</x:f>
      </x:c>
      <x:c r="B480" s="154"/>
      <x:c r="C480" s="154" t="str">
        <x:f>IFERROR(VLOOKUP($B480,'Hack Database'!$A:$J,2,FALSE),"")</x:f>
      </x:c>
      <x:c r="D480" s="154" t="str">
        <x:f>IFERROR(VLOOKUP($B480,'Hack Database'!$A:$J,3,FALSE),"")</x:f>
      </x:c>
      <x:c r="E480" s="154" t="str">
        <x:f>IFERROR(VLOOKUP($B480,'Hack Database'!$A:$J,4,FALSE),"")</x:f>
      </x:c>
      <x:c r="F480" s="154" t="str">
        <x:f>IFERROR(VLOOKUP($B480,'Hack Database'!$A:$J,5,FALSE),"")</x:f>
      </x:c>
      <x:c r="G480" s="154" t="str">
        <x:f>IFERROR(VLOOKUP($B480,'Hack Database'!$A:$J,6,FALSE),"")</x:f>
      </x:c>
      <x:c r="H480" s="155"/>
      <x:c r="I480" s="155"/>
      <x:c r="J480" s="154"/>
      <x:c r="K480" s="154" t="str">
        <x:f t="shared" si="7"/>
      </x:c>
      <x:c r="L480" s="154"/>
      <x:c r="M480" s="156"/>
      <x:c r="N480" s="154" t="str">
        <x:f>IFERROR(HYPERLINK(VLOOKUP($B480,'Hack Database'!$A:$J,9,FALSE),"Open Page"),"")</x:f>
      </x:c>
      <x:c r="O480" s="154" t="str">
        <x:f>IFERROR(HYPERLINK(VLOOKUP($B480,'Hack Database'!$A:$J,10,FALSE),"Download"),"")</x:f>
      </x:c>
      <x:c r="P480" s="157"/>
    </x:row>
    <x:row r="481">
      <x:c r="A481" s="154" t="str">
        <x:f>IF($J481="Yes",COUNTIF($J$2:J481,"Yes"),"")</x:f>
      </x:c>
      <x:c r="B481" s="154"/>
      <x:c r="C481" s="154" t="str">
        <x:f>IFERROR(VLOOKUP($B481,'Hack Database'!$A:$J,2,FALSE),"")</x:f>
      </x:c>
      <x:c r="D481" s="154" t="str">
        <x:f>IFERROR(VLOOKUP($B481,'Hack Database'!$A:$J,3,FALSE),"")</x:f>
      </x:c>
      <x:c r="E481" s="154" t="str">
        <x:f>IFERROR(VLOOKUP($B481,'Hack Database'!$A:$J,4,FALSE),"")</x:f>
      </x:c>
      <x:c r="F481" s="154" t="str">
        <x:f>IFERROR(VLOOKUP($B481,'Hack Database'!$A:$J,5,FALSE),"")</x:f>
      </x:c>
      <x:c r="G481" s="154" t="str">
        <x:f>IFERROR(VLOOKUP($B481,'Hack Database'!$A:$J,6,FALSE),"")</x:f>
      </x:c>
      <x:c r="H481" s="155"/>
      <x:c r="I481" s="155"/>
      <x:c r="J481" s="154"/>
      <x:c r="K481" s="154" t="str">
        <x:f t="shared" si="7"/>
      </x:c>
      <x:c r="L481" s="154"/>
      <x:c r="M481" s="156"/>
      <x:c r="N481" s="154" t="str">
        <x:f>IFERROR(HYPERLINK(VLOOKUP($B481,'Hack Database'!$A:$J,9,FALSE),"Open Page"),"")</x:f>
      </x:c>
      <x:c r="O481" s="154" t="str">
        <x:f>IFERROR(HYPERLINK(VLOOKUP($B481,'Hack Database'!$A:$J,10,FALSE),"Download"),"")</x:f>
      </x:c>
      <x:c r="P481" s="157"/>
    </x:row>
    <x:row r="482">
      <x:c r="A482" s="154" t="str">
        <x:f>IF($J482="Yes",COUNTIF($J$2:J482,"Yes"),"")</x:f>
      </x:c>
      <x:c r="B482" s="154"/>
      <x:c r="C482" s="154" t="str">
        <x:f>IFERROR(VLOOKUP($B482,'Hack Database'!$A:$J,2,FALSE),"")</x:f>
      </x:c>
      <x:c r="D482" s="154" t="str">
        <x:f>IFERROR(VLOOKUP($B482,'Hack Database'!$A:$J,3,FALSE),"")</x:f>
      </x:c>
      <x:c r="E482" s="154" t="str">
        <x:f>IFERROR(VLOOKUP($B482,'Hack Database'!$A:$J,4,FALSE),"")</x:f>
      </x:c>
      <x:c r="F482" s="154" t="str">
        <x:f>IFERROR(VLOOKUP($B482,'Hack Database'!$A:$J,5,FALSE),"")</x:f>
      </x:c>
      <x:c r="G482" s="154" t="str">
        <x:f>IFERROR(VLOOKUP($B482,'Hack Database'!$A:$J,6,FALSE),"")</x:f>
      </x:c>
      <x:c r="H482" s="155"/>
      <x:c r="I482" s="155"/>
      <x:c r="J482" s="154"/>
      <x:c r="K482" s="154" t="str">
        <x:f t="shared" si="7"/>
      </x:c>
      <x:c r="L482" s="154"/>
      <x:c r="M482" s="156"/>
      <x:c r="N482" s="154" t="str">
        <x:f>IFERROR(HYPERLINK(VLOOKUP($B482,'Hack Database'!$A:$J,9,FALSE),"Open Page"),"")</x:f>
      </x:c>
      <x:c r="O482" s="154" t="str">
        <x:f>IFERROR(HYPERLINK(VLOOKUP($B482,'Hack Database'!$A:$J,10,FALSE),"Download"),"")</x:f>
      </x:c>
      <x:c r="P482" s="157"/>
    </x:row>
    <x:row r="483">
      <x:c r="A483" s="154" t="str">
        <x:f>IF($J483="Yes",COUNTIF($J$2:J483,"Yes"),"")</x:f>
      </x:c>
      <x:c r="B483" s="154"/>
      <x:c r="C483" s="154" t="str">
        <x:f>IFERROR(VLOOKUP($B483,'Hack Database'!$A:$J,2,FALSE),"")</x:f>
      </x:c>
      <x:c r="D483" s="154" t="str">
        <x:f>IFERROR(VLOOKUP($B483,'Hack Database'!$A:$J,3,FALSE),"")</x:f>
      </x:c>
      <x:c r="E483" s="154" t="str">
        <x:f>IFERROR(VLOOKUP($B483,'Hack Database'!$A:$J,4,FALSE),"")</x:f>
      </x:c>
      <x:c r="F483" s="154" t="str">
        <x:f>IFERROR(VLOOKUP($B483,'Hack Database'!$A:$J,5,FALSE),"")</x:f>
      </x:c>
      <x:c r="G483" s="154" t="str">
        <x:f>IFERROR(VLOOKUP($B483,'Hack Database'!$A:$J,6,FALSE),"")</x:f>
      </x:c>
      <x:c r="H483" s="155"/>
      <x:c r="I483" s="155"/>
      <x:c r="J483" s="154"/>
      <x:c r="K483" s="154" t="str">
        <x:f t="shared" si="7"/>
      </x:c>
      <x:c r="L483" s="154"/>
      <x:c r="M483" s="156"/>
      <x:c r="N483" s="154" t="str">
        <x:f>IFERROR(HYPERLINK(VLOOKUP($B483,'Hack Database'!$A:$J,9,FALSE),"Open Page"),"")</x:f>
      </x:c>
      <x:c r="O483" s="154" t="str">
        <x:f>IFERROR(HYPERLINK(VLOOKUP($B483,'Hack Database'!$A:$J,10,FALSE),"Download"),"")</x:f>
      </x:c>
      <x:c r="P483" s="157"/>
    </x:row>
    <x:row r="484">
      <x:c r="A484" s="154" t="str">
        <x:f>IF($J484="Yes",COUNTIF($J$2:J484,"Yes"),"")</x:f>
      </x:c>
      <x:c r="B484" s="154"/>
      <x:c r="C484" s="154" t="str">
        <x:f>IFERROR(VLOOKUP($B484,'Hack Database'!$A:$J,2,FALSE),"")</x:f>
      </x:c>
      <x:c r="D484" s="154" t="str">
        <x:f>IFERROR(VLOOKUP($B484,'Hack Database'!$A:$J,3,FALSE),"")</x:f>
      </x:c>
      <x:c r="E484" s="154" t="str">
        <x:f>IFERROR(VLOOKUP($B484,'Hack Database'!$A:$J,4,FALSE),"")</x:f>
      </x:c>
      <x:c r="F484" s="154" t="str">
        <x:f>IFERROR(VLOOKUP($B484,'Hack Database'!$A:$J,5,FALSE),"")</x:f>
      </x:c>
      <x:c r="G484" s="154" t="str">
        <x:f>IFERROR(VLOOKUP($B484,'Hack Database'!$A:$J,6,FALSE),"")</x:f>
      </x:c>
      <x:c r="H484" s="155"/>
      <x:c r="I484" s="155"/>
      <x:c r="J484" s="154"/>
      <x:c r="K484" s="154" t="str">
        <x:f t="shared" si="7"/>
      </x:c>
      <x:c r="L484" s="154"/>
      <x:c r="M484" s="156"/>
      <x:c r="N484" s="154" t="str">
        <x:f>IFERROR(HYPERLINK(VLOOKUP($B484,'Hack Database'!$A:$J,9,FALSE),"Open Page"),"")</x:f>
      </x:c>
      <x:c r="O484" s="154" t="str">
        <x:f>IFERROR(HYPERLINK(VLOOKUP($B484,'Hack Database'!$A:$J,10,FALSE),"Download"),"")</x:f>
      </x:c>
      <x:c r="P484" s="157"/>
    </x:row>
    <x:row r="485">
      <x:c r="A485" s="154" t="str">
        <x:f>IF($J485="Yes",COUNTIF($J$2:J485,"Yes"),"")</x:f>
      </x:c>
      <x:c r="B485" s="154"/>
      <x:c r="C485" s="154" t="str">
        <x:f>IFERROR(VLOOKUP($B485,'Hack Database'!$A:$J,2,FALSE),"")</x:f>
      </x:c>
      <x:c r="D485" s="154" t="str">
        <x:f>IFERROR(VLOOKUP($B485,'Hack Database'!$A:$J,3,FALSE),"")</x:f>
      </x:c>
      <x:c r="E485" s="154" t="str">
        <x:f>IFERROR(VLOOKUP($B485,'Hack Database'!$A:$J,4,FALSE),"")</x:f>
      </x:c>
      <x:c r="F485" s="154" t="str">
        <x:f>IFERROR(VLOOKUP($B485,'Hack Database'!$A:$J,5,FALSE),"")</x:f>
      </x:c>
      <x:c r="G485" s="154" t="str">
        <x:f>IFERROR(VLOOKUP($B485,'Hack Database'!$A:$J,6,FALSE),"")</x:f>
      </x:c>
      <x:c r="H485" s="155"/>
      <x:c r="I485" s="155"/>
      <x:c r="J485" s="154"/>
      <x:c r="K485" s="154" t="str">
        <x:f t="shared" si="7"/>
      </x:c>
      <x:c r="L485" s="154"/>
      <x:c r="M485" s="156"/>
      <x:c r="N485" s="154" t="str">
        <x:f>IFERROR(HYPERLINK(VLOOKUP($B485,'Hack Database'!$A:$J,9,FALSE),"Open Page"),"")</x:f>
      </x:c>
      <x:c r="O485" s="154" t="str">
        <x:f>IFERROR(HYPERLINK(VLOOKUP($B485,'Hack Database'!$A:$J,10,FALSE),"Download"),"")</x:f>
      </x:c>
      <x:c r="P485" s="157"/>
    </x:row>
    <x:row r="486">
      <x:c r="A486" s="154" t="str">
        <x:f>IF($J486="Yes",COUNTIF($J$2:J486,"Yes"),"")</x:f>
      </x:c>
      <x:c r="B486" s="154"/>
      <x:c r="C486" s="154" t="str">
        <x:f>IFERROR(VLOOKUP($B486,'Hack Database'!$A:$J,2,FALSE),"")</x:f>
      </x:c>
      <x:c r="D486" s="154" t="str">
        <x:f>IFERROR(VLOOKUP($B486,'Hack Database'!$A:$J,3,FALSE),"")</x:f>
      </x:c>
      <x:c r="E486" s="154" t="str">
        <x:f>IFERROR(VLOOKUP($B486,'Hack Database'!$A:$J,4,FALSE),"")</x:f>
      </x:c>
      <x:c r="F486" s="154" t="str">
        <x:f>IFERROR(VLOOKUP($B486,'Hack Database'!$A:$J,5,FALSE),"")</x:f>
      </x:c>
      <x:c r="G486" s="154" t="str">
        <x:f>IFERROR(VLOOKUP($B486,'Hack Database'!$A:$J,6,FALSE),"")</x:f>
      </x:c>
      <x:c r="H486" s="155"/>
      <x:c r="I486" s="155"/>
      <x:c r="J486" s="154"/>
      <x:c r="K486" s="154" t="str">
        <x:f t="shared" si="7"/>
      </x:c>
      <x:c r="L486" s="154"/>
      <x:c r="M486" s="156"/>
      <x:c r="N486" s="154" t="str">
        <x:f>IFERROR(HYPERLINK(VLOOKUP($B486,'Hack Database'!$A:$J,9,FALSE),"Open Page"),"")</x:f>
      </x:c>
      <x:c r="O486" s="154" t="str">
        <x:f>IFERROR(HYPERLINK(VLOOKUP($B486,'Hack Database'!$A:$J,10,FALSE),"Download"),"")</x:f>
      </x:c>
      <x:c r="P486" s="157"/>
    </x:row>
    <x:row r="487">
      <x:c r="A487" s="154" t="str">
        <x:f>IF($J487="Yes",COUNTIF($J$2:J487,"Yes"),"")</x:f>
      </x:c>
      <x:c r="B487" s="154"/>
      <x:c r="C487" s="154" t="str">
        <x:f>IFERROR(VLOOKUP($B487,'Hack Database'!$A:$J,2,FALSE),"")</x:f>
      </x:c>
      <x:c r="D487" s="154" t="str">
        <x:f>IFERROR(VLOOKUP($B487,'Hack Database'!$A:$J,3,FALSE),"")</x:f>
      </x:c>
      <x:c r="E487" s="154" t="str">
        <x:f>IFERROR(VLOOKUP($B487,'Hack Database'!$A:$J,4,FALSE),"")</x:f>
      </x:c>
      <x:c r="F487" s="154" t="str">
        <x:f>IFERROR(VLOOKUP($B487,'Hack Database'!$A:$J,5,FALSE),"")</x:f>
      </x:c>
      <x:c r="G487" s="154" t="str">
        <x:f>IFERROR(VLOOKUP($B487,'Hack Database'!$A:$J,6,FALSE),"")</x:f>
      </x:c>
      <x:c r="H487" s="155"/>
      <x:c r="I487" s="155"/>
      <x:c r="J487" s="154"/>
      <x:c r="K487" s="154" t="str">
        <x:f t="shared" si="7"/>
      </x:c>
      <x:c r="L487" s="154"/>
      <x:c r="M487" s="156"/>
      <x:c r="N487" s="154" t="str">
        <x:f>IFERROR(HYPERLINK(VLOOKUP($B487,'Hack Database'!$A:$J,9,FALSE),"Open Page"),"")</x:f>
      </x:c>
      <x:c r="O487" s="154" t="str">
        <x:f>IFERROR(HYPERLINK(VLOOKUP($B487,'Hack Database'!$A:$J,10,FALSE),"Download"),"")</x:f>
      </x:c>
      <x:c r="P487" s="157"/>
    </x:row>
    <x:row r="488">
      <x:c r="A488" s="154" t="str">
        <x:f>IF($J488="Yes",COUNTIF($J$2:J488,"Yes"),"")</x:f>
      </x:c>
      <x:c r="B488" s="154"/>
      <x:c r="C488" s="154" t="str">
        <x:f>IFERROR(VLOOKUP($B488,'Hack Database'!$A:$J,2,FALSE),"")</x:f>
      </x:c>
      <x:c r="D488" s="154" t="str">
        <x:f>IFERROR(VLOOKUP($B488,'Hack Database'!$A:$J,3,FALSE),"")</x:f>
      </x:c>
      <x:c r="E488" s="154" t="str">
        <x:f>IFERROR(VLOOKUP($B488,'Hack Database'!$A:$J,4,FALSE),"")</x:f>
      </x:c>
      <x:c r="F488" s="154" t="str">
        <x:f>IFERROR(VLOOKUP($B488,'Hack Database'!$A:$J,5,FALSE),"")</x:f>
      </x:c>
      <x:c r="G488" s="154" t="str">
        <x:f>IFERROR(VLOOKUP($B488,'Hack Database'!$A:$J,6,FALSE),"")</x:f>
      </x:c>
      <x:c r="H488" s="155"/>
      <x:c r="I488" s="155"/>
      <x:c r="J488" s="154"/>
      <x:c r="K488" s="154" t="str">
        <x:f t="shared" si="7"/>
      </x:c>
      <x:c r="L488" s="154"/>
      <x:c r="M488" s="156"/>
      <x:c r="N488" s="154" t="str">
        <x:f>IFERROR(HYPERLINK(VLOOKUP($B488,'Hack Database'!$A:$J,9,FALSE),"Open Page"),"")</x:f>
      </x:c>
      <x:c r="O488" s="154" t="str">
        <x:f>IFERROR(HYPERLINK(VLOOKUP($B488,'Hack Database'!$A:$J,10,FALSE),"Download"),"")</x:f>
      </x:c>
      <x:c r="P488" s="157"/>
    </x:row>
    <x:row r="489">
      <x:c r="A489" s="154" t="str">
        <x:f>IF($J489="Yes",COUNTIF($J$2:J489,"Yes"),"")</x:f>
      </x:c>
      <x:c r="B489" s="154"/>
      <x:c r="C489" s="154" t="str">
        <x:f>IFERROR(VLOOKUP($B489,'Hack Database'!$A:$J,2,FALSE),"")</x:f>
      </x:c>
      <x:c r="D489" s="154" t="str">
        <x:f>IFERROR(VLOOKUP($B489,'Hack Database'!$A:$J,3,FALSE),"")</x:f>
      </x:c>
      <x:c r="E489" s="154" t="str">
        <x:f>IFERROR(VLOOKUP($B489,'Hack Database'!$A:$J,4,FALSE),"")</x:f>
      </x:c>
      <x:c r="F489" s="154" t="str">
        <x:f>IFERROR(VLOOKUP($B489,'Hack Database'!$A:$J,5,FALSE),"")</x:f>
      </x:c>
      <x:c r="G489" s="154" t="str">
        <x:f>IFERROR(VLOOKUP($B489,'Hack Database'!$A:$J,6,FALSE),"")</x:f>
      </x:c>
      <x:c r="H489" s="155"/>
      <x:c r="I489" s="155"/>
      <x:c r="J489" s="154"/>
      <x:c r="K489" s="154" t="str">
        <x:f t="shared" si="7"/>
      </x:c>
      <x:c r="L489" s="154"/>
      <x:c r="M489" s="156"/>
      <x:c r="N489" s="154" t="str">
        <x:f>IFERROR(HYPERLINK(VLOOKUP($B489,'Hack Database'!$A:$J,9,FALSE),"Open Page"),"")</x:f>
      </x:c>
      <x:c r="O489" s="154" t="str">
        <x:f>IFERROR(HYPERLINK(VLOOKUP($B489,'Hack Database'!$A:$J,10,FALSE),"Download"),"")</x:f>
      </x:c>
      <x:c r="P489" s="157"/>
    </x:row>
    <x:row r="490">
      <x:c r="A490" s="154" t="str">
        <x:f>IF($J490="Yes",COUNTIF($J$2:J490,"Yes"),"")</x:f>
      </x:c>
      <x:c r="B490" s="154"/>
      <x:c r="C490" s="154" t="str">
        <x:f>IFERROR(VLOOKUP($B490,'Hack Database'!$A:$J,2,FALSE),"")</x:f>
      </x:c>
      <x:c r="D490" s="154" t="str">
        <x:f>IFERROR(VLOOKUP($B490,'Hack Database'!$A:$J,3,FALSE),"")</x:f>
      </x:c>
      <x:c r="E490" s="154" t="str">
        <x:f>IFERROR(VLOOKUP($B490,'Hack Database'!$A:$J,4,FALSE),"")</x:f>
      </x:c>
      <x:c r="F490" s="154" t="str">
        <x:f>IFERROR(VLOOKUP($B490,'Hack Database'!$A:$J,5,FALSE),"")</x:f>
      </x:c>
      <x:c r="G490" s="154" t="str">
        <x:f>IFERROR(VLOOKUP($B490,'Hack Database'!$A:$J,6,FALSE),"")</x:f>
      </x:c>
      <x:c r="H490" s="155"/>
      <x:c r="I490" s="155"/>
      <x:c r="J490" s="154"/>
      <x:c r="K490" s="154" t="str">
        <x:f t="shared" si="7"/>
      </x:c>
      <x:c r="L490" s="154"/>
      <x:c r="M490" s="156"/>
      <x:c r="N490" s="154" t="str">
        <x:f>IFERROR(HYPERLINK(VLOOKUP($B490,'Hack Database'!$A:$J,9,FALSE),"Open Page"),"")</x:f>
      </x:c>
      <x:c r="O490" s="154" t="str">
        <x:f>IFERROR(HYPERLINK(VLOOKUP($B490,'Hack Database'!$A:$J,10,FALSE),"Download"),"")</x:f>
      </x:c>
      <x:c r="P490" s="157"/>
    </x:row>
    <x:row r="491">
      <x:c r="A491" s="154" t="str">
        <x:f>IF($J491="Yes",COUNTIF($J$2:J491,"Yes"),"")</x:f>
      </x:c>
      <x:c r="B491" s="154"/>
      <x:c r="C491" s="154" t="str">
        <x:f>IFERROR(VLOOKUP($B491,'Hack Database'!$A:$J,2,FALSE),"")</x:f>
      </x:c>
      <x:c r="D491" s="154" t="str">
        <x:f>IFERROR(VLOOKUP($B491,'Hack Database'!$A:$J,3,FALSE),"")</x:f>
      </x:c>
      <x:c r="E491" s="154" t="str">
        <x:f>IFERROR(VLOOKUP($B491,'Hack Database'!$A:$J,4,FALSE),"")</x:f>
      </x:c>
      <x:c r="F491" s="154" t="str">
        <x:f>IFERROR(VLOOKUP($B491,'Hack Database'!$A:$J,5,FALSE),"")</x:f>
      </x:c>
      <x:c r="G491" s="154" t="str">
        <x:f>IFERROR(VLOOKUP($B491,'Hack Database'!$A:$J,6,FALSE),"")</x:f>
      </x:c>
      <x:c r="H491" s="155"/>
      <x:c r="I491" s="155"/>
      <x:c r="J491" s="154"/>
      <x:c r="K491" s="154" t="str">
        <x:f t="shared" si="7"/>
      </x:c>
      <x:c r="L491" s="154"/>
      <x:c r="M491" s="156"/>
      <x:c r="N491" s="154" t="str">
        <x:f>IFERROR(HYPERLINK(VLOOKUP($B491,'Hack Database'!$A:$J,9,FALSE),"Open Page"),"")</x:f>
      </x:c>
      <x:c r="O491" s="154" t="str">
        <x:f>IFERROR(HYPERLINK(VLOOKUP($B491,'Hack Database'!$A:$J,10,FALSE),"Download"),"")</x:f>
      </x:c>
      <x:c r="P491" s="157"/>
    </x:row>
    <x:row r="492">
      <x:c r="A492" s="154" t="str">
        <x:f>IF($J492="Yes",COUNTIF($J$2:J492,"Yes"),"")</x:f>
      </x:c>
      <x:c r="B492" s="154"/>
      <x:c r="C492" s="154" t="str">
        <x:f>IFERROR(VLOOKUP($B492,'Hack Database'!$A:$J,2,FALSE),"")</x:f>
      </x:c>
      <x:c r="D492" s="154" t="str">
        <x:f>IFERROR(VLOOKUP($B492,'Hack Database'!$A:$J,3,FALSE),"")</x:f>
      </x:c>
      <x:c r="E492" s="154" t="str">
        <x:f>IFERROR(VLOOKUP($B492,'Hack Database'!$A:$J,4,FALSE),"")</x:f>
      </x:c>
      <x:c r="F492" s="154" t="str">
        <x:f>IFERROR(VLOOKUP($B492,'Hack Database'!$A:$J,5,FALSE),"")</x:f>
      </x:c>
      <x:c r="G492" s="154" t="str">
        <x:f>IFERROR(VLOOKUP($B492,'Hack Database'!$A:$J,6,FALSE),"")</x:f>
      </x:c>
      <x:c r="H492" s="155"/>
      <x:c r="I492" s="155"/>
      <x:c r="J492" s="154"/>
      <x:c r="K492" s="154" t="str">
        <x:f t="shared" si="7"/>
      </x:c>
      <x:c r="L492" s="154"/>
      <x:c r="M492" s="156"/>
      <x:c r="N492" s="154" t="str">
        <x:f>IFERROR(HYPERLINK(VLOOKUP($B492,'Hack Database'!$A:$J,9,FALSE),"Open Page"),"")</x:f>
      </x:c>
      <x:c r="O492" s="154" t="str">
        <x:f>IFERROR(HYPERLINK(VLOOKUP($B492,'Hack Database'!$A:$J,10,FALSE),"Download"),"")</x:f>
      </x:c>
      <x:c r="P492" s="157"/>
    </x:row>
    <x:row r="493">
      <x:c r="A493" s="154" t="str">
        <x:f>IF($J493="Yes",COUNTIF($J$2:J493,"Yes"),"")</x:f>
      </x:c>
      <x:c r="B493" s="154"/>
      <x:c r="C493" s="154" t="str">
        <x:f>IFERROR(VLOOKUP($B493,'Hack Database'!$A:$J,2,FALSE),"")</x:f>
      </x:c>
      <x:c r="D493" s="154" t="str">
        <x:f>IFERROR(VLOOKUP($B493,'Hack Database'!$A:$J,3,FALSE),"")</x:f>
      </x:c>
      <x:c r="E493" s="154" t="str">
        <x:f>IFERROR(VLOOKUP($B493,'Hack Database'!$A:$J,4,FALSE),"")</x:f>
      </x:c>
      <x:c r="F493" s="154" t="str">
        <x:f>IFERROR(VLOOKUP($B493,'Hack Database'!$A:$J,5,FALSE),"")</x:f>
      </x:c>
      <x:c r="G493" s="154" t="str">
        <x:f>IFERROR(VLOOKUP($B493,'Hack Database'!$A:$J,6,FALSE),"")</x:f>
      </x:c>
      <x:c r="H493" s="155"/>
      <x:c r="I493" s="155"/>
      <x:c r="J493" s="154"/>
      <x:c r="K493" s="154" t="str">
        <x:f t="shared" si="7"/>
      </x:c>
      <x:c r="L493" s="154"/>
      <x:c r="M493" s="156"/>
      <x:c r="N493" s="154" t="str">
        <x:f>IFERROR(HYPERLINK(VLOOKUP($B493,'Hack Database'!$A:$J,9,FALSE),"Open Page"),"")</x:f>
      </x:c>
      <x:c r="O493" s="154" t="str">
        <x:f>IFERROR(HYPERLINK(VLOOKUP($B493,'Hack Database'!$A:$J,10,FALSE),"Download"),"")</x:f>
      </x:c>
      <x:c r="P493" s="157"/>
    </x:row>
    <x:row r="494">
      <x:c r="A494" s="154" t="str">
        <x:f>IF($J494="Yes",COUNTIF($J$2:J494,"Yes"),"")</x:f>
      </x:c>
      <x:c r="B494" s="154"/>
      <x:c r="C494" s="154" t="str">
        <x:f>IFERROR(VLOOKUP($B494,'Hack Database'!$A:$J,2,FALSE),"")</x:f>
      </x:c>
      <x:c r="D494" s="154" t="str">
        <x:f>IFERROR(VLOOKUP($B494,'Hack Database'!$A:$J,3,FALSE),"")</x:f>
      </x:c>
      <x:c r="E494" s="154" t="str">
        <x:f>IFERROR(VLOOKUP($B494,'Hack Database'!$A:$J,4,FALSE),"")</x:f>
      </x:c>
      <x:c r="F494" s="154" t="str">
        <x:f>IFERROR(VLOOKUP($B494,'Hack Database'!$A:$J,5,FALSE),"")</x:f>
      </x:c>
      <x:c r="G494" s="154" t="str">
        <x:f>IFERROR(VLOOKUP($B494,'Hack Database'!$A:$J,6,FALSE),"")</x:f>
      </x:c>
      <x:c r="H494" s="155"/>
      <x:c r="I494" s="155"/>
      <x:c r="J494" s="154"/>
      <x:c r="K494" s="154" t="str">
        <x:f t="shared" si="7"/>
      </x:c>
      <x:c r="L494" s="154"/>
      <x:c r="M494" s="156"/>
      <x:c r="N494" s="154" t="str">
        <x:f>IFERROR(HYPERLINK(VLOOKUP($B494,'Hack Database'!$A:$J,9,FALSE),"Open Page"),"")</x:f>
      </x:c>
      <x:c r="O494" s="154" t="str">
        <x:f>IFERROR(HYPERLINK(VLOOKUP($B494,'Hack Database'!$A:$J,10,FALSE),"Download"),"")</x:f>
      </x:c>
      <x:c r="P494" s="157"/>
    </x:row>
    <x:row r="495">
      <x:c r="A495" s="154" t="str">
        <x:f>IF($J495="Yes",COUNTIF($J$2:J495,"Yes"),"")</x:f>
      </x:c>
      <x:c r="B495" s="154"/>
      <x:c r="C495" s="154" t="str">
        <x:f>IFERROR(VLOOKUP($B495,'Hack Database'!$A:$J,2,FALSE),"")</x:f>
      </x:c>
      <x:c r="D495" s="154" t="str">
        <x:f>IFERROR(VLOOKUP($B495,'Hack Database'!$A:$J,3,FALSE),"")</x:f>
      </x:c>
      <x:c r="E495" s="154" t="str">
        <x:f>IFERROR(VLOOKUP($B495,'Hack Database'!$A:$J,4,FALSE),"")</x:f>
      </x:c>
      <x:c r="F495" s="154" t="str">
        <x:f>IFERROR(VLOOKUP($B495,'Hack Database'!$A:$J,5,FALSE),"")</x:f>
      </x:c>
      <x:c r="G495" s="154" t="str">
        <x:f>IFERROR(VLOOKUP($B495,'Hack Database'!$A:$J,6,FALSE),"")</x:f>
      </x:c>
      <x:c r="H495" s="155"/>
      <x:c r="I495" s="155"/>
      <x:c r="J495" s="154"/>
      <x:c r="K495" s="154" t="str">
        <x:f t="shared" si="7"/>
      </x:c>
      <x:c r="L495" s="154"/>
      <x:c r="M495" s="156"/>
      <x:c r="N495" s="154" t="str">
        <x:f>IFERROR(HYPERLINK(VLOOKUP($B495,'Hack Database'!$A:$J,9,FALSE),"Open Page"),"")</x:f>
      </x:c>
      <x:c r="O495" s="154" t="str">
        <x:f>IFERROR(HYPERLINK(VLOOKUP($B495,'Hack Database'!$A:$J,10,FALSE),"Download"),"")</x:f>
      </x:c>
      <x:c r="P495" s="157"/>
    </x:row>
    <x:row r="496">
      <x:c r="A496" s="154" t="str">
        <x:f>IF($J496="Yes",COUNTIF($J$2:J496,"Yes"),"")</x:f>
      </x:c>
      <x:c r="B496" s="154"/>
      <x:c r="C496" s="154" t="str">
        <x:f>IFERROR(VLOOKUP($B496,'Hack Database'!$A:$J,2,FALSE),"")</x:f>
      </x:c>
      <x:c r="D496" s="154" t="str">
        <x:f>IFERROR(VLOOKUP($B496,'Hack Database'!$A:$J,3,FALSE),"")</x:f>
      </x:c>
      <x:c r="E496" s="154" t="str">
        <x:f>IFERROR(VLOOKUP($B496,'Hack Database'!$A:$J,4,FALSE),"")</x:f>
      </x:c>
      <x:c r="F496" s="154" t="str">
        <x:f>IFERROR(VLOOKUP($B496,'Hack Database'!$A:$J,5,FALSE),"")</x:f>
      </x:c>
      <x:c r="G496" s="154" t="str">
        <x:f>IFERROR(VLOOKUP($B496,'Hack Database'!$A:$J,6,FALSE),"")</x:f>
      </x:c>
      <x:c r="H496" s="155"/>
      <x:c r="I496" s="155"/>
      <x:c r="J496" s="154"/>
      <x:c r="K496" s="154" t="str">
        <x:f t="shared" si="7"/>
      </x:c>
      <x:c r="L496" s="154"/>
      <x:c r="M496" s="156"/>
      <x:c r="N496" s="154" t="str">
        <x:f>IFERROR(HYPERLINK(VLOOKUP($B496,'Hack Database'!$A:$J,9,FALSE),"Open Page"),"")</x:f>
      </x:c>
      <x:c r="O496" s="154" t="str">
        <x:f>IFERROR(HYPERLINK(VLOOKUP($B496,'Hack Database'!$A:$J,10,FALSE),"Download"),"")</x:f>
      </x:c>
      <x:c r="P496" s="157"/>
    </x:row>
    <x:row r="497">
      <x:c r="A497" s="154" t="str">
        <x:f>IF($J497="Yes",COUNTIF($J$2:J497,"Yes"),"")</x:f>
      </x:c>
      <x:c r="B497" s="154"/>
      <x:c r="C497" s="154" t="str">
        <x:f>IFERROR(VLOOKUP($B497,'Hack Database'!$A:$J,2,FALSE),"")</x:f>
      </x:c>
      <x:c r="D497" s="154" t="str">
        <x:f>IFERROR(VLOOKUP($B497,'Hack Database'!$A:$J,3,FALSE),"")</x:f>
      </x:c>
      <x:c r="E497" s="154" t="str">
        <x:f>IFERROR(VLOOKUP($B497,'Hack Database'!$A:$J,4,FALSE),"")</x:f>
      </x:c>
      <x:c r="F497" s="154" t="str">
        <x:f>IFERROR(VLOOKUP($B497,'Hack Database'!$A:$J,5,FALSE),"")</x:f>
      </x:c>
      <x:c r="G497" s="154" t="str">
        <x:f>IFERROR(VLOOKUP($B497,'Hack Database'!$A:$J,6,FALSE),"")</x:f>
      </x:c>
      <x:c r="H497" s="155"/>
      <x:c r="I497" s="155"/>
      <x:c r="J497" s="154"/>
      <x:c r="K497" s="154" t="str">
        <x:f t="shared" si="7"/>
      </x:c>
      <x:c r="L497" s="154"/>
      <x:c r="M497" s="156"/>
      <x:c r="N497" s="154" t="str">
        <x:f>IFERROR(HYPERLINK(VLOOKUP($B497,'Hack Database'!$A:$J,9,FALSE),"Open Page"),"")</x:f>
      </x:c>
      <x:c r="O497" s="154" t="str">
        <x:f>IFERROR(HYPERLINK(VLOOKUP($B497,'Hack Database'!$A:$J,10,FALSE),"Download"),"")</x:f>
      </x:c>
      <x:c r="P497" s="157"/>
    </x:row>
    <x:row r="498">
      <x:c r="A498" s="154" t="str">
        <x:f>IF($J498="Yes",COUNTIF($J$2:J498,"Yes"),"")</x:f>
      </x:c>
      <x:c r="B498" s="154"/>
      <x:c r="C498" s="154" t="str">
        <x:f>IFERROR(VLOOKUP($B498,'Hack Database'!$A:$J,2,FALSE),"")</x:f>
      </x:c>
      <x:c r="D498" s="154" t="str">
        <x:f>IFERROR(VLOOKUP($B498,'Hack Database'!$A:$J,3,FALSE),"")</x:f>
      </x:c>
      <x:c r="E498" s="154" t="str">
        <x:f>IFERROR(VLOOKUP($B498,'Hack Database'!$A:$J,4,FALSE),"")</x:f>
      </x:c>
      <x:c r="F498" s="154" t="str">
        <x:f>IFERROR(VLOOKUP($B498,'Hack Database'!$A:$J,5,FALSE),"")</x:f>
      </x:c>
      <x:c r="G498" s="154" t="str">
        <x:f>IFERROR(VLOOKUP($B498,'Hack Database'!$A:$J,6,FALSE),"")</x:f>
      </x:c>
      <x:c r="H498" s="155"/>
      <x:c r="I498" s="155"/>
      <x:c r="J498" s="154"/>
      <x:c r="K498" s="154" t="str">
        <x:f t="shared" si="7"/>
      </x:c>
      <x:c r="L498" s="154"/>
      <x:c r="M498" s="156"/>
      <x:c r="N498" s="154" t="str">
        <x:f>IFERROR(HYPERLINK(VLOOKUP($B498,'Hack Database'!$A:$J,9,FALSE),"Open Page"),"")</x:f>
      </x:c>
      <x:c r="O498" s="154" t="str">
        <x:f>IFERROR(HYPERLINK(VLOOKUP($B498,'Hack Database'!$A:$J,10,FALSE),"Download"),"")</x:f>
      </x:c>
      <x:c r="P498" s="157"/>
    </x:row>
    <x:row r="499">
      <x:c r="A499" s="154" t="str">
        <x:f>IF($J499="Yes",COUNTIF($J$2:J499,"Yes"),"")</x:f>
      </x:c>
      <x:c r="B499" s="154"/>
      <x:c r="C499" s="154" t="str">
        <x:f>IFERROR(VLOOKUP($B499,'Hack Database'!$A:$J,2,FALSE),"")</x:f>
      </x:c>
      <x:c r="D499" s="154" t="str">
        <x:f>IFERROR(VLOOKUP($B499,'Hack Database'!$A:$J,3,FALSE),"")</x:f>
      </x:c>
      <x:c r="E499" s="154" t="str">
        <x:f>IFERROR(VLOOKUP($B499,'Hack Database'!$A:$J,4,FALSE),"")</x:f>
      </x:c>
      <x:c r="F499" s="154" t="str">
        <x:f>IFERROR(VLOOKUP($B499,'Hack Database'!$A:$J,5,FALSE),"")</x:f>
      </x:c>
      <x:c r="G499" s="154" t="str">
        <x:f>IFERROR(VLOOKUP($B499,'Hack Database'!$A:$J,6,FALSE),"")</x:f>
      </x:c>
      <x:c r="H499" s="155"/>
      <x:c r="I499" s="155"/>
      <x:c r="J499" s="154"/>
      <x:c r="K499" s="154" t="str">
        <x:f t="shared" si="7"/>
      </x:c>
      <x:c r="L499" s="154"/>
      <x:c r="M499" s="156"/>
      <x:c r="N499" s="154" t="str">
        <x:f>IFERROR(HYPERLINK(VLOOKUP($B499,'Hack Database'!$A:$J,9,FALSE),"Open Page"),"")</x:f>
      </x:c>
      <x:c r="O499" s="154" t="str">
        <x:f>IFERROR(HYPERLINK(VLOOKUP($B499,'Hack Database'!$A:$J,10,FALSE),"Download"),"")</x:f>
      </x:c>
      <x:c r="P499" s="157"/>
    </x:row>
    <x:row r="500">
      <x:c r="A500" s="154" t="str">
        <x:f>IF($J500="Yes",COUNTIF($J$2:J500,"Yes"),"")</x:f>
      </x:c>
      <x:c r="B500" s="154"/>
      <x:c r="C500" s="154" t="str">
        <x:f>IFERROR(VLOOKUP($B500,'Hack Database'!$A:$J,2,FALSE),"")</x:f>
      </x:c>
      <x:c r="D500" s="154" t="str">
        <x:f>IFERROR(VLOOKUP($B500,'Hack Database'!$A:$J,3,FALSE),"")</x:f>
      </x:c>
      <x:c r="E500" s="154" t="str">
        <x:f>IFERROR(VLOOKUP($B500,'Hack Database'!$A:$J,4,FALSE),"")</x:f>
      </x:c>
      <x:c r="F500" s="154" t="str">
        <x:f>IFERROR(VLOOKUP($B500,'Hack Database'!$A:$J,5,FALSE),"")</x:f>
      </x:c>
      <x:c r="G500" s="154" t="str">
        <x:f>IFERROR(VLOOKUP($B500,'Hack Database'!$A:$J,6,FALSE),"")</x:f>
      </x:c>
      <x:c r="H500" s="155"/>
      <x:c r="I500" s="155"/>
      <x:c r="J500" s="154"/>
      <x:c r="K500" s="154" t="str">
        <x:f t="shared" si="7"/>
      </x:c>
      <x:c r="L500" s="154"/>
      <x:c r="M500" s="156"/>
      <x:c r="N500" s="154" t="str">
        <x:f>IFERROR(HYPERLINK(VLOOKUP($B500,'Hack Database'!$A:$J,9,FALSE),"Open Page"),"")</x:f>
      </x:c>
      <x:c r="O500" s="154" t="str">
        <x:f>IFERROR(HYPERLINK(VLOOKUP($B500,'Hack Database'!$A:$J,10,FALSE),"Download"),"")</x:f>
      </x:c>
      <x:c r="P500" s="157"/>
    </x:row>
  </x:sheetData>
  <x:conditionalFormatting sqref="F2:F250">
    <x:cfRule type="expression" dxfId="48" priority="4">
      <x:formula>F2="Newcomer"</x:formula>
    </x:cfRule>
    <x:cfRule type="expression" dxfId="47" priority="5">
      <x:formula>F2="Casual"</x:formula>
    </x:cfRule>
    <x:cfRule type="expression" dxfId="46" priority="6">
      <x:formula>F2="Intermediate"</x:formula>
    </x:cfRule>
    <x:cfRule type="expression" dxfId="45" priority="7">
      <x:formula>F2="Advanced"</x:formula>
    </x:cfRule>
    <x:cfRule type="expression" dxfId="44" priority="8">
      <x:formula>F2="Expert"</x:formula>
    </x:cfRule>
    <x:cfRule type="expression" dxfId="43" priority="9">
      <x:formula>F2="Master"</x:formula>
    </x:cfRule>
    <x:cfRule type="expression" dxfId="42" priority="10">
      <x:formula>F2="Grandmaster"</x:formula>
    </x:cfRule>
    <x:cfRule type="expression" dxfId="41" priority="11">
      <x:formula>F2="Unranked"</x:formula>
    </x:cfRule>
  </x:conditionalFormatting>
  <x:conditionalFormatting sqref="J2:J250">
    <x:cfRule type="expression" dxfId="40" priority="12">
      <x:formula>J2="Yes"</x:formula>
    </x:cfRule>
    <x:cfRule type="expression" dxfId="39" priority="13">
      <x:formula>J2="No"</x:formula>
    </x:cfRule>
  </x:conditionalFormatting>
  <x:conditionalFormatting sqref="J2:J500">
    <x:cfRule type="expression" dxfId="38" priority="1">
      <x:formula>J2="Yes"</x:formula>
    </x:cfRule>
    <x:cfRule type="expression" dxfId="37" priority="2">
      <x:formula>J2="No"</x:formula>
    </x:cfRule>
  </x:conditionalFormatting>
  <x:conditionalFormatting sqref="K2:K250">
    <x:cfRule type="expression" dxfId="36" priority="14">
      <x:formula>K2="Planned"</x:formula>
    </x:cfRule>
    <x:cfRule type="expression" dxfId="35" priority="15">
      <x:formula>K2="In Progress"</x:formula>
    </x:cfRule>
    <x:cfRule type="expression" dxfId="34" priority="16">
      <x:formula>K2="Finished"</x:formula>
    </x:cfRule>
    <x:cfRule type="expression" dxfId="33" priority="17">
      <x:formula>K2="100% Complete"</x:formula>
    </x:cfRule>
  </x:conditionalFormatting>
  <x:conditionalFormatting sqref="K2:K500">
    <x:cfRule type="expression" dxfId="32" priority="3">
      <x:formula>K2="In Progress"</x:formula>
    </x:cfRule>
  </x:conditionalFormatting>
  <x:conditionalFormatting sqref="L2:L250">
    <x:cfRule type="dataBar" priority="18">
      <x:dataBar>
        <x:cfvo type="min"/>
        <x:cfvo type="max"/>
        <x:color rgb="FF5B9BD5"/>
      </x:dataBar>
    </x:cfRule>
    <x:cfRule type="dataBar" priority="19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{E6A88F7E-67DC-E3BB-442D-86F090B9F4A1}</x14:id>
        </x:ext>
      </x:extLst>
    </x:cfRule>
  </x:conditionalFormatting>
  <x:dataValidations count="6">
    <x:dataValidation type="list" allowBlank="1" sqref="B2:B500">
      <x:formula1>HackList</x:formula1>
    </x:dataValidation>
    <x:dataValidation type="list" allowBlank="1" sqref="J2:J500">
      <x:formula1>"Yes,No"</x:formula1>
    </x:dataValidation>
    <x:dataValidation type="whole" allowBlank="1" sqref="L2:L500">
      <x:formula1>1</x:formula1>
      <x:formula2>10</x:formula2>
    </x:dataValidation>
    <x:dataValidation type="list" sqref="B2:B250">
      <x:formula1>HackList</x:formula1>
    </x:dataValidation>
    <x:dataValidation type="list" sqref="J2:J250">
      <x:formula1>"Yes,No"</x:formula1>
    </x:dataValidation>
    <x:dataValidation sqref="L2:L250">
      <x:formula1>1</x:formula1>
      <x:formula2>10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9" id="{E6A88F7E-67DC-E3BB-442D-86F090B9F4A1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L2:L250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.25"/>
  <x:cols>
    <x:col min="1" max="1" width="24" customWidth="1"/>
    <x:col min="2" max="6" width="15" customWidth="1"/>
  </x:cols>
  <x:sheetData>
    <x:row r="1" ht="20" customHeight="1">
      <x:c r="A1" s="69" t="s">
        <x:v>78</x:v>
      </x:c>
      <x:c r="B1" s="69"/>
      <x:c r="C1" s="69"/>
      <x:c r="D1" s="69"/>
      <x:c r="E1" s="69"/>
      <x:c r="F1" s="69"/>
    </x:row>
    <x:row r="2" ht="12" customHeight="1">
      <x:c r="A2" s="76" t="s">
        <x:v>79</x:v>
      </x:c>
      <x:c r="B2" s="76"/>
      <x:c r="C2" s="76"/>
      <x:c r="D2" s="76"/>
      <x:c r="E2" s="76"/>
      <x:c r="F2" s="76"/>
    </x:row>
    <x:row r="3" ht="15" customHeight="1">
      <x:c r="A3" s="43" t="s">
        <x:v>80</x:v>
      </x:c>
      <x:c r="B3" s="70"/>
      <x:c r="C3" s="71"/>
      <x:c r="D3" s="71"/>
      <x:c r="E3" s="71"/>
      <x:c r="F3" s="72"/>
    </x:row>
    <x:row r="4">
      <x:c r="A4" s="1"/>
      <x:c r="B4" s="1"/>
      <x:c r="C4" s="1"/>
      <x:c r="D4" s="1"/>
      <x:c r="E4" s="1"/>
      <x:c r="F4" s="1"/>
    </x:row>
    <x:row r="5" ht="14" customHeight="1">
      <x:c r="A5" s="44" t="s">
        <x:v>2</x:v>
      </x:c>
      <x:c r="B5" s="73" t="str">
        <x:f>IFERROR(VLOOKUP($B$3,'Hack Database'!$A:$J,2,FALSE),"")</x:f>
      </x:c>
      <x:c r="C5" s="74"/>
      <x:c r="D5" s="74"/>
      <x:c r="E5" s="74"/>
      <x:c r="F5" s="75"/>
    </x:row>
    <x:row r="6" ht="14" customHeight="1">
      <x:c r="A6" s="45" t="s">
        <x:v>3</x:v>
      </x:c>
      <x:c r="B6" s="63" t="str">
        <x:f>IFERROR(VLOOKUP($B$3,'Hack Database'!$A:$J,3,FALSE),"")</x:f>
      </x:c>
      <x:c r="C6" s="64"/>
      <x:c r="D6" s="64"/>
      <x:c r="E6" s="64"/>
      <x:c r="F6" s="65"/>
    </x:row>
    <x:row r="7" ht="14" customHeight="1">
      <x:c r="A7" s="45" t="s">
        <x:v>4</x:v>
      </x:c>
      <x:c r="B7" s="63" t="str">
        <x:f>IFERROR(VLOOKUP($B$3,'Hack Database'!$A:$J,4,FALSE),"")</x:f>
      </x:c>
      <x:c r="C7" s="64"/>
      <x:c r="D7" s="64"/>
      <x:c r="E7" s="64"/>
      <x:c r="F7" s="65"/>
    </x:row>
    <x:row r="8" ht="14" customHeight="1">
      <x:c r="A8" s="45" t="s">
        <x:v>5</x:v>
      </x:c>
      <x:c r="B8" s="63" t="str">
        <x:f>IFERROR(VLOOKUP($B$3,'Hack Database'!$A:$J,5,FALSE),"")</x:f>
      </x:c>
      <x:c r="C8" s="64"/>
      <x:c r="D8" s="64"/>
      <x:c r="E8" s="64"/>
      <x:c r="F8" s="65"/>
    </x:row>
    <x:row r="9" ht="14" customHeight="1">
      <x:c r="A9" s="45" t="s">
        <x:v>6</x:v>
      </x:c>
      <x:c r="B9" s="63" t="str">
        <x:f>IFERROR(VLOOKUP($B$3,'Hack Database'!$A:$J,6,FALSE),"")</x:f>
      </x:c>
      <x:c r="C9" s="64"/>
      <x:c r="D9" s="64"/>
      <x:c r="E9" s="64"/>
      <x:c r="F9" s="65"/>
    </x:row>
    <x:row r="10" ht="14" customHeight="1">
      <x:c r="A10" s="45" t="s">
        <x:v>81</x:v>
      </x:c>
      <x:c r="B10" s="66" t="str">
        <x:f>IFERROR(VLOOKUP($B$3,'Hack Database'!$A:$J,7,FALSE),"")</x:f>
      </x:c>
      <x:c r="C10" s="67"/>
      <x:c r="D10" s="67"/>
      <x:c r="E10" s="67"/>
      <x:c r="F10" s="68"/>
    </x:row>
    <x:row r="11" ht="14" customHeight="1">
      <x:c r="A11" s="45" t="s">
        <x:v>82</x:v>
      </x:c>
      <x:c r="B11" s="63" t="str">
        <x:f>IFERROR(VLOOKUP($B$3,'Hack Database'!$A:$J,8,FALSE),"")</x:f>
      </x:c>
      <x:c r="C11" s="64"/>
      <x:c r="D11" s="64"/>
      <x:c r="E11" s="64"/>
      <x:c r="F11" s="65"/>
    </x:row>
    <x:row r="12" ht="14" customHeight="1">
      <x:c r="A12" s="45" t="s">
        <x:v>13</x:v>
      </x:c>
      <x:c r="B12" s="60" t="str">
        <x:f>IFERROR(HYPERLINK(VLOOKUP($B$3,'Hack Database'!$A:$J,9,FALSE),"Open SMWCentral Page"),"")</x:f>
      </x:c>
      <x:c r="C12" s="61"/>
      <x:c r="D12" s="61"/>
      <x:c r="E12" s="61"/>
      <x:c r="F12" s="62"/>
    </x:row>
    <x:row r="13" ht="14" customHeight="1">
      <x:c r="A13" s="46" t="s">
        <x:v>83</x:v>
      </x:c>
      <x:c r="B13" s="57" t="str">
        <x:f>IFERROR(HYPERLINK(VLOOKUP($B$3,'Hack Database'!$A:$J,10,FALSE),"Download Patch"),"")</x:f>
      </x:c>
      <x:c r="C13" s="58"/>
      <x:c r="D13" s="58"/>
      <x:c r="E13" s="58"/>
      <x:c r="F13" s="59"/>
    </x:row>
  </x:sheetData>
  <x:mergeCells>
    <x:mergeCell ref="A1:F1"/>
    <x:mergeCell ref="B11:F11"/>
    <x:mergeCell ref="B3:F3"/>
    <x:mergeCell ref="B5:F5"/>
    <x:mergeCell ref="B8:F8"/>
    <x:mergeCell ref="B9:F9"/>
    <x:mergeCell ref="A2:F2"/>
    <x:mergeCell ref="B13:F13"/>
    <x:mergeCell ref="B12:F12"/>
    <x:mergeCell ref="B7:F7"/>
    <x:mergeCell ref="B6:F6"/>
    <x:mergeCell ref="B10:F10"/>
  </x:mergeCells>
  <x:conditionalFormatting sqref="B8:F8">
    <x:cfRule type="expression" dxfId="31" priority="1">
      <x:formula>B8="Newcomer"</x:formula>
    </x:cfRule>
    <x:cfRule type="expression" dxfId="30" priority="2">
      <x:formula>B8="Casual"</x:formula>
    </x:cfRule>
    <x:cfRule type="expression" dxfId="29" priority="3">
      <x:formula>B8="Intermediate"</x:formula>
    </x:cfRule>
    <x:cfRule type="expression" dxfId="28" priority="4">
      <x:formula>B8="Advanced"</x:formula>
    </x:cfRule>
    <x:cfRule type="expression" dxfId="27" priority="5">
      <x:formula>B8="Expert"</x:formula>
    </x:cfRule>
    <x:cfRule type="expression" dxfId="26" priority="6">
      <x:formula>B8="Master"</x:formula>
    </x:cfRule>
    <x:cfRule type="expression" dxfId="25" priority="7">
      <x:formula>B8="Grandmaster"</x:formula>
    </x:cfRule>
    <x:cfRule type="expression" dxfId="24" priority="8">
      <x:formula>B8="Unranked"</x:formula>
    </x:cfRule>
  </x:conditionalFormatting>
  <x:dataValidations count="1">
    <x:dataValidation type="list" sqref="B3">
      <x:formula1>HackList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46" customWidth="1"/>
    <x:col min="2" max="2" width="42" customWidth="1"/>
    <x:col min="3" max="3" width="34" customWidth="1"/>
    <x:col min="4" max="4" width="8" customWidth="1"/>
    <x:col min="5" max="5" width="15" customWidth="1"/>
    <x:col min="6" max="6" width="22" customWidth="1"/>
    <x:col min="7" max="7" width="14" customWidth="1"/>
    <x:col min="8" max="8" width="11" customWidth="1"/>
    <x:col min="9" max="10" width="48" customWidth="1"/>
  </x:cols>
  <x:sheetData>
    <x:row r="1" ht="17" customHeight="1">
      <x:c r="A1" s="10" t="s">
        <x:v>84</x:v>
      </x:c>
      <x:c r="B1" s="11" t="s">
        <x:v>2</x:v>
      </x:c>
      <x:c r="C1" s="11" t="s">
        <x:v>3</x:v>
      </x:c>
      <x:c r="D1" s="11" t="s">
        <x:v>4</x:v>
      </x:c>
      <x:c r="E1" s="11" t="s">
        <x:v>5</x:v>
      </x:c>
      <x:c r="F1" s="11" t="s">
        <x:v>6</x:v>
      </x:c>
      <x:c r="G1" s="11" t="s">
        <x:v>81</x:v>
      </x:c>
      <x:c r="H1" s="11" t="s">
        <x:v>82</x:v>
      </x:c>
      <x:c r="I1" s="11" t="s">
        <x:v>85</x:v>
      </x:c>
      <x:c r="J1" s="12" t="s">
        <x:v>86</x:v>
      </x:c>
    </x:row>
    <x:row r="2" ht="10.050000190734863" customHeight="1">
      <x:c r="A2" s="21" t="s">
        <x:v>87</x:v>
      </x:c>
      <x:c r="B2" s="20" t="s">
        <x:v>87</x:v>
      </x:c>
      <x:c r="C2" s="20" t="s">
        <x:v>88</x:v>
      </x:c>
      <x:c r="D2" s="24">
        <x:v>8</x:v>
      </x:c>
      <x:c r="E2" s="24" t="s">
        <x:v>89</x:v>
      </x:c>
      <x:c r="F2" s="20" t="s">
        <x:v>90</x:v>
      </x:c>
      <x:c r="G2" s="26">
        <x:v>45872</x:v>
      </x:c>
      <x:c r="H2" s="24" t="s">
        <x:v>91</x:v>
      </x:c>
      <x:c r="I2" s="28" t="s">
        <x:v>92</x:v>
      </x:c>
      <x:c r="J2" s="29" t="s">
        <x:v>93</x:v>
      </x:c>
    </x:row>
    <x:row r="3" ht="10.050000190734863" customHeight="1">
      <x:c r="A3" s="21" t="s">
        <x:v>94</x:v>
      </x:c>
      <x:c r="B3" s="20" t="s">
        <x:v>94</x:v>
      </x:c>
      <x:c r="C3" s="20" t="s">
        <x:v>95</x:v>
      </x:c>
      <x:c r="D3" s="24">
        <x:v>25</x:v>
      </x:c>
      <x:c r="E3" s="24" t="s">
        <x:v>96</x:v>
      </x:c>
      <x:c r="F3" s="20" t="s">
        <x:v>97</x:v>
      </x:c>
      <x:c r="G3" s="26">
        <x:v>46021</x:v>
      </x:c>
      <x:c r="H3" s="24" t="s">
        <x:v>98</x:v>
      </x:c>
      <x:c r="I3" s="28" t="s">
        <x:v>99</x:v>
      </x:c>
      <x:c r="J3" s="29" t="s">
        <x:v>100</x:v>
      </x:c>
    </x:row>
    <x:row r="4" ht="10.050000190734863" customHeight="1">
      <x:c r="A4" s="21" t="s">
        <x:v>101</x:v>
      </x:c>
      <x:c r="B4" s="20" t="s">
        <x:v>101</x:v>
      </x:c>
      <x:c r="C4" s="20" t="s">
        <x:v>102</x:v>
      </x:c>
      <x:c r="D4" s="24">
        <x:v>12</x:v>
      </x:c>
      <x:c r="E4" s="24" t="s">
        <x:v>103</x:v>
      </x:c>
      <x:c r="F4" s="20" t="s">
        <x:v>97</x:v>
      </x:c>
      <x:c r="G4" s="26">
        <x:v>41636</x:v>
      </x:c>
      <x:c r="H4" s="24" t="s">
        <x:v>104</x:v>
      </x:c>
      <x:c r="I4" s="28" t="s">
        <x:v>105</x:v>
      </x:c>
      <x:c r="J4" s="29" t="s">
        <x:v>106</x:v>
      </x:c>
    </x:row>
    <x:row r="5" ht="10.050000190734863" customHeight="1">
      <x:c r="A5" s="21" t="s">
        <x:v>107</x:v>
      </x:c>
      <x:c r="B5" s="20" t="s">
        <x:v>107</x:v>
      </x:c>
      <x:c r="C5" s="20" t="s">
        <x:v>108</x:v>
      </x:c>
      <x:c r="D5" s="24">
        <x:v>1</x:v>
      </x:c>
      <x:c r="E5" s="24" t="s">
        <x:v>103</x:v>
      </x:c>
      <x:c r="F5" s="20" t="s">
        <x:v>97</x:v>
      </x:c>
      <x:c r="G5" s="26">
        <x:v>45906</x:v>
      </x:c>
      <x:c r="H5" s="24" t="s">
        <x:v>109</x:v>
      </x:c>
      <x:c r="I5" s="28" t="s">
        <x:v>110</x:v>
      </x:c>
      <x:c r="J5" s="29" t="s">
        <x:v>111</x:v>
      </x:c>
    </x:row>
    <x:row r="6" ht="10.050000190734863" customHeight="1">
      <x:c r="A6" s="21" t="s">
        <x:v>112</x:v>
      </x:c>
      <x:c r="B6" s="20" t="s">
        <x:v>112</x:v>
      </x:c>
      <x:c r="C6" s="20" t="s">
        <x:v>113</x:v>
      </x:c>
      <x:c r="D6" s="24">
        <x:v>6</x:v>
      </x:c>
      <x:c r="E6" s="24" t="s">
        <x:v>114</x:v>
      </x:c>
      <x:c r="F6" s="20" t="s">
        <x:v>90</x:v>
      </x:c>
      <x:c r="G6" s="26">
        <x:v>44868</x:v>
      </x:c>
      <x:c r="H6" s="24" t="s">
        <x:v>115</x:v>
      </x:c>
      <x:c r="I6" s="28" t="s">
        <x:v>116</x:v>
      </x:c>
      <x:c r="J6" s="29" t="s">
        <x:v>117</x:v>
      </x:c>
    </x:row>
    <x:row r="7" ht="10.050000190734863" customHeight="1">
      <x:c r="A7" s="21" t="s">
        <x:v>118</x:v>
      </x:c>
      <x:c r="B7" s="20" t="s">
        <x:v>118</x:v>
      </x:c>
      <x:c r="C7" s="20" t="s">
        <x:v>119</x:v>
      </x:c>
      <x:c r="D7" s="24">
        <x:v>7</x:v>
      </x:c>
      <x:c r="E7" s="24" t="s">
        <x:v>103</x:v>
      </x:c>
      <x:c r="F7" s="20" t="s">
        <x:v>97</x:v>
      </x:c>
      <x:c r="G7" s="26">
        <x:v>41627</x:v>
      </x:c>
      <x:c r="H7" s="24" t="s">
        <x:v>120</x:v>
      </x:c>
      <x:c r="I7" s="28" t="s">
        <x:v>121</x:v>
      </x:c>
      <x:c r="J7" s="29" t="s">
        <x:v>122</x:v>
      </x:c>
    </x:row>
    <x:row r="8" ht="10.050000190734863" customHeight="1">
      <x:c r="A8" s="21" t="s">
        <x:v>123</x:v>
      </x:c>
      <x:c r="B8" s="20" t="s">
        <x:v>123</x:v>
      </x:c>
      <x:c r="C8" s="20" t="s">
        <x:v>124</x:v>
      </x:c>
      <x:c r="D8" s="24">
        <x:v>1</x:v>
      </x:c>
      <x:c r="E8" s="24" t="s">
        <x:v>125</x:v>
      </x:c>
      <x:c r="F8" s="20" t="s">
        <x:v>126</x:v>
      </x:c>
      <x:c r="G8" s="26">
        <x:v>42864</x:v>
      </x:c>
      <x:c r="H8" s="24" t="s">
        <x:v>127</x:v>
      </x:c>
      <x:c r="I8" s="28" t="s">
        <x:v>128</x:v>
      </x:c>
      <x:c r="J8" s="29" t="s">
        <x:v>129</x:v>
      </x:c>
    </x:row>
    <x:row r="9" ht="10.050000190734863" customHeight="1">
      <x:c r="A9" s="21" t="s">
        <x:v>130</x:v>
      </x:c>
      <x:c r="B9" s="20" t="s">
        <x:v>130</x:v>
      </x:c>
      <x:c r="C9" s="20" t="s">
        <x:v>131</x:v>
      </x:c>
      <x:c r="D9" s="24">
        <x:v>2</x:v>
      </x:c>
      <x:c r="E9" s="24" t="s">
        <x:v>96</x:v>
      </x:c>
      <x:c r="F9" s="20" t="s">
        <x:v>97</x:v>
      </x:c>
      <x:c r="G9" s="26">
        <x:v>45500</x:v>
      </x:c>
      <x:c r="H9" s="24" t="s">
        <x:v>132</x:v>
      </x:c>
      <x:c r="I9" s="28" t="s">
        <x:v>133</x:v>
      </x:c>
      <x:c r="J9" s="29" t="s">
        <x:v>134</x:v>
      </x:c>
    </x:row>
    <x:row r="10" ht="10.050000190734863" customHeight="1">
      <x:c r="A10" s="21" t="s">
        <x:v>135</x:v>
      </x:c>
      <x:c r="B10" s="20" t="s">
        <x:v>135</x:v>
      </x:c>
      <x:c r="C10" s="20" t="s">
        <x:v>136</x:v>
      </x:c>
      <x:c r="D10" s="24">
        <x:v>0</x:v>
      </x:c>
      <x:c r="E10" s="24" t="s">
        <x:v>125</x:v>
      </x:c>
      <x:c r="F10" s="20" t="s">
        <x:v>90</x:v>
      </x:c>
      <x:c r="G10" s="26">
        <x:v>46166</x:v>
      </x:c>
      <x:c r="H10" s="24" t="s">
        <x:v>137</x:v>
      </x:c>
      <x:c r="I10" s="28" t="s">
        <x:v>138</x:v>
      </x:c>
      <x:c r="J10" s="29" t="s">
        <x:v>139</x:v>
      </x:c>
    </x:row>
    <x:row r="11" ht="10.050000190734863" customHeight="1">
      <x:c r="A11" s="21" t="s">
        <x:v>140</x:v>
      </x:c>
      <x:c r="B11" s="20" t="s">
        <x:v>140</x:v>
      </x:c>
      <x:c r="C11" s="20" t="s">
        <x:v>141</x:v>
      </x:c>
      <x:c r="D11" s="24">
        <x:v>0</x:v>
      </x:c>
      <x:c r="E11" s="24" t="s">
        <x:v>89</x:v>
      </x:c>
      <x:c r="F11" s="20" t="s">
        <x:v>90</x:v>
      </x:c>
      <x:c r="G11" s="26">
        <x:v>45237</x:v>
      </x:c>
      <x:c r="H11" s="24" t="s">
        <x:v>142</x:v>
      </x:c>
      <x:c r="I11" s="28" t="s">
        <x:v>143</x:v>
      </x:c>
      <x:c r="J11" s="29" t="s">
        <x:v>144</x:v>
      </x:c>
    </x:row>
    <x:row r="12" ht="10.050000190734863" customHeight="1">
      <x:c r="A12" s="21" t="s">
        <x:v>145</x:v>
      </x:c>
      <x:c r="B12" s="20" t="s">
        <x:v>145</x:v>
      </x:c>
      <x:c r="C12" s="20" t="s">
        <x:v>146</x:v>
      </x:c>
      <x:c r="D12" s="24">
        <x:v>56</x:v>
      </x:c>
      <x:c r="E12" s="24" t="s">
        <x:v>114</x:v>
      </x:c>
      <x:c r="F12" s="20" t="s">
        <x:v>90</x:v>
      </x:c>
      <x:c r="G12" s="26">
        <x:v>46086</x:v>
      </x:c>
      <x:c r="H12" s="24" t="s">
        <x:v>147</x:v>
      </x:c>
      <x:c r="I12" s="28" t="s">
        <x:v>148</x:v>
      </x:c>
      <x:c r="J12" s="29" t="s">
        <x:v>149</x:v>
      </x:c>
    </x:row>
    <x:row r="13" ht="10.050000190734863" customHeight="1">
      <x:c r="A13" s="21" t="s">
        <x:v>150</x:v>
      </x:c>
      <x:c r="B13" s="20" t="s">
        <x:v>150</x:v>
      </x:c>
      <x:c r="C13" s="20" t="s">
        <x:v>151</x:v>
      </x:c>
      <x:c r="D13" s="24">
        <x:v>11</x:v>
      </x:c>
      <x:c r="E13" s="24" t="s">
        <x:v>89</x:v>
      </x:c>
      <x:c r="F13" s="20" t="s">
        <x:v>152</x:v>
      </x:c>
      <x:c r="G13" s="26">
        <x:v>44234</x:v>
      </x:c>
      <x:c r="H13" s="24" t="s">
        <x:v>153</x:v>
      </x:c>
      <x:c r="I13" s="28" t="s">
        <x:v>154</x:v>
      </x:c>
      <x:c r="J13" s="29" t="s">
        <x:v>155</x:v>
      </x:c>
    </x:row>
    <x:row r="14" ht="10.050000190734863" customHeight="1">
      <x:c r="A14" s="21" t="s">
        <x:v>156</x:v>
      </x:c>
      <x:c r="B14" s="20" t="s">
        <x:v>156</x:v>
      </x:c>
      <x:c r="C14" s="20" t="s">
        <x:v>157</x:v>
      </x:c>
      <x:c r="D14" s="24">
        <x:v>18</x:v>
      </x:c>
      <x:c r="E14" s="24" t="s">
        <x:v>103</x:v>
      </x:c>
      <x:c r="F14" s="20" t="s">
        <x:v>97</x:v>
      </x:c>
      <x:c r="G14" s="26">
        <x:v>45125</x:v>
      </x:c>
      <x:c r="H14" s="24" t="s">
        <x:v>158</x:v>
      </x:c>
      <x:c r="I14" s="28" t="s">
        <x:v>159</x:v>
      </x:c>
      <x:c r="J14" s="29" t="s">
        <x:v>160</x:v>
      </x:c>
    </x:row>
    <x:row r="15" ht="10.050000190734863" customHeight="1">
      <x:c r="A15" s="21" t="s">
        <x:v>161</x:v>
      </x:c>
      <x:c r="B15" s="20" t="s">
        <x:v>161</x:v>
      </x:c>
      <x:c r="C15" s="20" t="s">
        <x:v>162</x:v>
      </x:c>
      <x:c r="D15" s="24">
        <x:v>6</x:v>
      </x:c>
      <x:c r="E15" s="24" t="s">
        <x:v>89</x:v>
      </x:c>
      <x:c r="F15" s="20" t="s">
        <x:v>97</x:v>
      </x:c>
      <x:c r="G15" s="26">
        <x:v>45944</x:v>
      </x:c>
      <x:c r="H15" s="24" t="s">
        <x:v>163</x:v>
      </x:c>
      <x:c r="I15" s="28" t="s">
        <x:v>164</x:v>
      </x:c>
      <x:c r="J15" s="29" t="s">
        <x:v>165</x:v>
      </x:c>
    </x:row>
    <x:row r="16" ht="10.050000190734863" customHeight="1">
      <x:c r="A16" s="21" t="s">
        <x:v>166</x:v>
      </x:c>
      <x:c r="B16" s="20" t="s">
        <x:v>166</x:v>
      </x:c>
      <x:c r="C16" s="20" t="s">
        <x:v>167</x:v>
      </x:c>
      <x:c r="D16" s="24">
        <x:v>13</x:v>
      </x:c>
      <x:c r="E16" s="24" t="s">
        <x:v>103</x:v>
      </x:c>
      <x:c r="F16" s="20" t="s">
        <x:v>97</x:v>
      </x:c>
      <x:c r="G16" s="26">
        <x:v>41808</x:v>
      </x:c>
      <x:c r="H16" s="24" t="s">
        <x:v>168</x:v>
      </x:c>
      <x:c r="I16" s="28" t="s">
        <x:v>169</x:v>
      </x:c>
      <x:c r="J16" s="29" t="s">
        <x:v>170</x:v>
      </x:c>
    </x:row>
    <x:row r="17" ht="10.050000190734863" customHeight="1">
      <x:c r="A17" s="21" t="s">
        <x:v>171</x:v>
      </x:c>
      <x:c r="B17" s="20" t="s">
        <x:v>171</x:v>
      </x:c>
      <x:c r="C17" s="20" t="s">
        <x:v>167</x:v>
      </x:c>
      <x:c r="D17" s="24">
        <x:v>8</x:v>
      </x:c>
      <x:c r="E17" s="24" t="s">
        <x:v>103</x:v>
      </x:c>
      <x:c r="F17" s="20" t="s">
        <x:v>97</x:v>
      </x:c>
      <x:c r="G17" s="26">
        <x:v>41549</x:v>
      </x:c>
      <x:c r="H17" s="24" t="s">
        <x:v>172</x:v>
      </x:c>
      <x:c r="I17" s="28" t="s">
        <x:v>173</x:v>
      </x:c>
      <x:c r="J17" s="29" t="s">
        <x:v>174</x:v>
      </x:c>
    </x:row>
    <x:row r="18" ht="10.050000190734863" customHeight="1">
      <x:c r="A18" s="21" t="s">
        <x:v>175</x:v>
      </x:c>
      <x:c r="B18" s="20" t="s">
        <x:v>175</x:v>
      </x:c>
      <x:c r="C18" s="20" t="s">
        <x:v>176</x:v>
      </x:c>
      <x:c r="D18" s="24">
        <x:v>1</x:v>
      </x:c>
      <x:c r="E18" s="24" t="s">
        <x:v>96</x:v>
      </x:c>
      <x:c r="F18" s="20" t="s">
        <x:v>97</x:v>
      </x:c>
      <x:c r="G18" s="26">
        <x:v>45484</x:v>
      </x:c>
      <x:c r="H18" s="24" t="s">
        <x:v>177</x:v>
      </x:c>
      <x:c r="I18" s="28" t="s">
        <x:v>178</x:v>
      </x:c>
      <x:c r="J18" s="29" t="s">
        <x:v>179</x:v>
      </x:c>
    </x:row>
    <x:row r="19" ht="10.050000190734863" customHeight="1">
      <x:c r="A19" s="21" t="s">
        <x:v>180</x:v>
      </x:c>
      <x:c r="B19" s="20" t="s">
        <x:v>180</x:v>
      </x:c>
      <x:c r="C19" s="20" t="s">
        <x:v>176</x:v>
      </x:c>
      <x:c r="D19" s="24">
        <x:v>1</x:v>
      </x:c>
      <x:c r="E19" s="24" t="s">
        <x:v>96</x:v>
      </x:c>
      <x:c r="F19" s="20" t="s">
        <x:v>97</x:v>
      </x:c>
      <x:c r="G19" s="26">
        <x:v>45584</x:v>
      </x:c>
      <x:c r="H19" s="24" t="s">
        <x:v>181</x:v>
      </x:c>
      <x:c r="I19" s="28" t="s">
        <x:v>182</x:v>
      </x:c>
      <x:c r="J19" s="29" t="s">
        <x:v>183</x:v>
      </x:c>
    </x:row>
    <x:row r="20" ht="10.050000190734863" customHeight="1">
      <x:c r="A20" s="21" t="s">
        <x:v>184</x:v>
      </x:c>
      <x:c r="B20" s="20" t="s">
        <x:v>184</x:v>
      </x:c>
      <x:c r="C20" s="20" t="s">
        <x:v>176</x:v>
      </x:c>
      <x:c r="D20" s="24">
        <x:v>1</x:v>
      </x:c>
      <x:c r="E20" s="24" t="s">
        <x:v>96</x:v>
      </x:c>
      <x:c r="F20" s="20" t="s">
        <x:v>97</x:v>
      </x:c>
      <x:c r="G20" s="26">
        <x:v>45664</x:v>
      </x:c>
      <x:c r="H20" s="24" t="s">
        <x:v>185</x:v>
      </x:c>
      <x:c r="I20" s="28" t="s">
        <x:v>186</x:v>
      </x:c>
      <x:c r="J20" s="29" t="s">
        <x:v>187</x:v>
      </x:c>
    </x:row>
    <x:row r="21" ht="10.050000190734863" customHeight="1">
      <x:c r="A21" s="21" t="s">
        <x:v>188</x:v>
      </x:c>
      <x:c r="B21" s="20" t="s">
        <x:v>188</x:v>
      </x:c>
      <x:c r="C21" s="20" t="s">
        <x:v>176</x:v>
      </x:c>
      <x:c r="D21" s="24">
        <x:v>1</x:v>
      </x:c>
      <x:c r="E21" s="24" t="s">
        <x:v>96</x:v>
      </x:c>
      <x:c r="F21" s="20" t="s">
        <x:v>97</x:v>
      </x:c>
      <x:c r="G21" s="26">
        <x:v>45797</x:v>
      </x:c>
      <x:c r="H21" s="24" t="s">
        <x:v>189</x:v>
      </x:c>
      <x:c r="I21" s="28" t="s">
        <x:v>190</x:v>
      </x:c>
      <x:c r="J21" s="29" t="s">
        <x:v>191</x:v>
      </x:c>
    </x:row>
    <x:row r="22" ht="10.050000190734863" customHeight="1">
      <x:c r="A22" s="21" t="s">
        <x:v>192</x:v>
      </x:c>
      <x:c r="B22" s="20" t="s">
        <x:v>192</x:v>
      </x:c>
      <x:c r="C22" s="20" t="s">
        <x:v>176</x:v>
      </x:c>
      <x:c r="D22" s="24">
        <x:v>1</x:v>
      </x:c>
      <x:c r="E22" s="24" t="s">
        <x:v>96</x:v>
      </x:c>
      <x:c r="F22" s="20" t="s">
        <x:v>97</x:v>
      </x:c>
      <x:c r="G22" s="26">
        <x:v>46063</x:v>
      </x:c>
      <x:c r="H22" s="24" t="s">
        <x:v>193</x:v>
      </x:c>
      <x:c r="I22" s="28" t="s">
        <x:v>194</x:v>
      </x:c>
      <x:c r="J22" s="29" t="s">
        <x:v>195</x:v>
      </x:c>
    </x:row>
    <x:row r="23" ht="10.050000190734863" customHeight="1">
      <x:c r="A23" s="21" t="s">
        <x:v>196</x:v>
      </x:c>
      <x:c r="B23" s="20" t="s">
        <x:v>196</x:v>
      </x:c>
      <x:c r="C23" s="20" t="s">
        <x:v>197</x:v>
      </x:c>
      <x:c r="D23" s="24">
        <x:v>7</x:v>
      </x:c>
      <x:c r="E23" s="24" t="s">
        <x:v>198</x:v>
      </x:c>
      <x:c r="F23" s="20" t="s">
        <x:v>90</x:v>
      </x:c>
      <x:c r="G23" s="26">
        <x:v>43648</x:v>
      </x:c>
      <x:c r="H23" s="24" t="s">
        <x:v>199</x:v>
      </x:c>
      <x:c r="I23" s="28" t="s">
        <x:v>200</x:v>
      </x:c>
      <x:c r="J23" s="29" t="s">
        <x:v>201</x:v>
      </x:c>
    </x:row>
    <x:row r="24" ht="10.050000190734863" customHeight="1">
      <x:c r="A24" s="21" t="s">
        <x:v>202</x:v>
      </x:c>
      <x:c r="B24" s="20" t="s">
        <x:v>202</x:v>
      </x:c>
      <x:c r="C24" s="20" t="s">
        <x:v>203</x:v>
      </x:c>
      <x:c r="D24" s="24">
        <x:v>21</x:v>
      </x:c>
      <x:c r="E24" s="24" t="s">
        <x:v>125</x:v>
      </x:c>
      <x:c r="F24" s="20" t="s">
        <x:v>90</x:v>
      </x:c>
      <x:c r="G24" s="26">
        <x:v>45583</x:v>
      </x:c>
      <x:c r="H24" s="24" t="s">
        <x:v>204</x:v>
      </x:c>
      <x:c r="I24" s="28" t="s">
        <x:v>205</x:v>
      </x:c>
      <x:c r="J24" s="29" t="s">
        <x:v>206</x:v>
      </x:c>
    </x:row>
    <x:row r="25" ht="10.050000190734863" customHeight="1">
      <x:c r="A25" s="21" t="s">
        <x:v>207</x:v>
      </x:c>
      <x:c r="B25" s="20" t="s">
        <x:v>207</x:v>
      </x:c>
      <x:c r="C25" s="20" t="s">
        <x:v>208</x:v>
      </x:c>
      <x:c r="D25" s="24">
        <x:v>17</x:v>
      </x:c>
      <x:c r="E25" s="24" t="s">
        <x:v>89</x:v>
      </x:c>
      <x:c r="F25" s="20" t="s">
        <x:v>90</x:v>
      </x:c>
      <x:c r="G25" s="26">
        <x:v>45436</x:v>
      </x:c>
      <x:c r="H25" s="24" t="s">
        <x:v>209</x:v>
      </x:c>
      <x:c r="I25" s="28" t="s">
        <x:v>210</x:v>
      </x:c>
      <x:c r="J25" s="29" t="s">
        <x:v>211</x:v>
      </x:c>
    </x:row>
    <x:row r="26" ht="10.050000190734863" customHeight="1">
      <x:c r="A26" s="21" t="s">
        <x:v>212</x:v>
      </x:c>
      <x:c r="B26" s="20" t="s">
        <x:v>212</x:v>
      </x:c>
      <x:c r="C26" s="20" t="s">
        <x:v>213</x:v>
      </x:c>
      <x:c r="D26" s="24">
        <x:v>69</x:v>
      </x:c>
      <x:c r="E26" s="24" t="s">
        <x:v>96</x:v>
      </x:c>
      <x:c r="F26" s="20" t="s">
        <x:v>90</x:v>
      </x:c>
      <x:c r="G26" s="26">
        <x:v>44885</x:v>
      </x:c>
      <x:c r="H26" s="24" t="s">
        <x:v>214</x:v>
      </x:c>
      <x:c r="I26" s="28" t="s">
        <x:v>215</x:v>
      </x:c>
      <x:c r="J26" s="29" t="s">
        <x:v>216</x:v>
      </x:c>
    </x:row>
    <x:row r="27" ht="10.050000190734863" customHeight="1">
      <x:c r="A27" s="21" t="s">
        <x:v>217</x:v>
      </x:c>
      <x:c r="B27" s="20" t="s">
        <x:v>217</x:v>
      </x:c>
      <x:c r="C27" s="20" t="s">
        <x:v>218</x:v>
      </x:c>
      <x:c r="D27" s="24">
        <x:v>9</x:v>
      </x:c>
      <x:c r="E27" s="24" t="s">
        <x:v>198</x:v>
      </x:c>
      <x:c r="F27" s="20" t="s">
        <x:v>90</x:v>
      </x:c>
      <x:c r="G27" s="26">
        <x:v>44664</x:v>
      </x:c>
      <x:c r="H27" s="24" t="s">
        <x:v>219</x:v>
      </x:c>
      <x:c r="I27" s="28" t="s">
        <x:v>220</x:v>
      </x:c>
      <x:c r="J27" s="29" t="s">
        <x:v>221</x:v>
      </x:c>
    </x:row>
    <x:row r="28" ht="10.050000190734863" customHeight="1">
      <x:c r="A28" s="21" t="s">
        <x:v>222</x:v>
      </x:c>
      <x:c r="B28" s="20" t="s">
        <x:v>222</x:v>
      </x:c>
      <x:c r="C28" s="20" t="s">
        <x:v>223</x:v>
      </x:c>
      <x:c r="D28" s="24">
        <x:v>4</x:v>
      </x:c>
      <x:c r="E28" s="24" t="s">
        <x:v>103</x:v>
      </x:c>
      <x:c r="F28" s="20" t="s">
        <x:v>97</x:v>
      </x:c>
      <x:c r="G28" s="26">
        <x:v>42235</x:v>
      </x:c>
      <x:c r="H28" s="24" t="s">
        <x:v>224</x:v>
      </x:c>
      <x:c r="I28" s="28" t="s">
        <x:v>225</x:v>
      </x:c>
      <x:c r="J28" s="29" t="s">
        <x:v>226</x:v>
      </x:c>
    </x:row>
    <x:row r="29" ht="10.050000190734863" customHeight="1">
      <x:c r="A29" s="21" t="s">
        <x:v>227</x:v>
      </x:c>
      <x:c r="B29" s="20" t="s">
        <x:v>227</x:v>
      </x:c>
      <x:c r="C29" s="20" t="s">
        <x:v>203</x:v>
      </x:c>
      <x:c r="D29" s="24">
        <x:v>35</x:v>
      </x:c>
      <x:c r="E29" s="24" t="s">
        <x:v>114</x:v>
      </x:c>
      <x:c r="F29" s="20" t="s">
        <x:v>90</x:v>
      </x:c>
      <x:c r="G29" s="26">
        <x:v>44164</x:v>
      </x:c>
      <x:c r="H29" s="24" t="s">
        <x:v>228</x:v>
      </x:c>
      <x:c r="I29" s="28" t="s">
        <x:v>229</x:v>
      </x:c>
      <x:c r="J29" s="29" t="s">
        <x:v>230</x:v>
      </x:c>
    </x:row>
    <x:row r="30" ht="10.050000190734863" customHeight="1">
      <x:c r="A30" s="21" t="s">
        <x:v>231</x:v>
      </x:c>
      <x:c r="B30" s="20" t="s">
        <x:v>231</x:v>
      </x:c>
      <x:c r="C30" s="20" t="s">
        <x:v>232</x:v>
      </x:c>
      <x:c r="D30" s="24">
        <x:v>1</x:v>
      </x:c>
      <x:c r="E30" s="24" t="s">
        <x:v>114</x:v>
      </x:c>
      <x:c r="F30" s="20" t="s">
        <x:v>90</x:v>
      </x:c>
      <x:c r="G30" s="26">
        <x:v>45082</x:v>
      </x:c>
      <x:c r="H30" s="24" t="s">
        <x:v>233</x:v>
      </x:c>
      <x:c r="I30" s="28" t="s">
        <x:v>234</x:v>
      </x:c>
      <x:c r="J30" s="29" t="s">
        <x:v>235</x:v>
      </x:c>
    </x:row>
    <x:row r="31" ht="10.050000190734863" customHeight="1">
      <x:c r="A31" s="21" t="s">
        <x:v>236</x:v>
      </x:c>
      <x:c r="B31" s="20" t="s">
        <x:v>236</x:v>
      </x:c>
      <x:c r="C31" s="20" t="s">
        <x:v>237</x:v>
      </x:c>
      <x:c r="D31" s="24">
        <x:v>4</x:v>
      </x:c>
      <x:c r="E31" s="24" t="s">
        <x:v>198</x:v>
      </x:c>
      <x:c r="F31" s="20" t="s">
        <x:v>90</x:v>
      </x:c>
      <x:c r="G31" s="26">
        <x:v>44252</x:v>
      </x:c>
      <x:c r="H31" s="24" t="s">
        <x:v>238</x:v>
      </x:c>
      <x:c r="I31" s="28" t="s">
        <x:v>239</x:v>
      </x:c>
      <x:c r="J31" s="29" t="s">
        <x:v>240</x:v>
      </x:c>
    </x:row>
    <x:row r="32" ht="10.050000190734863" customHeight="1">
      <x:c r="A32" s="21" t="s">
        <x:v>241</x:v>
      </x:c>
      <x:c r="B32" s="20" t="s">
        <x:v>241</x:v>
      </x:c>
      <x:c r="C32" s="20" t="s">
        <x:v>232</x:v>
      </x:c>
      <x:c r="D32" s="24">
        <x:v>1</x:v>
      </x:c>
      <x:c r="E32" s="24" t="s">
        <x:v>114</x:v>
      </x:c>
      <x:c r="F32" s="20" t="s">
        <x:v>90</x:v>
      </x:c>
      <x:c r="G32" s="26">
        <x:v>45725</x:v>
      </x:c>
      <x:c r="H32" s="24" t="s">
        <x:v>242</x:v>
      </x:c>
      <x:c r="I32" s="28" t="s">
        <x:v>243</x:v>
      </x:c>
      <x:c r="J32" s="29" t="s">
        <x:v>244</x:v>
      </x:c>
    </x:row>
    <x:row r="33" ht="10.050000190734863" customHeight="1">
      <x:c r="A33" s="21" t="s">
        <x:v>245</x:v>
      </x:c>
      <x:c r="B33" s="20" t="s">
        <x:v>245</x:v>
      </x:c>
      <x:c r="C33" s="20" t="s">
        <x:v>246</x:v>
      </x:c>
      <x:c r="D33" s="24">
        <x:v>29</x:v>
      </x:c>
      <x:c r="E33" s="24" t="s">
        <x:v>114</x:v>
      </x:c>
      <x:c r="F33" s="20" t="s">
        <x:v>90</x:v>
      </x:c>
      <x:c r="G33" s="26">
        <x:v>44862</x:v>
      </x:c>
      <x:c r="H33" s="24" t="s">
        <x:v>247</x:v>
      </x:c>
      <x:c r="I33" s="28" t="s">
        <x:v>248</x:v>
      </x:c>
      <x:c r="J33" s="29" t="s">
        <x:v>249</x:v>
      </x:c>
    </x:row>
    <x:row r="34" ht="10.050000190734863" customHeight="1">
      <x:c r="A34" s="21" t="s">
        <x:v>250</x:v>
      </x:c>
      <x:c r="B34" s="20" t="s">
        <x:v>250</x:v>
      </x:c>
      <x:c r="C34" s="20" t="s">
        <x:v>251</x:v>
      </x:c>
      <x:c r="D34" s="24">
        <x:v>5</x:v>
      </x:c>
      <x:c r="E34" s="24" t="s">
        <x:v>103</x:v>
      </x:c>
      <x:c r="F34" s="20" t="s">
        <x:v>97</x:v>
      </x:c>
      <x:c r="G34" s="26">
        <x:v>42114</x:v>
      </x:c>
      <x:c r="H34" s="24" t="s">
        <x:v>252</x:v>
      </x:c>
      <x:c r="I34" s="28" t="s">
        <x:v>253</x:v>
      </x:c>
      <x:c r="J34" s="29" t="s">
        <x:v>254</x:v>
      </x:c>
    </x:row>
    <x:row r="35" ht="10.050000190734863" customHeight="1">
      <x:c r="A35" s="21" t="s">
        <x:v>255</x:v>
      </x:c>
      <x:c r="B35" s="20" t="s">
        <x:v>255</x:v>
      </x:c>
      <x:c r="C35" s="20" t="s">
        <x:v>256</x:v>
      </x:c>
      <x:c r="D35" s="24">
        <x:v>16</x:v>
      </x:c>
      <x:c r="E35" s="24" t="s">
        <x:v>257</x:v>
      </x:c>
      <x:c r="F35" s="20" t="s">
        <x:v>97</x:v>
      </x:c>
      <x:c r="G35" s="26">
        <x:v>41457</x:v>
      </x:c>
      <x:c r="H35" s="24" t="s">
        <x:v>258</x:v>
      </x:c>
      <x:c r="I35" s="28" t="s">
        <x:v>259</x:v>
      </x:c>
      <x:c r="J35" s="29" t="s">
        <x:v>260</x:v>
      </x:c>
    </x:row>
    <x:row r="36" ht="10.050000190734863" customHeight="1">
      <x:c r="A36" s="21" t="s">
        <x:v>261</x:v>
      </x:c>
      <x:c r="B36" s="20" t="s">
        <x:v>261</x:v>
      </x:c>
      <x:c r="C36" s="20" t="s">
        <x:v>262</x:v>
      </x:c>
      <x:c r="D36" s="24">
        <x:v>14</x:v>
      </x:c>
      <x:c r="E36" s="24" t="s">
        <x:v>103</x:v>
      </x:c>
      <x:c r="F36" s="20" t="s">
        <x:v>97</x:v>
      </x:c>
      <x:c r="G36" s="26">
        <x:v>43962</x:v>
      </x:c>
      <x:c r="H36" s="24" t="s">
        <x:v>263</x:v>
      </x:c>
      <x:c r="I36" s="28" t="s">
        <x:v>264</x:v>
      </x:c>
      <x:c r="J36" s="29" t="s">
        <x:v>265</x:v>
      </x:c>
    </x:row>
    <x:row r="37" ht="10.050000190734863" customHeight="1">
      <x:c r="A37" s="21" t="s">
        <x:v>266</x:v>
      </x:c>
      <x:c r="B37" s="20" t="s">
        <x:v>266</x:v>
      </x:c>
      <x:c r="C37" s="20" t="s">
        <x:v>267</x:v>
      </x:c>
      <x:c r="D37" s="24">
        <x:v>6</x:v>
      </x:c>
      <x:c r="E37" s="24" t="s">
        <x:v>89</x:v>
      </x:c>
      <x:c r="F37" s="20" t="s">
        <x:v>90</x:v>
      </x:c>
      <x:c r="G37" s="26">
        <x:v>45964</x:v>
      </x:c>
      <x:c r="H37" s="24" t="s">
        <x:v>268</x:v>
      </x:c>
      <x:c r="I37" s="28" t="s">
        <x:v>269</x:v>
      </x:c>
      <x:c r="J37" s="29" t="s">
        <x:v>270</x:v>
      </x:c>
    </x:row>
    <x:row r="38" ht="10.050000190734863" customHeight="1">
      <x:c r="A38" s="21" t="s">
        <x:v>271</x:v>
      </x:c>
      <x:c r="B38" s="20" t="s">
        <x:v>271</x:v>
      </x:c>
      <x:c r="C38" s="20" t="s">
        <x:v>272</x:v>
      </x:c>
      <x:c r="D38" s="24">
        <x:v>6</x:v>
      </x:c>
      <x:c r="E38" s="24" t="s">
        <x:v>89</x:v>
      </x:c>
      <x:c r="F38" s="20" t="s">
        <x:v>97</x:v>
      </x:c>
      <x:c r="G38" s="26">
        <x:v>45963</x:v>
      </x:c>
      <x:c r="H38" s="24" t="s">
        <x:v>273</x:v>
      </x:c>
      <x:c r="I38" s="28" t="s">
        <x:v>274</x:v>
      </x:c>
      <x:c r="J38" s="29" t="s">
        <x:v>275</x:v>
      </x:c>
    </x:row>
    <x:row r="39" ht="10.050000190734863" customHeight="1">
      <x:c r="A39" s="21" t="s">
        <x:v>276</x:v>
      </x:c>
      <x:c r="B39" s="20" t="s">
        <x:v>276</x:v>
      </x:c>
      <x:c r="C39" s="20" t="s">
        <x:v>277</x:v>
      </x:c>
      <x:c r="D39" s="24">
        <x:v>8</x:v>
      </x:c>
      <x:c r="E39" s="24" t="s">
        <x:v>257</x:v>
      </x:c>
      <x:c r="F39" s="20" t="s">
        <x:v>97</x:v>
      </x:c>
      <x:c r="G39" s="26">
        <x:v>43703</x:v>
      </x:c>
      <x:c r="H39" s="24" t="s">
        <x:v>278</x:v>
      </x:c>
      <x:c r="I39" s="28" t="s">
        <x:v>279</x:v>
      </x:c>
      <x:c r="J39" s="29" t="s">
        <x:v>280</x:v>
      </x:c>
    </x:row>
    <x:row r="40" ht="10.050000190734863" customHeight="1">
      <x:c r="A40" s="21" t="s">
        <x:v>281</x:v>
      </x:c>
      <x:c r="B40" s="20" t="s">
        <x:v>281</x:v>
      </x:c>
      <x:c r="C40" s="20" t="s">
        <x:v>282</x:v>
      </x:c>
      <x:c r="D40" s="24">
        <x:v>1</x:v>
      </x:c>
      <x:c r="E40" s="24" t="s">
        <x:v>257</x:v>
      </x:c>
      <x:c r="F40" s="20" t="s">
        <x:v>97</x:v>
      </x:c>
      <x:c r="G40" s="26">
        <x:v>42690</x:v>
      </x:c>
      <x:c r="H40" s="24" t="s">
        <x:v>283</x:v>
      </x:c>
      <x:c r="I40" s="28" t="s">
        <x:v>284</x:v>
      </x:c>
      <x:c r="J40" s="29" t="s">
        <x:v>285</x:v>
      </x:c>
    </x:row>
    <x:row r="41" ht="10.050000190734863" customHeight="1">
      <x:c r="A41" s="21" t="s">
        <x:v>286</x:v>
      </x:c>
      <x:c r="B41" s="20" t="s">
        <x:v>286</x:v>
      </x:c>
      <x:c r="C41" s="20" t="s">
        <x:v>287</x:v>
      </x:c>
      <x:c r="D41" s="24">
        <x:v>0</x:v>
      </x:c>
      <x:c r="E41" s="24" t="s">
        <x:v>89</x:v>
      </x:c>
      <x:c r="F41" s="20" t="s">
        <x:v>90</x:v>
      </x:c>
      <x:c r="G41" s="26">
        <x:v>44420</x:v>
      </x:c>
      <x:c r="H41" s="24" t="s">
        <x:v>288</x:v>
      </x:c>
      <x:c r="I41" s="28" t="s">
        <x:v>289</x:v>
      </x:c>
      <x:c r="J41" s="29" t="s">
        <x:v>290</x:v>
      </x:c>
    </x:row>
    <x:row r="42" ht="10.050000190734863" customHeight="1">
      <x:c r="A42" s="21" t="s">
        <x:v>291</x:v>
      </x:c>
      <x:c r="B42" s="20" t="s">
        <x:v>291</x:v>
      </x:c>
      <x:c r="C42" s="20" t="s">
        <x:v>292</x:v>
      </x:c>
      <x:c r="D42" s="24">
        <x:v>9</x:v>
      </x:c>
      <x:c r="E42" s="24" t="s">
        <x:v>198</x:v>
      </x:c>
      <x:c r="F42" s="20" t="s">
        <x:v>90</x:v>
      </x:c>
      <x:c r="G42" s="26">
        <x:v>45617</x:v>
      </x:c>
      <x:c r="H42" s="24" t="s">
        <x:v>293</x:v>
      </x:c>
      <x:c r="I42" s="28" t="s">
        <x:v>294</x:v>
      </x:c>
      <x:c r="J42" s="29" t="s">
        <x:v>295</x:v>
      </x:c>
    </x:row>
    <x:row r="43" ht="10.050000190734863" customHeight="1">
      <x:c r="A43" s="21" t="s">
        <x:v>296</x:v>
      </x:c>
      <x:c r="B43" s="20" t="s">
        <x:v>296</x:v>
      </x:c>
      <x:c r="C43" s="20" t="s">
        <x:v>297</x:v>
      </x:c>
      <x:c r="D43" s="24">
        <x:v>10</x:v>
      </x:c>
      <x:c r="E43" s="24" t="s">
        <x:v>96</x:v>
      </x:c>
      <x:c r="F43" s="20" t="s">
        <x:v>97</x:v>
      </x:c>
      <x:c r="G43" s="26">
        <x:v>43865</x:v>
      </x:c>
      <x:c r="H43" s="24" t="s">
        <x:v>298</x:v>
      </x:c>
      <x:c r="I43" s="28" t="s">
        <x:v>299</x:v>
      </x:c>
      <x:c r="J43" s="29" t="s">
        <x:v>300</x:v>
      </x:c>
    </x:row>
    <x:row r="44" ht="10.050000190734863" customHeight="1">
      <x:c r="A44" s="21" t="s">
        <x:v>301</x:v>
      </x:c>
      <x:c r="B44" s="20" t="s">
        <x:v>301</x:v>
      </x:c>
      <x:c r="C44" s="20" t="s">
        <x:v>302</x:v>
      </x:c>
      <x:c r="D44" s="24">
        <x:v>5</x:v>
      </x:c>
      <x:c r="E44" s="24" t="s">
        <x:v>103</x:v>
      </x:c>
      <x:c r="F44" s="20" t="s">
        <x:v>97</x:v>
      </x:c>
      <x:c r="G44" s="26">
        <x:v>45477</x:v>
      </x:c>
      <x:c r="H44" s="24" t="s">
        <x:v>303</x:v>
      </x:c>
      <x:c r="I44" s="28" t="s">
        <x:v>304</x:v>
      </x:c>
      <x:c r="J44" s="29" t="s">
        <x:v>305</x:v>
      </x:c>
    </x:row>
    <x:row r="45" ht="10.050000190734863" customHeight="1">
      <x:c r="A45" s="21" t="s">
        <x:v>306</x:v>
      </x:c>
      <x:c r="B45" s="20" t="s">
        <x:v>306</x:v>
      </x:c>
      <x:c r="C45" s="20" t="s">
        <x:v>307</x:v>
      </x:c>
      <x:c r="D45" s="24">
        <x:v>9</x:v>
      </x:c>
      <x:c r="E45" s="24" t="s">
        <x:v>96</x:v>
      </x:c>
      <x:c r="F45" s="20" t="s">
        <x:v>97</x:v>
      </x:c>
      <x:c r="G45" s="26">
        <x:v>44006</x:v>
      </x:c>
      <x:c r="H45" s="24" t="s">
        <x:v>308</x:v>
      </x:c>
      <x:c r="I45" s="28" t="s">
        <x:v>309</x:v>
      </x:c>
      <x:c r="J45" s="29" t="s">
        <x:v>310</x:v>
      </x:c>
    </x:row>
    <x:row r="46" ht="10.050000190734863" customHeight="1">
      <x:c r="A46" s="21" t="s">
        <x:v>311</x:v>
      </x:c>
      <x:c r="B46" s="20" t="s">
        <x:v>311</x:v>
      </x:c>
      <x:c r="C46" s="20" t="s">
        <x:v>312</x:v>
      </x:c>
      <x:c r="D46" s="24">
        <x:v>0</x:v>
      </x:c>
      <x:c r="E46" s="24" t="s">
        <x:v>96</x:v>
      </x:c>
      <x:c r="F46" s="20" t="s">
        <x:v>152</x:v>
      </x:c>
      <x:c r="G46" s="26">
        <x:v>44946</x:v>
      </x:c>
      <x:c r="H46" s="24" t="s">
        <x:v>313</x:v>
      </x:c>
      <x:c r="I46" s="28" t="s">
        <x:v>314</x:v>
      </x:c>
      <x:c r="J46" s="29" t="s">
        <x:v>315</x:v>
      </x:c>
    </x:row>
    <x:row r="47" ht="10.050000190734863" customHeight="1">
      <x:c r="A47" s="21" t="s">
        <x:v>316</x:v>
      </x:c>
      <x:c r="B47" s="20" t="s">
        <x:v>316</x:v>
      </x:c>
      <x:c r="C47" s="20" t="s">
        <x:v>317</x:v>
      </x:c>
      <x:c r="D47" s="24">
        <x:v>4</x:v>
      </x:c>
      <x:c r="E47" s="24" t="s">
        <x:v>96</x:v>
      </x:c>
      <x:c r="F47" s="20" t="s">
        <x:v>90</x:v>
      </x:c>
      <x:c r="G47" s="26">
        <x:v>44540</x:v>
      </x:c>
      <x:c r="H47" s="24" t="s">
        <x:v>318</x:v>
      </x:c>
      <x:c r="I47" s="28" t="s">
        <x:v>319</x:v>
      </x:c>
      <x:c r="J47" s="29" t="s">
        <x:v>320</x:v>
      </x:c>
    </x:row>
    <x:row r="48" ht="10.050000190734863" customHeight="1">
      <x:c r="A48" s="21" t="s">
        <x:v>321</x:v>
      </x:c>
      <x:c r="B48" s="20" t="s">
        <x:v>321</x:v>
      </x:c>
      <x:c r="C48" s="20" t="s">
        <x:v>317</x:v>
      </x:c>
      <x:c r="D48" s="24">
        <x:v>5</x:v>
      </x:c>
      <x:c r="E48" s="24" t="s">
        <x:v>89</x:v>
      </x:c>
      <x:c r="F48" s="20" t="s">
        <x:v>90</x:v>
      </x:c>
      <x:c r="G48" s="26">
        <x:v>45268</x:v>
      </x:c>
      <x:c r="H48" s="24" t="s">
        <x:v>322</x:v>
      </x:c>
      <x:c r="I48" s="28" t="s">
        <x:v>323</x:v>
      </x:c>
      <x:c r="J48" s="29" t="s">
        <x:v>324</x:v>
      </x:c>
    </x:row>
    <x:row r="49" ht="10.050000190734863" customHeight="1">
      <x:c r="A49" s="21" t="s">
        <x:v>325</x:v>
      </x:c>
      <x:c r="B49" s="20" t="s">
        <x:v>325</x:v>
      </x:c>
      <x:c r="C49" s="20" t="s">
        <x:v>326</x:v>
      </x:c>
      <x:c r="D49" s="24">
        <x:v>1</x:v>
      </x:c>
      <x:c r="E49" s="24" t="s">
        <x:v>103</x:v>
      </x:c>
      <x:c r="F49" s="20" t="s">
        <x:v>97</x:v>
      </x:c>
      <x:c r="G49" s="26">
        <x:v>43827</x:v>
      </x:c>
      <x:c r="H49" s="24" t="s">
        <x:v>327</x:v>
      </x:c>
      <x:c r="I49" s="28" t="s">
        <x:v>328</x:v>
      </x:c>
      <x:c r="J49" s="29" t="s">
        <x:v>329</x:v>
      </x:c>
    </x:row>
    <x:row r="50" ht="10.050000190734863" customHeight="1">
      <x:c r="A50" s="21" t="s">
        <x:v>330</x:v>
      </x:c>
      <x:c r="B50" s="20" t="s">
        <x:v>330</x:v>
      </x:c>
      <x:c r="C50" s="20" t="s">
        <x:v>331</x:v>
      </x:c>
      <x:c r="D50" s="24">
        <x:v>7</x:v>
      </x:c>
      <x:c r="E50" s="24" t="s">
        <x:v>198</x:v>
      </x:c>
      <x:c r="F50" s="20" t="s">
        <x:v>90</x:v>
      </x:c>
      <x:c r="G50" s="26">
        <x:v>45533</x:v>
      </x:c>
      <x:c r="H50" s="24" t="s">
        <x:v>332</x:v>
      </x:c>
      <x:c r="I50" s="28" t="s">
        <x:v>333</x:v>
      </x:c>
      <x:c r="J50" s="29" t="s">
        <x:v>334</x:v>
      </x:c>
    </x:row>
    <x:row r="51" ht="10.050000190734863" customHeight="1">
      <x:c r="A51" s="21" t="s">
        <x:v>335</x:v>
      </x:c>
      <x:c r="B51" s="20" t="s">
        <x:v>335</x:v>
      </x:c>
      <x:c r="C51" s="20" t="s">
        <x:v>336</x:v>
      </x:c>
      <x:c r="D51" s="24">
        <x:v>12</x:v>
      </x:c>
      <x:c r="E51" s="24" t="s">
        <x:v>103</x:v>
      </x:c>
      <x:c r="F51" s="20" t="s">
        <x:v>97</x:v>
      </x:c>
      <x:c r="G51" s="26">
        <x:v>43918</x:v>
      </x:c>
      <x:c r="H51" s="24" t="s">
        <x:v>337</x:v>
      </x:c>
      <x:c r="I51" s="28" t="s">
        <x:v>338</x:v>
      </x:c>
      <x:c r="J51" s="29" t="s">
        <x:v>339</x:v>
      </x:c>
    </x:row>
    <x:row r="52" ht="10.050000190734863" customHeight="1">
      <x:c r="A52" s="21" t="s">
        <x:v>340</x:v>
      </x:c>
      <x:c r="B52" s="20" t="s">
        <x:v>340</x:v>
      </x:c>
      <x:c r="C52" s="20" t="s">
        <x:v>341</x:v>
      </x:c>
      <x:c r="D52" s="24">
        <x:v>0</x:v>
      </x:c>
      <x:c r="E52" s="24" t="s">
        <x:v>114</x:v>
      </x:c>
      <x:c r="F52" s="20" t="s">
        <x:v>90</x:v>
      </x:c>
      <x:c r="G52" s="26">
        <x:v>44794</x:v>
      </x:c>
      <x:c r="H52" s="24" t="s">
        <x:v>342</x:v>
      </x:c>
      <x:c r="I52" s="28" t="s">
        <x:v>343</x:v>
      </x:c>
      <x:c r="J52" s="29" t="s">
        <x:v>344</x:v>
      </x:c>
    </x:row>
    <x:row r="53" ht="10.050000190734863" customHeight="1">
      <x:c r="A53" s="21" t="s">
        <x:v>345</x:v>
      </x:c>
      <x:c r="B53" s="20" t="s">
        <x:v>345</x:v>
      </x:c>
      <x:c r="C53" s="20" t="s">
        <x:v>346</x:v>
      </x:c>
      <x:c r="D53" s="24">
        <x:v>7</x:v>
      </x:c>
      <x:c r="E53" s="24" t="s">
        <x:v>103</x:v>
      </x:c>
      <x:c r="F53" s="20" t="s">
        <x:v>97</x:v>
      </x:c>
      <x:c r="G53" s="26">
        <x:v>42710</x:v>
      </x:c>
      <x:c r="H53" s="24" t="s">
        <x:v>347</x:v>
      </x:c>
      <x:c r="I53" s="28" t="s">
        <x:v>348</x:v>
      </x:c>
      <x:c r="J53" s="29" t="s">
        <x:v>349</x:v>
      </x:c>
    </x:row>
    <x:row r="54" ht="10.050000190734863" customHeight="1">
      <x:c r="A54" s="21" t="s">
        <x:v>350</x:v>
      </x:c>
      <x:c r="B54" s="20" t="s">
        <x:v>350</x:v>
      </x:c>
      <x:c r="C54" s="20" t="s">
        <x:v>351</x:v>
      </x:c>
      <x:c r="D54" s="24">
        <x:v>24</x:v>
      </x:c>
      <x:c r="E54" s="24" t="s">
        <x:v>198</x:v>
      </x:c>
      <x:c r="F54" s="20" t="s">
        <x:v>90</x:v>
      </x:c>
      <x:c r="G54" s="26">
        <x:v>44342</x:v>
      </x:c>
      <x:c r="H54" s="24" t="s">
        <x:v>352</x:v>
      </x:c>
      <x:c r="I54" s="28" t="s">
        <x:v>353</x:v>
      </x:c>
      <x:c r="J54" s="29" t="s">
        <x:v>354</x:v>
      </x:c>
    </x:row>
    <x:row r="55" ht="10.050000190734863" customHeight="1">
      <x:c r="A55" s="21" t="s">
        <x:v>355</x:v>
      </x:c>
      <x:c r="B55" s="20" t="s">
        <x:v>355</x:v>
      </x:c>
      <x:c r="C55" s="20" t="s">
        <x:v>356</x:v>
      </x:c>
      <x:c r="D55" s="24">
        <x:v>7</x:v>
      </x:c>
      <x:c r="E55" s="24" t="s">
        <x:v>96</x:v>
      </x:c>
      <x:c r="F55" s="20" t="s">
        <x:v>97</x:v>
      </x:c>
      <x:c r="G55" s="26">
        <x:v>42013</x:v>
      </x:c>
      <x:c r="H55" s="24" t="s">
        <x:v>357</x:v>
      </x:c>
      <x:c r="I55" s="28" t="s">
        <x:v>358</x:v>
      </x:c>
      <x:c r="J55" s="29" t="s">
        <x:v>359</x:v>
      </x:c>
    </x:row>
    <x:row r="56" ht="10.050000190734863" customHeight="1">
      <x:c r="A56" s="21" t="s">
        <x:v>360</x:v>
      </x:c>
      <x:c r="B56" s="20" t="s">
        <x:v>360</x:v>
      </x:c>
      <x:c r="C56" s="20" t="s">
        <x:v>361</x:v>
      </x:c>
      <x:c r="D56" s="24">
        <x:v>11</x:v>
      </x:c>
      <x:c r="E56" s="24" t="s">
        <x:v>257</x:v>
      </x:c>
      <x:c r="F56" s="20" t="s">
        <x:v>97</x:v>
      </x:c>
      <x:c r="G56" s="26">
        <x:v>42011</x:v>
      </x:c>
      <x:c r="H56" s="24" t="s">
        <x:v>362</x:v>
      </x:c>
      <x:c r="I56" s="28" t="s">
        <x:v>363</x:v>
      </x:c>
      <x:c r="J56" s="29" t="s">
        <x:v>364</x:v>
      </x:c>
    </x:row>
    <x:row r="57" ht="10.050000190734863" customHeight="1">
      <x:c r="A57" s="21" t="s">
        <x:v>365</x:v>
      </x:c>
      <x:c r="B57" s="20" t="s">
        <x:v>365</x:v>
      </x:c>
      <x:c r="C57" s="20" t="s">
        <x:v>361</x:v>
      </x:c>
      <x:c r="D57" s="24">
        <x:v>12</x:v>
      </x:c>
      <x:c r="E57" s="24" t="s">
        <x:v>103</x:v>
      </x:c>
      <x:c r="F57" s="20" t="s">
        <x:v>97</x:v>
      </x:c>
      <x:c r="G57" s="26">
        <x:v>42069</x:v>
      </x:c>
      <x:c r="H57" s="24" t="s">
        <x:v>366</x:v>
      </x:c>
      <x:c r="I57" s="28" t="s">
        <x:v>367</x:v>
      </x:c>
      <x:c r="J57" s="29" t="s">
        <x:v>368</x:v>
      </x:c>
    </x:row>
    <x:row r="58" ht="10.050000190734863" customHeight="1">
      <x:c r="A58" s="21" t="s">
        <x:v>369</x:v>
      </x:c>
      <x:c r="B58" s="20" t="s">
        <x:v>369</x:v>
      </x:c>
      <x:c r="C58" s="20" t="s">
        <x:v>326</x:v>
      </x:c>
      <x:c r="D58" s="24">
        <x:v>7</x:v>
      </x:c>
      <x:c r="E58" s="24" t="s">
        <x:v>103</x:v>
      </x:c>
      <x:c r="F58" s="20" t="s">
        <x:v>97</x:v>
      </x:c>
      <x:c r="G58" s="26">
        <x:v>43838</x:v>
      </x:c>
      <x:c r="H58" s="24" t="s">
        <x:v>370</x:v>
      </x:c>
      <x:c r="I58" s="28" t="s">
        <x:v>371</x:v>
      </x:c>
      <x:c r="J58" s="29" t="s">
        <x:v>372</x:v>
      </x:c>
    </x:row>
    <x:row r="59" ht="10.050000190734863" customHeight="1">
      <x:c r="A59" s="21" t="s">
        <x:v>373</x:v>
      </x:c>
      <x:c r="B59" s="20" t="s">
        <x:v>373</x:v>
      </x:c>
      <x:c r="C59" s="20" t="s">
        <x:v>374</x:v>
      </x:c>
      <x:c r="D59" s="24">
        <x:v>7</x:v>
      </x:c>
      <x:c r="E59" s="24" t="s">
        <x:v>103</x:v>
      </x:c>
      <x:c r="F59" s="20" t="s">
        <x:v>97</x:v>
      </x:c>
      <x:c r="G59" s="26">
        <x:v>44297</x:v>
      </x:c>
      <x:c r="H59" s="24" t="s">
        <x:v>375</x:v>
      </x:c>
      <x:c r="I59" s="28" t="s">
        <x:v>376</x:v>
      </x:c>
      <x:c r="J59" s="29" t="s">
        <x:v>377</x:v>
      </x:c>
    </x:row>
    <x:row r="60" ht="10.050000190734863" customHeight="1">
      <x:c r="A60" s="21" t="s">
        <x:v>378</x:v>
      </x:c>
      <x:c r="B60" s="20" t="s">
        <x:v>378</x:v>
      </x:c>
      <x:c r="C60" s="20" t="s">
        <x:v>379</x:v>
      </x:c>
      <x:c r="D60" s="24">
        <x:v>9</x:v>
      </x:c>
      <x:c r="E60" s="24" t="s">
        <x:v>125</x:v>
      </x:c>
      <x:c r="F60" s="20" t="s">
        <x:v>90</x:v>
      </x:c>
      <x:c r="G60" s="26">
        <x:v>45666</x:v>
      </x:c>
      <x:c r="H60" s="24" t="s">
        <x:v>380</x:v>
      </x:c>
      <x:c r="I60" s="28" t="s">
        <x:v>381</x:v>
      </x:c>
      <x:c r="J60" s="29" t="s">
        <x:v>382</x:v>
      </x:c>
    </x:row>
    <x:row r="61" ht="10.050000190734863" customHeight="1">
      <x:c r="A61" s="21" t="s">
        <x:v>383</x:v>
      </x:c>
      <x:c r="B61" s="20" t="s">
        <x:v>383</x:v>
      </x:c>
      <x:c r="C61" s="20" t="s">
        <x:v>384</x:v>
      </x:c>
      <x:c r="D61" s="24">
        <x:v>7</x:v>
      </x:c>
      <x:c r="E61" s="24" t="s">
        <x:v>103</x:v>
      </x:c>
      <x:c r="F61" s="20" t="s">
        <x:v>97</x:v>
      </x:c>
      <x:c r="G61" s="26">
        <x:v>45398</x:v>
      </x:c>
      <x:c r="H61" s="24" t="s">
        <x:v>385</x:v>
      </x:c>
      <x:c r="I61" s="28" t="s">
        <x:v>386</x:v>
      </x:c>
      <x:c r="J61" s="29" t="s">
        <x:v>387</x:v>
      </x:c>
    </x:row>
    <x:row r="62" ht="10.050000190734863" customHeight="1">
      <x:c r="A62" s="21" t="s">
        <x:v>388</x:v>
      </x:c>
      <x:c r="B62" s="20" t="s">
        <x:v>388</x:v>
      </x:c>
      <x:c r="C62" s="20" t="s">
        <x:v>389</x:v>
      </x:c>
      <x:c r="D62" s="24">
        <x:v>19</x:v>
      </x:c>
      <x:c r="E62" s="24" t="s">
        <x:v>103</x:v>
      </x:c>
      <x:c r="F62" s="20" t="s">
        <x:v>97</x:v>
      </x:c>
      <x:c r="G62" s="26">
        <x:v>43730</x:v>
      </x:c>
      <x:c r="H62" s="24" t="s">
        <x:v>390</x:v>
      </x:c>
      <x:c r="I62" s="28" t="s">
        <x:v>391</x:v>
      </x:c>
      <x:c r="J62" s="29" t="s">
        <x:v>392</x:v>
      </x:c>
    </x:row>
    <x:row r="63" ht="10.050000190734863" customHeight="1">
      <x:c r="A63" s="21" t="s">
        <x:v>393</x:v>
      </x:c>
      <x:c r="B63" s="20" t="s">
        <x:v>393</x:v>
      </x:c>
      <x:c r="C63" s="20" t="s">
        <x:v>394</x:v>
      </x:c>
      <x:c r="D63" s="24">
        <x:v>1</x:v>
      </x:c>
      <x:c r="E63" s="24" t="s">
        <x:v>114</x:v>
      </x:c>
      <x:c r="F63" s="20" t="s">
        <x:v>90</x:v>
      </x:c>
      <x:c r="G63" s="26">
        <x:v>42133</x:v>
      </x:c>
      <x:c r="H63" s="24" t="s">
        <x:v>395</x:v>
      </x:c>
      <x:c r="I63" s="28" t="s">
        <x:v>396</x:v>
      </x:c>
      <x:c r="J63" s="29" t="s">
        <x:v>397</x:v>
      </x:c>
    </x:row>
    <x:row r="64" ht="10.050000190734863" customHeight="1">
      <x:c r="A64" s="21" t="s">
        <x:v>398</x:v>
      </x:c>
      <x:c r="B64" s="20" t="s">
        <x:v>398</x:v>
      </x:c>
      <x:c r="C64" s="20" t="s">
        <x:v>399</x:v>
      </x:c>
      <x:c r="D64" s="24">
        <x:v>5</x:v>
      </x:c>
      <x:c r="E64" s="24" t="s">
        <x:v>103</x:v>
      </x:c>
      <x:c r="F64" s="20" t="s">
        <x:v>97</x:v>
      </x:c>
      <x:c r="G64" s="26">
        <x:v>43461</x:v>
      </x:c>
      <x:c r="H64" s="24" t="s">
        <x:v>400</x:v>
      </x:c>
      <x:c r="I64" s="28" t="s">
        <x:v>401</x:v>
      </x:c>
      <x:c r="J64" s="29" t="s">
        <x:v>402</x:v>
      </x:c>
    </x:row>
    <x:row r="65" ht="10.050000190734863" customHeight="1">
      <x:c r="A65" s="21" t="s">
        <x:v>403</x:v>
      </x:c>
      <x:c r="B65" s="20" t="s">
        <x:v>403</x:v>
      </x:c>
      <x:c r="C65" s="20" t="s">
        <x:v>404</x:v>
      </x:c>
      <x:c r="D65" s="24">
        <x:v>25</x:v>
      </x:c>
      <x:c r="E65" s="24" t="s">
        <x:v>96</x:v>
      </x:c>
      <x:c r="F65" s="20" t="s">
        <x:v>97</x:v>
      </x:c>
      <x:c r="G65" s="26">
        <x:v>42207</x:v>
      </x:c>
      <x:c r="H65" s="24" t="s">
        <x:v>405</x:v>
      </x:c>
      <x:c r="I65" s="28" t="s">
        <x:v>406</x:v>
      </x:c>
      <x:c r="J65" s="29" t="s">
        <x:v>407</x:v>
      </x:c>
    </x:row>
    <x:row r="66" ht="10.050000190734863" customHeight="1">
      <x:c r="A66" s="21" t="s">
        <x:v>408</x:v>
      </x:c>
      <x:c r="B66" s="20" t="s">
        <x:v>408</x:v>
      </x:c>
      <x:c r="C66" s="20" t="s">
        <x:v>409</x:v>
      </x:c>
      <x:c r="D66" s="24">
        <x:v>25</x:v>
      </x:c>
      <x:c r="E66" s="24" t="s">
        <x:v>96</x:v>
      </x:c>
      <x:c r="F66" s="20" t="s">
        <x:v>97</x:v>
      </x:c>
      <x:c r="G66" s="26">
        <x:v>43980</x:v>
      </x:c>
      <x:c r="H66" s="24" t="s">
        <x:v>410</x:v>
      </x:c>
      <x:c r="I66" s="28" t="s">
        <x:v>411</x:v>
      </x:c>
      <x:c r="J66" s="29" t="s">
        <x:v>412</x:v>
      </x:c>
    </x:row>
    <x:row r="67" ht="10.050000190734863" customHeight="1">
      <x:c r="A67" s="21" t="s">
        <x:v>413</x:v>
      </x:c>
      <x:c r="B67" s="20" t="s">
        <x:v>413</x:v>
      </x:c>
      <x:c r="C67" s="20" t="s">
        <x:v>414</x:v>
      </x:c>
      <x:c r="D67" s="24">
        <x:v>7</x:v>
      </x:c>
      <x:c r="E67" s="24" t="s">
        <x:v>103</x:v>
      </x:c>
      <x:c r="F67" s="20" t="s">
        <x:v>97</x:v>
      </x:c>
      <x:c r="G67" s="26">
        <x:v>42218</x:v>
      </x:c>
      <x:c r="H67" s="24" t="s">
        <x:v>415</x:v>
      </x:c>
      <x:c r="I67" s="28" t="s">
        <x:v>416</x:v>
      </x:c>
      <x:c r="J67" s="29" t="s">
        <x:v>417</x:v>
      </x:c>
    </x:row>
    <x:row r="68" ht="10.050000190734863" customHeight="1">
      <x:c r="A68" s="21" t="s">
        <x:v>418</x:v>
      </x:c>
      <x:c r="B68" s="20" t="s">
        <x:v>418</x:v>
      </x:c>
      <x:c r="C68" s="20" t="s">
        <x:v>419</x:v>
      </x:c>
      <x:c r="D68" s="24">
        <x:v>8</x:v>
      </x:c>
      <x:c r="E68" s="24" t="s">
        <x:v>257</x:v>
      </x:c>
      <x:c r="F68" s="20" t="s">
        <x:v>97</x:v>
      </x:c>
      <x:c r="G68" s="26">
        <x:v>41543</x:v>
      </x:c>
      <x:c r="H68" s="24" t="s">
        <x:v>420</x:v>
      </x:c>
      <x:c r="I68" s="28" t="s">
        <x:v>421</x:v>
      </x:c>
      <x:c r="J68" s="29" t="s">
        <x:v>422</x:v>
      </x:c>
    </x:row>
    <x:row r="69" ht="10.050000190734863" customHeight="1">
      <x:c r="A69" s="21" t="s">
        <x:v>423</x:v>
      </x:c>
      <x:c r="B69" s="20" t="s">
        <x:v>423</x:v>
      </x:c>
      <x:c r="C69" s="20" t="s">
        <x:v>419</x:v>
      </x:c>
      <x:c r="D69" s="24">
        <x:v>3</x:v>
      </x:c>
      <x:c r="E69" s="24" t="s">
        <x:v>103</x:v>
      </x:c>
      <x:c r="F69" s="20" t="s">
        <x:v>97</x:v>
      </x:c>
      <x:c r="G69" s="26">
        <x:v>42062</x:v>
      </x:c>
      <x:c r="H69" s="24" t="s">
        <x:v>424</x:v>
      </x:c>
      <x:c r="I69" s="28" t="s">
        <x:v>425</x:v>
      </x:c>
      <x:c r="J69" s="29" t="s">
        <x:v>426</x:v>
      </x:c>
    </x:row>
    <x:row r="70" ht="10.050000190734863" customHeight="1">
      <x:c r="A70" s="21" t="s">
        <x:v>427</x:v>
      </x:c>
      <x:c r="B70" s="20" t="s">
        <x:v>427</x:v>
      </x:c>
      <x:c r="C70" s="20" t="s">
        <x:v>428</x:v>
      </x:c>
      <x:c r="D70" s="24">
        <x:v>5</x:v>
      </x:c>
      <x:c r="E70" s="24" t="s">
        <x:v>257</x:v>
      </x:c>
      <x:c r="F70" s="20" t="s">
        <x:v>97</x:v>
      </x:c>
      <x:c r="G70" s="26">
        <x:v>42309</x:v>
      </x:c>
      <x:c r="H70" s="24" t="s">
        <x:v>429</x:v>
      </x:c>
      <x:c r="I70" s="28" t="s">
        <x:v>430</x:v>
      </x:c>
      <x:c r="J70" s="29" t="s">
        <x:v>431</x:v>
      </x:c>
    </x:row>
    <x:row r="71" ht="10.050000190734863" customHeight="1">
      <x:c r="A71" s="21" t="s">
        <x:v>432</x:v>
      </x:c>
      <x:c r="B71" s="20" t="s">
        <x:v>432</x:v>
      </x:c>
      <x:c r="C71" s="20" t="s">
        <x:v>433</x:v>
      </x:c>
      <x:c r="D71" s="24">
        <x:v>0</x:v>
      </x:c>
      <x:c r="E71" s="24" t="s">
        <x:v>89</x:v>
      </x:c>
      <x:c r="F71" s="20" t="s">
        <x:v>97</x:v>
      </x:c>
      <x:c r="G71" s="26">
        <x:v>44613</x:v>
      </x:c>
      <x:c r="H71" s="24" t="s">
        <x:v>434</x:v>
      </x:c>
      <x:c r="I71" s="28" t="s">
        <x:v>435</x:v>
      </x:c>
      <x:c r="J71" s="29" t="s">
        <x:v>436</x:v>
      </x:c>
    </x:row>
    <x:row r="72" ht="10.050000190734863" customHeight="1">
      <x:c r="A72" s="21" t="s">
        <x:v>437</x:v>
      </x:c>
      <x:c r="B72" s="20" t="s">
        <x:v>437</x:v>
      </x:c>
      <x:c r="C72" s="20" t="s">
        <x:v>438</x:v>
      </x:c>
      <x:c r="D72" s="24">
        <x:v>8</x:v>
      </x:c>
      <x:c r="E72" s="24" t="s">
        <x:v>103</x:v>
      </x:c>
      <x:c r="F72" s="20" t="s">
        <x:v>97</x:v>
      </x:c>
      <x:c r="G72" s="26">
        <x:v>42301</x:v>
      </x:c>
      <x:c r="H72" s="24" t="s">
        <x:v>439</x:v>
      </x:c>
      <x:c r="I72" s="28" t="s">
        <x:v>440</x:v>
      </x:c>
      <x:c r="J72" s="29" t="s">
        <x:v>441</x:v>
      </x:c>
    </x:row>
    <x:row r="73" ht="10.050000190734863" customHeight="1">
      <x:c r="A73" s="21" t="s">
        <x:v>442</x:v>
      </x:c>
      <x:c r="B73" s="20" t="s">
        <x:v>442</x:v>
      </x:c>
      <x:c r="C73" s="20" t="s">
        <x:v>326</x:v>
      </x:c>
      <x:c r="D73" s="24">
        <x:v>1</x:v>
      </x:c>
      <x:c r="E73" s="24" t="s">
        <x:v>103</x:v>
      </x:c>
      <x:c r="F73" s="20" t="s">
        <x:v>97</x:v>
      </x:c>
      <x:c r="G73" s="26">
        <x:v>43907</x:v>
      </x:c>
      <x:c r="H73" s="24" t="s">
        <x:v>443</x:v>
      </x:c>
      <x:c r="I73" s="28" t="s">
        <x:v>444</x:v>
      </x:c>
      <x:c r="J73" s="29" t="s">
        <x:v>445</x:v>
      </x:c>
    </x:row>
    <x:row r="74" ht="10.050000190734863" customHeight="1">
      <x:c r="A74" s="21" t="s">
        <x:v>446</x:v>
      </x:c>
      <x:c r="B74" s="20" t="s">
        <x:v>446</x:v>
      </x:c>
      <x:c r="C74" s="20" t="s">
        <x:v>447</x:v>
      </x:c>
      <x:c r="D74" s="24">
        <x:v>41</x:v>
      </x:c>
      <x:c r="E74" s="24" t="s">
        <x:v>103</x:v>
      </x:c>
      <x:c r="F74" s="20" t="s">
        <x:v>97</x:v>
      </x:c>
      <x:c r="G74" s="26">
        <x:v>44540</x:v>
      </x:c>
      <x:c r="H74" s="24" t="s">
        <x:v>448</x:v>
      </x:c>
      <x:c r="I74" s="28" t="s">
        <x:v>449</x:v>
      </x:c>
      <x:c r="J74" s="29" t="s">
        <x:v>450</x:v>
      </x:c>
    </x:row>
    <x:row r="75" ht="10.050000190734863" customHeight="1">
      <x:c r="A75" s="21" t="s">
        <x:v>451</x:v>
      </x:c>
      <x:c r="B75" s="20" t="s">
        <x:v>451</x:v>
      </x:c>
      <x:c r="C75" s="20" t="s">
        <x:v>452</x:v>
      </x:c>
      <x:c r="D75" s="24">
        <x:v>13</x:v>
      </x:c>
      <x:c r="E75" s="24" t="s">
        <x:v>198</x:v>
      </x:c>
      <x:c r="F75" s="20" t="s">
        <x:v>90</x:v>
      </x:c>
      <x:c r="G75" s="26">
        <x:v>46207</x:v>
      </x:c>
      <x:c r="H75" s="24" t="s">
        <x:v>453</x:v>
      </x:c>
      <x:c r="I75" s="28" t="s">
        <x:v>454</x:v>
      </x:c>
      <x:c r="J75" s="29" t="s">
        <x:v>455</x:v>
      </x:c>
    </x:row>
    <x:row r="76" ht="10.050000190734863" customHeight="1">
      <x:c r="A76" s="21" t="s">
        <x:v>456</x:v>
      </x:c>
      <x:c r="B76" s="20" t="s">
        <x:v>456</x:v>
      </x:c>
      <x:c r="C76" s="20" t="s">
        <x:v>447</x:v>
      </x:c>
      <x:c r="D76" s="24">
        <x:v>6</x:v>
      </x:c>
      <x:c r="E76" s="24" t="s">
        <x:v>257</x:v>
      </x:c>
      <x:c r="F76" s="20" t="s">
        <x:v>97</x:v>
      </x:c>
      <x:c r="G76" s="26">
        <x:v>41539</x:v>
      </x:c>
      <x:c r="H76" s="24" t="s">
        <x:v>457</x:v>
      </x:c>
      <x:c r="I76" s="28" t="s">
        <x:v>458</x:v>
      </x:c>
      <x:c r="J76" s="29" t="s">
        <x:v>459</x:v>
      </x:c>
    </x:row>
    <x:row r="77" ht="10.050000190734863" customHeight="1">
      <x:c r="A77" s="21" t="s">
        <x:v>460</x:v>
      </x:c>
      <x:c r="B77" s="20" t="s">
        <x:v>460</x:v>
      </x:c>
      <x:c r="C77" s="20" t="s">
        <x:v>461</x:v>
      </x:c>
      <x:c r="D77" s="24">
        <x:v>1</x:v>
      </x:c>
      <x:c r="E77" s="24" t="s">
        <x:v>114</x:v>
      </x:c>
      <x:c r="F77" s="20" t="s">
        <x:v>126</x:v>
      </x:c>
      <x:c r="G77" s="26">
        <x:v>43782</x:v>
      </x:c>
      <x:c r="H77" s="24" t="s">
        <x:v>462</x:v>
      </x:c>
      <x:c r="I77" s="28" t="s">
        <x:v>463</x:v>
      </x:c>
      <x:c r="J77" s="29" t="s">
        <x:v>464</x:v>
      </x:c>
    </x:row>
    <x:row r="78" ht="10.050000190734863" customHeight="1">
      <x:c r="A78" s="21" t="s">
        <x:v>465</x:v>
      </x:c>
      <x:c r="B78" s="20" t="s">
        <x:v>465</x:v>
      </x:c>
      <x:c r="C78" s="20" t="s">
        <x:v>466</x:v>
      </x:c>
      <x:c r="D78" s="24">
        <x:v>9</x:v>
      </x:c>
      <x:c r="E78" s="24" t="s">
        <x:v>114</x:v>
      </x:c>
      <x:c r="F78" s="20" t="s">
        <x:v>90</x:v>
      </x:c>
      <x:c r="G78" s="26">
        <x:v>45463</x:v>
      </x:c>
      <x:c r="H78" s="24" t="s">
        <x:v>467</x:v>
      </x:c>
      <x:c r="I78" s="28" t="s">
        <x:v>468</x:v>
      </x:c>
      <x:c r="J78" s="29" t="s">
        <x:v>469</x:v>
      </x:c>
    </x:row>
    <x:row r="79" ht="10.050000190734863" customHeight="1">
      <x:c r="A79" s="21" t="s">
        <x:v>470</x:v>
      </x:c>
      <x:c r="B79" s="20" t="s">
        <x:v>470</x:v>
      </x:c>
      <x:c r="C79" s="20" t="s">
        <x:v>471</x:v>
      </x:c>
      <x:c r="D79" s="24">
        <x:v>7</x:v>
      </x:c>
      <x:c r="E79" s="24" t="s">
        <x:v>96</x:v>
      </x:c>
      <x:c r="F79" s="20" t="s">
        <x:v>97</x:v>
      </x:c>
      <x:c r="G79" s="26">
        <x:v>44034</x:v>
      </x:c>
      <x:c r="H79" s="24" t="s">
        <x:v>472</x:v>
      </x:c>
      <x:c r="I79" s="28" t="s">
        <x:v>473</x:v>
      </x:c>
      <x:c r="J79" s="29" t="s">
        <x:v>474</x:v>
      </x:c>
    </x:row>
    <x:row r="80" ht="10.050000190734863" customHeight="1">
      <x:c r="A80" s="21" t="s">
        <x:v>475</x:v>
      </x:c>
      <x:c r="B80" s="20" t="s">
        <x:v>475</x:v>
      </x:c>
      <x:c r="C80" s="20" t="s">
        <x:v>476</x:v>
      </x:c>
      <x:c r="D80" s="24">
        <x:v>26</x:v>
      </x:c>
      <x:c r="E80" s="24" t="s">
        <x:v>89</x:v>
      </x:c>
      <x:c r="F80" s="20" t="s">
        <x:v>97</x:v>
      </x:c>
      <x:c r="G80" s="26">
        <x:v>46035</x:v>
      </x:c>
      <x:c r="H80" s="24" t="s">
        <x:v>477</x:v>
      </x:c>
      <x:c r="I80" s="28" t="s">
        <x:v>478</x:v>
      </x:c>
      <x:c r="J80" s="29" t="s">
        <x:v>479</x:v>
      </x:c>
    </x:row>
    <x:row r="81" ht="10.050000190734863" customHeight="1">
      <x:c r="A81" s="21" t="s">
        <x:v>480</x:v>
      </x:c>
      <x:c r="B81" s="20" t="s">
        <x:v>480</x:v>
      </x:c>
      <x:c r="C81" s="20" t="s">
        <x:v>481</x:v>
      </x:c>
      <x:c r="D81" s="24">
        <x:v>1</x:v>
      </x:c>
      <x:c r="E81" s="24" t="s">
        <x:v>103</x:v>
      </x:c>
      <x:c r="F81" s="20" t="s">
        <x:v>97</x:v>
      </x:c>
      <x:c r="G81" s="26">
        <x:v>45532</x:v>
      </x:c>
      <x:c r="H81" s="24" t="s">
        <x:v>482</x:v>
      </x:c>
      <x:c r="I81" s="28" t="s">
        <x:v>483</x:v>
      </x:c>
      <x:c r="J81" s="29" t="s">
        <x:v>484</x:v>
      </x:c>
    </x:row>
    <x:row r="82" ht="10.050000190734863" customHeight="1">
      <x:c r="A82" s="21" t="s">
        <x:v>485</x:v>
      </x:c>
      <x:c r="B82" s="20" t="s">
        <x:v>485</x:v>
      </x:c>
      <x:c r="C82" s="20" t="s">
        <x:v>486</x:v>
      </x:c>
      <x:c r="D82" s="24">
        <x:v>7</x:v>
      </x:c>
      <x:c r="E82" s="24" t="s">
        <x:v>198</x:v>
      </x:c>
      <x:c r="F82" s="20" t="s">
        <x:v>90</x:v>
      </x:c>
      <x:c r="G82" s="26">
        <x:v>44881</x:v>
      </x:c>
      <x:c r="H82" s="24" t="s">
        <x:v>487</x:v>
      </x:c>
      <x:c r="I82" s="28" t="s">
        <x:v>488</x:v>
      </x:c>
      <x:c r="J82" s="29" t="s">
        <x:v>489</x:v>
      </x:c>
    </x:row>
    <x:row r="83" ht="10.050000190734863" customHeight="1">
      <x:c r="A83" s="21" t="s">
        <x:v>490</x:v>
      </x:c>
      <x:c r="B83" s="20" t="s">
        <x:v>490</x:v>
      </x:c>
      <x:c r="C83" s="20" t="s">
        <x:v>491</x:v>
      </x:c>
      <x:c r="D83" s="24">
        <x:v>6</x:v>
      </x:c>
      <x:c r="E83" s="24" t="s">
        <x:v>96</x:v>
      </x:c>
      <x:c r="F83" s="20" t="s">
        <x:v>90</x:v>
      </x:c>
      <x:c r="G83" s="26">
        <x:v>44932</x:v>
      </x:c>
      <x:c r="H83" s="24" t="s">
        <x:v>492</x:v>
      </x:c>
      <x:c r="I83" s="28" t="s">
        <x:v>493</x:v>
      </x:c>
      <x:c r="J83" s="29" t="s">
        <x:v>494</x:v>
      </x:c>
    </x:row>
    <x:row r="84" ht="10.050000190734863" customHeight="1">
      <x:c r="A84" s="21" t="s">
        <x:v>495</x:v>
      </x:c>
      <x:c r="B84" s="20" t="s">
        <x:v>495</x:v>
      </x:c>
      <x:c r="C84" s="20" t="s">
        <x:v>491</x:v>
      </x:c>
      <x:c r="D84" s="24">
        <x:v>6</x:v>
      </x:c>
      <x:c r="E84" s="24" t="s">
        <x:v>96</x:v>
      </x:c>
      <x:c r="F84" s="20" t="s">
        <x:v>90</x:v>
      </x:c>
      <x:c r="G84" s="26">
        <x:v>45509</x:v>
      </x:c>
      <x:c r="H84" s="24" t="s">
        <x:v>496</x:v>
      </x:c>
      <x:c r="I84" s="28" t="s">
        <x:v>497</x:v>
      </x:c>
      <x:c r="J84" s="29" t="s">
        <x:v>498</x:v>
      </x:c>
    </x:row>
    <x:row r="85" ht="10.050000190734863" customHeight="1">
      <x:c r="A85" s="21" t="s">
        <x:v>499</x:v>
      </x:c>
      <x:c r="B85" s="20" t="s">
        <x:v>499</x:v>
      </x:c>
      <x:c r="C85" s="20" t="s">
        <x:v>500</x:v>
      </x:c>
      <x:c r="D85" s="24">
        <x:v>7</x:v>
      </x:c>
      <x:c r="E85" s="24" t="s">
        <x:v>103</x:v>
      </x:c>
      <x:c r="F85" s="20" t="s">
        <x:v>97</x:v>
      </x:c>
      <x:c r="G85" s="26">
        <x:v>42299</x:v>
      </x:c>
      <x:c r="H85" s="24" t="s">
        <x:v>501</x:v>
      </x:c>
      <x:c r="I85" s="28" t="s">
        <x:v>502</x:v>
      </x:c>
      <x:c r="J85" s="29" t="s">
        <x:v>503</x:v>
      </x:c>
    </x:row>
    <x:row r="86" ht="10.050000190734863" customHeight="1">
      <x:c r="A86" s="21" t="s">
        <x:v>504</x:v>
      </x:c>
      <x:c r="B86" s="20" t="s">
        <x:v>504</x:v>
      </x:c>
      <x:c r="C86" s="20" t="s">
        <x:v>505</x:v>
      </x:c>
      <x:c r="D86" s="24">
        <x:v>6</x:v>
      </x:c>
      <x:c r="E86" s="24" t="s">
        <x:v>257</x:v>
      </x:c>
      <x:c r="F86" s="20" t="s">
        <x:v>97</x:v>
      </x:c>
      <x:c r="G86" s="26">
        <x:v>42220</x:v>
      </x:c>
      <x:c r="H86" s="24" t="s">
        <x:v>506</x:v>
      </x:c>
      <x:c r="I86" s="28" t="s">
        <x:v>507</x:v>
      </x:c>
      <x:c r="J86" s="29" t="s">
        <x:v>508</x:v>
      </x:c>
    </x:row>
    <x:row r="87" ht="10.050000190734863" customHeight="1">
      <x:c r="A87" s="21" t="s">
        <x:v>509</x:v>
      </x:c>
      <x:c r="B87" s="20" t="s">
        <x:v>509</x:v>
      </x:c>
      <x:c r="C87" s="20" t="s">
        <x:v>510</x:v>
      </x:c>
      <x:c r="D87" s="24">
        <x:v>8</x:v>
      </x:c>
      <x:c r="E87" s="24" t="s">
        <x:v>89</x:v>
      </x:c>
      <x:c r="F87" s="20" t="s">
        <x:v>97</x:v>
      </x:c>
      <x:c r="G87" s="26">
        <x:v>42939</x:v>
      </x:c>
      <x:c r="H87" s="24" t="s">
        <x:v>511</x:v>
      </x:c>
      <x:c r="I87" s="28" t="s">
        <x:v>512</x:v>
      </x:c>
      <x:c r="J87" s="29" t="s">
        <x:v>513</x:v>
      </x:c>
    </x:row>
    <x:row r="88" ht="10.050000190734863" customHeight="1">
      <x:c r="A88" s="21" t="s">
        <x:v>514</x:v>
      </x:c>
      <x:c r="B88" s="20" t="s">
        <x:v>514</x:v>
      </x:c>
      <x:c r="C88" s="20" t="s">
        <x:v>510</x:v>
      </x:c>
      <x:c r="D88" s="24">
        <x:v>8</x:v>
      </x:c>
      <x:c r="E88" s="24" t="s">
        <x:v>89</x:v>
      </x:c>
      <x:c r="F88" s="20" t="s">
        <x:v>97</x:v>
      </x:c>
      <x:c r="G88" s="26">
        <x:v>42738</x:v>
      </x:c>
      <x:c r="H88" s="24" t="s">
        <x:v>515</x:v>
      </x:c>
      <x:c r="I88" s="28" t="s">
        <x:v>516</x:v>
      </x:c>
      <x:c r="J88" s="29" t="s">
        <x:v>517</x:v>
      </x:c>
    </x:row>
    <x:row r="89" ht="10.050000190734863" customHeight="1">
      <x:c r="A89" s="21" t="s">
        <x:v>518</x:v>
      </x:c>
      <x:c r="B89" s="20" t="s">
        <x:v>518</x:v>
      </x:c>
      <x:c r="C89" s="20" t="s">
        <x:v>519</x:v>
      </x:c>
      <x:c r="D89" s="24">
        <x:v>16</x:v>
      </x:c>
      <x:c r="E89" s="24" t="s">
        <x:v>89</x:v>
      </x:c>
      <x:c r="F89" s="20" t="s">
        <x:v>90</x:v>
      </x:c>
      <x:c r="G89" s="26">
        <x:v>45152</x:v>
      </x:c>
      <x:c r="H89" s="24" t="s">
        <x:v>520</x:v>
      </x:c>
      <x:c r="I89" s="28" t="s">
        <x:v>521</x:v>
      </x:c>
      <x:c r="J89" s="29" t="s">
        <x:v>522</x:v>
      </x:c>
    </x:row>
    <x:row r="90" ht="10.050000190734863" customHeight="1">
      <x:c r="A90" s="21" t="s">
        <x:v>523</x:v>
      </x:c>
      <x:c r="B90" s="20" t="s">
        <x:v>523</x:v>
      </x:c>
      <x:c r="C90" s="20" t="s">
        <x:v>524</x:v>
      </x:c>
      <x:c r="D90" s="24">
        <x:v>8</x:v>
      </x:c>
      <x:c r="E90" s="24" t="s">
        <x:v>89</x:v>
      </x:c>
      <x:c r="F90" s="20" t="s">
        <x:v>90</x:v>
      </x:c>
      <x:c r="G90" s="26">
        <x:v>44445</x:v>
      </x:c>
      <x:c r="H90" s="24" t="s">
        <x:v>525</x:v>
      </x:c>
      <x:c r="I90" s="28" t="s">
        <x:v>526</x:v>
      </x:c>
      <x:c r="J90" s="29" t="s">
        <x:v>527</x:v>
      </x:c>
    </x:row>
    <x:row r="91" ht="10.050000190734863" customHeight="1">
      <x:c r="A91" s="21" t="s">
        <x:v>528</x:v>
      </x:c>
      <x:c r="B91" s="20" t="s">
        <x:v>528</x:v>
      </x:c>
      <x:c r="C91" s="20" t="s">
        <x:v>447</x:v>
      </x:c>
      <x:c r="D91" s="24">
        <x:v>8</x:v>
      </x:c>
      <x:c r="E91" s="24" t="s">
        <x:v>96</x:v>
      </x:c>
      <x:c r="F91" s="20" t="s">
        <x:v>97</x:v>
      </x:c>
      <x:c r="G91" s="26">
        <x:v>41451</x:v>
      </x:c>
      <x:c r="H91" s="24" t="s">
        <x:v>529</x:v>
      </x:c>
      <x:c r="I91" s="28" t="s">
        <x:v>530</x:v>
      </x:c>
      <x:c r="J91" s="29" t="s">
        <x:v>531</x:v>
      </x:c>
    </x:row>
    <x:row r="92" ht="10.050000190734863" customHeight="1">
      <x:c r="A92" s="21" t="s">
        <x:v>532</x:v>
      </x:c>
      <x:c r="B92" s="20" t="s">
        <x:v>532</x:v>
      </x:c>
      <x:c r="C92" s="20" t="s">
        <x:v>533</x:v>
      </x:c>
      <x:c r="D92" s="24">
        <x:v>7</x:v>
      </x:c>
      <x:c r="E92" s="24" t="s">
        <x:v>114</x:v>
      </x:c>
      <x:c r="F92" s="20" t="s">
        <x:v>152</x:v>
      </x:c>
      <x:c r="G92" s="26">
        <x:v>46133</x:v>
      </x:c>
      <x:c r="H92" s="24" t="s">
        <x:v>534</x:v>
      </x:c>
      <x:c r="I92" s="28" t="s">
        <x:v>535</x:v>
      </x:c>
      <x:c r="J92" s="29" t="s">
        <x:v>536</x:v>
      </x:c>
    </x:row>
    <x:row r="93" ht="10.050000190734863" customHeight="1">
      <x:c r="A93" s="21" t="s">
        <x:v>537</x:v>
      </x:c>
      <x:c r="B93" s="20" t="s">
        <x:v>537</x:v>
      </x:c>
      <x:c r="C93" s="20" t="s">
        <x:v>538</x:v>
      </x:c>
      <x:c r="D93" s="24">
        <x:v>1</x:v>
      </x:c>
      <x:c r="E93" s="24" t="s">
        <x:v>103</x:v>
      </x:c>
      <x:c r="F93" s="20" t="s">
        <x:v>97</x:v>
      </x:c>
      <x:c r="G93" s="26">
        <x:v>41445</x:v>
      </x:c>
      <x:c r="H93" s="24" t="s">
        <x:v>539</x:v>
      </x:c>
      <x:c r="I93" s="28" t="s">
        <x:v>540</x:v>
      </x:c>
      <x:c r="J93" s="29" t="s">
        <x:v>541</x:v>
      </x:c>
    </x:row>
    <x:row r="94" ht="10.050000190734863" customHeight="1">
      <x:c r="A94" s="21" t="s">
        <x:v>542</x:v>
      </x:c>
      <x:c r="B94" s="20" t="s">
        <x:v>542</x:v>
      </x:c>
      <x:c r="C94" s="20" t="s">
        <x:v>543</x:v>
      </x:c>
      <x:c r="D94" s="24">
        <x:v>107</x:v>
      </x:c>
      <x:c r="E94" s="24" t="s">
        <x:v>103</x:v>
      </x:c>
      <x:c r="F94" s="20" t="s">
        <x:v>97</x:v>
      </x:c>
      <x:c r="G94" s="26">
        <x:v>46073</x:v>
      </x:c>
      <x:c r="H94" s="24" t="s">
        <x:v>544</x:v>
      </x:c>
      <x:c r="I94" s="28" t="s">
        <x:v>545</x:v>
      </x:c>
      <x:c r="J94" s="29" t="s">
        <x:v>546</x:v>
      </x:c>
    </x:row>
    <x:row r="95" ht="10.050000190734863" customHeight="1">
      <x:c r="A95" s="21" t="s">
        <x:v>547</x:v>
      </x:c>
      <x:c r="B95" s="20" t="s">
        <x:v>547</x:v>
      </x:c>
      <x:c r="C95" s="20" t="s">
        <x:v>548</x:v>
      </x:c>
      <x:c r="D95" s="24">
        <x:v>94</x:v>
      </x:c>
      <x:c r="E95" s="24" t="s">
        <x:v>198</x:v>
      </x:c>
      <x:c r="F95" s="20" t="s">
        <x:v>97</x:v>
      </x:c>
      <x:c r="G95" s="26">
        <x:v>43167</x:v>
      </x:c>
      <x:c r="H95" s="24" t="s">
        <x:v>549</x:v>
      </x:c>
      <x:c r="I95" s="28" t="s">
        <x:v>550</x:v>
      </x:c>
      <x:c r="J95" s="29" t="s">
        <x:v>551</x:v>
      </x:c>
    </x:row>
    <x:row r="96" ht="10.050000190734863" customHeight="1">
      <x:c r="A96" s="21" t="s">
        <x:v>552</x:v>
      </x:c>
      <x:c r="B96" s="20" t="s">
        <x:v>552</x:v>
      </x:c>
      <x:c r="C96" s="20" t="s">
        <x:v>553</x:v>
      </x:c>
      <x:c r="D96" s="24">
        <x:v>7</x:v>
      </x:c>
      <x:c r="E96" s="24" t="s">
        <x:v>96</x:v>
      </x:c>
      <x:c r="F96" s="20" t="s">
        <x:v>97</x:v>
      </x:c>
      <x:c r="G96" s="26">
        <x:v>43670</x:v>
      </x:c>
      <x:c r="H96" s="24" t="s">
        <x:v>554</x:v>
      </x:c>
      <x:c r="I96" s="28" t="s">
        <x:v>555</x:v>
      </x:c>
      <x:c r="J96" s="29" t="s">
        <x:v>556</x:v>
      </x:c>
    </x:row>
    <x:row r="97" ht="10.050000190734863" customHeight="1">
      <x:c r="A97" s="21" t="s">
        <x:v>557</x:v>
      </x:c>
      <x:c r="B97" s="20" t="s">
        <x:v>557</x:v>
      </x:c>
      <x:c r="C97" s="20" t="s">
        <x:v>246</x:v>
      </x:c>
      <x:c r="D97" s="24">
        <x:v>18</x:v>
      </x:c>
      <x:c r="E97" s="24" t="s">
        <x:v>198</x:v>
      </x:c>
      <x:c r="F97" s="20" t="s">
        <x:v>90</x:v>
      </x:c>
      <x:c r="G97" s="26">
        <x:v>45769</x:v>
      </x:c>
      <x:c r="H97" s="24" t="s">
        <x:v>558</x:v>
      </x:c>
      <x:c r="I97" s="28" t="s">
        <x:v>559</x:v>
      </x:c>
      <x:c r="J97" s="29" t="s">
        <x:v>560</x:v>
      </x:c>
    </x:row>
    <x:row r="98" ht="10.050000190734863" customHeight="1">
      <x:c r="A98" s="21" t="s">
        <x:v>561</x:v>
      </x:c>
      <x:c r="B98" s="20" t="s">
        <x:v>561</x:v>
      </x:c>
      <x:c r="C98" s="20" t="s">
        <x:v>562</x:v>
      </x:c>
      <x:c r="D98" s="24">
        <x:v>11</x:v>
      </x:c>
      <x:c r="E98" s="24" t="s">
        <x:v>198</x:v>
      </x:c>
      <x:c r="F98" s="20" t="s">
        <x:v>90</x:v>
      </x:c>
      <x:c r="G98" s="26">
        <x:v>44950</x:v>
      </x:c>
      <x:c r="H98" s="24" t="s">
        <x:v>563</x:v>
      </x:c>
      <x:c r="I98" s="28" t="s">
        <x:v>564</x:v>
      </x:c>
      <x:c r="J98" s="29" t="s">
        <x:v>565</x:v>
      </x:c>
    </x:row>
    <x:row r="99" ht="10.050000190734863" customHeight="1">
      <x:c r="A99" s="21" t="s">
        <x:v>566</x:v>
      </x:c>
      <x:c r="B99" s="20" t="s">
        <x:v>566</x:v>
      </x:c>
      <x:c r="C99" s="20" t="s">
        <x:v>567</x:v>
      </x:c>
      <x:c r="D99" s="24">
        <x:v>69</x:v>
      </x:c>
      <x:c r="E99" s="24" t="s">
        <x:v>89</x:v>
      </x:c>
      <x:c r="F99" s="20" t="s">
        <x:v>97</x:v>
      </x:c>
      <x:c r="G99" s="26">
        <x:v>45802</x:v>
      </x:c>
      <x:c r="H99" s="24" t="s">
        <x:v>568</x:v>
      </x:c>
      <x:c r="I99" s="28" t="s">
        <x:v>569</x:v>
      </x:c>
      <x:c r="J99" s="29" t="s">
        <x:v>570</x:v>
      </x:c>
    </x:row>
    <x:row r="100" ht="10.050000190734863" customHeight="1">
      <x:c r="A100" s="21" t="s">
        <x:v>571</x:v>
      </x:c>
      <x:c r="B100" s="20" t="s">
        <x:v>571</x:v>
      </x:c>
      <x:c r="C100" s="20" t="s">
        <x:v>572</x:v>
      </x:c>
      <x:c r="D100" s="24">
        <x:v>1</x:v>
      </x:c>
      <x:c r="E100" s="24" t="s">
        <x:v>96</x:v>
      </x:c>
      <x:c r="F100" s="20" t="s">
        <x:v>97</x:v>
      </x:c>
      <x:c r="G100" s="26">
        <x:v>42345</x:v>
      </x:c>
      <x:c r="H100" s="24" t="s">
        <x:v>573</x:v>
      </x:c>
      <x:c r="I100" s="28" t="s">
        <x:v>574</x:v>
      </x:c>
      <x:c r="J100" s="29" t="s">
        <x:v>575</x:v>
      </x:c>
    </x:row>
    <x:row r="101" ht="10.050000190734863" customHeight="1">
      <x:c r="A101" s="21" t="s">
        <x:v>576</x:v>
      </x:c>
      <x:c r="B101" s="20" t="s">
        <x:v>576</x:v>
      </x:c>
      <x:c r="C101" s="20" t="s">
        <x:v>577</x:v>
      </x:c>
      <x:c r="D101" s="24">
        <x:v>120</x:v>
      </x:c>
      <x:c r="E101" s="24" t="s">
        <x:v>125</x:v>
      </x:c>
      <x:c r="F101" s="20" t="s">
        <x:v>97</x:v>
      </x:c>
      <x:c r="G101" s="26">
        <x:v>42876</x:v>
      </x:c>
      <x:c r="H101" s="24" t="s">
        <x:v>578</x:v>
      </x:c>
      <x:c r="I101" s="28" t="s">
        <x:v>579</x:v>
      </x:c>
      <x:c r="J101" s="29" t="s">
        <x:v>580</x:v>
      </x:c>
    </x:row>
    <x:row r="102" ht="10.050000190734863" customHeight="1">
      <x:c r="A102" s="21" t="s">
        <x:v>581</x:v>
      </x:c>
      <x:c r="B102" s="20" t="s">
        <x:v>581</x:v>
      </x:c>
      <x:c r="C102" s="20" t="s">
        <x:v>341</x:v>
      </x:c>
      <x:c r="D102" s="24">
        <x:v>0</x:v>
      </x:c>
      <x:c r="E102" s="24" t="s">
        <x:v>114</x:v>
      </x:c>
      <x:c r="F102" s="20" t="s">
        <x:v>90</x:v>
      </x:c>
      <x:c r="G102" s="26">
        <x:v>44609</x:v>
      </x:c>
      <x:c r="H102" s="24" t="s">
        <x:v>582</x:v>
      </x:c>
      <x:c r="I102" s="28" t="s">
        <x:v>583</x:v>
      </x:c>
      <x:c r="J102" s="29" t="s">
        <x:v>584</x:v>
      </x:c>
    </x:row>
    <x:row r="103" ht="10.050000190734863" customHeight="1">
      <x:c r="A103" s="21" t="s">
        <x:v>585</x:v>
      </x:c>
      <x:c r="B103" s="20" t="s">
        <x:v>585</x:v>
      </x:c>
      <x:c r="C103" s="20" t="s">
        <x:v>586</x:v>
      </x:c>
      <x:c r="D103" s="24">
        <x:v>4</x:v>
      </x:c>
      <x:c r="E103" s="24" t="s">
        <x:v>96</x:v>
      </x:c>
      <x:c r="F103" s="20" t="s">
        <x:v>97</x:v>
      </x:c>
      <x:c r="G103" s="26">
        <x:v>43292</x:v>
      </x:c>
      <x:c r="H103" s="24" t="s">
        <x:v>587</x:v>
      </x:c>
      <x:c r="I103" s="28" t="s">
        <x:v>588</x:v>
      </x:c>
      <x:c r="J103" s="29" t="s">
        <x:v>589</x:v>
      </x:c>
    </x:row>
    <x:row r="104" ht="10.050000190734863" customHeight="1">
      <x:c r="A104" s="21" t="s">
        <x:v>590</x:v>
      </x:c>
      <x:c r="B104" s="20" t="s">
        <x:v>590</x:v>
      </x:c>
      <x:c r="C104" s="20" t="s">
        <x:v>591</x:v>
      </x:c>
      <x:c r="D104" s="24">
        <x:v>1</x:v>
      </x:c>
      <x:c r="E104" s="24" t="s">
        <x:v>96</x:v>
      </x:c>
      <x:c r="F104" s="20" t="s">
        <x:v>97</x:v>
      </x:c>
      <x:c r="G104" s="26">
        <x:v>45732</x:v>
      </x:c>
      <x:c r="H104" s="24" t="s">
        <x:v>592</x:v>
      </x:c>
      <x:c r="I104" s="28" t="s">
        <x:v>593</x:v>
      </x:c>
      <x:c r="J104" s="29" t="s">
        <x:v>594</x:v>
      </x:c>
    </x:row>
    <x:row r="105" ht="10.050000190734863" customHeight="1">
      <x:c r="A105" s="21" t="s">
        <x:v>595</x:v>
      </x:c>
      <x:c r="B105" s="20" t="s">
        <x:v>595</x:v>
      </x:c>
      <x:c r="C105" s="20" t="s">
        <x:v>591</x:v>
      </x:c>
      <x:c r="D105" s="24">
        <x:v>16</x:v>
      </x:c>
      <x:c r="E105" s="24" t="s">
        <x:v>103</x:v>
      </x:c>
      <x:c r="F105" s="20" t="s">
        <x:v>97</x:v>
      </x:c>
      <x:c r="G105" s="26">
        <x:v>42306</x:v>
      </x:c>
      <x:c r="H105" s="24" t="s">
        <x:v>596</x:v>
      </x:c>
      <x:c r="I105" s="28" t="s">
        <x:v>597</x:v>
      </x:c>
      <x:c r="J105" s="29" t="s">
        <x:v>598</x:v>
      </x:c>
    </x:row>
    <x:row r="106" ht="10.050000190734863" customHeight="1">
      <x:c r="A106" s="21" t="s">
        <x:v>599</x:v>
      </x:c>
      <x:c r="B106" s="20" t="s">
        <x:v>599</x:v>
      </x:c>
      <x:c r="C106" s="20" t="s">
        <x:v>600</x:v>
      </x:c>
      <x:c r="D106" s="24">
        <x:v>14</x:v>
      </x:c>
      <x:c r="E106" s="24" t="s">
        <x:v>89</x:v>
      </x:c>
      <x:c r="F106" s="20" t="s">
        <x:v>90</x:v>
      </x:c>
      <x:c r="G106" s="26">
        <x:v>44950</x:v>
      </x:c>
      <x:c r="H106" s="24" t="s">
        <x:v>601</x:v>
      </x:c>
      <x:c r="I106" s="28" t="s">
        <x:v>602</x:v>
      </x:c>
      <x:c r="J106" s="29" t="s">
        <x:v>603</x:v>
      </x:c>
    </x:row>
    <x:row r="107" ht="10.050000190734863" customHeight="1">
      <x:c r="A107" s="21" t="s">
        <x:v>604</x:v>
      </x:c>
      <x:c r="B107" s="20" t="s">
        <x:v>604</x:v>
      </x:c>
      <x:c r="C107" s="20" t="s">
        <x:v>533</x:v>
      </x:c>
      <x:c r="D107" s="24">
        <x:v>0</x:v>
      </x:c>
      <x:c r="E107" s="24" t="s">
        <x:v>125</x:v>
      </x:c>
      <x:c r="F107" s="20" t="s">
        <x:v>90</x:v>
      </x:c>
      <x:c r="G107" s="26">
        <x:v>46089</x:v>
      </x:c>
      <x:c r="H107" s="24" t="s">
        <x:v>605</x:v>
      </x:c>
      <x:c r="I107" s="28" t="s">
        <x:v>606</x:v>
      </x:c>
      <x:c r="J107" s="29" t="s">
        <x:v>607</x:v>
      </x:c>
    </x:row>
    <x:row r="108" ht="10.050000190734863" customHeight="1">
      <x:c r="A108" s="21" t="s">
        <x:v>608</x:v>
      </x:c>
      <x:c r="B108" s="20" t="s">
        <x:v>608</x:v>
      </x:c>
      <x:c r="C108" s="20" t="s">
        <x:v>609</x:v>
      </x:c>
      <x:c r="D108" s="24">
        <x:v>3</x:v>
      </x:c>
      <x:c r="E108" s="24" t="s">
        <x:v>198</x:v>
      </x:c>
      <x:c r="F108" s="20" t="s">
        <x:v>610</x:v>
      </x:c>
      <x:c r="G108" s="26">
        <x:v>43450</x:v>
      </x:c>
      <x:c r="H108" s="24" t="s">
        <x:v>611</x:v>
      </x:c>
      <x:c r="I108" s="28" t="s">
        <x:v>612</x:v>
      </x:c>
      <x:c r="J108" s="29" t="s">
        <x:v>613</x:v>
      </x:c>
    </x:row>
    <x:row r="109" ht="10.050000190734863" customHeight="1">
      <x:c r="A109" s="21" t="s">
        <x:v>614</x:v>
      </x:c>
      <x:c r="B109" s="20" t="s">
        <x:v>614</x:v>
      </x:c>
      <x:c r="C109" s="20" t="s">
        <x:v>615</x:v>
      </x:c>
      <x:c r="D109" s="24">
        <x:v>10</x:v>
      </x:c>
      <x:c r="E109" s="24" t="s">
        <x:v>89</x:v>
      </x:c>
      <x:c r="F109" s="20" t="s">
        <x:v>90</x:v>
      </x:c>
      <x:c r="G109" s="26">
        <x:v>44854</x:v>
      </x:c>
      <x:c r="H109" s="24" t="s">
        <x:v>616</x:v>
      </x:c>
      <x:c r="I109" s="28" t="s">
        <x:v>617</x:v>
      </x:c>
      <x:c r="J109" s="29" t="s">
        <x:v>618</x:v>
      </x:c>
    </x:row>
    <x:row r="110" ht="10.050000190734863" customHeight="1">
      <x:c r="A110" s="21" t="s">
        <x:v>619</x:v>
      </x:c>
      <x:c r="B110" s="20" t="s">
        <x:v>619</x:v>
      </x:c>
      <x:c r="C110" s="20" t="s">
        <x:v>615</x:v>
      </x:c>
      <x:c r="D110" s="24">
        <x:v>20</x:v>
      </x:c>
      <x:c r="E110" s="24" t="s">
        <x:v>198</x:v>
      </x:c>
      <x:c r="F110" s="20" t="s">
        <x:v>90</x:v>
      </x:c>
      <x:c r="G110" s="26">
        <x:v>46055</x:v>
      </x:c>
      <x:c r="H110" s="24" t="s">
        <x:v>620</x:v>
      </x:c>
      <x:c r="I110" s="28" t="s">
        <x:v>621</x:v>
      </x:c>
      <x:c r="J110" s="29" t="s">
        <x:v>622</x:v>
      </x:c>
    </x:row>
    <x:row r="111" ht="10.050000190734863" customHeight="1">
      <x:c r="A111" s="21" t="s">
        <x:v>623</x:v>
      </x:c>
      <x:c r="B111" s="20" t="s">
        <x:v>623</x:v>
      </x:c>
      <x:c r="C111" s="20" t="s">
        <x:v>624</x:v>
      </x:c>
      <x:c r="D111" s="24">
        <x:v>10</x:v>
      </x:c>
      <x:c r="E111" s="24" t="s">
        <x:v>89</x:v>
      </x:c>
      <x:c r="F111" s="20" t="s">
        <x:v>90</x:v>
      </x:c>
      <x:c r="G111" s="26">
        <x:v>44745</x:v>
      </x:c>
      <x:c r="H111" s="24" t="s">
        <x:v>625</x:v>
      </x:c>
      <x:c r="I111" s="28" t="s">
        <x:v>626</x:v>
      </x:c>
      <x:c r="J111" s="29" t="s">
        <x:v>627</x:v>
      </x:c>
    </x:row>
    <x:row r="112" ht="10.050000190734863" customHeight="1">
      <x:c r="A112" s="21" t="s">
        <x:v>628</x:v>
      </x:c>
      <x:c r="B112" s="20" t="s">
        <x:v>628</x:v>
      </x:c>
      <x:c r="C112" s="20" t="s">
        <x:v>629</x:v>
      </x:c>
      <x:c r="D112" s="24">
        <x:v>15</x:v>
      </x:c>
      <x:c r="E112" s="24" t="s">
        <x:v>114</x:v>
      </x:c>
      <x:c r="F112" s="20" t="s">
        <x:v>90</x:v>
      </x:c>
      <x:c r="G112" s="26">
        <x:v>44846</x:v>
      </x:c>
      <x:c r="H112" s="24" t="s">
        <x:v>630</x:v>
      </x:c>
      <x:c r="I112" s="28" t="s">
        <x:v>631</x:v>
      </x:c>
      <x:c r="J112" s="29" t="s">
        <x:v>632</x:v>
      </x:c>
    </x:row>
    <x:row r="113" ht="10.050000190734863" customHeight="1">
      <x:c r="A113" s="21" t="s">
        <x:v>633</x:v>
      </x:c>
      <x:c r="B113" s="20" t="s">
        <x:v>633</x:v>
      </x:c>
      <x:c r="C113" s="20" t="s">
        <x:v>629</x:v>
      </x:c>
      <x:c r="D113" s="24">
        <x:v>14</x:v>
      </x:c>
      <x:c r="E113" s="24" t="s">
        <x:v>114</x:v>
      </x:c>
      <x:c r="F113" s="20" t="s">
        <x:v>90</x:v>
      </x:c>
      <x:c r="G113" s="26">
        <x:v>44624</x:v>
      </x:c>
      <x:c r="H113" s="24" t="s">
        <x:v>634</x:v>
      </x:c>
      <x:c r="I113" s="28" t="s">
        <x:v>635</x:v>
      </x:c>
      <x:c r="J113" s="29" t="s">
        <x:v>636</x:v>
      </x:c>
    </x:row>
    <x:row r="114" ht="10.050000190734863" customHeight="1">
      <x:c r="A114" s="21" t="s">
        <x:v>637</x:v>
      </x:c>
      <x:c r="B114" s="20" t="s">
        <x:v>637</x:v>
      </x:c>
      <x:c r="C114" s="20" t="s">
        <x:v>629</x:v>
      </x:c>
      <x:c r="D114" s="24">
        <x:v>13</x:v>
      </x:c>
      <x:c r="E114" s="24" t="s">
        <x:v>114</x:v>
      </x:c>
      <x:c r="F114" s="20" t="s">
        <x:v>90</x:v>
      </x:c>
      <x:c r="G114" s="26">
        <x:v>44985</x:v>
      </x:c>
      <x:c r="H114" s="24" t="s">
        <x:v>638</x:v>
      </x:c>
      <x:c r="I114" s="28" t="s">
        <x:v>639</x:v>
      </x:c>
      <x:c r="J114" s="29" t="s">
        <x:v>640</x:v>
      </x:c>
    </x:row>
    <x:row r="115" ht="10.050000190734863" customHeight="1">
      <x:c r="A115" s="21" t="s">
        <x:v>641</x:v>
      </x:c>
      <x:c r="B115" s="20" t="s">
        <x:v>641</x:v>
      </x:c>
      <x:c r="C115" s="20" t="s">
        <x:v>642</x:v>
      </x:c>
      <x:c r="D115" s="24">
        <x:v>73</x:v>
      </x:c>
      <x:c r="E115" s="24" t="s">
        <x:v>96</x:v>
      </x:c>
      <x:c r="F115" s="20" t="s">
        <x:v>97</x:v>
      </x:c>
      <x:c r="G115" s="26">
        <x:v>46092</x:v>
      </x:c>
      <x:c r="H115" s="24" t="s">
        <x:v>643</x:v>
      </x:c>
      <x:c r="I115" s="28" t="s">
        <x:v>644</x:v>
      </x:c>
      <x:c r="J115" s="29" t="s">
        <x:v>645</x:v>
      </x:c>
    </x:row>
    <x:row r="116" ht="10.050000190734863" customHeight="1">
      <x:c r="A116" s="21" t="s">
        <x:v>646</x:v>
      </x:c>
      <x:c r="B116" s="20" t="s">
        <x:v>646</x:v>
      </x:c>
      <x:c r="C116" s="20" t="s">
        <x:v>647</x:v>
      </x:c>
      <x:c r="D116" s="24">
        <x:v>44</x:v>
      </x:c>
      <x:c r="E116" s="24" t="s">
        <x:v>89</x:v>
      </x:c>
      <x:c r="F116" s="20" t="s">
        <x:v>90</x:v>
      </x:c>
      <x:c r="G116" s="26">
        <x:v>43760</x:v>
      </x:c>
      <x:c r="H116" s="24" t="s">
        <x:v>648</x:v>
      </x:c>
      <x:c r="I116" s="28" t="s">
        <x:v>649</x:v>
      </x:c>
      <x:c r="J116" s="29" t="s">
        <x:v>650</x:v>
      </x:c>
    </x:row>
    <x:row r="117" ht="10.050000190734863" customHeight="1">
      <x:c r="A117" s="21" t="s">
        <x:v>651</x:v>
      </x:c>
      <x:c r="B117" s="20" t="s">
        <x:v>651</x:v>
      </x:c>
      <x:c r="C117" s="20" t="s">
        <x:v>652</x:v>
      </x:c>
      <x:c r="D117" s="24">
        <x:v>8</x:v>
      </x:c>
      <x:c r="E117" s="24" t="s">
        <x:v>103</x:v>
      </x:c>
      <x:c r="F117" s="20" t="s">
        <x:v>97</x:v>
      </x:c>
      <x:c r="G117" s="26">
        <x:v>41815</x:v>
      </x:c>
      <x:c r="H117" s="24" t="s">
        <x:v>653</x:v>
      </x:c>
      <x:c r="I117" s="28" t="s">
        <x:v>654</x:v>
      </x:c>
      <x:c r="J117" s="29" t="s">
        <x:v>655</x:v>
      </x:c>
    </x:row>
    <x:row r="118" ht="10.050000190734863" customHeight="1">
      <x:c r="A118" s="21" t="s">
        <x:v>656</x:v>
      </x:c>
      <x:c r="B118" s="20" t="s">
        <x:v>656</x:v>
      </x:c>
      <x:c r="C118" s="20" t="s">
        <x:v>652</x:v>
      </x:c>
      <x:c r="D118" s="24">
        <x:v>7</x:v>
      </x:c>
      <x:c r="E118" s="24" t="s">
        <x:v>103</x:v>
      </x:c>
      <x:c r="F118" s="20" t="s">
        <x:v>97</x:v>
      </x:c>
      <x:c r="G118" s="26">
        <x:v>41513</x:v>
      </x:c>
      <x:c r="H118" s="24" t="s">
        <x:v>657</x:v>
      </x:c>
      <x:c r="I118" s="28" t="s">
        <x:v>658</x:v>
      </x:c>
      <x:c r="J118" s="29" t="s">
        <x:v>659</x:v>
      </x:c>
    </x:row>
    <x:row r="119" ht="10.050000190734863" customHeight="1">
      <x:c r="A119" s="21" t="s">
        <x:v>660</x:v>
      </x:c>
      <x:c r="B119" s="20" t="s">
        <x:v>660</x:v>
      </x:c>
      <x:c r="C119" s="20" t="s">
        <x:v>661</x:v>
      </x:c>
      <x:c r="D119" s="24">
        <x:v>3</x:v>
      </x:c>
      <x:c r="E119" s="24" t="s">
        <x:v>257</x:v>
      </x:c>
      <x:c r="F119" s="20" t="s">
        <x:v>97</x:v>
      </x:c>
      <x:c r="G119" s="26">
        <x:v>42044</x:v>
      </x:c>
      <x:c r="H119" s="24" t="s">
        <x:v>662</x:v>
      </x:c>
      <x:c r="I119" s="28" t="s">
        <x:v>663</x:v>
      </x:c>
      <x:c r="J119" s="29" t="s">
        <x:v>664</x:v>
      </x:c>
    </x:row>
    <x:row r="120" ht="10.050000190734863" customHeight="1">
      <x:c r="A120" s="21" t="s">
        <x:v>665</x:v>
      </x:c>
      <x:c r="B120" s="20" t="s">
        <x:v>665</x:v>
      </x:c>
      <x:c r="C120" s="20" t="s">
        <x:v>666</x:v>
      </x:c>
      <x:c r="D120" s="24">
        <x:v>3</x:v>
      </x:c>
      <x:c r="E120" s="24" t="s">
        <x:v>89</x:v>
      </x:c>
      <x:c r="F120" s="20" t="s">
        <x:v>152</x:v>
      </x:c>
      <x:c r="G120" s="26">
        <x:v>44774</x:v>
      </x:c>
      <x:c r="H120" s="24" t="s">
        <x:v>667</x:v>
      </x:c>
      <x:c r="I120" s="28" t="s">
        <x:v>668</x:v>
      </x:c>
      <x:c r="J120" s="29" t="s">
        <x:v>669</x:v>
      </x:c>
    </x:row>
    <x:row r="121" ht="10.050000190734863" customHeight="1">
      <x:c r="A121" s="21" t="s">
        <x:v>670</x:v>
      </x:c>
      <x:c r="B121" s="20" t="s">
        <x:v>670</x:v>
      </x:c>
      <x:c r="C121" s="20" t="s">
        <x:v>666</x:v>
      </x:c>
      <x:c r="D121" s="24">
        <x:v>10</x:v>
      </x:c>
      <x:c r="E121" s="24" t="s">
        <x:v>89</x:v>
      </x:c>
      <x:c r="F121" s="20" t="s">
        <x:v>97</x:v>
      </x:c>
      <x:c r="G121" s="26">
        <x:v>46167</x:v>
      </x:c>
      <x:c r="H121" s="24" t="s">
        <x:v>671</x:v>
      </x:c>
      <x:c r="I121" s="28" t="s">
        <x:v>672</x:v>
      </x:c>
      <x:c r="J121" s="29" t="s">
        <x:v>673</x:v>
      </x:c>
    </x:row>
    <x:row r="122" ht="10.050000190734863" customHeight="1">
      <x:c r="A122" s="21" t="s">
        <x:v>674</x:v>
      </x:c>
      <x:c r="B122" s="20" t="s">
        <x:v>674</x:v>
      </x:c>
      <x:c r="C122" s="20" t="s">
        <x:v>675</x:v>
      </x:c>
      <x:c r="D122" s="24">
        <x:v>20</x:v>
      </x:c>
      <x:c r="E122" s="24" t="s">
        <x:v>103</x:v>
      </x:c>
      <x:c r="F122" s="20" t="s">
        <x:v>97</x:v>
      </x:c>
      <x:c r="G122" s="26">
        <x:v>41570</x:v>
      </x:c>
      <x:c r="H122" s="24" t="s">
        <x:v>676</x:v>
      </x:c>
      <x:c r="I122" s="28" t="s">
        <x:v>677</x:v>
      </x:c>
      <x:c r="J122" s="29" t="s">
        <x:v>678</x:v>
      </x:c>
    </x:row>
    <x:row r="123" ht="10.050000190734863" customHeight="1">
      <x:c r="A123" s="21" t="s">
        <x:v>679</x:v>
      </x:c>
      <x:c r="B123" s="20" t="s">
        <x:v>679</x:v>
      </x:c>
      <x:c r="C123" s="20" t="s">
        <x:v>680</x:v>
      </x:c>
      <x:c r="D123" s="24">
        <x:v>1</x:v>
      </x:c>
      <x:c r="E123" s="24" t="s">
        <x:v>125</x:v>
      </x:c>
      <x:c r="F123" s="20" t="s">
        <x:v>90</x:v>
      </x:c>
      <x:c r="G123" s="26">
        <x:v>44874</x:v>
      </x:c>
      <x:c r="H123" s="24" t="s">
        <x:v>681</x:v>
      </x:c>
      <x:c r="I123" s="28" t="s">
        <x:v>682</x:v>
      </x:c>
      <x:c r="J123" s="29" t="s">
        <x:v>683</x:v>
      </x:c>
    </x:row>
    <x:row r="124" ht="10.050000190734863" customHeight="1">
      <x:c r="A124" s="21" t="s">
        <x:v>684</x:v>
      </x:c>
      <x:c r="B124" s="20" t="s">
        <x:v>684</x:v>
      </x:c>
      <x:c r="C124" s="20" t="s">
        <x:v>685</x:v>
      </x:c>
      <x:c r="D124" s="24">
        <x:v>22</x:v>
      </x:c>
      <x:c r="E124" s="24" t="s">
        <x:v>198</x:v>
      </x:c>
      <x:c r="F124" s="20" t="s">
        <x:v>90</x:v>
      </x:c>
      <x:c r="G124" s="26">
        <x:v>45151</x:v>
      </x:c>
      <x:c r="H124" s="24" t="s">
        <x:v>686</x:v>
      </x:c>
      <x:c r="I124" s="28" t="s">
        <x:v>687</x:v>
      </x:c>
      <x:c r="J124" s="29" t="s">
        <x:v>688</x:v>
      </x:c>
    </x:row>
    <x:row r="125" ht="10.050000190734863" customHeight="1">
      <x:c r="A125" s="21" t="s">
        <x:v>689</x:v>
      </x:c>
      <x:c r="B125" s="20" t="s">
        <x:v>689</x:v>
      </x:c>
      <x:c r="C125" s="20" t="s">
        <x:v>690</x:v>
      </x:c>
      <x:c r="D125" s="24">
        <x:v>6</x:v>
      </x:c>
      <x:c r="E125" s="24" t="s">
        <x:v>96</x:v>
      </x:c>
      <x:c r="F125" s="20" t="s">
        <x:v>97</x:v>
      </x:c>
      <x:c r="G125" s="26">
        <x:v>42258</x:v>
      </x:c>
      <x:c r="H125" s="24" t="s">
        <x:v>691</x:v>
      </x:c>
      <x:c r="I125" s="28" t="s">
        <x:v>692</x:v>
      </x:c>
      <x:c r="J125" s="29" t="s">
        <x:v>693</x:v>
      </x:c>
    </x:row>
    <x:row r="126" ht="10.050000190734863" customHeight="1">
      <x:c r="A126" s="21" t="s">
        <x:v>694</x:v>
      </x:c>
      <x:c r="B126" s="20" t="s">
        <x:v>694</x:v>
      </x:c>
      <x:c r="C126" s="20" t="s">
        <x:v>695</x:v>
      </x:c>
      <x:c r="D126" s="24">
        <x:v>29</x:v>
      </x:c>
      <x:c r="E126" s="24" t="s">
        <x:v>198</x:v>
      </x:c>
      <x:c r="F126" s="20" t="s">
        <x:v>90</x:v>
      </x:c>
      <x:c r="G126" s="26">
        <x:v>44342</x:v>
      </x:c>
      <x:c r="H126" s="24" t="s">
        <x:v>696</x:v>
      </x:c>
      <x:c r="I126" s="28" t="s">
        <x:v>697</x:v>
      </x:c>
      <x:c r="J126" s="29" t="s">
        <x:v>698</x:v>
      </x:c>
    </x:row>
    <x:row r="127" ht="10.050000190734863" customHeight="1">
      <x:c r="A127" s="21" t="s">
        <x:v>23</x:v>
      </x:c>
      <x:c r="B127" s="20" t="s">
        <x:v>23</x:v>
      </x:c>
      <x:c r="C127" s="20" t="s">
        <x:v>695</x:v>
      </x:c>
      <x:c r="D127" s="24">
        <x:v>28</x:v>
      </x:c>
      <x:c r="E127" s="24" t="s">
        <x:v>89</x:v>
      </x:c>
      <x:c r="F127" s="20" t="s">
        <x:v>90</x:v>
      </x:c>
      <x:c r="G127" s="26">
        <x:v>43442</x:v>
      </x:c>
      <x:c r="H127" s="24" t="s">
        <x:v>699</x:v>
      </x:c>
      <x:c r="I127" s="28" t="s">
        <x:v>700</x:v>
      </x:c>
      <x:c r="J127" s="29" t="s">
        <x:v>701</x:v>
      </x:c>
    </x:row>
    <x:row r="128" ht="10.050000190734863" customHeight="1">
      <x:c r="A128" s="21" t="s">
        <x:v>702</x:v>
      </x:c>
      <x:c r="B128" s="20" t="s">
        <x:v>702</x:v>
      </x:c>
      <x:c r="C128" s="20" t="s">
        <x:v>703</x:v>
      </x:c>
      <x:c r="D128" s="24">
        <x:v>10</x:v>
      </x:c>
      <x:c r="E128" s="24" t="s">
        <x:v>198</x:v>
      </x:c>
      <x:c r="F128" s="20" t="s">
        <x:v>90</x:v>
      </x:c>
      <x:c r="G128" s="26">
        <x:v>44958</x:v>
      </x:c>
      <x:c r="H128" s="24" t="s">
        <x:v>704</x:v>
      </x:c>
      <x:c r="I128" s="28" t="s">
        <x:v>705</x:v>
      </x:c>
      <x:c r="J128" s="29" t="s">
        <x:v>706</x:v>
      </x:c>
    </x:row>
    <x:row r="129" ht="10.050000190734863" customHeight="1">
      <x:c r="A129" s="21" t="s">
        <x:v>707</x:v>
      </x:c>
      <x:c r="B129" s="20" t="s">
        <x:v>707</x:v>
      </x:c>
      <x:c r="C129" s="20" t="s">
        <x:v>708</x:v>
      </x:c>
      <x:c r="D129" s="24">
        <x:v>32</x:v>
      </x:c>
      <x:c r="E129" s="24" t="s">
        <x:v>125</x:v>
      </x:c>
      <x:c r="F129" s="20" t="s">
        <x:v>90</x:v>
      </x:c>
      <x:c r="G129" s="26">
        <x:v>45680</x:v>
      </x:c>
      <x:c r="H129" s="24" t="s">
        <x:v>709</x:v>
      </x:c>
      <x:c r="I129" s="28" t="s">
        <x:v>710</x:v>
      </x:c>
      <x:c r="J129" s="29" t="s">
        <x:v>711</x:v>
      </x:c>
    </x:row>
    <x:row r="130" ht="10.050000190734863" customHeight="1">
      <x:c r="A130" s="21" t="s">
        <x:v>712</x:v>
      </x:c>
      <x:c r="B130" s="20" t="s">
        <x:v>712</x:v>
      </x:c>
      <x:c r="C130" s="20" t="s">
        <x:v>713</x:v>
      </x:c>
      <x:c r="D130" s="24">
        <x:v>38</x:v>
      </x:c>
      <x:c r="E130" s="24" t="s">
        <x:v>103</x:v>
      </x:c>
      <x:c r="F130" s="20" t="s">
        <x:v>97</x:v>
      </x:c>
      <x:c r="G130" s="26">
        <x:v>42561</x:v>
      </x:c>
      <x:c r="H130" s="24" t="s">
        <x:v>714</x:v>
      </x:c>
      <x:c r="I130" s="28" t="s">
        <x:v>715</x:v>
      </x:c>
      <x:c r="J130" s="29" t="s">
        <x:v>716</x:v>
      </x:c>
    </x:row>
    <x:row r="131" ht="10.050000190734863" customHeight="1">
      <x:c r="A131" s="21" t="s">
        <x:v>717</x:v>
      </x:c>
      <x:c r="B131" s="20" t="s">
        <x:v>717</x:v>
      </x:c>
      <x:c r="C131" s="20" t="s">
        <x:v>718</x:v>
      </x:c>
      <x:c r="D131" s="24">
        <x:v>4</x:v>
      </x:c>
      <x:c r="E131" s="24" t="s">
        <x:v>103</x:v>
      </x:c>
      <x:c r="F131" s="20" t="s">
        <x:v>97</x:v>
      </x:c>
      <x:c r="G131" s="26">
        <x:v>42046</x:v>
      </x:c>
      <x:c r="H131" s="24" t="s">
        <x:v>719</x:v>
      </x:c>
      <x:c r="I131" s="28" t="s">
        <x:v>720</x:v>
      </x:c>
      <x:c r="J131" s="29" t="s">
        <x:v>721</x:v>
      </x:c>
    </x:row>
    <x:row r="132" ht="10.050000190734863" customHeight="1">
      <x:c r="A132" s="21" t="s">
        <x:v>722</x:v>
      </x:c>
      <x:c r="B132" s="20" t="s">
        <x:v>722</x:v>
      </x:c>
      <x:c r="C132" s="20" t="s">
        <x:v>723</x:v>
      </x:c>
      <x:c r="D132" s="24">
        <x:v>10</x:v>
      </x:c>
      <x:c r="E132" s="24" t="s">
        <x:v>96</x:v>
      </x:c>
      <x:c r="F132" s="20" t="s">
        <x:v>97</x:v>
      </x:c>
      <x:c r="G132" s="26">
        <x:v>45706</x:v>
      </x:c>
      <x:c r="H132" s="24" t="s">
        <x:v>724</x:v>
      </x:c>
      <x:c r="I132" s="28" t="s">
        <x:v>725</x:v>
      </x:c>
      <x:c r="J132" s="29" t="s">
        <x:v>726</x:v>
      </x:c>
    </x:row>
    <x:row r="133" ht="10.050000190734863" customHeight="1">
      <x:c r="A133" s="21" t="s">
        <x:v>727</x:v>
      </x:c>
      <x:c r="B133" s="20" t="s">
        <x:v>727</x:v>
      </x:c>
      <x:c r="C133" s="20" t="s">
        <x:v>491</x:v>
      </x:c>
      <x:c r="D133" s="24">
        <x:v>0</x:v>
      </x:c>
      <x:c r="E133" s="24" t="s">
        <x:v>96</x:v>
      </x:c>
      <x:c r="F133" s="20" t="s">
        <x:v>90</x:v>
      </x:c>
      <x:c r="G133" s="26">
        <x:v>44475</x:v>
      </x:c>
      <x:c r="H133" s="24" t="s">
        <x:v>728</x:v>
      </x:c>
      <x:c r="I133" s="28" t="s">
        <x:v>729</x:v>
      </x:c>
      <x:c r="J133" s="29" t="s">
        <x:v>730</x:v>
      </x:c>
    </x:row>
    <x:row r="134" ht="10.050000190734863" customHeight="1">
      <x:c r="A134" s="21" t="s">
        <x:v>731</x:v>
      </x:c>
      <x:c r="B134" s="20" t="s">
        <x:v>731</x:v>
      </x:c>
      <x:c r="C134" s="20" t="s">
        <x:v>732</x:v>
      </x:c>
      <x:c r="D134" s="24">
        <x:v>9</x:v>
      </x:c>
      <x:c r="E134" s="24" t="s">
        <x:v>103</x:v>
      </x:c>
      <x:c r="F134" s="20" t="s">
        <x:v>97</x:v>
      </x:c>
      <x:c r="G134" s="26">
        <x:v>42716</x:v>
      </x:c>
      <x:c r="H134" s="24" t="s">
        <x:v>733</x:v>
      </x:c>
      <x:c r="I134" s="28" t="s">
        <x:v>734</x:v>
      </x:c>
      <x:c r="J134" s="29" t="s">
        <x:v>735</x:v>
      </x:c>
    </x:row>
    <x:row r="135" ht="10.050000190734863" customHeight="1">
      <x:c r="A135" s="21" t="s">
        <x:v>736</x:v>
      </x:c>
      <x:c r="B135" s="20" t="s">
        <x:v>736</x:v>
      </x:c>
      <x:c r="C135" s="20" t="s">
        <x:v>737</x:v>
      </x:c>
      <x:c r="D135" s="24">
        <x:v>1</x:v>
      </x:c>
      <x:c r="E135" s="24" t="s">
        <x:v>114</x:v>
      </x:c>
      <x:c r="F135" s="20" t="s">
        <x:v>90</x:v>
      </x:c>
      <x:c r="G135" s="26">
        <x:v>45091</x:v>
      </x:c>
      <x:c r="H135" s="24" t="s">
        <x:v>738</x:v>
      </x:c>
      <x:c r="I135" s="28" t="s">
        <x:v>739</x:v>
      </x:c>
      <x:c r="J135" s="29" t="s">
        <x:v>740</x:v>
      </x:c>
    </x:row>
    <x:row r="136" ht="10.050000190734863" customHeight="1">
      <x:c r="A136" s="21" t="s">
        <x:v>741</x:v>
      </x:c>
      <x:c r="B136" s="20" t="s">
        <x:v>741</x:v>
      </x:c>
      <x:c r="C136" s="20" t="s">
        <x:v>742</x:v>
      </x:c>
      <x:c r="D136" s="24">
        <x:v>0</x:v>
      </x:c>
      <x:c r="E136" s="24" t="s">
        <x:v>257</x:v>
      </x:c>
      <x:c r="F136" s="20" t="s">
        <x:v>97</x:v>
      </x:c>
      <x:c r="G136" s="26">
        <x:v>44859</x:v>
      </x:c>
      <x:c r="H136" s="24" t="s">
        <x:v>743</x:v>
      </x:c>
      <x:c r="I136" s="28" t="s">
        <x:v>744</x:v>
      </x:c>
      <x:c r="J136" s="29" t="s">
        <x:v>745</x:v>
      </x:c>
    </x:row>
    <x:row r="137" ht="10.050000190734863" customHeight="1">
      <x:c r="A137" s="21" t="s">
        <x:v>746</x:v>
      </x:c>
      <x:c r="B137" s="20" t="s">
        <x:v>746</x:v>
      </x:c>
      <x:c r="C137" s="20" t="s">
        <x:v>742</x:v>
      </x:c>
      <x:c r="D137" s="24">
        <x:v>5</x:v>
      </x:c>
      <x:c r="E137" s="24" t="s">
        <x:v>103</x:v>
      </x:c>
      <x:c r="F137" s="20" t="s">
        <x:v>97</x:v>
      </x:c>
      <x:c r="G137" s="26">
        <x:v>44407</x:v>
      </x:c>
      <x:c r="H137" s="24" t="s">
        <x:v>747</x:v>
      </x:c>
      <x:c r="I137" s="28" t="s">
        <x:v>748</x:v>
      </x:c>
      <x:c r="J137" s="29" t="s">
        <x:v>749</x:v>
      </x:c>
    </x:row>
    <x:row r="138" ht="10.050000190734863" customHeight="1">
      <x:c r="A138" s="21" t="s">
        <x:v>750</x:v>
      </x:c>
      <x:c r="B138" s="20" t="s">
        <x:v>750</x:v>
      </x:c>
      <x:c r="C138" s="20" t="s">
        <x:v>751</x:v>
      </x:c>
      <x:c r="D138" s="24">
        <x:v>10</x:v>
      </x:c>
      <x:c r="E138" s="24" t="s">
        <x:v>89</x:v>
      </x:c>
      <x:c r="F138" s="20" t="s">
        <x:v>90</x:v>
      </x:c>
      <x:c r="G138" s="26">
        <x:v>43908</x:v>
      </x:c>
      <x:c r="H138" s="24" t="s">
        <x:v>752</x:v>
      </x:c>
      <x:c r="I138" s="28" t="s">
        <x:v>753</x:v>
      </x:c>
      <x:c r="J138" s="29" t="s">
        <x:v>754</x:v>
      </x:c>
    </x:row>
    <x:row r="139" ht="10.050000190734863" customHeight="1">
      <x:c r="A139" s="21" t="s">
        <x:v>755</x:v>
      </x:c>
      <x:c r="B139" s="20" t="s">
        <x:v>755</x:v>
      </x:c>
      <x:c r="C139" s="20" t="s">
        <x:v>756</x:v>
      </x:c>
      <x:c r="D139" s="24">
        <x:v>8</x:v>
      </x:c>
      <x:c r="E139" s="24" t="s">
        <x:v>89</x:v>
      </x:c>
      <x:c r="F139" s="20" t="s">
        <x:v>90</x:v>
      </x:c>
      <x:c r="G139" s="26">
        <x:v>45634</x:v>
      </x:c>
      <x:c r="H139" s="24" t="s">
        <x:v>757</x:v>
      </x:c>
      <x:c r="I139" s="28" t="s">
        <x:v>758</x:v>
      </x:c>
      <x:c r="J139" s="29" t="s">
        <x:v>759</x:v>
      </x:c>
    </x:row>
    <x:row r="140" ht="10.050000190734863" customHeight="1">
      <x:c r="A140" s="21" t="s">
        <x:v>760</x:v>
      </x:c>
      <x:c r="B140" s="20" t="s">
        <x:v>760</x:v>
      </x:c>
      <x:c r="C140" s="20" t="s">
        <x:v>761</x:v>
      </x:c>
      <x:c r="D140" s="24">
        <x:v>11</x:v>
      </x:c>
      <x:c r="E140" s="24" t="s">
        <x:v>89</x:v>
      </x:c>
      <x:c r="F140" s="20" t="s">
        <x:v>90</x:v>
      </x:c>
      <x:c r="G140" s="26">
        <x:v>44736</x:v>
      </x:c>
      <x:c r="H140" s="24" t="s">
        <x:v>762</x:v>
      </x:c>
      <x:c r="I140" s="28" t="s">
        <x:v>763</x:v>
      </x:c>
      <x:c r="J140" s="29" t="s">
        <x:v>764</x:v>
      </x:c>
    </x:row>
    <x:row r="141" ht="10.050000190734863" customHeight="1">
      <x:c r="A141" s="21" t="s">
        <x:v>765</x:v>
      </x:c>
      <x:c r="B141" s="20" t="s">
        <x:v>765</x:v>
      </x:c>
      <x:c r="C141" s="20" t="s">
        <x:v>766</x:v>
      </x:c>
      <x:c r="D141" s="24">
        <x:v>7</x:v>
      </x:c>
      <x:c r="E141" s="24" t="s">
        <x:v>103</x:v>
      </x:c>
      <x:c r="F141" s="20" t="s">
        <x:v>97</x:v>
      </x:c>
      <x:c r="G141" s="26">
        <x:v>44297</x:v>
      </x:c>
      <x:c r="H141" s="24" t="s">
        <x:v>767</x:v>
      </x:c>
      <x:c r="I141" s="28" t="s">
        <x:v>768</x:v>
      </x:c>
      <x:c r="J141" s="29" t="s">
        <x:v>769</x:v>
      </x:c>
    </x:row>
    <x:row r="142" ht="10.050000190734863" customHeight="1">
      <x:c r="A142" s="21" t="s">
        <x:v>770</x:v>
      </x:c>
      <x:c r="B142" s="20" t="s">
        <x:v>770</x:v>
      </x:c>
      <x:c r="C142" s="20" t="s">
        <x:v>771</x:v>
      </x:c>
      <x:c r="D142" s="24">
        <x:v>117</x:v>
      </x:c>
      <x:c r="E142" s="24" t="s">
        <x:v>89</x:v>
      </x:c>
      <x:c r="F142" s="20" t="s">
        <x:v>97</x:v>
      </x:c>
      <x:c r="G142" s="26">
        <x:v>41639</x:v>
      </x:c>
      <x:c r="H142" s="24" t="s">
        <x:v>772</x:v>
      </x:c>
      <x:c r="I142" s="28" t="s">
        <x:v>773</x:v>
      </x:c>
      <x:c r="J142" s="29" t="s">
        <x:v>774</x:v>
      </x:c>
    </x:row>
    <x:row r="143" ht="10.050000190734863" customHeight="1">
      <x:c r="A143" s="21" t="s">
        <x:v>775</x:v>
      </x:c>
      <x:c r="B143" s="20" t="s">
        <x:v>775</x:v>
      </x:c>
      <x:c r="C143" s="20" t="s">
        <x:v>776</x:v>
      </x:c>
      <x:c r="D143" s="24">
        <x:v>14</x:v>
      </x:c>
      <x:c r="E143" s="24" t="s">
        <x:v>103</x:v>
      </x:c>
      <x:c r="F143" s="20" t="s">
        <x:v>97</x:v>
      </x:c>
      <x:c r="G143" s="26">
        <x:v>42303</x:v>
      </x:c>
      <x:c r="H143" s="24" t="s">
        <x:v>777</x:v>
      </x:c>
      <x:c r="I143" s="28" t="s">
        <x:v>778</x:v>
      </x:c>
      <x:c r="J143" s="29" t="s">
        <x:v>779</x:v>
      </x:c>
    </x:row>
    <x:row r="144" ht="10.050000190734863" customHeight="1">
      <x:c r="A144" s="21" t="s">
        <x:v>780</x:v>
      </x:c>
      <x:c r="B144" s="20" t="s">
        <x:v>780</x:v>
      </x:c>
      <x:c r="C144" s="20" t="s">
        <x:v>781</x:v>
      </x:c>
      <x:c r="D144" s="24">
        <x:v>7</x:v>
      </x:c>
      <x:c r="E144" s="24" t="s">
        <x:v>89</x:v>
      </x:c>
      <x:c r="F144" s="20" t="s">
        <x:v>90</x:v>
      </x:c>
      <x:c r="G144" s="26">
        <x:v>44405</x:v>
      </x:c>
      <x:c r="H144" s="24" t="s">
        <x:v>782</x:v>
      </x:c>
      <x:c r="I144" s="28" t="s">
        <x:v>783</x:v>
      </x:c>
      <x:c r="J144" s="29" t="s">
        <x:v>784</x:v>
      </x:c>
    </x:row>
    <x:row r="145" ht="10.050000190734863" customHeight="1">
      <x:c r="A145" s="21" t="s">
        <x:v>785</x:v>
      </x:c>
      <x:c r="B145" s="20" t="s">
        <x:v>785</x:v>
      </x:c>
      <x:c r="C145" s="20" t="s">
        <x:v>786</x:v>
      </x:c>
      <x:c r="D145" s="24">
        <x:v>19</x:v>
      </x:c>
      <x:c r="E145" s="24" t="s">
        <x:v>96</x:v>
      </x:c>
      <x:c r="F145" s="20" t="s">
        <x:v>97</x:v>
      </x:c>
      <x:c r="G145" s="26">
        <x:v>42284</x:v>
      </x:c>
      <x:c r="H145" s="24" t="s">
        <x:v>787</x:v>
      </x:c>
      <x:c r="I145" s="28" t="s">
        <x:v>788</x:v>
      </x:c>
      <x:c r="J145" s="29" t="s">
        <x:v>789</x:v>
      </x:c>
    </x:row>
    <x:row r="146" ht="10.050000190734863" customHeight="1">
      <x:c r="A146" s="21" t="s">
        <x:v>790</x:v>
      </x:c>
      <x:c r="B146" s="20" t="s">
        <x:v>790</x:v>
      </x:c>
      <x:c r="C146" s="20" t="s">
        <x:v>791</x:v>
      </x:c>
      <x:c r="D146" s="24">
        <x:v>8</x:v>
      </x:c>
      <x:c r="E146" s="24" t="s">
        <x:v>96</x:v>
      </x:c>
      <x:c r="F146" s="20" t="s">
        <x:v>97</x:v>
      </x:c>
      <x:c r="G146" s="26">
        <x:v>42207</x:v>
      </x:c>
      <x:c r="H146" s="24" t="s">
        <x:v>792</x:v>
      </x:c>
      <x:c r="I146" s="28" t="s">
        <x:v>793</x:v>
      </x:c>
      <x:c r="J146" s="29" t="s">
        <x:v>794</x:v>
      </x:c>
    </x:row>
    <x:row r="147" ht="10.050000190734863" customHeight="1">
      <x:c r="A147" s="21" t="s">
        <x:v>795</x:v>
      </x:c>
      <x:c r="B147" s="20" t="s">
        <x:v>795</x:v>
      </x:c>
      <x:c r="C147" s="20" t="s">
        <x:v>317</x:v>
      </x:c>
      <x:c r="D147" s="24">
        <x:v>4</x:v>
      </x:c>
      <x:c r="E147" s="24" t="s">
        <x:v>89</x:v>
      </x:c>
      <x:c r="F147" s="20" t="s">
        <x:v>90</x:v>
      </x:c>
      <x:c r="G147" s="26">
        <x:v>44995</x:v>
      </x:c>
      <x:c r="H147" s="24" t="s">
        <x:v>796</x:v>
      </x:c>
      <x:c r="I147" s="28" t="s">
        <x:v>797</x:v>
      </x:c>
      <x:c r="J147" s="29" t="s">
        <x:v>798</x:v>
      </x:c>
    </x:row>
    <x:row r="148" ht="10.050000190734863" customHeight="1">
      <x:c r="A148" s="21" t="s">
        <x:v>799</x:v>
      </x:c>
      <x:c r="B148" s="20" t="s">
        <x:v>799</x:v>
      </x:c>
      <x:c r="C148" s="20" t="s">
        <x:v>800</x:v>
      </x:c>
      <x:c r="D148" s="24">
        <x:v>11</x:v>
      </x:c>
      <x:c r="E148" s="24" t="s">
        <x:v>257</x:v>
      </x:c>
      <x:c r="F148" s="20" t="s">
        <x:v>97</x:v>
      </x:c>
      <x:c r="G148" s="26">
        <x:v>42295</x:v>
      </x:c>
      <x:c r="H148" s="24" t="s">
        <x:v>801</x:v>
      </x:c>
      <x:c r="I148" s="28" t="s">
        <x:v>802</x:v>
      </x:c>
      <x:c r="J148" s="29" t="s">
        <x:v>803</x:v>
      </x:c>
    </x:row>
    <x:row r="149" ht="10.050000190734863" customHeight="1">
      <x:c r="A149" s="21" t="s">
        <x:v>804</x:v>
      </x:c>
      <x:c r="B149" s="20" t="s">
        <x:v>804</x:v>
      </x:c>
      <x:c r="C149" s="20" t="s">
        <x:v>805</x:v>
      </x:c>
      <x:c r="D149" s="24">
        <x:v>5</x:v>
      </x:c>
      <x:c r="E149" s="24" t="s">
        <x:v>257</x:v>
      </x:c>
      <x:c r="F149" s="20" t="s">
        <x:v>97</x:v>
      </x:c>
      <x:c r="G149" s="26">
        <x:v>42317</x:v>
      </x:c>
      <x:c r="H149" s="24" t="s">
        <x:v>806</x:v>
      </x:c>
      <x:c r="I149" s="28" t="s">
        <x:v>807</x:v>
      </x:c>
      <x:c r="J149" s="29" t="s">
        <x:v>808</x:v>
      </x:c>
    </x:row>
    <x:row r="150" ht="10.050000190734863" customHeight="1">
      <x:c r="A150" s="21" t="s">
        <x:v>809</x:v>
      </x:c>
      <x:c r="B150" s="20" t="s">
        <x:v>809</x:v>
      </x:c>
      <x:c r="C150" s="20" t="s">
        <x:v>810</x:v>
      </x:c>
      <x:c r="D150" s="24">
        <x:v>9</x:v>
      </x:c>
      <x:c r="E150" s="24" t="s">
        <x:v>96</x:v>
      </x:c>
      <x:c r="F150" s="20" t="s">
        <x:v>97</x:v>
      </x:c>
      <x:c r="G150" s="26">
        <x:v>42065</x:v>
      </x:c>
      <x:c r="H150" s="24" t="s">
        <x:v>811</x:v>
      </x:c>
      <x:c r="I150" s="28" t="s">
        <x:v>812</x:v>
      </x:c>
      <x:c r="J150" s="29" t="s">
        <x:v>813</x:v>
      </x:c>
    </x:row>
    <x:row r="151" ht="10.050000190734863" customHeight="1">
      <x:c r="A151" s="21" t="s">
        <x:v>814</x:v>
      </x:c>
      <x:c r="B151" s="20" t="s">
        <x:v>814</x:v>
      </x:c>
      <x:c r="C151" s="20" t="s">
        <x:v>815</x:v>
      </x:c>
      <x:c r="D151" s="24">
        <x:v>71</x:v>
      </x:c>
      <x:c r="E151" s="24" t="s">
        <x:v>103</x:v>
      </x:c>
      <x:c r="F151" s="20" t="s">
        <x:v>97</x:v>
      </x:c>
      <x:c r="G151" s="26">
        <x:v>42892</x:v>
      </x:c>
      <x:c r="H151" s="24" t="s">
        <x:v>816</x:v>
      </x:c>
      <x:c r="I151" s="28" t="s">
        <x:v>817</x:v>
      </x:c>
      <x:c r="J151" s="29" t="s">
        <x:v>818</x:v>
      </x:c>
    </x:row>
    <x:row r="152" ht="10.050000190734863" customHeight="1">
      <x:c r="A152" s="21" t="s">
        <x:v>819</x:v>
      </x:c>
      <x:c r="B152" s="20" t="s">
        <x:v>819</x:v>
      </x:c>
      <x:c r="C152" s="20" t="s">
        <x:v>815</x:v>
      </x:c>
      <x:c r="D152" s="24">
        <x:v>34</x:v>
      </x:c>
      <x:c r="E152" s="24" t="s">
        <x:v>103</x:v>
      </x:c>
      <x:c r="F152" s="20" t="s">
        <x:v>97</x:v>
      </x:c>
      <x:c r="G152" s="26">
        <x:v>42987</x:v>
      </x:c>
      <x:c r="H152" s="24" t="s">
        <x:v>820</x:v>
      </x:c>
      <x:c r="I152" s="28" t="s">
        <x:v>821</x:v>
      </x:c>
      <x:c r="J152" s="29" t="s">
        <x:v>822</x:v>
      </x:c>
    </x:row>
    <x:row r="153" ht="10.050000190734863" customHeight="1">
      <x:c r="A153" s="21" t="s">
        <x:v>823</x:v>
      </x:c>
      <x:c r="B153" s="20" t="s">
        <x:v>823</x:v>
      </x:c>
      <x:c r="C153" s="20" t="s">
        <x:v>586</x:v>
      </x:c>
      <x:c r="D153" s="24">
        <x:v>54</x:v>
      </x:c>
      <x:c r="E153" s="24" t="s">
        <x:v>103</x:v>
      </x:c>
      <x:c r="F153" s="20" t="s">
        <x:v>97</x:v>
      </x:c>
      <x:c r="G153" s="26">
        <x:v>42764</x:v>
      </x:c>
      <x:c r="H153" s="24" t="s">
        <x:v>824</x:v>
      </x:c>
      <x:c r="I153" s="28" t="s">
        <x:v>825</x:v>
      </x:c>
      <x:c r="J153" s="29" t="s">
        <x:v>826</x:v>
      </x:c>
    </x:row>
    <x:row r="154" ht="10.050000190734863" customHeight="1">
      <x:c r="A154" s="21" t="s">
        <x:v>827</x:v>
      </x:c>
      <x:c r="B154" s="20" t="s">
        <x:v>827</x:v>
      </x:c>
      <x:c r="C154" s="20" t="s">
        <x:v>586</x:v>
      </x:c>
      <x:c r="D154" s="24">
        <x:v>70</x:v>
      </x:c>
      <x:c r="E154" s="24" t="s">
        <x:v>103</x:v>
      </x:c>
      <x:c r="F154" s="20" t="s">
        <x:v>97</x:v>
      </x:c>
      <x:c r="G154" s="26">
        <x:v>42926</x:v>
      </x:c>
      <x:c r="H154" s="24" t="s">
        <x:v>828</x:v>
      </x:c>
      <x:c r="I154" s="28" t="s">
        <x:v>829</x:v>
      </x:c>
      <x:c r="J154" s="29" t="s">
        <x:v>830</x:v>
      </x:c>
    </x:row>
    <x:row r="155" ht="10.050000190734863" customHeight="1">
      <x:c r="A155" s="21" t="s">
        <x:v>831</x:v>
      </x:c>
      <x:c r="B155" s="20" t="s">
        <x:v>831</x:v>
      </x:c>
      <x:c r="C155" s="20" t="s">
        <x:v>832</x:v>
      </x:c>
      <x:c r="D155" s="24">
        <x:v>8</x:v>
      </x:c>
      <x:c r="E155" s="24" t="s">
        <x:v>103</x:v>
      </x:c>
      <x:c r="F155" s="20" t="s">
        <x:v>97</x:v>
      </x:c>
      <x:c r="G155" s="26">
        <x:v>42211</x:v>
      </x:c>
      <x:c r="H155" s="24" t="s">
        <x:v>833</x:v>
      </x:c>
      <x:c r="I155" s="28" t="s">
        <x:v>834</x:v>
      </x:c>
      <x:c r="J155" s="29" t="s">
        <x:v>835</x:v>
      </x:c>
    </x:row>
    <x:row r="156" ht="10.050000190734863" customHeight="1">
      <x:c r="A156" s="21" t="s">
        <x:v>836</x:v>
      </x:c>
      <x:c r="B156" s="20" t="s">
        <x:v>836</x:v>
      </x:c>
      <x:c r="C156" s="20" t="s">
        <x:v>837</x:v>
      </x:c>
      <x:c r="D156" s="24">
        <x:v>8</x:v>
      </x:c>
      <x:c r="E156" s="24" t="s">
        <x:v>96</x:v>
      </x:c>
      <x:c r="F156" s="20" t="s">
        <x:v>97</x:v>
      </x:c>
      <x:c r="G156" s="26">
        <x:v>42587</x:v>
      </x:c>
      <x:c r="H156" s="24" t="s">
        <x:v>838</x:v>
      </x:c>
      <x:c r="I156" s="28" t="s">
        <x:v>839</x:v>
      </x:c>
      <x:c r="J156" s="29" t="s">
        <x:v>840</x:v>
      </x:c>
    </x:row>
    <x:row r="157" ht="10.050000190734863" customHeight="1">
      <x:c r="A157" s="21" t="s">
        <x:v>841</x:v>
      </x:c>
      <x:c r="B157" s="20" t="s">
        <x:v>841</x:v>
      </x:c>
      <x:c r="C157" s="20" t="s">
        <x:v>837</x:v>
      </x:c>
      <x:c r="D157" s="24">
        <x:v>9</x:v>
      </x:c>
      <x:c r="E157" s="24" t="s">
        <x:v>89</x:v>
      </x:c>
      <x:c r="F157" s="20" t="s">
        <x:v>97</x:v>
      </x:c>
      <x:c r="G157" s="26">
        <x:v>44385</x:v>
      </x:c>
      <x:c r="H157" s="24" t="s">
        <x:v>842</x:v>
      </x:c>
      <x:c r="I157" s="28" t="s">
        <x:v>843</x:v>
      </x:c>
      <x:c r="J157" s="29" t="s">
        <x:v>844</x:v>
      </x:c>
    </x:row>
    <x:row r="158" ht="10.050000190734863" customHeight="1">
      <x:c r="A158" s="21" t="s">
        <x:v>845</x:v>
      </x:c>
      <x:c r="B158" s="20" t="s">
        <x:v>845</x:v>
      </x:c>
      <x:c r="C158" s="20" t="s">
        <x:v>543</x:v>
      </x:c>
      <x:c r="D158" s="24">
        <x:v>27</x:v>
      </x:c>
      <x:c r="E158" s="24" t="s">
        <x:v>103</x:v>
      </x:c>
      <x:c r="F158" s="20" t="s">
        <x:v>97</x:v>
      </x:c>
      <x:c r="G158" s="26">
        <x:v>46137</x:v>
      </x:c>
      <x:c r="H158" s="24" t="s">
        <x:v>846</x:v>
      </x:c>
      <x:c r="I158" s="28" t="s">
        <x:v>847</x:v>
      </x:c>
      <x:c r="J158" s="29" t="s">
        <x:v>848</x:v>
      </x:c>
    </x:row>
    <x:row r="159" ht="10.050000190734863" customHeight="1">
      <x:c r="A159" s="21" t="s">
        <x:v>849</x:v>
      </x:c>
      <x:c r="B159" s="20" t="s">
        <x:v>849</x:v>
      </x:c>
      <x:c r="C159" s="20" t="s">
        <x:v>850</x:v>
      </x:c>
      <x:c r="D159" s="24">
        <x:v>13</x:v>
      </x:c>
      <x:c r="E159" s="24" t="s">
        <x:v>96</x:v>
      </x:c>
      <x:c r="F159" s="20" t="s">
        <x:v>90</x:v>
      </x:c>
      <x:c r="G159" s="26">
        <x:v>46192</x:v>
      </x:c>
      <x:c r="H159" s="24" t="s">
        <x:v>851</x:v>
      </x:c>
      <x:c r="I159" s="28" t="s">
        <x:v>852</x:v>
      </x:c>
      <x:c r="J159" s="29" t="s">
        <x:v>853</x:v>
      </x:c>
    </x:row>
    <x:row r="160" ht="10.050000190734863" customHeight="1">
      <x:c r="A160" s="21" t="s">
        <x:v>854</x:v>
      </x:c>
      <x:c r="B160" s="20" t="s">
        <x:v>854</x:v>
      </x:c>
      <x:c r="C160" s="20" t="s">
        <x:v>855</x:v>
      </x:c>
      <x:c r="D160" s="24">
        <x:v>5</x:v>
      </x:c>
      <x:c r="E160" s="24" t="s">
        <x:v>103</x:v>
      </x:c>
      <x:c r="F160" s="20" t="s">
        <x:v>97</x:v>
      </x:c>
      <x:c r="G160" s="26">
        <x:v>42058</x:v>
      </x:c>
      <x:c r="H160" s="24" t="s">
        <x:v>856</x:v>
      </x:c>
      <x:c r="I160" s="28" t="s">
        <x:v>857</x:v>
      </x:c>
      <x:c r="J160" s="29" t="s">
        <x:v>858</x:v>
      </x:c>
    </x:row>
    <x:row r="161" ht="10.050000190734863" customHeight="1">
      <x:c r="A161" s="21" t="s">
        <x:v>859</x:v>
      </x:c>
      <x:c r="B161" s="20" t="s">
        <x:v>859</x:v>
      </x:c>
      <x:c r="C161" s="20" t="s">
        <x:v>860</x:v>
      </x:c>
      <x:c r="D161" s="24">
        <x:v>45</x:v>
      </x:c>
      <x:c r="E161" s="24" t="s">
        <x:v>103</x:v>
      </x:c>
      <x:c r="F161" s="20" t="s">
        <x:v>97</x:v>
      </x:c>
      <x:c r="G161" s="26">
        <x:v>45279</x:v>
      </x:c>
      <x:c r="H161" s="24" t="s">
        <x:v>861</x:v>
      </x:c>
      <x:c r="I161" s="28" t="s">
        <x:v>862</x:v>
      </x:c>
      <x:c r="J161" s="29" t="s">
        <x:v>863</x:v>
      </x:c>
    </x:row>
    <x:row r="162" ht="10.050000190734863" customHeight="1">
      <x:c r="A162" s="21" t="s">
        <x:v>864</x:v>
      </x:c>
      <x:c r="B162" s="20" t="s">
        <x:v>864</x:v>
      </x:c>
      <x:c r="C162" s="20" t="s">
        <x:v>865</x:v>
      </x:c>
      <x:c r="D162" s="24">
        <x:v>33</x:v>
      </x:c>
      <x:c r="E162" s="24" t="s">
        <x:v>103</x:v>
      </x:c>
      <x:c r="F162" s="20" t="s">
        <x:v>97</x:v>
      </x:c>
      <x:c r="G162" s="26">
        <x:v>44845</x:v>
      </x:c>
      <x:c r="H162" s="24" t="s">
        <x:v>866</x:v>
      </x:c>
      <x:c r="I162" s="28" t="s">
        <x:v>867</x:v>
      </x:c>
      <x:c r="J162" s="29" t="s">
        <x:v>868</x:v>
      </x:c>
    </x:row>
    <x:row r="163" ht="10.050000190734863" customHeight="1">
      <x:c r="A163" s="21" t="s">
        <x:v>869</x:v>
      </x:c>
      <x:c r="B163" s="20" t="s">
        <x:v>869</x:v>
      </x:c>
      <x:c r="C163" s="20" t="s">
        <x:v>870</x:v>
      </x:c>
      <x:c r="D163" s="24">
        <x:v>9</x:v>
      </x:c>
      <x:c r="E163" s="24" t="s">
        <x:v>198</x:v>
      </x:c>
      <x:c r="F163" s="20" t="s">
        <x:v>90</x:v>
      </x:c>
      <x:c r="G163" s="26">
        <x:v>44918</x:v>
      </x:c>
      <x:c r="H163" s="24" t="s">
        <x:v>871</x:v>
      </x:c>
      <x:c r="I163" s="28" t="s">
        <x:v>872</x:v>
      </x:c>
      <x:c r="J163" s="29" t="s">
        <x:v>873</x:v>
      </x:c>
    </x:row>
    <x:row r="164" ht="10.050000190734863" customHeight="1">
      <x:c r="A164" s="21" t="s">
        <x:v>874</x:v>
      </x:c>
      <x:c r="B164" s="20" t="s">
        <x:v>874</x:v>
      </x:c>
      <x:c r="C164" s="20" t="s">
        <x:v>875</x:v>
      </x:c>
      <x:c r="D164" s="24">
        <x:v>15</x:v>
      </x:c>
      <x:c r="E164" s="24" t="s">
        <x:v>114</x:v>
      </x:c>
      <x:c r="F164" s="20" t="s">
        <x:v>90</x:v>
      </x:c>
      <x:c r="G164" s="26">
        <x:v>45211</x:v>
      </x:c>
      <x:c r="H164" s="24" t="s">
        <x:v>876</x:v>
      </x:c>
      <x:c r="I164" s="28" t="s">
        <x:v>877</x:v>
      </x:c>
      <x:c r="J164" s="29" t="s">
        <x:v>878</x:v>
      </x:c>
    </x:row>
    <x:row r="165" ht="10.050000190734863" customHeight="1">
      <x:c r="A165" s="21" t="s">
        <x:v>879</x:v>
      </x:c>
      <x:c r="B165" s="20" t="s">
        <x:v>879</x:v>
      </x:c>
      <x:c r="C165" s="20" t="s">
        <x:v>880</x:v>
      </x:c>
      <x:c r="D165" s="24">
        <x:v>25</x:v>
      </x:c>
      <x:c r="E165" s="24" t="s">
        <x:v>198</x:v>
      </x:c>
      <x:c r="F165" s="20" t="s">
        <x:v>90</x:v>
      </x:c>
      <x:c r="G165" s="26">
        <x:v>46114</x:v>
      </x:c>
      <x:c r="H165" s="24" t="s">
        <x:v>881</x:v>
      </x:c>
      <x:c r="I165" s="28" t="s">
        <x:v>882</x:v>
      </x:c>
      <x:c r="J165" s="29" t="s">
        <x:v>883</x:v>
      </x:c>
    </x:row>
    <x:row r="166" ht="10.050000190734863" customHeight="1">
      <x:c r="A166" s="21" t="s">
        <x:v>884</x:v>
      </x:c>
      <x:c r="B166" s="20" t="s">
        <x:v>884</x:v>
      </x:c>
      <x:c r="C166" s="20" t="s">
        <x:v>885</x:v>
      </x:c>
      <x:c r="D166" s="24">
        <x:v>16</x:v>
      </x:c>
      <x:c r="E166" s="24" t="s">
        <x:v>198</x:v>
      </x:c>
      <x:c r="F166" s="20" t="s">
        <x:v>90</x:v>
      </x:c>
      <x:c r="G166" s="26">
        <x:v>44368</x:v>
      </x:c>
      <x:c r="H166" s="24" t="s">
        <x:v>886</x:v>
      </x:c>
      <x:c r="I166" s="28" t="s">
        <x:v>887</x:v>
      </x:c>
      <x:c r="J166" s="29" t="s">
        <x:v>888</x:v>
      </x:c>
    </x:row>
    <x:row r="167" ht="10.050000190734863" customHeight="1">
      <x:c r="A167" s="21" t="s">
        <x:v>889</x:v>
      </x:c>
      <x:c r="B167" s="20" t="s">
        <x:v>889</x:v>
      </x:c>
      <x:c r="C167" s="20" t="s">
        <x:v>890</x:v>
      </x:c>
      <x:c r="D167" s="24">
        <x:v>19</x:v>
      </x:c>
      <x:c r="E167" s="24" t="s">
        <x:v>103</x:v>
      </x:c>
      <x:c r="F167" s="20" t="s">
        <x:v>97</x:v>
      </x:c>
      <x:c r="G167" s="26">
        <x:v>42346</x:v>
      </x:c>
      <x:c r="H167" s="24" t="s">
        <x:v>891</x:v>
      </x:c>
      <x:c r="I167" s="28" t="s">
        <x:v>892</x:v>
      </x:c>
      <x:c r="J167" s="29" t="s">
        <x:v>893</x:v>
      </x:c>
    </x:row>
    <x:row r="168" ht="10.050000190734863" customHeight="1">
      <x:c r="A168" s="21" t="s">
        <x:v>894</x:v>
      </x:c>
      <x:c r="B168" s="20" t="s">
        <x:v>894</x:v>
      </x:c>
      <x:c r="C168" s="20" t="s">
        <x:v>119</x:v>
      </x:c>
      <x:c r="D168" s="24">
        <x:v>8</x:v>
      </x:c>
      <x:c r="E168" s="24" t="s">
        <x:v>198</x:v>
      </x:c>
      <x:c r="F168" s="20" t="s">
        <x:v>90</x:v>
      </x:c>
      <x:c r="G168" s="26">
        <x:v>46117</x:v>
      </x:c>
      <x:c r="H168" s="24" t="s">
        <x:v>895</x:v>
      </x:c>
      <x:c r="I168" s="28" t="s">
        <x:v>896</x:v>
      </x:c>
      <x:c r="J168" s="29" t="s">
        <x:v>897</x:v>
      </x:c>
    </x:row>
    <x:row r="169" ht="10.050000190734863" customHeight="1">
      <x:c r="A169" s="21" t="s">
        <x:v>898</x:v>
      </x:c>
      <x:c r="B169" s="20" t="s">
        <x:v>898</x:v>
      </x:c>
      <x:c r="C169" s="20" t="s">
        <x:v>742</x:v>
      </x:c>
      <x:c r="D169" s="24">
        <x:v>10</x:v>
      </x:c>
      <x:c r="E169" s="24" t="s">
        <x:v>96</x:v>
      </x:c>
      <x:c r="F169" s="20" t="s">
        <x:v>97</x:v>
      </x:c>
      <x:c r="G169" s="26">
        <x:v>45401</x:v>
      </x:c>
      <x:c r="H169" s="24" t="s">
        <x:v>899</x:v>
      </x:c>
      <x:c r="I169" s="28" t="s">
        <x:v>900</x:v>
      </x:c>
      <x:c r="J169" s="29" t="s">
        <x:v>901</x:v>
      </x:c>
    </x:row>
    <x:row r="170" ht="10.050000190734863" customHeight="1">
      <x:c r="A170" s="21" t="s">
        <x:v>902</x:v>
      </x:c>
      <x:c r="B170" s="20" t="s">
        <x:v>902</x:v>
      </x:c>
      <x:c r="C170" s="20" t="s">
        <x:v>903</x:v>
      </x:c>
      <x:c r="D170" s="24">
        <x:v>11</x:v>
      </x:c>
      <x:c r="E170" s="24" t="s">
        <x:v>89</x:v>
      </x:c>
      <x:c r="F170" s="20" t="s">
        <x:v>90</x:v>
      </x:c>
      <x:c r="G170" s="26">
        <x:v>45742</x:v>
      </x:c>
      <x:c r="H170" s="24" t="s">
        <x:v>904</x:v>
      </x:c>
      <x:c r="I170" s="28" t="s">
        <x:v>905</x:v>
      </x:c>
      <x:c r="J170" s="29" t="s">
        <x:v>906</x:v>
      </x:c>
    </x:row>
    <x:row r="171" ht="10.050000190734863" customHeight="1">
      <x:c r="A171" s="21" t="s">
        <x:v>907</x:v>
      </x:c>
      <x:c r="B171" s="20" t="s">
        <x:v>907</x:v>
      </x:c>
      <x:c r="C171" s="20" t="s">
        <x:v>908</x:v>
      </x:c>
      <x:c r="D171" s="24">
        <x:v>1</x:v>
      </x:c>
      <x:c r="E171" s="24" t="s">
        <x:v>125</x:v>
      </x:c>
      <x:c r="F171" s="20" t="s">
        <x:v>126</x:v>
      </x:c>
      <x:c r="G171" s="26">
        <x:v>44428</x:v>
      </x:c>
      <x:c r="H171" s="24" t="s">
        <x:v>909</x:v>
      </x:c>
      <x:c r="I171" s="28" t="s">
        <x:v>910</x:v>
      </x:c>
      <x:c r="J171" s="29" t="s">
        <x:v>911</x:v>
      </x:c>
    </x:row>
    <x:row r="172" ht="10.050000190734863" customHeight="1">
      <x:c r="A172" s="21" t="s">
        <x:v>912</x:v>
      </x:c>
      <x:c r="B172" s="20" t="s">
        <x:v>912</x:v>
      </x:c>
      <x:c r="C172" s="20" t="s">
        <x:v>913</x:v>
      </x:c>
      <x:c r="D172" s="24">
        <x:v>5</x:v>
      </x:c>
      <x:c r="E172" s="24" t="s">
        <x:v>103</x:v>
      </x:c>
      <x:c r="F172" s="20" t="s">
        <x:v>97</x:v>
      </x:c>
      <x:c r="G172" s="26">
        <x:v>43670</x:v>
      </x:c>
      <x:c r="H172" s="24" t="s">
        <x:v>914</x:v>
      </x:c>
      <x:c r="I172" s="28" t="s">
        <x:v>915</x:v>
      </x:c>
      <x:c r="J172" s="29" t="s">
        <x:v>916</x:v>
      </x:c>
    </x:row>
    <x:row r="173" ht="10.050000190734863" customHeight="1">
      <x:c r="A173" s="21" t="s">
        <x:v>917</x:v>
      </x:c>
      <x:c r="B173" s="20" t="s">
        <x:v>917</x:v>
      </x:c>
      <x:c r="C173" s="20" t="s">
        <x:v>918</x:v>
      </x:c>
      <x:c r="D173" s="24">
        <x:v>3</x:v>
      </x:c>
      <x:c r="E173" s="24" t="s">
        <x:v>125</x:v>
      </x:c>
      <x:c r="F173" s="20" t="s">
        <x:v>90</x:v>
      </x:c>
      <x:c r="G173" s="26">
        <x:v>46097</x:v>
      </x:c>
      <x:c r="H173" s="24" t="s">
        <x:v>919</x:v>
      </x:c>
      <x:c r="I173" s="28" t="s">
        <x:v>920</x:v>
      </x:c>
      <x:c r="J173" s="29" t="s">
        <x:v>921</x:v>
      </x:c>
    </x:row>
    <x:row r="174" ht="10.050000190734863" customHeight="1">
      <x:c r="A174" s="21" t="s">
        <x:v>922</x:v>
      </x:c>
      <x:c r="B174" s="20" t="s">
        <x:v>922</x:v>
      </x:c>
      <x:c r="C174" s="20" t="s">
        <x:v>923</x:v>
      </x:c>
      <x:c r="D174" s="24">
        <x:v>15</x:v>
      </x:c>
      <x:c r="E174" s="24" t="s">
        <x:v>198</x:v>
      </x:c>
      <x:c r="F174" s="20" t="s">
        <x:v>90</x:v>
      </x:c>
      <x:c r="G174" s="26">
        <x:v>44523</x:v>
      </x:c>
      <x:c r="H174" s="24" t="s">
        <x:v>924</x:v>
      </x:c>
      <x:c r="I174" s="28" t="s">
        <x:v>925</x:v>
      </x:c>
      <x:c r="J174" s="29" t="s">
        <x:v>926</x:v>
      </x:c>
    </x:row>
    <x:row r="175" ht="10.050000190734863" customHeight="1">
      <x:c r="A175" s="21" t="s">
        <x:v>927</x:v>
      </x:c>
      <x:c r="B175" s="20" t="s">
        <x:v>927</x:v>
      </x:c>
      <x:c r="C175" s="20" t="s">
        <x:v>928</x:v>
      </x:c>
      <x:c r="D175" s="24">
        <x:v>24</x:v>
      </x:c>
      <x:c r="E175" s="24" t="s">
        <x:v>103</x:v>
      </x:c>
      <x:c r="F175" s="20" t="s">
        <x:v>97</x:v>
      </x:c>
      <x:c r="G175" s="26">
        <x:v>42238</x:v>
      </x:c>
      <x:c r="H175" s="24" t="s">
        <x:v>929</x:v>
      </x:c>
      <x:c r="I175" s="28" t="s">
        <x:v>930</x:v>
      </x:c>
      <x:c r="J175" s="29" t="s">
        <x:v>931</x:v>
      </x:c>
    </x:row>
    <x:row r="176" ht="10.050000190734863" customHeight="1">
      <x:c r="A176" s="21" t="s">
        <x:v>932</x:v>
      </x:c>
      <x:c r="B176" s="20" t="s">
        <x:v>932</x:v>
      </x:c>
      <x:c r="C176" s="20" t="s">
        <x:v>933</x:v>
      </x:c>
      <x:c r="D176" s="24">
        <x:v>40</x:v>
      </x:c>
      <x:c r="E176" s="24" t="s">
        <x:v>96</x:v>
      </x:c>
      <x:c r="F176" s="20" t="s">
        <x:v>97</x:v>
      </x:c>
      <x:c r="G176" s="26">
        <x:v>45430</x:v>
      </x:c>
      <x:c r="H176" s="24" t="s">
        <x:v>934</x:v>
      </x:c>
      <x:c r="I176" s="28" t="s">
        <x:v>935</x:v>
      </x:c>
      <x:c r="J176" s="29" t="s">
        <x:v>936</x:v>
      </x:c>
    </x:row>
    <x:row r="177" ht="10.050000190734863" customHeight="1">
      <x:c r="A177" s="21" t="s">
        <x:v>937</x:v>
      </x:c>
      <x:c r="B177" s="20" t="s">
        <x:v>937</x:v>
      </x:c>
      <x:c r="C177" s="20" t="s">
        <x:v>938</x:v>
      </x:c>
      <x:c r="D177" s="24">
        <x:v>18</x:v>
      </x:c>
      <x:c r="E177" s="24" t="s">
        <x:v>198</x:v>
      </x:c>
      <x:c r="F177" s="20" t="s">
        <x:v>90</x:v>
      </x:c>
      <x:c r="G177" s="26">
        <x:v>44622</x:v>
      </x:c>
      <x:c r="H177" s="24" t="s">
        <x:v>939</x:v>
      </x:c>
      <x:c r="I177" s="28" t="s">
        <x:v>940</x:v>
      </x:c>
      <x:c r="J177" s="29" t="s">
        <x:v>941</x:v>
      </x:c>
    </x:row>
    <x:row r="178" ht="10.050000190734863" customHeight="1">
      <x:c r="A178" s="21" t="s">
        <x:v>942</x:v>
      </x:c>
      <x:c r="B178" s="20" t="s">
        <x:v>942</x:v>
      </x:c>
      <x:c r="C178" s="20" t="s">
        <x:v>943</x:v>
      </x:c>
      <x:c r="D178" s="24">
        <x:v>4</x:v>
      </x:c>
      <x:c r="E178" s="24" t="s">
        <x:v>257</x:v>
      </x:c>
      <x:c r="F178" s="20" t="s">
        <x:v>97</x:v>
      </x:c>
      <x:c r="G178" s="26">
        <x:v>45584</x:v>
      </x:c>
      <x:c r="H178" s="24" t="s">
        <x:v>944</x:v>
      </x:c>
      <x:c r="I178" s="28" t="s">
        <x:v>945</x:v>
      </x:c>
      <x:c r="J178" s="29" t="s">
        <x:v>946</x:v>
      </x:c>
    </x:row>
    <x:row r="179" ht="10.050000190734863" customHeight="1">
      <x:c r="A179" s="21" t="s">
        <x:v>947</x:v>
      </x:c>
      <x:c r="B179" s="20" t="s">
        <x:v>947</x:v>
      </x:c>
      <x:c r="C179" s="20" t="s">
        <x:v>948</x:v>
      </x:c>
      <x:c r="D179" s="24">
        <x:v>11</x:v>
      </x:c>
      <x:c r="E179" s="24" t="s">
        <x:v>103</x:v>
      </x:c>
      <x:c r="F179" s="20" t="s">
        <x:v>97</x:v>
      </x:c>
      <x:c r="G179" s="26">
        <x:v>42021</x:v>
      </x:c>
      <x:c r="H179" s="24" t="s">
        <x:v>949</x:v>
      </x:c>
      <x:c r="I179" s="28" t="s">
        <x:v>950</x:v>
      </x:c>
      <x:c r="J179" s="29" t="s">
        <x:v>951</x:v>
      </x:c>
    </x:row>
    <x:row r="180" ht="10.050000190734863" customHeight="1">
      <x:c r="A180" s="21" t="s">
        <x:v>952</x:v>
      </x:c>
      <x:c r="B180" s="20" t="s">
        <x:v>952</x:v>
      </x:c>
      <x:c r="C180" s="20" t="s">
        <x:v>953</x:v>
      </x:c>
      <x:c r="D180" s="24">
        <x:v>12</x:v>
      </x:c>
      <x:c r="E180" s="24" t="s">
        <x:v>198</x:v>
      </x:c>
      <x:c r="F180" s="20" t="s">
        <x:v>90</x:v>
      </x:c>
      <x:c r="G180" s="26">
        <x:v>45530</x:v>
      </x:c>
      <x:c r="H180" s="24" t="s">
        <x:v>954</x:v>
      </x:c>
      <x:c r="I180" s="28" t="s">
        <x:v>955</x:v>
      </x:c>
      <x:c r="J180" s="29" t="s">
        <x:v>956</x:v>
      </x:c>
    </x:row>
    <x:row r="181" ht="10.050000190734863" customHeight="1">
      <x:c r="A181" s="21" t="s">
        <x:v>957</x:v>
      </x:c>
      <x:c r="B181" s="20" t="s">
        <x:v>957</x:v>
      </x:c>
      <x:c r="C181" s="20" t="s">
        <x:v>958</x:v>
      </x:c>
      <x:c r="D181" s="24">
        <x:v>5</x:v>
      </x:c>
      <x:c r="E181" s="24" t="s">
        <x:v>198</x:v>
      </x:c>
      <x:c r="F181" s="20" t="s">
        <x:v>90</x:v>
      </x:c>
      <x:c r="G181" s="26">
        <x:v>43774</x:v>
      </x:c>
      <x:c r="H181" s="24" t="s">
        <x:v>959</x:v>
      </x:c>
      <x:c r="I181" s="28" t="s">
        <x:v>960</x:v>
      </x:c>
      <x:c r="J181" s="29" t="s">
        <x:v>961</x:v>
      </x:c>
    </x:row>
    <x:row r="182" ht="10.050000190734863" customHeight="1">
      <x:c r="A182" s="21" t="s">
        <x:v>962</x:v>
      </x:c>
      <x:c r="B182" s="20" t="s">
        <x:v>962</x:v>
      </x:c>
      <x:c r="C182" s="20" t="s">
        <x:v>963</x:v>
      </x:c>
      <x:c r="D182" s="24">
        <x:v>14</x:v>
      </x:c>
      <x:c r="E182" s="24" t="s">
        <x:v>89</x:v>
      </x:c>
      <x:c r="F182" s="20" t="s">
        <x:v>90</x:v>
      </x:c>
      <x:c r="G182" s="26">
        <x:v>45899</x:v>
      </x:c>
      <x:c r="H182" s="24" t="s">
        <x:v>964</x:v>
      </x:c>
      <x:c r="I182" s="28" t="s">
        <x:v>965</x:v>
      </x:c>
      <x:c r="J182" s="29" t="s">
        <x:v>966</x:v>
      </x:c>
    </x:row>
    <x:row r="183" ht="10.050000190734863" customHeight="1">
      <x:c r="A183" s="21" t="s">
        <x:v>967</x:v>
      </x:c>
      <x:c r="B183" s="20" t="s">
        <x:v>967</x:v>
      </x:c>
      <x:c r="C183" s="20" t="s">
        <x:v>968</x:v>
      </x:c>
      <x:c r="D183" s="24">
        <x:v>44</x:v>
      </x:c>
      <x:c r="E183" s="24" t="s">
        <x:v>89</x:v>
      </x:c>
      <x:c r="F183" s="20" t="s">
        <x:v>90</x:v>
      </x:c>
      <x:c r="G183" s="26">
        <x:v>43514</x:v>
      </x:c>
      <x:c r="H183" s="24" t="s">
        <x:v>969</x:v>
      </x:c>
      <x:c r="I183" s="28" t="s">
        <x:v>970</x:v>
      </x:c>
      <x:c r="J183" s="29" t="s">
        <x:v>971</x:v>
      </x:c>
    </x:row>
    <x:row r="184" ht="10.050000190734863" customHeight="1">
      <x:c r="A184" s="21" t="s">
        <x:v>972</x:v>
      </x:c>
      <x:c r="B184" s="20" t="s">
        <x:v>972</x:v>
      </x:c>
      <x:c r="C184" s="20" t="s">
        <x:v>973</x:v>
      </x:c>
      <x:c r="D184" s="24">
        <x:v>34</x:v>
      </x:c>
      <x:c r="E184" s="24" t="s">
        <x:v>96</x:v>
      </x:c>
      <x:c r="F184" s="20" t="s">
        <x:v>90</x:v>
      </x:c>
      <x:c r="G184" s="26">
        <x:v>44734</x:v>
      </x:c>
      <x:c r="H184" s="24" t="s">
        <x:v>974</x:v>
      </x:c>
      <x:c r="I184" s="28" t="s">
        <x:v>975</x:v>
      </x:c>
      <x:c r="J184" s="29" t="s">
        <x:v>976</x:v>
      </x:c>
    </x:row>
    <x:row r="185" ht="10.050000190734863" customHeight="1">
      <x:c r="A185" s="21" t="s">
        <x:v>977</x:v>
      </x:c>
      <x:c r="B185" s="20" t="s">
        <x:v>977</x:v>
      </x:c>
      <x:c r="C185" s="20" t="s">
        <x:v>978</x:v>
      </x:c>
      <x:c r="D185" s="24">
        <x:v>36</x:v>
      </x:c>
      <x:c r="E185" s="24" t="s">
        <x:v>103</x:v>
      </x:c>
      <x:c r="F185" s="20" t="s">
        <x:v>97</x:v>
      </x:c>
      <x:c r="G185" s="26">
        <x:v>41454</x:v>
      </x:c>
      <x:c r="H185" s="24" t="s">
        <x:v>979</x:v>
      </x:c>
      <x:c r="I185" s="28" t="s">
        <x:v>980</x:v>
      </x:c>
      <x:c r="J185" s="29" t="s">
        <x:v>981</x:v>
      </x:c>
    </x:row>
    <x:row r="186" ht="10.050000190734863" customHeight="1">
      <x:c r="A186" s="21" t="s">
        <x:v>982</x:v>
      </x:c>
      <x:c r="B186" s="20" t="s">
        <x:v>982</x:v>
      </x:c>
      <x:c r="C186" s="20" t="s">
        <x:v>983</x:v>
      </x:c>
      <x:c r="D186" s="24">
        <x:v>25</x:v>
      </x:c>
      <x:c r="E186" s="24" t="s">
        <x:v>114</x:v>
      </x:c>
      <x:c r="F186" s="20" t="s">
        <x:v>90</x:v>
      </x:c>
      <x:c r="G186" s="26">
        <x:v>46096</x:v>
      </x:c>
      <x:c r="H186" s="24" t="s">
        <x:v>984</x:v>
      </x:c>
      <x:c r="I186" s="28" t="s">
        <x:v>985</x:v>
      </x:c>
      <x:c r="J186" s="29" t="s">
        <x:v>986</x:v>
      </x:c>
    </x:row>
    <x:row r="187" ht="10.050000190734863" customHeight="1">
      <x:c r="A187" s="21" t="s">
        <x:v>987</x:v>
      </x:c>
      <x:c r="B187" s="20" t="s">
        <x:v>987</x:v>
      </x:c>
      <x:c r="C187" s="20" t="s">
        <x:v>988</x:v>
      </x:c>
      <x:c r="D187" s="24">
        <x:v>13</x:v>
      </x:c>
      <x:c r="E187" s="24" t="s">
        <x:v>96</x:v>
      </x:c>
      <x:c r="F187" s="20" t="s">
        <x:v>90</x:v>
      </x:c>
      <x:c r="G187" s="26">
        <x:v>43335</x:v>
      </x:c>
      <x:c r="H187" s="24" t="s">
        <x:v>989</x:v>
      </x:c>
      <x:c r="I187" s="28" t="s">
        <x:v>990</x:v>
      </x:c>
      <x:c r="J187" s="29" t="s">
        <x:v>991</x:v>
      </x:c>
    </x:row>
    <x:row r="188" ht="10.050000190734863" customHeight="1">
      <x:c r="A188" s="21" t="s">
        <x:v>992</x:v>
      </x:c>
      <x:c r="B188" s="20" t="s">
        <x:v>992</x:v>
      </x:c>
      <x:c r="C188" s="20" t="s">
        <x:v>993</x:v>
      </x:c>
      <x:c r="D188" s="24">
        <x:v>3</x:v>
      </x:c>
      <x:c r="E188" s="24" t="s">
        <x:v>198</x:v>
      </x:c>
      <x:c r="F188" s="20" t="s">
        <x:v>90</x:v>
      </x:c>
      <x:c r="G188" s="26">
        <x:v>44705</x:v>
      </x:c>
      <x:c r="H188" s="24" t="s">
        <x:v>994</x:v>
      </x:c>
      <x:c r="I188" s="28" t="s">
        <x:v>995</x:v>
      </x:c>
      <x:c r="J188" s="29" t="s">
        <x:v>996</x:v>
      </x:c>
    </x:row>
    <x:row r="189" ht="10.050000190734863" customHeight="1">
      <x:c r="A189" s="21" t="s">
        <x:v>997</x:v>
      </x:c>
      <x:c r="B189" s="20" t="s">
        <x:v>997</x:v>
      </x:c>
      <x:c r="C189" s="20" t="s">
        <x:v>998</x:v>
      </x:c>
      <x:c r="D189" s="24">
        <x:v>13</x:v>
      </x:c>
      <x:c r="E189" s="24" t="s">
        <x:v>89</x:v>
      </x:c>
      <x:c r="F189" s="20" t="s">
        <x:v>90</x:v>
      </x:c>
      <x:c r="G189" s="26">
        <x:v>45592</x:v>
      </x:c>
      <x:c r="H189" s="24" t="s">
        <x:v>999</x:v>
      </x:c>
      <x:c r="I189" s="28" t="s">
        <x:v>1000</x:v>
      </x:c>
      <x:c r="J189" s="29" t="s">
        <x:v>1001</x:v>
      </x:c>
    </x:row>
    <x:row r="190" ht="10.050000190734863" customHeight="1">
      <x:c r="A190" s="21" t="s">
        <x:v>1002</x:v>
      </x:c>
      <x:c r="B190" s="20" t="s">
        <x:v>1002</x:v>
      </x:c>
      <x:c r="C190" s="20" t="s">
        <x:v>1003</x:v>
      </x:c>
      <x:c r="D190" s="24">
        <x:v>9</x:v>
      </x:c>
      <x:c r="E190" s="24" t="s">
        <x:v>198</x:v>
      </x:c>
      <x:c r="F190" s="20" t="s">
        <x:v>90</x:v>
      </x:c>
      <x:c r="G190" s="26">
        <x:v>46107</x:v>
      </x:c>
      <x:c r="H190" s="24" t="s">
        <x:v>1004</x:v>
      </x:c>
      <x:c r="I190" s="28" t="s">
        <x:v>1005</x:v>
      </x:c>
      <x:c r="J190" s="29" t="s">
        <x:v>1006</x:v>
      </x:c>
    </x:row>
    <x:row r="191" ht="10.050000190734863" customHeight="1">
      <x:c r="A191" s="21" t="s">
        <x:v>1007</x:v>
      </x:c>
      <x:c r="B191" s="20" t="s">
        <x:v>1007</x:v>
      </x:c>
      <x:c r="C191" s="20" t="s">
        <x:v>1008</x:v>
      </x:c>
      <x:c r="D191" s="24">
        <x:v>10</x:v>
      </x:c>
      <x:c r="E191" s="24" t="s">
        <x:v>257</x:v>
      </x:c>
      <x:c r="F191" s="20" t="s">
        <x:v>97</x:v>
      </x:c>
      <x:c r="G191" s="26">
        <x:v>42260</x:v>
      </x:c>
      <x:c r="H191" s="24" t="s">
        <x:v>1009</x:v>
      </x:c>
      <x:c r="I191" s="28" t="s">
        <x:v>1010</x:v>
      </x:c>
      <x:c r="J191" s="29" t="s">
        <x:v>1011</x:v>
      </x:c>
    </x:row>
    <x:row r="192" ht="10.050000190734863" customHeight="1">
      <x:c r="A192" s="21" t="s">
        <x:v>1012</x:v>
      </x:c>
      <x:c r="B192" s="20" t="s">
        <x:v>1012</x:v>
      </x:c>
      <x:c r="C192" s="20" t="s">
        <x:v>1013</x:v>
      </x:c>
      <x:c r="D192" s="24">
        <x:v>19</x:v>
      </x:c>
      <x:c r="E192" s="24" t="s">
        <x:v>96</x:v>
      </x:c>
      <x:c r="F192" s="20" t="s">
        <x:v>97</x:v>
      </x:c>
      <x:c r="G192" s="26">
        <x:v>45928</x:v>
      </x:c>
      <x:c r="H192" s="24" t="s">
        <x:v>1014</x:v>
      </x:c>
      <x:c r="I192" s="28" t="s">
        <x:v>1015</x:v>
      </x:c>
      <x:c r="J192" s="29" t="s">
        <x:v>1016</x:v>
      </x:c>
    </x:row>
    <x:row r="193" ht="10.050000190734863" customHeight="1">
      <x:c r="A193" s="21" t="s">
        <x:v>1017</x:v>
      </x:c>
      <x:c r="B193" s="20" t="s">
        <x:v>1017</x:v>
      </x:c>
      <x:c r="C193" s="20" t="s">
        <x:v>1013</x:v>
      </x:c>
      <x:c r="D193" s="24">
        <x:v>23</x:v>
      </x:c>
      <x:c r="E193" s="24" t="s">
        <x:v>96</x:v>
      </x:c>
      <x:c r="F193" s="20" t="s">
        <x:v>97</x:v>
      </x:c>
      <x:c r="G193" s="26">
        <x:v>45628</x:v>
      </x:c>
      <x:c r="H193" s="24" t="s">
        <x:v>1018</x:v>
      </x:c>
      <x:c r="I193" s="28" t="s">
        <x:v>1019</x:v>
      </x:c>
      <x:c r="J193" s="29" t="s">
        <x:v>1020</x:v>
      </x:c>
    </x:row>
    <x:row r="194" ht="10.050000190734863" customHeight="1">
      <x:c r="A194" s="21" t="s">
        <x:v>1021</x:v>
      </x:c>
      <x:c r="B194" s="20" t="s">
        <x:v>1021</x:v>
      </x:c>
      <x:c r="C194" s="20" t="s">
        <x:v>1022</x:v>
      </x:c>
      <x:c r="D194" s="24">
        <x:v>6</x:v>
      </x:c>
      <x:c r="E194" s="24" t="s">
        <x:v>114</x:v>
      </x:c>
      <x:c r="F194" s="20" t="s">
        <x:v>90</x:v>
      </x:c>
      <x:c r="G194" s="26">
        <x:v>44938</x:v>
      </x:c>
      <x:c r="H194" s="24" t="s">
        <x:v>1023</x:v>
      </x:c>
      <x:c r="I194" s="28" t="s">
        <x:v>1024</x:v>
      </x:c>
      <x:c r="J194" s="29" t="s">
        <x:v>1025</x:v>
      </x:c>
    </x:row>
    <x:row r="195" ht="10.050000190734863" customHeight="1">
      <x:c r="A195" s="21" t="s">
        <x:v>1026</x:v>
      </x:c>
      <x:c r="B195" s="20" t="s">
        <x:v>1026</x:v>
      </x:c>
      <x:c r="C195" s="20" t="s">
        <x:v>394</x:v>
      </x:c>
      <x:c r="D195" s="24">
        <x:v>40</x:v>
      </x:c>
      <x:c r="E195" s="24" t="s">
        <x:v>198</x:v>
      </x:c>
      <x:c r="F195" s="20" t="s">
        <x:v>90</x:v>
      </x:c>
      <x:c r="G195" s="26">
        <x:v>42179</x:v>
      </x:c>
      <x:c r="H195" s="24" t="s">
        <x:v>1027</x:v>
      </x:c>
      <x:c r="I195" s="28" t="s">
        <x:v>1028</x:v>
      </x:c>
      <x:c r="J195" s="29" t="s">
        <x:v>1029</x:v>
      </x:c>
    </x:row>
    <x:row r="196" ht="10.050000190734863" customHeight="1">
      <x:c r="A196" s="21" t="s">
        <x:v>1030</x:v>
      </x:c>
      <x:c r="B196" s="20" t="s">
        <x:v>1030</x:v>
      </x:c>
      <x:c r="C196" s="20" t="s">
        <x:v>1031</x:v>
      </x:c>
      <x:c r="D196" s="24">
        <x:v>10</x:v>
      </x:c>
      <x:c r="E196" s="24" t="s">
        <x:v>103</x:v>
      </x:c>
      <x:c r="F196" s="20" t="s">
        <x:v>97</x:v>
      </x:c>
      <x:c r="G196" s="26">
        <x:v>42093</x:v>
      </x:c>
      <x:c r="H196" s="24" t="s">
        <x:v>1032</x:v>
      </x:c>
      <x:c r="I196" s="28" t="s">
        <x:v>1033</x:v>
      </x:c>
      <x:c r="J196" s="29" t="s">
        <x:v>1034</x:v>
      </x:c>
    </x:row>
    <x:row r="197" ht="10.050000190734863" customHeight="1">
      <x:c r="A197" s="21" t="s">
        <x:v>1035</x:v>
      </x:c>
      <x:c r="B197" s="20" t="s">
        <x:v>1035</x:v>
      </x:c>
      <x:c r="C197" s="20" t="s">
        <x:v>1036</x:v>
      </x:c>
      <x:c r="D197" s="24">
        <x:v>22</x:v>
      </x:c>
      <x:c r="E197" s="24" t="s">
        <x:v>114</x:v>
      </x:c>
      <x:c r="F197" s="20" t="s">
        <x:v>90</x:v>
      </x:c>
      <x:c r="G197" s="26">
        <x:v>45077</x:v>
      </x:c>
      <x:c r="H197" s="24" t="s">
        <x:v>1037</x:v>
      </x:c>
      <x:c r="I197" s="28" t="s">
        <x:v>1038</x:v>
      </x:c>
      <x:c r="J197" s="29" t="s">
        <x:v>1039</x:v>
      </x:c>
    </x:row>
    <x:row r="198" ht="10.050000190734863" customHeight="1">
      <x:c r="A198" s="21" t="s">
        <x:v>1040</x:v>
      </x:c>
      <x:c r="B198" s="20" t="s">
        <x:v>1040</x:v>
      </x:c>
      <x:c r="C198" s="20" t="s">
        <x:v>1041</x:v>
      </x:c>
      <x:c r="D198" s="24">
        <x:v>13</x:v>
      </x:c>
      <x:c r="E198" s="24" t="s">
        <x:v>96</x:v>
      </x:c>
      <x:c r="F198" s="20" t="s">
        <x:v>97</x:v>
      </x:c>
      <x:c r="G198" s="26">
        <x:v>43918</x:v>
      </x:c>
      <x:c r="H198" s="24" t="s">
        <x:v>1042</x:v>
      </x:c>
      <x:c r="I198" s="28" t="s">
        <x:v>1043</x:v>
      </x:c>
      <x:c r="J198" s="29" t="s">
        <x:v>1044</x:v>
      </x:c>
    </x:row>
    <x:row r="199" ht="10.050000190734863" customHeight="1">
      <x:c r="A199" s="21" t="s">
        <x:v>1045</x:v>
      </x:c>
      <x:c r="B199" s="20" t="s">
        <x:v>1045</x:v>
      </x:c>
      <x:c r="C199" s="20" t="s">
        <x:v>1041</x:v>
      </x:c>
      <x:c r="D199" s="24">
        <x:v>11</x:v>
      </x:c>
      <x:c r="E199" s="24" t="s">
        <x:v>96</x:v>
      </x:c>
      <x:c r="F199" s="20" t="s">
        <x:v>97</x:v>
      </x:c>
      <x:c r="G199" s="26">
        <x:v>44505</x:v>
      </x:c>
      <x:c r="H199" s="24" t="s">
        <x:v>1046</x:v>
      </x:c>
      <x:c r="I199" s="28" t="s">
        <x:v>1047</x:v>
      </x:c>
      <x:c r="J199" s="29" t="s">
        <x:v>1048</x:v>
      </x:c>
    </x:row>
    <x:row r="200" ht="10.050000190734863" customHeight="1">
      <x:c r="A200" s="21" t="s">
        <x:v>1049</x:v>
      </x:c>
      <x:c r="B200" s="20" t="s">
        <x:v>1049</x:v>
      </x:c>
      <x:c r="C200" s="20" t="s">
        <x:v>1050</x:v>
      </x:c>
      <x:c r="D200" s="24">
        <x:v>16</x:v>
      </x:c>
      <x:c r="E200" s="24" t="s">
        <x:v>198</x:v>
      </x:c>
      <x:c r="F200" s="20" t="s">
        <x:v>90</x:v>
      </x:c>
      <x:c r="G200" s="26">
        <x:v>45347</x:v>
      </x:c>
      <x:c r="H200" s="24" t="s">
        <x:v>1051</x:v>
      </x:c>
      <x:c r="I200" s="28" t="s">
        <x:v>1052</x:v>
      </x:c>
      <x:c r="J200" s="29" t="s">
        <x:v>1053</x:v>
      </x:c>
    </x:row>
    <x:row r="201" ht="10.050000190734863" customHeight="1">
      <x:c r="A201" s="21" t="s">
        <x:v>1054</x:v>
      </x:c>
      <x:c r="B201" s="20" t="s">
        <x:v>1054</x:v>
      </x:c>
      <x:c r="C201" s="20" t="s">
        <x:v>1055</x:v>
      </x:c>
      <x:c r="D201" s="24">
        <x:v>8</x:v>
      </x:c>
      <x:c r="E201" s="24" t="s">
        <x:v>96</x:v>
      </x:c>
      <x:c r="F201" s="20" t="s">
        <x:v>97</x:v>
      </x:c>
      <x:c r="G201" s="26">
        <x:v>44700</x:v>
      </x:c>
      <x:c r="H201" s="24" t="s">
        <x:v>1056</x:v>
      </x:c>
      <x:c r="I201" s="28" t="s">
        <x:v>1057</x:v>
      </x:c>
      <x:c r="J201" s="29" t="s">
        <x:v>1058</x:v>
      </x:c>
    </x:row>
    <x:row r="202" ht="10.050000190734863" customHeight="1">
      <x:c r="A202" s="21" t="s">
        <x:v>1059</x:v>
      </x:c>
      <x:c r="B202" s="20" t="s">
        <x:v>1059</x:v>
      </x:c>
      <x:c r="C202" s="20" t="s">
        <x:v>1060</x:v>
      </x:c>
      <x:c r="D202" s="24">
        <x:v>14</x:v>
      </x:c>
      <x:c r="E202" s="24" t="s">
        <x:v>89</x:v>
      </x:c>
      <x:c r="F202" s="20" t="s">
        <x:v>90</x:v>
      </x:c>
      <x:c r="G202" s="26">
        <x:v>44577</x:v>
      </x:c>
      <x:c r="H202" s="24" t="s">
        <x:v>1061</x:v>
      </x:c>
      <x:c r="I202" s="28" t="s">
        <x:v>1062</x:v>
      </x:c>
      <x:c r="J202" s="29" t="s">
        <x:v>1063</x:v>
      </x:c>
    </x:row>
    <x:row r="203" ht="10.050000190734863" customHeight="1">
      <x:c r="A203" s="21" t="s">
        <x:v>1064</x:v>
      </x:c>
      <x:c r="B203" s="20" t="s">
        <x:v>1064</x:v>
      </x:c>
      <x:c r="C203" s="20" t="s">
        <x:v>524</x:v>
      </x:c>
      <x:c r="D203" s="24">
        <x:v>20</x:v>
      </x:c>
      <x:c r="E203" s="24" t="s">
        <x:v>198</x:v>
      </x:c>
      <x:c r="F203" s="20" t="s">
        <x:v>90</x:v>
      </x:c>
      <x:c r="G203" s="26">
        <x:v>44523</x:v>
      </x:c>
      <x:c r="H203" s="24" t="s">
        <x:v>1065</x:v>
      </x:c>
      <x:c r="I203" s="28" t="s">
        <x:v>1066</x:v>
      </x:c>
      <x:c r="J203" s="29" t="s">
        <x:v>1067</x:v>
      </x:c>
    </x:row>
    <x:row r="204" ht="10.050000190734863" customHeight="1">
      <x:c r="A204" s="21" t="s">
        <x:v>1068</x:v>
      </x:c>
      <x:c r="B204" s="20" t="s">
        <x:v>1068</x:v>
      </x:c>
      <x:c r="C204" s="20" t="s">
        <x:v>524</x:v>
      </x:c>
      <x:c r="D204" s="24">
        <x:v>5</x:v>
      </x:c>
      <x:c r="E204" s="24" t="s">
        <x:v>198</x:v>
      </x:c>
      <x:c r="F204" s="20" t="s">
        <x:v>90</x:v>
      </x:c>
      <x:c r="G204" s="26">
        <x:v>46005</x:v>
      </x:c>
      <x:c r="H204" s="24" t="s">
        <x:v>1069</x:v>
      </x:c>
      <x:c r="I204" s="28" t="s">
        <x:v>1070</x:v>
      </x:c>
      <x:c r="J204" s="29" t="s">
        <x:v>1071</x:v>
      </x:c>
    </x:row>
    <x:row r="205" ht="10.050000190734863" customHeight="1">
      <x:c r="A205" s="21" t="s">
        <x:v>1072</x:v>
      </x:c>
      <x:c r="B205" s="20" t="s">
        <x:v>1072</x:v>
      </x:c>
      <x:c r="C205" s="20" t="s">
        <x:v>1073</x:v>
      </x:c>
      <x:c r="D205" s="24">
        <x:v>15</x:v>
      </x:c>
      <x:c r="E205" s="24" t="s">
        <x:v>96</x:v>
      </x:c>
      <x:c r="F205" s="20" t="s">
        <x:v>90</x:v>
      </x:c>
      <x:c r="G205" s="26">
        <x:v>45893</x:v>
      </x:c>
      <x:c r="H205" s="24" t="s">
        <x:v>1074</x:v>
      </x:c>
      <x:c r="I205" s="28" t="s">
        <x:v>1075</x:v>
      </x:c>
      <x:c r="J205" s="29" t="s">
        <x:v>1076</x:v>
      </x:c>
    </x:row>
    <x:row r="206" ht="10.050000190734863" customHeight="1">
      <x:c r="A206" s="21" t="s">
        <x:v>1077</x:v>
      </x:c>
      <x:c r="B206" s="20" t="s">
        <x:v>1077</x:v>
      </x:c>
      <x:c r="C206" s="20" t="s">
        <x:v>1073</x:v>
      </x:c>
      <x:c r="D206" s="24">
        <x:v>20</x:v>
      </x:c>
      <x:c r="E206" s="24" t="s">
        <x:v>198</x:v>
      </x:c>
      <x:c r="F206" s="20" t="s">
        <x:v>90</x:v>
      </x:c>
      <x:c r="G206" s="26">
        <x:v>45386</x:v>
      </x:c>
      <x:c r="H206" s="24" t="s">
        <x:v>1078</x:v>
      </x:c>
      <x:c r="I206" s="28" t="s">
        <x:v>1079</x:v>
      </x:c>
      <x:c r="J206" s="29" t="s">
        <x:v>1080</x:v>
      </x:c>
    </x:row>
    <x:row r="207" ht="10.050000190734863" customHeight="1">
      <x:c r="A207" s="21" t="s">
        <x:v>1081</x:v>
      </x:c>
      <x:c r="B207" s="20" t="s">
        <x:v>1081</x:v>
      </x:c>
      <x:c r="C207" s="20" t="s">
        <x:v>1082</x:v>
      </x:c>
      <x:c r="D207" s="24">
        <x:v>4</x:v>
      </x:c>
      <x:c r="E207" s="24" t="s">
        <x:v>96</x:v>
      </x:c>
      <x:c r="F207" s="20" t="s">
        <x:v>97</x:v>
      </x:c>
      <x:c r="G207" s="26">
        <x:v>44710</x:v>
      </x:c>
      <x:c r="H207" s="24" t="s">
        <x:v>1083</x:v>
      </x:c>
      <x:c r="I207" s="28" t="s">
        <x:v>1084</x:v>
      </x:c>
      <x:c r="J207" s="29" t="s">
        <x:v>1085</x:v>
      </x:c>
    </x:row>
    <x:row r="208" ht="10.050000190734863" customHeight="1">
      <x:c r="A208" s="21" t="s">
        <x:v>1086</x:v>
      </x:c>
      <x:c r="B208" s="20" t="s">
        <x:v>1086</x:v>
      </x:c>
      <x:c r="C208" s="20" t="s">
        <x:v>1087</x:v>
      </x:c>
      <x:c r="D208" s="24">
        <x:v>12</x:v>
      </x:c>
      <x:c r="E208" s="24" t="s">
        <x:v>89</x:v>
      </x:c>
      <x:c r="F208" s="20" t="s">
        <x:v>90</x:v>
      </x:c>
      <x:c r="G208" s="26">
        <x:v>45509</x:v>
      </x:c>
      <x:c r="H208" s="24" t="s">
        <x:v>1088</x:v>
      </x:c>
      <x:c r="I208" s="28" t="s">
        <x:v>1089</x:v>
      </x:c>
      <x:c r="J208" s="29" t="s">
        <x:v>1090</x:v>
      </x:c>
    </x:row>
    <x:row r="209" ht="10.050000190734863" customHeight="1">
      <x:c r="A209" s="21" t="s">
        <x:v>1091</x:v>
      </x:c>
      <x:c r="B209" s="20" t="s">
        <x:v>1091</x:v>
      </x:c>
      <x:c r="C209" s="20" t="s">
        <x:v>1092</x:v>
      </x:c>
      <x:c r="D209" s="24">
        <x:v>9</x:v>
      </x:c>
      <x:c r="E209" s="24" t="s">
        <x:v>198</x:v>
      </x:c>
      <x:c r="F209" s="20" t="s">
        <x:v>90</x:v>
      </x:c>
      <x:c r="G209" s="26">
        <x:v>45125</x:v>
      </x:c>
      <x:c r="H209" s="24" t="s">
        <x:v>1093</x:v>
      </x:c>
      <x:c r="I209" s="28" t="s">
        <x:v>1094</x:v>
      </x:c>
      <x:c r="J209" s="29" t="s">
        <x:v>1095</x:v>
      </x:c>
    </x:row>
    <x:row r="210" ht="10.050000190734863" customHeight="1">
      <x:c r="A210" s="21" t="s">
        <x:v>1096</x:v>
      </x:c>
      <x:c r="B210" s="20" t="s">
        <x:v>1096</x:v>
      </x:c>
      <x:c r="C210" s="20" t="s">
        <x:v>1097</x:v>
      </x:c>
      <x:c r="D210" s="24">
        <x:v>11</x:v>
      </x:c>
      <x:c r="E210" s="24" t="s">
        <x:v>89</x:v>
      </x:c>
      <x:c r="F210" s="20" t="s">
        <x:v>90</x:v>
      </x:c>
      <x:c r="G210" s="26">
        <x:v>44768</x:v>
      </x:c>
      <x:c r="H210" s="24" t="s">
        <x:v>1098</x:v>
      </x:c>
      <x:c r="I210" s="28" t="s">
        <x:v>1099</x:v>
      </x:c>
      <x:c r="J210" s="29" t="s">
        <x:v>1100</x:v>
      </x:c>
    </x:row>
    <x:row r="211" ht="10.050000190734863" customHeight="1">
      <x:c r="A211" s="21" t="s">
        <x:v>1101</x:v>
      </x:c>
      <x:c r="B211" s="20" t="s">
        <x:v>1101</x:v>
      </x:c>
      <x:c r="C211" s="20" t="s">
        <x:v>1102</x:v>
      </x:c>
      <x:c r="D211" s="24">
        <x:v>13</x:v>
      </x:c>
      <x:c r="E211" s="24" t="s">
        <x:v>114</x:v>
      </x:c>
      <x:c r="F211" s="20" t="s">
        <x:v>90</x:v>
      </x:c>
      <x:c r="G211" s="26">
        <x:v>45941</x:v>
      </x:c>
      <x:c r="H211" s="24" t="s">
        <x:v>1103</x:v>
      </x:c>
      <x:c r="I211" s="28" t="s">
        <x:v>1104</x:v>
      </x:c>
      <x:c r="J211" s="29" t="s">
        <x:v>1105</x:v>
      </x:c>
    </x:row>
    <x:row r="212" ht="10.050000190734863" customHeight="1">
      <x:c r="A212" s="21" t="s">
        <x:v>1106</x:v>
      </x:c>
      <x:c r="B212" s="20" t="s">
        <x:v>1106</x:v>
      </x:c>
      <x:c r="C212" s="20" t="s">
        <x:v>1107</x:v>
      </x:c>
      <x:c r="D212" s="24">
        <x:v>7</x:v>
      </x:c>
      <x:c r="E212" s="24" t="s">
        <x:v>96</x:v>
      </x:c>
      <x:c r="F212" s="20" t="s">
        <x:v>90</x:v>
      </x:c>
      <x:c r="G212" s="26">
        <x:v>44781</x:v>
      </x:c>
      <x:c r="H212" s="24" t="s">
        <x:v>1108</x:v>
      </x:c>
      <x:c r="I212" s="28" t="s">
        <x:v>1109</x:v>
      </x:c>
      <x:c r="J212" s="29" t="s">
        <x:v>1110</x:v>
      </x:c>
    </x:row>
    <x:row r="213" ht="10.050000190734863" customHeight="1">
      <x:c r="A213" s="21" t="s">
        <x:v>1111</x:v>
      </x:c>
      <x:c r="B213" s="20" t="s">
        <x:v>1111</x:v>
      </x:c>
      <x:c r="C213" s="20" t="s">
        <x:v>1112</x:v>
      </x:c>
      <x:c r="D213" s="24">
        <x:v>10</x:v>
      </x:c>
      <x:c r="E213" s="24" t="s">
        <x:v>89</x:v>
      </x:c>
      <x:c r="F213" s="20" t="s">
        <x:v>90</x:v>
      </x:c>
      <x:c r="G213" s="26">
        <x:v>44994</x:v>
      </x:c>
      <x:c r="H213" s="24" t="s">
        <x:v>1113</x:v>
      </x:c>
      <x:c r="I213" s="28" t="s">
        <x:v>1114</x:v>
      </x:c>
      <x:c r="J213" s="29" t="s">
        <x:v>1115</x:v>
      </x:c>
    </x:row>
    <x:row r="214" ht="10.050000190734863" customHeight="1">
      <x:c r="A214" s="21" t="s">
        <x:v>1116</x:v>
      </x:c>
      <x:c r="B214" s="20" t="s">
        <x:v>1116</x:v>
      </x:c>
      <x:c r="C214" s="20" t="s">
        <x:v>438</x:v>
      </x:c>
      <x:c r="D214" s="24">
        <x:v>18</x:v>
      </x:c>
      <x:c r="E214" s="24" t="s">
        <x:v>103</x:v>
      </x:c>
      <x:c r="F214" s="20" t="s">
        <x:v>97</x:v>
      </x:c>
      <x:c r="G214" s="26">
        <x:v>41509</x:v>
      </x:c>
      <x:c r="H214" s="24" t="s">
        <x:v>1117</x:v>
      </x:c>
      <x:c r="I214" s="28" t="s">
        <x:v>1118</x:v>
      </x:c>
      <x:c r="J214" s="29" t="s">
        <x:v>1119</x:v>
      </x:c>
    </x:row>
    <x:row r="215" ht="10.050000190734863" customHeight="1">
      <x:c r="A215" s="21" t="s">
        <x:v>1120</x:v>
      </x:c>
      <x:c r="B215" s="20" t="s">
        <x:v>1120</x:v>
      </x:c>
      <x:c r="C215" s="20" t="s">
        <x:v>1121</x:v>
      </x:c>
      <x:c r="D215" s="24">
        <x:v>91</x:v>
      </x:c>
      <x:c r="E215" s="24" t="s">
        <x:v>96</x:v>
      </x:c>
      <x:c r="F215" s="20" t="s">
        <x:v>97</x:v>
      </x:c>
      <x:c r="G215" s="26">
        <x:v>44607</x:v>
      </x:c>
      <x:c r="H215" s="24" t="s">
        <x:v>1122</x:v>
      </x:c>
      <x:c r="I215" s="28" t="s">
        <x:v>1123</x:v>
      </x:c>
      <x:c r="J215" s="29" t="s">
        <x:v>1124</x:v>
      </x:c>
    </x:row>
    <x:row r="216" ht="10.050000190734863" customHeight="1">
      <x:c r="A216" s="21" t="s">
        <x:v>1125</x:v>
      </x:c>
      <x:c r="B216" s="20" t="s">
        <x:v>1125</x:v>
      </x:c>
      <x:c r="C216" s="20" t="s">
        <x:v>524</x:v>
      </x:c>
      <x:c r="D216" s="24">
        <x:v>5</x:v>
      </x:c>
      <x:c r="E216" s="24" t="s">
        <x:v>125</x:v>
      </x:c>
      <x:c r="F216" s="20" t="s">
        <x:v>90</x:v>
      </x:c>
      <x:c r="G216" s="26">
        <x:v>45216</x:v>
      </x:c>
      <x:c r="H216" s="24" t="s">
        <x:v>1126</x:v>
      </x:c>
      <x:c r="I216" s="28" t="s">
        <x:v>1127</x:v>
      </x:c>
      <x:c r="J216" s="29" t="s">
        <x:v>1128</x:v>
      </x:c>
    </x:row>
    <x:row r="217" ht="10.050000190734863" customHeight="1">
      <x:c r="A217" s="21" t="s">
        <x:v>1129</x:v>
      </x:c>
      <x:c r="B217" s="20" t="s">
        <x:v>1129</x:v>
      </x:c>
      <x:c r="C217" s="20" t="s">
        <x:v>1130</x:v>
      </x:c>
      <x:c r="D217" s="24">
        <x:v>10</x:v>
      </x:c>
      <x:c r="E217" s="24" t="s">
        <x:v>89</x:v>
      </x:c>
      <x:c r="F217" s="20" t="s">
        <x:v>97</x:v>
      </x:c>
      <x:c r="G217" s="26">
        <x:v>45690</x:v>
      </x:c>
      <x:c r="H217" s="24" t="s">
        <x:v>1131</x:v>
      </x:c>
      <x:c r="I217" s="28" t="s">
        <x:v>1132</x:v>
      </x:c>
      <x:c r="J217" s="29" t="s">
        <x:v>1133</x:v>
      </x:c>
    </x:row>
    <x:row r="218" ht="10.050000190734863" customHeight="1">
      <x:c r="A218" s="21" t="s">
        <x:v>1134</x:v>
      </x:c>
      <x:c r="B218" s="20" t="s">
        <x:v>1134</x:v>
      </x:c>
      <x:c r="C218" s="20" t="s">
        <x:v>1135</x:v>
      </x:c>
      <x:c r="D218" s="24">
        <x:v>1</x:v>
      </x:c>
      <x:c r="E218" s="24" t="s">
        <x:v>114</x:v>
      </x:c>
      <x:c r="F218" s="20" t="s">
        <x:v>126</x:v>
      </x:c>
      <x:c r="G218" s="26">
        <x:v>42796</x:v>
      </x:c>
      <x:c r="H218" s="24" t="s">
        <x:v>1136</x:v>
      </x:c>
      <x:c r="I218" s="28" t="s">
        <x:v>1137</x:v>
      </x:c>
      <x:c r="J218" s="29" t="s">
        <x:v>1138</x:v>
      </x:c>
    </x:row>
    <x:row r="219" ht="10.050000190734863" customHeight="1">
      <x:c r="A219" s="21" t="s">
        <x:v>1139</x:v>
      </x:c>
      <x:c r="B219" s="20" t="s">
        <x:v>1139</x:v>
      </x:c>
      <x:c r="C219" s="20" t="s">
        <x:v>409</x:v>
      </x:c>
      <x:c r="D219" s="24">
        <x:v>13</x:v>
      </x:c>
      <x:c r="E219" s="24" t="s">
        <x:v>198</x:v>
      </x:c>
      <x:c r="F219" s="20" t="s">
        <x:v>90</x:v>
      </x:c>
      <x:c r="G219" s="26">
        <x:v>44145</x:v>
      </x:c>
      <x:c r="H219" s="24" t="s">
        <x:v>1140</x:v>
      </x:c>
      <x:c r="I219" s="28" t="s">
        <x:v>1141</x:v>
      </x:c>
      <x:c r="J219" s="29" t="s">
        <x:v>1142</x:v>
      </x:c>
    </x:row>
    <x:row r="220" ht="10.050000190734863" customHeight="1">
      <x:c r="A220" s="21" t="s">
        <x:v>1143</x:v>
      </x:c>
      <x:c r="B220" s="20" t="s">
        <x:v>1143</x:v>
      </x:c>
      <x:c r="C220" s="20" t="s">
        <x:v>102</x:v>
      </x:c>
      <x:c r="D220" s="24">
        <x:v>58</x:v>
      </x:c>
      <x:c r="E220" s="24" t="s">
        <x:v>89</x:v>
      </x:c>
      <x:c r="F220" s="20" t="s">
        <x:v>97</x:v>
      </x:c>
      <x:c r="G220" s="26">
        <x:v>43372</x:v>
      </x:c>
      <x:c r="H220" s="24" t="s">
        <x:v>1144</x:v>
      </x:c>
      <x:c r="I220" s="28" t="s">
        <x:v>1145</x:v>
      </x:c>
      <x:c r="J220" s="29" t="s">
        <x:v>1146</x:v>
      </x:c>
    </x:row>
    <x:row r="221" ht="10.050000190734863" customHeight="1">
      <x:c r="A221" s="21" t="s">
        <x:v>1147</x:v>
      </x:c>
      <x:c r="B221" s="20" t="s">
        <x:v>1147</x:v>
      </x:c>
      <x:c r="C221" s="20" t="s">
        <x:v>1148</x:v>
      </x:c>
      <x:c r="D221" s="24">
        <x:v>4</x:v>
      </x:c>
      <x:c r="E221" s="24" t="s">
        <x:v>198</x:v>
      </x:c>
      <x:c r="F221" s="20" t="s">
        <x:v>90</x:v>
      </x:c>
      <x:c r="G221" s="26">
        <x:v>46220</x:v>
      </x:c>
      <x:c r="H221" s="24" t="s">
        <x:v>1149</x:v>
      </x:c>
      <x:c r="I221" s="28" t="s">
        <x:v>1150</x:v>
      </x:c>
      <x:c r="J221" s="29" t="s">
        <x:v>1151</x:v>
      </x:c>
    </x:row>
    <x:row r="222" ht="10.050000190734863" customHeight="1">
      <x:c r="A222" s="21" t="s">
        <x:v>1152</x:v>
      </x:c>
      <x:c r="B222" s="20" t="s">
        <x:v>1152</x:v>
      </x:c>
      <x:c r="C222" s="20" t="s">
        <x:v>850</x:v>
      </x:c>
      <x:c r="D222" s="24">
        <x:v>23</x:v>
      </x:c>
      <x:c r="E222" s="24" t="s">
        <x:v>198</x:v>
      </x:c>
      <x:c r="F222" s="20" t="s">
        <x:v>90</x:v>
      </x:c>
      <x:c r="G222" s="26">
        <x:v>45680</x:v>
      </x:c>
      <x:c r="H222" s="24" t="s">
        <x:v>1153</x:v>
      </x:c>
      <x:c r="I222" s="28" t="s">
        <x:v>1154</x:v>
      </x:c>
      <x:c r="J222" s="29" t="s">
        <x:v>1155</x:v>
      </x:c>
    </x:row>
    <x:row r="223" ht="10.050000190734863" customHeight="1">
      <x:c r="A223" s="21" t="s">
        <x:v>1156</x:v>
      </x:c>
      <x:c r="B223" s="20" t="s">
        <x:v>1156</x:v>
      </x:c>
      <x:c r="C223" s="20" t="s">
        <x:v>1157</x:v>
      </x:c>
      <x:c r="D223" s="24">
        <x:v>33</x:v>
      </x:c>
      <x:c r="E223" s="24" t="s">
        <x:v>96</x:v>
      </x:c>
      <x:c r="F223" s="20" t="s">
        <x:v>97</x:v>
      </x:c>
      <x:c r="G223" s="26">
        <x:v>41450</x:v>
      </x:c>
      <x:c r="H223" s="24" t="s">
        <x:v>1158</x:v>
      </x:c>
      <x:c r="I223" s="28" t="s">
        <x:v>1159</x:v>
      </x:c>
      <x:c r="J223" s="29" t="s">
        <x:v>1160</x:v>
      </x:c>
    </x:row>
    <x:row r="224" ht="10.050000190734863" customHeight="1">
      <x:c r="A224" s="21" t="s">
        <x:v>1161</x:v>
      </x:c>
      <x:c r="B224" s="20" t="s">
        <x:v>1161</x:v>
      </x:c>
      <x:c r="C224" s="20" t="s">
        <x:v>1162</x:v>
      </x:c>
      <x:c r="D224" s="24">
        <x:v>5</x:v>
      </x:c>
      <x:c r="E224" s="24" t="s">
        <x:v>89</x:v>
      </x:c>
      <x:c r="F224" s="20" t="s">
        <x:v>90</x:v>
      </x:c>
      <x:c r="G224" s="26">
        <x:v>45215</x:v>
      </x:c>
      <x:c r="H224" s="24" t="s">
        <x:v>1163</x:v>
      </x:c>
      <x:c r="I224" s="28" t="s">
        <x:v>1164</x:v>
      </x:c>
      <x:c r="J224" s="29" t="s">
        <x:v>1165</x:v>
      </x:c>
    </x:row>
    <x:row r="225" ht="10.050000190734863" customHeight="1">
      <x:c r="A225" s="21" t="s">
        <x:v>1166</x:v>
      </x:c>
      <x:c r="B225" s="20" t="s">
        <x:v>1166</x:v>
      </x:c>
      <x:c r="C225" s="20" t="s">
        <x:v>1167</x:v>
      </x:c>
      <x:c r="D225" s="24">
        <x:v>7</x:v>
      </x:c>
      <x:c r="E225" s="24" t="s">
        <x:v>89</x:v>
      </x:c>
      <x:c r="F225" s="20" t="s">
        <x:v>97</x:v>
      </x:c>
      <x:c r="G225" s="26">
        <x:v>46013</x:v>
      </x:c>
      <x:c r="H225" s="24" t="s">
        <x:v>1168</x:v>
      </x:c>
      <x:c r="I225" s="28" t="s">
        <x:v>1169</x:v>
      </x:c>
      <x:c r="J225" s="29" t="s">
        <x:v>1170</x:v>
      </x:c>
    </x:row>
    <x:row r="226" ht="10.050000190734863" customHeight="1">
      <x:c r="A226" s="21" t="s">
        <x:v>1171</x:v>
      </x:c>
      <x:c r="B226" s="20" t="s">
        <x:v>1171</x:v>
      </x:c>
      <x:c r="C226" s="20" t="s">
        <x:v>680</x:v>
      </x:c>
      <x:c r="D226" s="24">
        <x:v>6</x:v>
      </x:c>
      <x:c r="E226" s="24" t="s">
        <x:v>114</x:v>
      </x:c>
      <x:c r="F226" s="20" t="s">
        <x:v>90</x:v>
      </x:c>
      <x:c r="G226" s="26">
        <x:v>44657</x:v>
      </x:c>
      <x:c r="H226" s="24" t="s">
        <x:v>1172</x:v>
      </x:c>
      <x:c r="I226" s="28" t="s">
        <x:v>1173</x:v>
      </x:c>
      <x:c r="J226" s="29" t="s">
        <x:v>1174</x:v>
      </x:c>
    </x:row>
    <x:row r="227" ht="10.050000190734863" customHeight="1">
      <x:c r="A227" s="21" t="s">
        <x:v>1175</x:v>
      </x:c>
      <x:c r="B227" s="20" t="s">
        <x:v>1175</x:v>
      </x:c>
      <x:c r="C227" s="20" t="s">
        <x:v>1092</x:v>
      </x:c>
      <x:c r="D227" s="24">
        <x:v>12</x:v>
      </x:c>
      <x:c r="E227" s="24" t="s">
        <x:v>114</x:v>
      </x:c>
      <x:c r="F227" s="20" t="s">
        <x:v>90</x:v>
      </x:c>
      <x:c r="G227" s="26">
        <x:v>44825</x:v>
      </x:c>
      <x:c r="H227" s="24" t="s">
        <x:v>1176</x:v>
      </x:c>
      <x:c r="I227" s="28" t="s">
        <x:v>1177</x:v>
      </x:c>
      <x:c r="J227" s="29" t="s">
        <x:v>1178</x:v>
      </x:c>
    </x:row>
    <x:row r="228" ht="10.050000190734863" customHeight="1">
      <x:c r="A228" s="21" t="s">
        <x:v>1179</x:v>
      </x:c>
      <x:c r="B228" s="20" t="s">
        <x:v>1179</x:v>
      </x:c>
      <x:c r="C228" s="20" t="s">
        <x:v>1180</x:v>
      </x:c>
      <x:c r="D228" s="24">
        <x:v>17</x:v>
      </x:c>
      <x:c r="E228" s="24" t="s">
        <x:v>89</x:v>
      </x:c>
      <x:c r="F228" s="20" t="s">
        <x:v>90</x:v>
      </x:c>
      <x:c r="G228" s="26">
        <x:v>44900</x:v>
      </x:c>
      <x:c r="H228" s="24" t="s">
        <x:v>1181</x:v>
      </x:c>
      <x:c r="I228" s="28" t="s">
        <x:v>1182</x:v>
      </x:c>
      <x:c r="J228" s="29" t="s">
        <x:v>1183</x:v>
      </x:c>
    </x:row>
    <x:row r="229" ht="10.050000190734863" customHeight="1">
      <x:c r="A229" s="21" t="s">
        <x:v>1184</x:v>
      </x:c>
      <x:c r="B229" s="20" t="s">
        <x:v>1184</x:v>
      </x:c>
      <x:c r="C229" s="20" t="s">
        <x:v>1060</x:v>
      </x:c>
      <x:c r="D229" s="24">
        <x:v>17</x:v>
      </x:c>
      <x:c r="E229" s="24" t="s">
        <x:v>89</x:v>
      </x:c>
      <x:c r="F229" s="20" t="s">
        <x:v>90</x:v>
      </x:c>
      <x:c r="G229" s="26">
        <x:v>44361</x:v>
      </x:c>
      <x:c r="H229" s="24" t="s">
        <x:v>1185</x:v>
      </x:c>
      <x:c r="I229" s="28" t="s">
        <x:v>1186</x:v>
      </x:c>
      <x:c r="J229" s="29" t="s">
        <x:v>1187</x:v>
      </x:c>
    </x:row>
    <x:row r="230" ht="10.050000190734863" customHeight="1">
      <x:c r="A230" s="21" t="s">
        <x:v>1188</x:v>
      </x:c>
      <x:c r="B230" s="20" t="s">
        <x:v>1188</x:v>
      </x:c>
      <x:c r="C230" s="20" t="s">
        <x:v>1189</x:v>
      </x:c>
      <x:c r="D230" s="24">
        <x:v>11</x:v>
      </x:c>
      <x:c r="E230" s="24" t="s">
        <x:v>198</x:v>
      </x:c>
      <x:c r="F230" s="20" t="s">
        <x:v>90</x:v>
      </x:c>
      <x:c r="G230" s="26">
        <x:v>45733</x:v>
      </x:c>
      <x:c r="H230" s="24" t="s">
        <x:v>1190</x:v>
      </x:c>
      <x:c r="I230" s="28" t="s">
        <x:v>1191</x:v>
      </x:c>
      <x:c r="J230" s="29" t="s">
        <x:v>1192</x:v>
      </x:c>
    </x:row>
    <x:row r="231" ht="10.050000190734863" customHeight="1">
      <x:c r="A231" s="21" t="s">
        <x:v>1193</x:v>
      </x:c>
      <x:c r="B231" s="20" t="s">
        <x:v>1193</x:v>
      </x:c>
      <x:c r="C231" s="20" t="s">
        <x:v>1194</x:v>
      </x:c>
      <x:c r="D231" s="24">
        <x:v>24</x:v>
      </x:c>
      <x:c r="E231" s="24" t="s">
        <x:v>103</x:v>
      </x:c>
      <x:c r="F231" s="20" t="s">
        <x:v>97</x:v>
      </x:c>
      <x:c r="G231" s="26">
        <x:v>42147</x:v>
      </x:c>
      <x:c r="H231" s="24" t="s">
        <x:v>1195</x:v>
      </x:c>
      <x:c r="I231" s="28" t="s">
        <x:v>1196</x:v>
      </x:c>
      <x:c r="J231" s="29" t="s">
        <x:v>1197</x:v>
      </x:c>
    </x:row>
    <x:row r="232" ht="10.050000190734863" customHeight="1">
      <x:c r="A232" s="21" t="s">
        <x:v>1198</x:v>
      </x:c>
      <x:c r="B232" s="20" t="s">
        <x:v>1198</x:v>
      </x:c>
      <x:c r="C232" s="20" t="s">
        <x:v>1199</x:v>
      </x:c>
      <x:c r="D232" s="24">
        <x:v>6</x:v>
      </x:c>
      <x:c r="E232" s="24" t="s">
        <x:v>103</x:v>
      </x:c>
      <x:c r="F232" s="20" t="s">
        <x:v>97</x:v>
      </x:c>
      <x:c r="G232" s="26">
        <x:v>42309</x:v>
      </x:c>
      <x:c r="H232" s="24" t="s">
        <x:v>1200</x:v>
      </x:c>
      <x:c r="I232" s="28" t="s">
        <x:v>1201</x:v>
      </x:c>
      <x:c r="J232" s="29" t="s">
        <x:v>1202</x:v>
      </x:c>
    </x:row>
    <x:row r="233" ht="10.050000190734863" customHeight="1">
      <x:c r="A233" s="21" t="s">
        <x:v>1203</x:v>
      </x:c>
      <x:c r="B233" s="20" t="s">
        <x:v>1203</x:v>
      </x:c>
      <x:c r="C233" s="20" t="s">
        <x:v>1204</x:v>
      </x:c>
      <x:c r="D233" s="24">
        <x:v>11</x:v>
      </x:c>
      <x:c r="E233" s="24" t="s">
        <x:v>96</x:v>
      </x:c>
      <x:c r="F233" s="20" t="s">
        <x:v>97</x:v>
      </x:c>
      <x:c r="G233" s="26">
        <x:v>44872</x:v>
      </x:c>
      <x:c r="H233" s="24" t="s">
        <x:v>1205</x:v>
      </x:c>
      <x:c r="I233" s="28" t="s">
        <x:v>1206</x:v>
      </x:c>
      <x:c r="J233" s="29" t="s">
        <x:v>1207</x:v>
      </x:c>
    </x:row>
    <x:row r="234" ht="10.050000190734863" customHeight="1">
      <x:c r="A234" s="21" t="s">
        <x:v>1208</x:v>
      </x:c>
      <x:c r="B234" s="20" t="s">
        <x:v>1208</x:v>
      </x:c>
      <x:c r="C234" s="20" t="s">
        <x:v>1209</x:v>
      </x:c>
      <x:c r="D234" s="24">
        <x:v>9</x:v>
      </x:c>
      <x:c r="E234" s="24" t="s">
        <x:v>198</x:v>
      </x:c>
      <x:c r="F234" s="20" t="s">
        <x:v>90</x:v>
      </x:c>
      <x:c r="G234" s="26">
        <x:v>44400</x:v>
      </x:c>
      <x:c r="H234" s="24" t="s">
        <x:v>1210</x:v>
      </x:c>
      <x:c r="I234" s="28" t="s">
        <x:v>1211</x:v>
      </x:c>
      <x:c r="J234" s="29" t="s">
        <x:v>1212</x:v>
      </x:c>
    </x:row>
    <x:row r="235" ht="10.050000190734863" customHeight="1">
      <x:c r="A235" s="21" t="s">
        <x:v>1213</x:v>
      </x:c>
      <x:c r="B235" s="20" t="s">
        <x:v>1213</x:v>
      </x:c>
      <x:c r="C235" s="20" t="s">
        <x:v>1214</x:v>
      </x:c>
      <x:c r="D235" s="24">
        <x:v>41</x:v>
      </x:c>
      <x:c r="E235" s="24" t="s">
        <x:v>103</x:v>
      </x:c>
      <x:c r="F235" s="20" t="s">
        <x:v>97</x:v>
      </x:c>
      <x:c r="G235" s="26">
        <x:v>42619</x:v>
      </x:c>
      <x:c r="H235" s="24" t="s">
        <x:v>1215</x:v>
      </x:c>
      <x:c r="I235" s="28" t="s">
        <x:v>1216</x:v>
      </x:c>
      <x:c r="J235" s="29" t="s">
        <x:v>1217</x:v>
      </x:c>
    </x:row>
    <x:row r="236" ht="10.050000190734863" customHeight="1">
      <x:c r="A236" s="21" t="s">
        <x:v>1218</x:v>
      </x:c>
      <x:c r="B236" s="20" t="s">
        <x:v>1218</x:v>
      </x:c>
      <x:c r="C236" s="20" t="s">
        <x:v>1219</x:v>
      </x:c>
      <x:c r="D236" s="24">
        <x:v>25</x:v>
      </x:c>
      <x:c r="E236" s="24" t="s">
        <x:v>103</x:v>
      </x:c>
      <x:c r="F236" s="20" t="s">
        <x:v>97</x:v>
      </x:c>
      <x:c r="G236" s="26">
        <x:v>41572</x:v>
      </x:c>
      <x:c r="H236" s="24" t="s">
        <x:v>1220</x:v>
      </x:c>
      <x:c r="I236" s="28" t="s">
        <x:v>1221</x:v>
      </x:c>
      <x:c r="J236" s="29" t="s">
        <x:v>1222</x:v>
      </x:c>
    </x:row>
    <x:row r="237" ht="10.050000190734863" customHeight="1">
      <x:c r="A237" s="21" t="s">
        <x:v>1223</x:v>
      </x:c>
      <x:c r="B237" s="20" t="s">
        <x:v>1223</x:v>
      </x:c>
      <x:c r="C237" s="20" t="s">
        <x:v>1224</x:v>
      </x:c>
      <x:c r="D237" s="24">
        <x:v>20</x:v>
      </x:c>
      <x:c r="E237" s="24" t="s">
        <x:v>114</x:v>
      </x:c>
      <x:c r="F237" s="20" t="s">
        <x:v>90</x:v>
      </x:c>
      <x:c r="G237" s="26">
        <x:v>44476</x:v>
      </x:c>
      <x:c r="H237" s="24" t="s">
        <x:v>1225</x:v>
      </x:c>
      <x:c r="I237" s="28" t="s">
        <x:v>1226</x:v>
      </x:c>
      <x:c r="J237" s="29" t="s">
        <x:v>1227</x:v>
      </x:c>
    </x:row>
    <x:row r="238" ht="10.050000190734863" customHeight="1">
      <x:c r="A238" s="21" t="s">
        <x:v>1228</x:v>
      </x:c>
      <x:c r="B238" s="20" t="s">
        <x:v>1228</x:v>
      </x:c>
      <x:c r="C238" s="20" t="s">
        <x:v>973</x:v>
      </x:c>
      <x:c r="D238" s="24">
        <x:v>0</x:v>
      </x:c>
      <x:c r="E238" s="24" t="s">
        <x:v>89</x:v>
      </x:c>
      <x:c r="F238" s="20" t="s">
        <x:v>90</x:v>
      </x:c>
      <x:c r="G238" s="26">
        <x:v>44887</x:v>
      </x:c>
      <x:c r="H238" s="24" t="s">
        <x:v>1229</x:v>
      </x:c>
      <x:c r="I238" s="28" t="s">
        <x:v>1230</x:v>
      </x:c>
      <x:c r="J238" s="29" t="s">
        <x:v>1231</x:v>
      </x:c>
    </x:row>
    <x:row r="239" ht="10.050000190734863" customHeight="1">
      <x:c r="A239" s="21" t="s">
        <x:v>1232</x:v>
      </x:c>
      <x:c r="B239" s="20" t="s">
        <x:v>1232</x:v>
      </x:c>
      <x:c r="C239" s="20" t="s">
        <x:v>1233</x:v>
      </x:c>
      <x:c r="D239" s="24">
        <x:v>8</x:v>
      </x:c>
      <x:c r="E239" s="24" t="s">
        <x:v>96</x:v>
      </x:c>
      <x:c r="F239" s="20" t="s">
        <x:v>97</x:v>
      </x:c>
      <x:c r="G239" s="26">
        <x:v>44341</x:v>
      </x:c>
      <x:c r="H239" s="24" t="s">
        <x:v>1234</x:v>
      </x:c>
      <x:c r="I239" s="28" t="s">
        <x:v>1235</x:v>
      </x:c>
      <x:c r="J239" s="29" t="s">
        <x:v>1236</x:v>
      </x:c>
    </x:row>
    <x:row r="240" ht="10.050000190734863" customHeight="1">
      <x:c r="A240" s="21" t="s">
        <x:v>1237</x:v>
      </x:c>
      <x:c r="B240" s="20" t="s">
        <x:v>1237</x:v>
      </x:c>
      <x:c r="C240" s="20" t="s">
        <x:v>1238</x:v>
      </x:c>
      <x:c r="D240" s="24">
        <x:v>1</x:v>
      </x:c>
      <x:c r="E240" s="24" t="s">
        <x:v>114</x:v>
      </x:c>
      <x:c r="F240" s="20" t="s">
        <x:v>90</x:v>
      </x:c>
      <x:c r="G240" s="26">
        <x:v>45749</x:v>
      </x:c>
      <x:c r="H240" s="24" t="s">
        <x:v>1239</x:v>
      </x:c>
      <x:c r="I240" s="28" t="s">
        <x:v>1240</x:v>
      </x:c>
      <x:c r="J240" s="29" t="s">
        <x:v>1241</x:v>
      </x:c>
    </x:row>
    <x:row r="241" ht="10.050000190734863" customHeight="1">
      <x:c r="A241" s="21" t="s">
        <x:v>1242</x:v>
      </x:c>
      <x:c r="B241" s="20" t="s">
        <x:v>1242</x:v>
      </x:c>
      <x:c r="C241" s="20" t="s">
        <x:v>1243</x:v>
      </x:c>
      <x:c r="D241" s="24">
        <x:v>9</x:v>
      </x:c>
      <x:c r="E241" s="24" t="s">
        <x:v>114</x:v>
      </x:c>
      <x:c r="F241" s="20" t="s">
        <x:v>90</x:v>
      </x:c>
      <x:c r="G241" s="26">
        <x:v>45899</x:v>
      </x:c>
      <x:c r="H241" s="24" t="s">
        <x:v>1244</x:v>
      </x:c>
      <x:c r="I241" s="28" t="s">
        <x:v>1245</x:v>
      </x:c>
      <x:c r="J241" s="29" t="s">
        <x:v>1246</x:v>
      </x:c>
    </x:row>
    <x:row r="242" ht="10.050000190734863" customHeight="1">
      <x:c r="A242" s="21" t="s">
        <x:v>1247</x:v>
      </x:c>
      <x:c r="B242" s="20" t="s">
        <x:v>1247</x:v>
      </x:c>
      <x:c r="C242" s="20" t="s">
        <x:v>1248</x:v>
      </x:c>
      <x:c r="D242" s="24">
        <x:v>52</x:v>
      </x:c>
      <x:c r="E242" s="24" t="s">
        <x:v>103</x:v>
      </x:c>
      <x:c r="F242" s="20" t="s">
        <x:v>97</x:v>
      </x:c>
      <x:c r="G242" s="26">
        <x:v>43300</x:v>
      </x:c>
      <x:c r="H242" s="24" t="s">
        <x:v>1249</x:v>
      </x:c>
      <x:c r="I242" s="28" t="s">
        <x:v>1250</x:v>
      </x:c>
      <x:c r="J242" s="29" t="s">
        <x:v>1251</x:v>
      </x:c>
    </x:row>
    <x:row r="243" ht="10.050000190734863" customHeight="1">
      <x:c r="A243" s="21" t="s">
        <x:v>1252</x:v>
      </x:c>
      <x:c r="B243" s="20" t="s">
        <x:v>1252</x:v>
      </x:c>
      <x:c r="C243" s="20" t="s">
        <x:v>1253</x:v>
      </x:c>
      <x:c r="D243" s="24">
        <x:v>10</x:v>
      </x:c>
      <x:c r="E243" s="24" t="s">
        <x:v>96</x:v>
      </x:c>
      <x:c r="F243" s="20" t="s">
        <x:v>97</x:v>
      </x:c>
      <x:c r="G243" s="26">
        <x:v>45717</x:v>
      </x:c>
      <x:c r="H243" s="24" t="s">
        <x:v>1254</x:v>
      </x:c>
      <x:c r="I243" s="28" t="s">
        <x:v>1255</x:v>
      </x:c>
      <x:c r="J243" s="29" t="s">
        <x:v>1256</x:v>
      </x:c>
    </x:row>
    <x:row r="244" ht="10.050000190734863" customHeight="1">
      <x:c r="A244" s="21" t="s">
        <x:v>1257</x:v>
      </x:c>
      <x:c r="B244" s="20" t="s">
        <x:v>1257</x:v>
      </x:c>
      <x:c r="C244" s="20" t="s">
        <x:v>1258</x:v>
      </x:c>
      <x:c r="D244" s="24">
        <x:v>9</x:v>
      </x:c>
      <x:c r="E244" s="24" t="s">
        <x:v>96</x:v>
      </x:c>
      <x:c r="F244" s="20" t="s">
        <x:v>97</x:v>
      </x:c>
      <x:c r="G244" s="26">
        <x:v>42039</x:v>
      </x:c>
      <x:c r="H244" s="24" t="s">
        <x:v>1259</x:v>
      </x:c>
      <x:c r="I244" s="28" t="s">
        <x:v>1260</x:v>
      </x:c>
      <x:c r="J244" s="29" t="s">
        <x:v>1261</x:v>
      </x:c>
    </x:row>
    <x:row r="245" ht="10.050000190734863" customHeight="1">
      <x:c r="A245" s="21" t="s">
        <x:v>1262</x:v>
      </x:c>
      <x:c r="B245" s="20" t="s">
        <x:v>1262</x:v>
      </x:c>
      <x:c r="C245" s="20" t="s">
        <x:v>1263</x:v>
      </x:c>
      <x:c r="D245" s="24">
        <x:v>17</x:v>
      </x:c>
      <x:c r="E245" s="24" t="s">
        <x:v>103</x:v>
      </x:c>
      <x:c r="F245" s="20" t="s">
        <x:v>97</x:v>
      </x:c>
      <x:c r="G245" s="26">
        <x:v>42304</x:v>
      </x:c>
      <x:c r="H245" s="24" t="s">
        <x:v>1264</x:v>
      </x:c>
      <x:c r="I245" s="28" t="s">
        <x:v>1265</x:v>
      </x:c>
      <x:c r="J245" s="29" t="s">
        <x:v>1266</x:v>
      </x:c>
    </x:row>
    <x:row r="246" ht="10.050000190734863" customHeight="1">
      <x:c r="A246" s="21" t="s">
        <x:v>1267</x:v>
      </x:c>
      <x:c r="B246" s="20" t="s">
        <x:v>1267</x:v>
      </x:c>
      <x:c r="C246" s="20" t="s">
        <x:v>1268</x:v>
      </x:c>
      <x:c r="D246" s="24">
        <x:v>7</x:v>
      </x:c>
      <x:c r="E246" s="24" t="s">
        <x:v>96</x:v>
      </x:c>
      <x:c r="F246" s="20" t="s">
        <x:v>97</x:v>
      </x:c>
      <x:c r="G246" s="26">
        <x:v>42306</x:v>
      </x:c>
      <x:c r="H246" s="24" t="s">
        <x:v>1269</x:v>
      </x:c>
      <x:c r="I246" s="28" t="s">
        <x:v>1270</x:v>
      </x:c>
      <x:c r="J246" s="29" t="s">
        <x:v>1271</x:v>
      </x:c>
    </x:row>
    <x:row r="247" ht="10.050000190734863" customHeight="1">
      <x:c r="A247" s="21" t="s">
        <x:v>1272</x:v>
      </x:c>
      <x:c r="B247" s="20" t="s">
        <x:v>1272</x:v>
      </x:c>
      <x:c r="C247" s="20" t="s">
        <x:v>1273</x:v>
      </x:c>
      <x:c r="D247" s="24">
        <x:v>48</x:v>
      </x:c>
      <x:c r="E247" s="24" t="s">
        <x:v>103</x:v>
      </x:c>
      <x:c r="F247" s="20" t="s">
        <x:v>97</x:v>
      </x:c>
      <x:c r="G247" s="26">
        <x:v>41552</x:v>
      </x:c>
      <x:c r="H247" s="24" t="s">
        <x:v>1274</x:v>
      </x:c>
      <x:c r="I247" s="28" t="s">
        <x:v>1275</x:v>
      </x:c>
      <x:c r="J247" s="29" t="s">
        <x:v>1276</x:v>
      </x:c>
    </x:row>
    <x:row r="248" ht="10.050000190734863" customHeight="1">
      <x:c r="A248" s="21" t="s">
        <x:v>1277</x:v>
      </x:c>
      <x:c r="B248" s="20" t="s">
        <x:v>1277</x:v>
      </x:c>
      <x:c r="C248" s="20" t="s">
        <x:v>1273</x:v>
      </x:c>
      <x:c r="D248" s="24">
        <x:v>10</x:v>
      </x:c>
      <x:c r="E248" s="24" t="s">
        <x:v>103</x:v>
      </x:c>
      <x:c r="F248" s="20" t="s">
        <x:v>97</x:v>
      </x:c>
      <x:c r="G248" s="26">
        <x:v>42013</x:v>
      </x:c>
      <x:c r="H248" s="24" t="s">
        <x:v>1278</x:v>
      </x:c>
      <x:c r="I248" s="28" t="s">
        <x:v>1279</x:v>
      </x:c>
      <x:c r="J248" s="29" t="s">
        <x:v>1280</x:v>
      </x:c>
    </x:row>
    <x:row r="249" ht="10.050000190734863" customHeight="1">
      <x:c r="A249" s="21" t="s">
        <x:v>1281</x:v>
      </x:c>
      <x:c r="B249" s="20" t="s">
        <x:v>1281</x:v>
      </x:c>
      <x:c r="C249" s="20" t="s">
        <x:v>1282</x:v>
      </x:c>
      <x:c r="D249" s="24">
        <x:v>6</x:v>
      </x:c>
      <x:c r="E249" s="24" t="s">
        <x:v>103</x:v>
      </x:c>
      <x:c r="F249" s="20" t="s">
        <x:v>97</x:v>
      </x:c>
      <x:c r="G249" s="26">
        <x:v>43471</x:v>
      </x:c>
      <x:c r="H249" s="24" t="s">
        <x:v>1283</x:v>
      </x:c>
      <x:c r="I249" s="28" t="s">
        <x:v>1284</x:v>
      </x:c>
      <x:c r="J249" s="29" t="s">
        <x:v>1285</x:v>
      </x:c>
    </x:row>
    <x:row r="250" ht="10.050000190734863" customHeight="1">
      <x:c r="A250" s="21" t="s">
        <x:v>1286</x:v>
      </x:c>
      <x:c r="B250" s="20" t="s">
        <x:v>1286</x:v>
      </x:c>
      <x:c r="C250" s="20" t="s">
        <x:v>102</x:v>
      </x:c>
      <x:c r="D250" s="24">
        <x:v>18</x:v>
      </x:c>
      <x:c r="E250" s="24" t="s">
        <x:v>103</x:v>
      </x:c>
      <x:c r="F250" s="20" t="s">
        <x:v>97</x:v>
      </x:c>
      <x:c r="G250" s="26">
        <x:v>41572</x:v>
      </x:c>
      <x:c r="H250" s="24" t="s">
        <x:v>1287</x:v>
      </x:c>
      <x:c r="I250" s="28" t="s">
        <x:v>1288</x:v>
      </x:c>
      <x:c r="J250" s="29" t="s">
        <x:v>1289</x:v>
      </x:c>
    </x:row>
    <x:row r="251" ht="10.050000190734863" customHeight="1">
      <x:c r="A251" s="21" t="s">
        <x:v>1290</x:v>
      </x:c>
      <x:c r="B251" s="20" t="s">
        <x:v>1290</x:v>
      </x:c>
      <x:c r="C251" s="20" t="s">
        <x:v>1291</x:v>
      </x:c>
      <x:c r="D251" s="24">
        <x:v>11</x:v>
      </x:c>
      <x:c r="E251" s="24" t="s">
        <x:v>103</x:v>
      </x:c>
      <x:c r="F251" s="20" t="s">
        <x:v>97</x:v>
      </x:c>
      <x:c r="G251" s="26">
        <x:v>42208</x:v>
      </x:c>
      <x:c r="H251" s="24" t="s">
        <x:v>1292</x:v>
      </x:c>
      <x:c r="I251" s="28" t="s">
        <x:v>1293</x:v>
      </x:c>
      <x:c r="J251" s="29" t="s">
        <x:v>1294</x:v>
      </x:c>
    </x:row>
    <x:row r="252" ht="10.050000190734863" customHeight="1">
      <x:c r="A252" s="21" t="s">
        <x:v>1295</x:v>
      </x:c>
      <x:c r="B252" s="20" t="s">
        <x:v>1295</x:v>
      </x:c>
      <x:c r="C252" s="20" t="s">
        <x:v>1296</x:v>
      </x:c>
      <x:c r="D252" s="24">
        <x:v>15</x:v>
      </x:c>
      <x:c r="E252" s="24" t="s">
        <x:v>103</x:v>
      </x:c>
      <x:c r="F252" s="20" t="s">
        <x:v>97</x:v>
      </x:c>
      <x:c r="G252" s="26">
        <x:v>42224</x:v>
      </x:c>
      <x:c r="H252" s="24" t="s">
        <x:v>1297</x:v>
      </x:c>
      <x:c r="I252" s="28" t="s">
        <x:v>1298</x:v>
      </x:c>
      <x:c r="J252" s="29" t="s">
        <x:v>1299</x:v>
      </x:c>
    </x:row>
    <x:row r="253" ht="10.050000190734863" customHeight="1">
      <x:c r="A253" s="21" t="s">
        <x:v>1300</x:v>
      </x:c>
      <x:c r="B253" s="20" t="s">
        <x:v>1300</x:v>
      </x:c>
      <x:c r="C253" s="20" t="s">
        <x:v>1301</x:v>
      </x:c>
      <x:c r="D253" s="24">
        <x:v>0</x:v>
      </x:c>
      <x:c r="E253" s="24" t="s">
        <x:v>257</x:v>
      </x:c>
      <x:c r="F253" s="20" t="s">
        <x:v>97</x:v>
      </x:c>
      <x:c r="G253" s="26">
        <x:v>45876</x:v>
      </x:c>
      <x:c r="H253" s="24" t="s">
        <x:v>1302</x:v>
      </x:c>
      <x:c r="I253" s="28" t="s">
        <x:v>1303</x:v>
      </x:c>
      <x:c r="J253" s="29" t="s">
        <x:v>1304</x:v>
      </x:c>
    </x:row>
    <x:row r="254" ht="10.050000190734863" customHeight="1">
      <x:c r="A254" s="21" t="s">
        <x:v>1305</x:v>
      </x:c>
      <x:c r="B254" s="20" t="s">
        <x:v>1305</x:v>
      </x:c>
      <x:c r="C254" s="20" t="s">
        <x:v>1306</x:v>
      </x:c>
      <x:c r="D254" s="24">
        <x:v>1</x:v>
      </x:c>
      <x:c r="E254" s="24" t="s">
        <x:v>103</x:v>
      </x:c>
      <x:c r="F254" s="20" t="s">
        <x:v>97</x:v>
      </x:c>
      <x:c r="G254" s="26">
        <x:v>42579</x:v>
      </x:c>
      <x:c r="H254" s="24" t="s">
        <x:v>1307</x:v>
      </x:c>
      <x:c r="I254" s="28" t="s">
        <x:v>1308</x:v>
      </x:c>
      <x:c r="J254" s="29" t="s">
        <x:v>1309</x:v>
      </x:c>
    </x:row>
    <x:row r="255" ht="10.050000190734863" customHeight="1">
      <x:c r="A255" s="21" t="s">
        <x:v>1310</x:v>
      </x:c>
      <x:c r="B255" s="20" t="s">
        <x:v>1310</x:v>
      </x:c>
      <x:c r="C255" s="20" t="s">
        <x:v>1306</x:v>
      </x:c>
      <x:c r="D255" s="24">
        <x:v>1</x:v>
      </x:c>
      <x:c r="E255" s="24" t="s">
        <x:v>103</x:v>
      </x:c>
      <x:c r="F255" s="20" t="s">
        <x:v>97</x:v>
      </x:c>
      <x:c r="G255" s="26">
        <x:v>43895</x:v>
      </x:c>
      <x:c r="H255" s="24" t="s">
        <x:v>1311</x:v>
      </x:c>
      <x:c r="I255" s="28" t="s">
        <x:v>1312</x:v>
      </x:c>
      <x:c r="J255" s="29" t="s">
        <x:v>1313</x:v>
      </x:c>
    </x:row>
    <x:row r="256" ht="10.050000190734863" customHeight="1">
      <x:c r="A256" s="21" t="s">
        <x:v>1314</x:v>
      </x:c>
      <x:c r="B256" s="20" t="s">
        <x:v>1314</x:v>
      </x:c>
      <x:c r="C256" s="20" t="s">
        <x:v>1315</x:v>
      </x:c>
      <x:c r="D256" s="24">
        <x:v>1</x:v>
      </x:c>
      <x:c r="E256" s="24" t="s">
        <x:v>103</x:v>
      </x:c>
      <x:c r="F256" s="20" t="s">
        <x:v>97</x:v>
      </x:c>
      <x:c r="G256" s="26">
        <x:v>42322</x:v>
      </x:c>
      <x:c r="H256" s="24" t="s">
        <x:v>1316</x:v>
      </x:c>
      <x:c r="I256" s="28" t="s">
        <x:v>1317</x:v>
      </x:c>
      <x:c r="J256" s="29" t="s">
        <x:v>1318</x:v>
      </x:c>
    </x:row>
    <x:row r="257" ht="10.050000190734863" customHeight="1">
      <x:c r="A257" s="21" t="s">
        <x:v>1319</x:v>
      </x:c>
      <x:c r="B257" s="20" t="s">
        <x:v>1319</x:v>
      </x:c>
      <x:c r="C257" s="20" t="s">
        <x:v>1320</x:v>
      </x:c>
      <x:c r="D257" s="24">
        <x:v>4</x:v>
      </x:c>
      <x:c r="E257" s="24" t="s">
        <x:v>96</x:v>
      </x:c>
      <x:c r="F257" s="20" t="s">
        <x:v>97</x:v>
      </x:c>
      <x:c r="G257" s="26">
        <x:v>44908</x:v>
      </x:c>
      <x:c r="H257" s="24" t="s">
        <x:v>1321</x:v>
      </x:c>
      <x:c r="I257" s="28" t="s">
        <x:v>1322</x:v>
      </x:c>
      <x:c r="J257" s="29" t="s">
        <x:v>1323</x:v>
      </x:c>
    </x:row>
    <x:row r="258" ht="10.050000190734863" customHeight="1">
      <x:c r="A258" s="21" t="s">
        <x:v>1324</x:v>
      </x:c>
      <x:c r="B258" s="20" t="s">
        <x:v>1324</x:v>
      </x:c>
      <x:c r="C258" s="20" t="s">
        <x:v>1320</x:v>
      </x:c>
      <x:c r="D258" s="24">
        <x:v>5</x:v>
      </x:c>
      <x:c r="E258" s="24" t="s">
        <x:v>198</x:v>
      </x:c>
      <x:c r="F258" s="20" t="s">
        <x:v>97</x:v>
      </x:c>
      <x:c r="G258" s="26">
        <x:v>44505</x:v>
      </x:c>
      <x:c r="H258" s="24" t="s">
        <x:v>1325</x:v>
      </x:c>
      <x:c r="I258" s="28" t="s">
        <x:v>1326</x:v>
      </x:c>
      <x:c r="J258" s="29" t="s">
        <x:v>1327</x:v>
      </x:c>
    </x:row>
    <x:row r="259" ht="10.050000190734863" customHeight="1">
      <x:c r="A259" s="21" t="s">
        <x:v>1328</x:v>
      </x:c>
      <x:c r="B259" s="20" t="s">
        <x:v>1328</x:v>
      </x:c>
      <x:c r="C259" s="20" t="s">
        <x:v>1329</x:v>
      </x:c>
      <x:c r="D259" s="24">
        <x:v>5</x:v>
      </x:c>
      <x:c r="E259" s="24" t="s">
        <x:v>96</x:v>
      </x:c>
      <x:c r="F259" s="20" t="s">
        <x:v>97</x:v>
      </x:c>
      <x:c r="G259" s="26">
        <x:v>44971</x:v>
      </x:c>
      <x:c r="H259" s="24" t="s">
        <x:v>1330</x:v>
      </x:c>
      <x:c r="I259" s="28" t="s">
        <x:v>1331</x:v>
      </x:c>
      <x:c r="J259" s="29" t="s">
        <x:v>1332</x:v>
      </x:c>
    </x:row>
    <x:row r="260" ht="10.050000190734863" customHeight="1">
      <x:c r="A260" s="21" t="s">
        <x:v>1333</x:v>
      </x:c>
      <x:c r="B260" s="20" t="s">
        <x:v>1333</x:v>
      </x:c>
      <x:c r="C260" s="20" t="s">
        <x:v>1334</x:v>
      </x:c>
      <x:c r="D260" s="24">
        <x:v>6</x:v>
      </x:c>
      <x:c r="E260" s="24" t="s">
        <x:v>103</x:v>
      </x:c>
      <x:c r="F260" s="20" t="s">
        <x:v>97</x:v>
      </x:c>
      <x:c r="G260" s="26">
        <x:v>41856</x:v>
      </x:c>
      <x:c r="H260" s="24" t="s">
        <x:v>1335</x:v>
      </x:c>
      <x:c r="I260" s="28" t="s">
        <x:v>1336</x:v>
      </x:c>
      <x:c r="J260" s="29" t="s">
        <x:v>1337</x:v>
      </x:c>
    </x:row>
    <x:row r="261" ht="10.050000190734863" customHeight="1">
      <x:c r="A261" s="21" t="s">
        <x:v>1338</x:v>
      </x:c>
      <x:c r="B261" s="20" t="s">
        <x:v>1338</x:v>
      </x:c>
      <x:c r="C261" s="20" t="s">
        <x:v>1339</x:v>
      </x:c>
      <x:c r="D261" s="24">
        <x:v>9</x:v>
      </x:c>
      <x:c r="E261" s="24" t="s">
        <x:v>257</x:v>
      </x:c>
      <x:c r="F261" s="20" t="s">
        <x:v>97</x:v>
      </x:c>
      <x:c r="G261" s="26">
        <x:v>42275</x:v>
      </x:c>
      <x:c r="H261" s="24" t="s">
        <x:v>1340</x:v>
      </x:c>
      <x:c r="I261" s="28" t="s">
        <x:v>1341</x:v>
      </x:c>
      <x:c r="J261" s="29" t="s">
        <x:v>1342</x:v>
      </x:c>
    </x:row>
    <x:row r="262" ht="10.050000190734863" customHeight="1">
      <x:c r="A262" s="21" t="s">
        <x:v>1343</x:v>
      </x:c>
      <x:c r="B262" s="20" t="s">
        <x:v>1343</x:v>
      </x:c>
      <x:c r="C262" s="20" t="s">
        <x:v>1344</x:v>
      </x:c>
      <x:c r="D262" s="24">
        <x:v>67</x:v>
      </x:c>
      <x:c r="E262" s="24" t="s">
        <x:v>96</x:v>
      </x:c>
      <x:c r="F262" s="20" t="s">
        <x:v>97</x:v>
      </x:c>
      <x:c r="G262" s="26">
        <x:v>45199</x:v>
      </x:c>
      <x:c r="H262" s="24" t="s">
        <x:v>1345</x:v>
      </x:c>
      <x:c r="I262" s="28" t="s">
        <x:v>1346</x:v>
      </x:c>
      <x:c r="J262" s="29" t="s">
        <x:v>1347</x:v>
      </x:c>
    </x:row>
    <x:row r="263" ht="10.050000190734863" customHeight="1">
      <x:c r="A263" s="21" t="s">
        <x:v>1348</x:v>
      </x:c>
      <x:c r="B263" s="20" t="s">
        <x:v>1348</x:v>
      </x:c>
      <x:c r="C263" s="20" t="s">
        <x:v>1344</x:v>
      </x:c>
      <x:c r="D263" s="24">
        <x:v>68</x:v>
      </x:c>
      <x:c r="E263" s="24" t="s">
        <x:v>96</x:v>
      </x:c>
      <x:c r="F263" s="20" t="s">
        <x:v>97</x:v>
      </x:c>
      <x:c r="G263" s="26">
        <x:v>45420</x:v>
      </x:c>
      <x:c r="H263" s="24" t="s">
        <x:v>1349</x:v>
      </x:c>
      <x:c r="I263" s="28" t="s">
        <x:v>1350</x:v>
      </x:c>
      <x:c r="J263" s="29" t="s">
        <x:v>1351</x:v>
      </x:c>
    </x:row>
    <x:row r="264" ht="10.050000190734863" customHeight="1">
      <x:c r="A264" s="21" t="s">
        <x:v>1352</x:v>
      </x:c>
      <x:c r="B264" s="20" t="s">
        <x:v>1352</x:v>
      </x:c>
      <x:c r="C264" s="20" t="s">
        <x:v>1344</x:v>
      </x:c>
      <x:c r="D264" s="24">
        <x:v>44</x:v>
      </x:c>
      <x:c r="E264" s="24" t="s">
        <x:v>96</x:v>
      </x:c>
      <x:c r="F264" s="20" t="s">
        <x:v>97</x:v>
      </x:c>
      <x:c r="G264" s="26">
        <x:v>45232</x:v>
      </x:c>
      <x:c r="H264" s="24" t="s">
        <x:v>1353</x:v>
      </x:c>
      <x:c r="I264" s="28" t="s">
        <x:v>1354</x:v>
      </x:c>
      <x:c r="J264" s="29" t="s">
        <x:v>1355</x:v>
      </x:c>
    </x:row>
    <x:row r="265" ht="10.050000190734863" customHeight="1">
      <x:c r="A265" s="21" t="s">
        <x:v>1356</x:v>
      </x:c>
      <x:c r="B265" s="20" t="s">
        <x:v>1356</x:v>
      </x:c>
      <x:c r="C265" s="20" t="s">
        <x:v>1344</x:v>
      </x:c>
      <x:c r="D265" s="24">
        <x:v>70</x:v>
      </x:c>
      <x:c r="E265" s="24" t="s">
        <x:v>96</x:v>
      </x:c>
      <x:c r="F265" s="20" t="s">
        <x:v>97</x:v>
      </x:c>
      <x:c r="G265" s="26">
        <x:v>45391</x:v>
      </x:c>
      <x:c r="H265" s="24" t="s">
        <x:v>1357</x:v>
      </x:c>
      <x:c r="I265" s="28" t="s">
        <x:v>1358</x:v>
      </x:c>
      <x:c r="J265" s="29" t="s">
        <x:v>1359</x:v>
      </x:c>
    </x:row>
    <x:row r="266" ht="10.050000190734863" customHeight="1">
      <x:c r="A266" s="21" t="s">
        <x:v>1360</x:v>
      </x:c>
      <x:c r="B266" s="20" t="s">
        <x:v>1360</x:v>
      </x:c>
      <x:c r="C266" s="20" t="s">
        <x:v>1361</x:v>
      </x:c>
      <x:c r="D266" s="24">
        <x:v>6</x:v>
      </x:c>
      <x:c r="E266" s="24" t="s">
        <x:v>257</x:v>
      </x:c>
      <x:c r="F266" s="20" t="s">
        <x:v>97</x:v>
      </x:c>
      <x:c r="G266" s="26">
        <x:v>42293</x:v>
      </x:c>
      <x:c r="H266" s="24" t="s">
        <x:v>1362</x:v>
      </x:c>
      <x:c r="I266" s="28" t="s">
        <x:v>1363</x:v>
      </x:c>
      <x:c r="J266" s="29" t="s">
        <x:v>1364</x:v>
      </x:c>
    </x:row>
    <x:row r="267" ht="10.050000190734863" customHeight="1">
      <x:c r="A267" s="21" t="s">
        <x:v>1365</x:v>
      </x:c>
      <x:c r="B267" s="20" t="s">
        <x:v>1365</x:v>
      </x:c>
      <x:c r="C267" s="20" t="s">
        <x:v>1092</x:v>
      </x:c>
      <x:c r="D267" s="24">
        <x:v>28</x:v>
      </x:c>
      <x:c r="E267" s="24" t="s">
        <x:v>198</x:v>
      </x:c>
      <x:c r="F267" s="20" t="s">
        <x:v>90</x:v>
      </x:c>
      <x:c r="G267" s="26">
        <x:v>44534</x:v>
      </x:c>
      <x:c r="H267" s="24" t="s">
        <x:v>1366</x:v>
      </x:c>
      <x:c r="I267" s="28" t="s">
        <x:v>1367</x:v>
      </x:c>
      <x:c r="J267" s="29" t="s">
        <x:v>1368</x:v>
      </x:c>
    </x:row>
    <x:row r="268" ht="10.050000190734863" customHeight="1">
      <x:c r="A268" s="21" t="s">
        <x:v>1369</x:v>
      </x:c>
      <x:c r="B268" s="20" t="s">
        <x:v>1369</x:v>
      </x:c>
      <x:c r="C268" s="20" t="s">
        <x:v>1370</x:v>
      </x:c>
      <x:c r="D268" s="24">
        <x:v>12</x:v>
      </x:c>
      <x:c r="E268" s="24" t="s">
        <x:v>198</x:v>
      </x:c>
      <x:c r="F268" s="20" t="s">
        <x:v>90</x:v>
      </x:c>
      <x:c r="G268" s="26">
        <x:v>44666</x:v>
      </x:c>
      <x:c r="H268" s="24" t="s">
        <x:v>1371</x:v>
      </x:c>
      <x:c r="I268" s="28" t="s">
        <x:v>1372</x:v>
      </x:c>
      <x:c r="J268" s="29" t="s">
        <x:v>1373</x:v>
      </x:c>
    </x:row>
    <x:row r="269" ht="10.050000190734863" customHeight="1">
      <x:c r="A269" s="21" t="s">
        <x:v>1374</x:v>
      </x:c>
      <x:c r="B269" s="20" t="s">
        <x:v>1374</x:v>
      </x:c>
      <x:c r="C269" s="20" t="s">
        <x:v>1370</x:v>
      </x:c>
      <x:c r="D269" s="24">
        <x:v>26</x:v>
      </x:c>
      <x:c r="E269" s="24" t="s">
        <x:v>198</x:v>
      </x:c>
      <x:c r="F269" s="20" t="s">
        <x:v>90</x:v>
      </x:c>
      <x:c r="G269" s="26">
        <x:v>45243</x:v>
      </x:c>
      <x:c r="H269" s="24" t="s">
        <x:v>1375</x:v>
      </x:c>
      <x:c r="I269" s="28" t="s">
        <x:v>1376</x:v>
      </x:c>
      <x:c r="J269" s="29" t="s">
        <x:v>1377</x:v>
      </x:c>
    </x:row>
    <x:row r="270" ht="10.050000190734863" customHeight="1">
      <x:c r="A270" s="21" t="s">
        <x:v>1378</x:v>
      </x:c>
      <x:c r="B270" s="20" t="s">
        <x:v>1378</x:v>
      </x:c>
      <x:c r="C270" s="20" t="s">
        <x:v>751</x:v>
      </x:c>
      <x:c r="D270" s="24">
        <x:v>11</x:v>
      </x:c>
      <x:c r="E270" s="24" t="s">
        <x:v>96</x:v>
      </x:c>
      <x:c r="F270" s="20" t="s">
        <x:v>90</x:v>
      </x:c>
      <x:c r="G270" s="26">
        <x:v>43920</x:v>
      </x:c>
      <x:c r="H270" s="24" t="s">
        <x:v>1379</x:v>
      </x:c>
      <x:c r="I270" s="28" t="s">
        <x:v>1380</x:v>
      </x:c>
      <x:c r="J270" s="29" t="s">
        <x:v>1381</x:v>
      </x:c>
    </x:row>
    <x:row r="271" ht="10.050000190734863" customHeight="1">
      <x:c r="A271" s="21" t="s">
        <x:v>1382</x:v>
      </x:c>
      <x:c r="B271" s="20" t="s">
        <x:v>1382</x:v>
      </x:c>
      <x:c r="C271" s="20" t="s">
        <x:v>1383</x:v>
      </x:c>
      <x:c r="D271" s="24">
        <x:v>10</x:v>
      </x:c>
      <x:c r="E271" s="24" t="s">
        <x:v>198</x:v>
      </x:c>
      <x:c r="F271" s="20" t="s">
        <x:v>90</x:v>
      </x:c>
      <x:c r="G271" s="26">
        <x:v>43754</x:v>
      </x:c>
      <x:c r="H271" s="24" t="s">
        <x:v>1384</x:v>
      </x:c>
      <x:c r="I271" s="28" t="s">
        <x:v>1385</x:v>
      </x:c>
      <x:c r="J271" s="29" t="s">
        <x:v>1386</x:v>
      </x:c>
    </x:row>
    <x:row r="272" ht="10.050000190734863" customHeight="1">
      <x:c r="A272" s="21" t="s">
        <x:v>1387</x:v>
      </x:c>
      <x:c r="B272" s="20" t="s">
        <x:v>1387</x:v>
      </x:c>
      <x:c r="C272" s="20" t="s">
        <x:v>1388</x:v>
      </x:c>
      <x:c r="D272" s="24">
        <x:v>6</x:v>
      </x:c>
      <x:c r="E272" s="24" t="s">
        <x:v>114</x:v>
      </x:c>
      <x:c r="F272" s="20" t="s">
        <x:v>90</x:v>
      </x:c>
      <x:c r="G272" s="26">
        <x:v>44700</x:v>
      </x:c>
      <x:c r="H272" s="24" t="s">
        <x:v>1389</x:v>
      </x:c>
      <x:c r="I272" s="28" t="s">
        <x:v>1390</x:v>
      </x:c>
      <x:c r="J272" s="29" t="s">
        <x:v>1391</x:v>
      </x:c>
    </x:row>
    <x:row r="273" ht="10.050000190734863" customHeight="1">
      <x:c r="A273" s="21" t="s">
        <x:v>1392</x:v>
      </x:c>
      <x:c r="B273" s="20" t="s">
        <x:v>1392</x:v>
      </x:c>
      <x:c r="C273" s="20" t="s">
        <x:v>1393</x:v>
      </x:c>
      <x:c r="D273" s="24">
        <x:v>11</x:v>
      </x:c>
      <x:c r="E273" s="24" t="s">
        <x:v>89</x:v>
      </x:c>
      <x:c r="F273" s="20" t="s">
        <x:v>90</x:v>
      </x:c>
      <x:c r="G273" s="26">
        <x:v>44513</x:v>
      </x:c>
      <x:c r="H273" s="24" t="s">
        <x:v>1394</x:v>
      </x:c>
      <x:c r="I273" s="28" t="s">
        <x:v>1395</x:v>
      </x:c>
      <x:c r="J273" s="29" t="s">
        <x:v>1396</x:v>
      </x:c>
    </x:row>
    <x:row r="274" ht="10.050000190734863" customHeight="1">
      <x:c r="A274" s="21" t="s">
        <x:v>1397</x:v>
      </x:c>
      <x:c r="B274" s="20" t="s">
        <x:v>1397</x:v>
      </x:c>
      <x:c r="C274" s="20" t="s">
        <x:v>1282</x:v>
      </x:c>
      <x:c r="D274" s="24">
        <x:v>23</x:v>
      </x:c>
      <x:c r="E274" s="24" t="s">
        <x:v>103</x:v>
      </x:c>
      <x:c r="F274" s="20" t="s">
        <x:v>97</x:v>
      </x:c>
      <x:c r="G274" s="26">
        <x:v>43657</x:v>
      </x:c>
      <x:c r="H274" s="24" t="s">
        <x:v>1398</x:v>
      </x:c>
      <x:c r="I274" s="28" t="s">
        <x:v>1399</x:v>
      </x:c>
      <x:c r="J274" s="29" t="s">
        <x:v>1400</x:v>
      </x:c>
    </x:row>
    <x:row r="275" ht="10.050000190734863" customHeight="1">
      <x:c r="A275" s="21" t="s">
        <x:v>1401</x:v>
      </x:c>
      <x:c r="B275" s="20" t="s">
        <x:v>1401</x:v>
      </x:c>
      <x:c r="C275" s="20" t="s">
        <x:v>1402</x:v>
      </x:c>
      <x:c r="D275" s="24">
        <x:v>4</x:v>
      </x:c>
      <x:c r="E275" s="24" t="s">
        <x:v>103</x:v>
      </x:c>
      <x:c r="F275" s="20" t="s">
        <x:v>97</x:v>
      </x:c>
      <x:c r="G275" s="26">
        <x:v>45049</x:v>
      </x:c>
      <x:c r="H275" s="24" t="s">
        <x:v>1403</x:v>
      </x:c>
      <x:c r="I275" s="28" t="s">
        <x:v>1404</x:v>
      </x:c>
      <x:c r="J275" s="29" t="s">
        <x:v>1405</x:v>
      </x:c>
    </x:row>
    <x:row r="276" ht="10.050000190734863" customHeight="1">
      <x:c r="A276" s="21" t="s">
        <x:v>1406</x:v>
      </x:c>
      <x:c r="B276" s="20" t="s">
        <x:v>1406</x:v>
      </x:c>
      <x:c r="C276" s="20" t="s">
        <x:v>1407</x:v>
      </x:c>
      <x:c r="D276" s="24">
        <x:v>12</x:v>
      </x:c>
      <x:c r="E276" s="24" t="s">
        <x:v>198</x:v>
      </x:c>
      <x:c r="F276" s="20" t="s">
        <x:v>90</x:v>
      </x:c>
      <x:c r="G276" s="26">
        <x:v>45952</x:v>
      </x:c>
      <x:c r="H276" s="24" t="s">
        <x:v>1408</x:v>
      </x:c>
      <x:c r="I276" s="28" t="s">
        <x:v>1409</x:v>
      </x:c>
      <x:c r="J276" s="29" t="s">
        <x:v>1410</x:v>
      </x:c>
    </x:row>
    <x:row r="277" ht="10.050000190734863" customHeight="1">
      <x:c r="A277" s="21" t="s">
        <x:v>1411</x:v>
      </x:c>
      <x:c r="B277" s="20" t="s">
        <x:v>1411</x:v>
      </x:c>
      <x:c r="C277" s="20" t="s">
        <x:v>1412</x:v>
      </x:c>
      <x:c r="D277" s="24">
        <x:v>5</x:v>
      </x:c>
      <x:c r="E277" s="24" t="s">
        <x:v>89</x:v>
      </x:c>
      <x:c r="F277" s="20" t="s">
        <x:v>90</x:v>
      </x:c>
      <x:c r="G277" s="26">
        <x:v>46214</x:v>
      </x:c>
      <x:c r="H277" s="24" t="s">
        <x:v>1413</x:v>
      </x:c>
      <x:c r="I277" s="28" t="s">
        <x:v>1414</x:v>
      </x:c>
      <x:c r="J277" s="29" t="s">
        <x:v>1415</x:v>
      </x:c>
    </x:row>
    <x:row r="278" ht="10.050000190734863" customHeight="1">
      <x:c r="A278" s="21" t="s">
        <x:v>1416</x:v>
      </x:c>
      <x:c r="B278" s="20" t="s">
        <x:v>1416</x:v>
      </x:c>
      <x:c r="C278" s="20" t="s">
        <x:v>1417</x:v>
      </x:c>
      <x:c r="D278" s="24">
        <x:v>5</x:v>
      </x:c>
      <x:c r="E278" s="24" t="s">
        <x:v>96</x:v>
      </x:c>
      <x:c r="F278" s="20" t="s">
        <x:v>610</x:v>
      </x:c>
      <x:c r="G278" s="26">
        <x:v>45743</x:v>
      </x:c>
      <x:c r="H278" s="24" t="s">
        <x:v>1418</x:v>
      </x:c>
      <x:c r="I278" s="28" t="s">
        <x:v>1419</x:v>
      </x:c>
      <x:c r="J278" s="29" t="s">
        <x:v>1420</x:v>
      </x:c>
    </x:row>
    <x:row r="279" ht="10.050000190734863" customHeight="1">
      <x:c r="A279" s="21" t="s">
        <x:v>1421</x:v>
      </x:c>
      <x:c r="B279" s="20" t="s">
        <x:v>1421</x:v>
      </x:c>
      <x:c r="C279" s="20" t="s">
        <x:v>1422</x:v>
      </x:c>
      <x:c r="D279" s="24">
        <x:v>98</x:v>
      </x:c>
      <x:c r="E279" s="24" t="s">
        <x:v>96</x:v>
      </x:c>
      <x:c r="F279" s="20" t="s">
        <x:v>97</x:v>
      </x:c>
      <x:c r="G279" s="26">
        <x:v>41644</x:v>
      </x:c>
      <x:c r="H279" s="24" t="s">
        <x:v>1423</x:v>
      </x:c>
      <x:c r="I279" s="28" t="s">
        <x:v>1424</x:v>
      </x:c>
      <x:c r="J279" s="29" t="s">
        <x:v>1425</x:v>
      </x:c>
    </x:row>
    <x:row r="280" ht="10.050000190734863" customHeight="1">
      <x:c r="A280" s="21" t="s">
        <x:v>1426</x:v>
      </x:c>
      <x:c r="B280" s="20" t="s">
        <x:v>1426</x:v>
      </x:c>
      <x:c r="C280" s="20" t="s">
        <x:v>1427</x:v>
      </x:c>
      <x:c r="D280" s="24">
        <x:v>12</x:v>
      </x:c>
      <x:c r="E280" s="24" t="s">
        <x:v>89</x:v>
      </x:c>
      <x:c r="F280" s="20" t="s">
        <x:v>90</x:v>
      </x:c>
      <x:c r="G280" s="26">
        <x:v>45022</x:v>
      </x:c>
      <x:c r="H280" s="24" t="s">
        <x:v>1428</x:v>
      </x:c>
      <x:c r="I280" s="28" t="s">
        <x:v>1429</x:v>
      </x:c>
      <x:c r="J280" s="29" t="s">
        <x:v>1430</x:v>
      </x:c>
    </x:row>
    <x:row r="281" ht="10.050000190734863" customHeight="1">
      <x:c r="A281" s="21" t="s">
        <x:v>1431</x:v>
      </x:c>
      <x:c r="B281" s="20" t="s">
        <x:v>1431</x:v>
      </x:c>
      <x:c r="C281" s="20" t="s">
        <x:v>1427</x:v>
      </x:c>
      <x:c r="D281" s="24">
        <x:v>25</x:v>
      </x:c>
      <x:c r="E281" s="24" t="s">
        <x:v>198</x:v>
      </x:c>
      <x:c r="F281" s="20" t="s">
        <x:v>90</x:v>
      </x:c>
      <x:c r="G281" s="26">
        <x:v>45329</x:v>
      </x:c>
      <x:c r="H281" s="24" t="s">
        <x:v>1432</x:v>
      </x:c>
      <x:c r="I281" s="28" t="s">
        <x:v>1433</x:v>
      </x:c>
      <x:c r="J281" s="29" t="s">
        <x:v>1434</x:v>
      </x:c>
    </x:row>
    <x:row r="282" ht="10.050000190734863" customHeight="1">
      <x:c r="A282" s="21" t="s">
        <x:v>1435</x:v>
      </x:c>
      <x:c r="B282" s="20" t="s">
        <x:v>1435</x:v>
      </x:c>
      <x:c r="C282" s="20" t="s">
        <x:v>1427</x:v>
      </x:c>
      <x:c r="D282" s="24">
        <x:v>21</x:v>
      </x:c>
      <x:c r="E282" s="24" t="s">
        <x:v>198</x:v>
      </x:c>
      <x:c r="F282" s="20" t="s">
        <x:v>90</x:v>
      </x:c>
      <x:c r="G282" s="26">
        <x:v>45419</x:v>
      </x:c>
      <x:c r="H282" s="24" t="s">
        <x:v>1436</x:v>
      </x:c>
      <x:c r="I282" s="28" t="s">
        <x:v>1437</x:v>
      </x:c>
      <x:c r="J282" s="29" t="s">
        <x:v>1438</x:v>
      </x:c>
    </x:row>
    <x:row r="283" ht="10.050000190734863" customHeight="1">
      <x:c r="A283" s="21" t="s">
        <x:v>1439</x:v>
      </x:c>
      <x:c r="B283" s="20" t="s">
        <x:v>1439</x:v>
      </x:c>
      <x:c r="C283" s="20" t="s">
        <x:v>1440</x:v>
      </x:c>
      <x:c r="D283" s="24">
        <x:v>80</x:v>
      </x:c>
      <x:c r="E283" s="24" t="s">
        <x:v>96</x:v>
      </x:c>
      <x:c r="F283" s="20" t="s">
        <x:v>97</x:v>
      </x:c>
      <x:c r="G283" s="26">
        <x:v>44828</x:v>
      </x:c>
      <x:c r="H283" s="24" t="s">
        <x:v>1441</x:v>
      </x:c>
      <x:c r="I283" s="28" t="s">
        <x:v>1442</x:v>
      </x:c>
      <x:c r="J283" s="29" t="s">
        <x:v>1443</x:v>
      </x:c>
    </x:row>
    <x:row r="284" ht="10.050000190734863" customHeight="1">
      <x:c r="A284" s="21" t="s">
        <x:v>1444</x:v>
      </x:c>
      <x:c r="B284" s="20" t="s">
        <x:v>1444</x:v>
      </x:c>
      <x:c r="C284" s="20" t="s">
        <x:v>1445</x:v>
      </x:c>
      <x:c r="D284" s="24">
        <x:v>24</x:v>
      </x:c>
      <x:c r="E284" s="24" t="s">
        <x:v>89</x:v>
      </x:c>
      <x:c r="F284" s="20" t="s">
        <x:v>90</x:v>
      </x:c>
      <x:c r="G284" s="26">
        <x:v>45137</x:v>
      </x:c>
      <x:c r="H284" s="24" t="s">
        <x:v>1446</x:v>
      </x:c>
      <x:c r="I284" s="28" t="s">
        <x:v>1447</x:v>
      </x:c>
      <x:c r="J284" s="29" t="s">
        <x:v>1448</x:v>
      </x:c>
    </x:row>
    <x:row r="285" ht="10.050000190734863" customHeight="1">
      <x:c r="A285" s="21" t="s">
        <x:v>1449</x:v>
      </x:c>
      <x:c r="B285" s="20" t="s">
        <x:v>1449</x:v>
      </x:c>
      <x:c r="C285" s="20" t="s">
        <x:v>1445</x:v>
      </x:c>
      <x:c r="D285" s="24">
        <x:v>19</x:v>
      </x:c>
      <x:c r="E285" s="24" t="s">
        <x:v>89</x:v>
      </x:c>
      <x:c r="F285" s="20" t="s">
        <x:v>90</x:v>
      </x:c>
      <x:c r="G285" s="26">
        <x:v>43627</x:v>
      </x:c>
      <x:c r="H285" s="24" t="s">
        <x:v>1450</x:v>
      </x:c>
      <x:c r="I285" s="28" t="s">
        <x:v>1451</x:v>
      </x:c>
      <x:c r="J285" s="29" t="s">
        <x:v>1452</x:v>
      </x:c>
    </x:row>
    <x:row r="286" ht="10.050000190734863" customHeight="1">
      <x:c r="A286" s="21" t="s">
        <x:v>1453</x:v>
      </x:c>
      <x:c r="B286" s="20" t="s">
        <x:v>1453</x:v>
      </x:c>
      <x:c r="C286" s="20" t="s">
        <x:v>1445</x:v>
      </x:c>
      <x:c r="D286" s="24">
        <x:v>19</x:v>
      </x:c>
      <x:c r="E286" s="24" t="s">
        <x:v>89</x:v>
      </x:c>
      <x:c r="F286" s="20" t="s">
        <x:v>90</x:v>
      </x:c>
      <x:c r="G286" s="26">
        <x:v>44073</x:v>
      </x:c>
      <x:c r="H286" s="24" t="s">
        <x:v>1454</x:v>
      </x:c>
      <x:c r="I286" s="28" t="s">
        <x:v>1455</x:v>
      </x:c>
      <x:c r="J286" s="29" t="s">
        <x:v>1456</x:v>
      </x:c>
    </x:row>
    <x:row r="287" ht="10.050000190734863" customHeight="1">
      <x:c r="A287" s="21" t="s">
        <x:v>1457</x:v>
      </x:c>
      <x:c r="B287" s="20" t="s">
        <x:v>1457</x:v>
      </x:c>
      <x:c r="C287" s="20" t="s">
        <x:v>1458</x:v>
      </x:c>
      <x:c r="D287" s="24">
        <x:v>11</x:v>
      </x:c>
      <x:c r="E287" s="24" t="s">
        <x:v>198</x:v>
      </x:c>
      <x:c r="F287" s="20" t="s">
        <x:v>90</x:v>
      </x:c>
      <x:c r="G287" s="26">
        <x:v>45062</x:v>
      </x:c>
      <x:c r="H287" s="24" t="s">
        <x:v>1459</x:v>
      </x:c>
      <x:c r="I287" s="28" t="s">
        <x:v>1460</x:v>
      </x:c>
      <x:c r="J287" s="29" t="s">
        <x:v>1461</x:v>
      </x:c>
    </x:row>
    <x:row r="288" ht="10.050000190734863" customHeight="1">
      <x:c r="A288" s="21" t="s">
        <x:v>1462</x:v>
      </x:c>
      <x:c r="B288" s="20" t="s">
        <x:v>1462</x:v>
      </x:c>
      <x:c r="C288" s="20" t="s">
        <x:v>1458</x:v>
      </x:c>
      <x:c r="D288" s="24">
        <x:v>16</x:v>
      </x:c>
      <x:c r="E288" s="24" t="s">
        <x:v>114</x:v>
      </x:c>
      <x:c r="F288" s="20" t="s">
        <x:v>90</x:v>
      </x:c>
      <x:c r="G288" s="26">
        <x:v>45539</x:v>
      </x:c>
      <x:c r="H288" s="24" t="s">
        <x:v>1463</x:v>
      </x:c>
      <x:c r="I288" s="28" t="s">
        <x:v>1464</x:v>
      </x:c>
      <x:c r="J288" s="29" t="s">
        <x:v>1465</x:v>
      </x:c>
    </x:row>
    <x:row r="289" ht="10.050000190734863" customHeight="1">
      <x:c r="A289" s="21" t="s">
        <x:v>1466</x:v>
      </x:c>
      <x:c r="B289" s="20" t="s">
        <x:v>1466</x:v>
      </x:c>
      <x:c r="C289" s="20" t="s">
        <x:v>1467</x:v>
      </x:c>
      <x:c r="D289" s="24">
        <x:v>10</x:v>
      </x:c>
      <x:c r="E289" s="24" t="s">
        <x:v>198</x:v>
      </x:c>
      <x:c r="F289" s="20" t="s">
        <x:v>97</x:v>
      </x:c>
      <x:c r="G289" s="26">
        <x:v>44143</x:v>
      </x:c>
      <x:c r="H289" s="24" t="s">
        <x:v>1468</x:v>
      </x:c>
      <x:c r="I289" s="28" t="s">
        <x:v>1469</x:v>
      </x:c>
      <x:c r="J289" s="29" t="s">
        <x:v>1470</x:v>
      </x:c>
    </x:row>
    <x:row r="290" ht="10.050000190734863" customHeight="1">
      <x:c r="A290" s="21" t="s">
        <x:v>1471</x:v>
      </x:c>
      <x:c r="B290" s="20" t="s">
        <x:v>1471</x:v>
      </x:c>
      <x:c r="C290" s="20" t="s">
        <x:v>1472</x:v>
      </x:c>
      <x:c r="D290" s="24">
        <x:v>1</x:v>
      </x:c>
      <x:c r="E290" s="24" t="s">
        <x:v>89</x:v>
      </x:c>
      <x:c r="F290" s="20" t="s">
        <x:v>90</x:v>
      </x:c>
      <x:c r="G290" s="26">
        <x:v>45767</x:v>
      </x:c>
      <x:c r="H290" s="24" t="s">
        <x:v>1473</x:v>
      </x:c>
      <x:c r="I290" s="28" t="s">
        <x:v>1474</x:v>
      </x:c>
      <x:c r="J290" s="29" t="s">
        <x:v>1475</x:v>
      </x:c>
    </x:row>
    <x:row r="291" ht="10.050000190734863" customHeight="1">
      <x:c r="A291" s="21" t="s">
        <x:v>1476</x:v>
      </x:c>
      <x:c r="B291" s="20" t="s">
        <x:v>1476</x:v>
      </x:c>
      <x:c r="C291" s="20" t="s">
        <x:v>850</x:v>
      </x:c>
      <x:c r="D291" s="24">
        <x:v>10</x:v>
      </x:c>
      <x:c r="E291" s="24" t="s">
        <x:v>89</x:v>
      </x:c>
      <x:c r="F291" s="20" t="s">
        <x:v>90</x:v>
      </x:c>
      <x:c r="G291" s="26">
        <x:v>45833</x:v>
      </x:c>
      <x:c r="H291" s="24" t="s">
        <x:v>1477</x:v>
      </x:c>
      <x:c r="I291" s="28" t="s">
        <x:v>1478</x:v>
      </x:c>
      <x:c r="J291" s="29" t="s">
        <x:v>1479</x:v>
      </x:c>
    </x:row>
    <x:row r="292" ht="10.050000190734863" customHeight="1">
      <x:c r="A292" s="21" t="s">
        <x:v>1480</x:v>
      </x:c>
      <x:c r="B292" s="20" t="s">
        <x:v>1480</x:v>
      </x:c>
      <x:c r="C292" s="20" t="s">
        <x:v>586</x:v>
      </x:c>
      <x:c r="D292" s="24">
        <x:v>6</x:v>
      </x:c>
      <x:c r="E292" s="24" t="s">
        <x:v>96</x:v>
      </x:c>
      <x:c r="F292" s="20" t="s">
        <x:v>97</x:v>
      </x:c>
      <x:c r="G292" s="26">
        <x:v>43651</x:v>
      </x:c>
      <x:c r="H292" s="24" t="s">
        <x:v>1481</x:v>
      </x:c>
      <x:c r="I292" s="28" t="s">
        <x:v>1482</x:v>
      </x:c>
      <x:c r="J292" s="29" t="s">
        <x:v>1483</x:v>
      </x:c>
    </x:row>
    <x:row r="293" ht="10.050000190734863" customHeight="1">
      <x:c r="A293" s="21" t="s">
        <x:v>1484</x:v>
      </x:c>
      <x:c r="B293" s="20" t="s">
        <x:v>1484</x:v>
      </x:c>
      <x:c r="C293" s="20" t="s">
        <x:v>102</x:v>
      </x:c>
      <x:c r="D293" s="24">
        <x:v>5</x:v>
      </x:c>
      <x:c r="E293" s="24" t="s">
        <x:v>96</x:v>
      </x:c>
      <x:c r="F293" s="20" t="s">
        <x:v>97</x:v>
      </x:c>
      <x:c r="G293" s="26">
        <x:v>41900</x:v>
      </x:c>
      <x:c r="H293" s="24" t="s">
        <x:v>1485</x:v>
      </x:c>
      <x:c r="I293" s="28" t="s">
        <x:v>1486</x:v>
      </x:c>
      <x:c r="J293" s="29" t="s">
        <x:v>1487</x:v>
      </x:c>
    </x:row>
    <x:row r="294" ht="10.050000190734863" customHeight="1">
      <x:c r="A294" s="21" t="s">
        <x:v>1488</x:v>
      </x:c>
      <x:c r="B294" s="20" t="s">
        <x:v>1488</x:v>
      </x:c>
      <x:c r="C294" s="20" t="s">
        <x:v>141</x:v>
      </x:c>
      <x:c r="D294" s="24">
        <x:v>1</x:v>
      </x:c>
      <x:c r="E294" s="24" t="s">
        <x:v>114</x:v>
      </x:c>
      <x:c r="F294" s="20" t="s">
        <x:v>90</x:v>
      </x:c>
      <x:c r="G294" s="26">
        <x:v>44798</x:v>
      </x:c>
      <x:c r="H294" s="24" t="s">
        <x:v>1489</x:v>
      </x:c>
      <x:c r="I294" s="28" t="s">
        <x:v>1490</x:v>
      </x:c>
      <x:c r="J294" s="29" t="s">
        <x:v>1491</x:v>
      </x:c>
    </x:row>
    <x:row r="295" ht="10.050000190734863" customHeight="1">
      <x:c r="A295" s="21" t="s">
        <x:v>1492</x:v>
      </x:c>
      <x:c r="B295" s="20" t="s">
        <x:v>1492</x:v>
      </x:c>
      <x:c r="C295" s="20" t="s">
        <x:v>933</x:v>
      </x:c>
      <x:c r="D295" s="24">
        <x:v>1</x:v>
      </x:c>
      <x:c r="E295" s="24" t="s">
        <x:v>198</x:v>
      </x:c>
      <x:c r="F295" s="20" t="s">
        <x:v>90</x:v>
      </x:c>
      <x:c r="G295" s="26">
        <x:v>42674</x:v>
      </x:c>
      <x:c r="H295" s="24" t="s">
        <x:v>1493</x:v>
      </x:c>
      <x:c r="I295" s="28" t="s">
        <x:v>1494</x:v>
      </x:c>
      <x:c r="J295" s="29" t="s">
        <x:v>1495</x:v>
      </x:c>
    </x:row>
    <x:row r="296" ht="10.050000190734863" customHeight="1">
      <x:c r="A296" s="21" t="s">
        <x:v>1496</x:v>
      </x:c>
      <x:c r="B296" s="20" t="s">
        <x:v>1496</x:v>
      </x:c>
      <x:c r="C296" s="20" t="s">
        <x:v>1497</x:v>
      </x:c>
      <x:c r="D296" s="24">
        <x:v>6</x:v>
      </x:c>
      <x:c r="E296" s="24" t="s">
        <x:v>198</x:v>
      </x:c>
      <x:c r="F296" s="20" t="s">
        <x:v>90</x:v>
      </x:c>
      <x:c r="G296" s="26">
        <x:v>46080</x:v>
      </x:c>
      <x:c r="H296" s="24" t="s">
        <x:v>1498</x:v>
      </x:c>
      <x:c r="I296" s="28" t="s">
        <x:v>1499</x:v>
      </x:c>
      <x:c r="J296" s="29" t="s">
        <x:v>1500</x:v>
      </x:c>
    </x:row>
    <x:row r="297" ht="10.050000190734863" customHeight="1">
      <x:c r="A297" s="21" t="s">
        <x:v>1501</x:v>
      </x:c>
      <x:c r="B297" s="20" t="s">
        <x:v>1501</x:v>
      </x:c>
      <x:c r="C297" s="20" t="s">
        <x:v>1502</x:v>
      </x:c>
      <x:c r="D297" s="24">
        <x:v>12</x:v>
      </x:c>
      <x:c r="E297" s="24" t="s">
        <x:v>89</x:v>
      </x:c>
      <x:c r="F297" s="20" t="s">
        <x:v>90</x:v>
      </x:c>
      <x:c r="G297" s="26">
        <x:v>45540</x:v>
      </x:c>
      <x:c r="H297" s="24" t="s">
        <x:v>1503</x:v>
      </x:c>
      <x:c r="I297" s="28" t="s">
        <x:v>1504</x:v>
      </x:c>
      <x:c r="J297" s="29" t="s">
        <x:v>1505</x:v>
      </x:c>
    </x:row>
    <x:row r="298" ht="10.050000190734863" customHeight="1">
      <x:c r="A298" s="21" t="s">
        <x:v>1506</x:v>
      </x:c>
      <x:c r="B298" s="20" t="s">
        <x:v>1506</x:v>
      </x:c>
      <x:c r="C298" s="20" t="s">
        <x:v>1502</x:v>
      </x:c>
      <x:c r="D298" s="24">
        <x:v>10</x:v>
      </x:c>
      <x:c r="E298" s="24" t="s">
        <x:v>96</x:v>
      </x:c>
      <x:c r="F298" s="20" t="s">
        <x:v>90</x:v>
      </x:c>
      <x:c r="G298" s="26">
        <x:v>45717</x:v>
      </x:c>
      <x:c r="H298" s="24" t="s">
        <x:v>1507</x:v>
      </x:c>
      <x:c r="I298" s="28" t="s">
        <x:v>1508</x:v>
      </x:c>
      <x:c r="J298" s="29" t="s">
        <x:v>1509</x:v>
      </x:c>
    </x:row>
    <x:row r="299" ht="10.050000190734863" customHeight="1">
      <x:c r="A299" s="21" t="s">
        <x:v>1510</x:v>
      </x:c>
      <x:c r="B299" s="20" t="s">
        <x:v>1510</x:v>
      </x:c>
      <x:c r="C299" s="20" t="s">
        <x:v>1511</x:v>
      </x:c>
      <x:c r="D299" s="24">
        <x:v>17</x:v>
      </x:c>
      <x:c r="E299" s="24" t="s">
        <x:v>89</x:v>
      </x:c>
      <x:c r="F299" s="20" t="s">
        <x:v>90</x:v>
      </x:c>
      <x:c r="G299" s="26">
        <x:v>44285</x:v>
      </x:c>
      <x:c r="H299" s="24" t="s">
        <x:v>1512</x:v>
      </x:c>
      <x:c r="I299" s="28" t="s">
        <x:v>1513</x:v>
      </x:c>
      <x:c r="J299" s="29" t="s">
        <x:v>1514</x:v>
      </x:c>
    </x:row>
    <x:row r="300" ht="10.050000190734863" customHeight="1">
      <x:c r="A300" s="21" t="s">
        <x:v>1515</x:v>
      </x:c>
      <x:c r="B300" s="20" t="s">
        <x:v>1515</x:v>
      </x:c>
      <x:c r="C300" s="20" t="s">
        <x:v>1516</x:v>
      </x:c>
      <x:c r="D300" s="24">
        <x:v>7</x:v>
      </x:c>
      <x:c r="E300" s="24" t="s">
        <x:v>198</x:v>
      </x:c>
      <x:c r="F300" s="20" t="s">
        <x:v>90</x:v>
      </x:c>
      <x:c r="G300" s="26">
        <x:v>45778</x:v>
      </x:c>
      <x:c r="H300" s="24" t="s">
        <x:v>1517</x:v>
      </x:c>
      <x:c r="I300" s="28" t="s">
        <x:v>1518</x:v>
      </x:c>
      <x:c r="J300" s="29" t="s">
        <x:v>1519</x:v>
      </x:c>
    </x:row>
    <x:row r="301" ht="10.050000190734863" customHeight="1">
      <x:c r="A301" s="21" t="s">
        <x:v>1520</x:v>
      </x:c>
      <x:c r="B301" s="20" t="s">
        <x:v>1520</x:v>
      </x:c>
      <x:c r="C301" s="20" t="s">
        <x:v>1521</x:v>
      </x:c>
      <x:c r="D301" s="24">
        <x:v>10</x:v>
      </x:c>
      <x:c r="E301" s="24" t="s">
        <x:v>198</x:v>
      </x:c>
      <x:c r="F301" s="20" t="s">
        <x:v>90</x:v>
      </x:c>
      <x:c r="G301" s="26">
        <x:v>44827</x:v>
      </x:c>
      <x:c r="H301" s="24" t="s">
        <x:v>1522</x:v>
      </x:c>
      <x:c r="I301" s="28" t="s">
        <x:v>1523</x:v>
      </x:c>
      <x:c r="J301" s="29" t="s">
        <x:v>1524</x:v>
      </x:c>
    </x:row>
    <x:row r="302" ht="10.050000190734863" customHeight="1">
      <x:c r="A302" s="21" t="s">
        <x:v>1525</x:v>
      </x:c>
      <x:c r="B302" s="20" t="s">
        <x:v>1525</x:v>
      </x:c>
      <x:c r="C302" s="20" t="s">
        <x:v>1521</x:v>
      </x:c>
      <x:c r="D302" s="24">
        <x:v>18</x:v>
      </x:c>
      <x:c r="E302" s="24" t="s">
        <x:v>114</x:v>
      </x:c>
      <x:c r="F302" s="20" t="s">
        <x:v>90</x:v>
      </x:c>
      <x:c r="G302" s="26">
        <x:v>45054</x:v>
      </x:c>
      <x:c r="H302" s="24" t="s">
        <x:v>1526</x:v>
      </x:c>
      <x:c r="I302" s="28" t="s">
        <x:v>1527</x:v>
      </x:c>
      <x:c r="J302" s="29" t="s">
        <x:v>1528</x:v>
      </x:c>
    </x:row>
    <x:row r="303" ht="10.050000190734863" customHeight="1">
      <x:c r="A303" s="21" t="s">
        <x:v>1529</x:v>
      </x:c>
      <x:c r="B303" s="20" t="s">
        <x:v>1529</x:v>
      </x:c>
      <x:c r="C303" s="20" t="s">
        <x:v>1530</x:v>
      </x:c>
      <x:c r="D303" s="24">
        <x:v>8</x:v>
      </x:c>
      <x:c r="E303" s="24" t="s">
        <x:v>103</x:v>
      </x:c>
      <x:c r="F303" s="20" t="s">
        <x:v>97</x:v>
      </x:c>
      <x:c r="G303" s="26">
        <x:v>43700</x:v>
      </x:c>
      <x:c r="H303" s="24" t="s">
        <x:v>1531</x:v>
      </x:c>
      <x:c r="I303" s="28" t="s">
        <x:v>1532</x:v>
      </x:c>
      <x:c r="J303" s="29" t="s">
        <x:v>1533</x:v>
      </x:c>
    </x:row>
    <x:row r="304" ht="10.050000190734863" customHeight="1">
      <x:c r="A304" s="21" t="s">
        <x:v>1534</x:v>
      </x:c>
      <x:c r="B304" s="20" t="s">
        <x:v>1534</x:v>
      </x:c>
      <x:c r="C304" s="20" t="s">
        <x:v>1535</x:v>
      </x:c>
      <x:c r="D304" s="24">
        <x:v>24</x:v>
      </x:c>
      <x:c r="E304" s="24" t="s">
        <x:v>96</x:v>
      </x:c>
      <x:c r="F304" s="20" t="s">
        <x:v>97</x:v>
      </x:c>
      <x:c r="G304" s="26">
        <x:v>42719</x:v>
      </x:c>
      <x:c r="H304" s="24" t="s">
        <x:v>1536</x:v>
      </x:c>
      <x:c r="I304" s="28" t="s">
        <x:v>1537</x:v>
      </x:c>
      <x:c r="J304" s="29" t="s">
        <x:v>1538</x:v>
      </x:c>
    </x:row>
    <x:row r="305" ht="10.050000190734863" customHeight="1">
      <x:c r="A305" s="21" t="s">
        <x:v>1539</x:v>
      </x:c>
      <x:c r="B305" s="20" t="s">
        <x:v>1539</x:v>
      </x:c>
      <x:c r="C305" s="20" t="s">
        <x:v>1535</x:v>
      </x:c>
      <x:c r="D305" s="24">
        <x:v>25</x:v>
      </x:c>
      <x:c r="E305" s="24" t="s">
        <x:v>103</x:v>
      </x:c>
      <x:c r="F305" s="20" t="s">
        <x:v>97</x:v>
      </x:c>
      <x:c r="G305" s="26">
        <x:v>43275</x:v>
      </x:c>
      <x:c r="H305" s="24" t="s">
        <x:v>1540</x:v>
      </x:c>
      <x:c r="I305" s="28" t="s">
        <x:v>1541</x:v>
      </x:c>
      <x:c r="J305" s="29" t="s">
        <x:v>1542</x:v>
      </x:c>
    </x:row>
    <x:row r="306" ht="10.050000190734863" customHeight="1">
      <x:c r="A306" s="21" t="s">
        <x:v>1543</x:v>
      </x:c>
      <x:c r="B306" s="20" t="s">
        <x:v>1543</x:v>
      </x:c>
      <x:c r="C306" s="20" t="s">
        <x:v>1544</x:v>
      </x:c>
      <x:c r="D306" s="24">
        <x:v>6</x:v>
      </x:c>
      <x:c r="E306" s="24" t="s">
        <x:v>103</x:v>
      </x:c>
      <x:c r="F306" s="20" t="s">
        <x:v>97</x:v>
      </x:c>
      <x:c r="G306" s="26">
        <x:v>41675</x:v>
      </x:c>
      <x:c r="H306" s="24" t="s">
        <x:v>1545</x:v>
      </x:c>
      <x:c r="I306" s="28" t="s">
        <x:v>1546</x:v>
      </x:c>
      <x:c r="J306" s="29" t="s">
        <x:v>1547</x:v>
      </x:c>
    </x:row>
    <x:row r="307" ht="10.050000190734863" customHeight="1">
      <x:c r="A307" s="21" t="s">
        <x:v>1548</x:v>
      </x:c>
      <x:c r="B307" s="20" t="s">
        <x:v>1548</x:v>
      </x:c>
      <x:c r="C307" s="20" t="s">
        <x:v>1549</x:v>
      </x:c>
      <x:c r="D307" s="24">
        <x:v>1</x:v>
      </x:c>
      <x:c r="E307" s="24" t="s">
        <x:v>96</x:v>
      </x:c>
      <x:c r="F307" s="20" t="s">
        <x:v>90</x:v>
      </x:c>
      <x:c r="G307" s="26">
        <x:v>43946</x:v>
      </x:c>
      <x:c r="H307" s="24" t="s">
        <x:v>1550</x:v>
      </x:c>
      <x:c r="I307" s="28" t="s">
        <x:v>1551</x:v>
      </x:c>
      <x:c r="J307" s="29" t="s">
        <x:v>1552</x:v>
      </x:c>
    </x:row>
    <x:row r="308" ht="10.050000190734863" customHeight="1">
      <x:c r="A308" s="21" t="s">
        <x:v>1553</x:v>
      </x:c>
      <x:c r="B308" s="20" t="s">
        <x:v>1553</x:v>
      </x:c>
      <x:c r="C308" s="20" t="s">
        <x:v>1549</x:v>
      </x:c>
      <x:c r="D308" s="24">
        <x:v>1</x:v>
      </x:c>
      <x:c r="E308" s="24" t="s">
        <x:v>198</x:v>
      </x:c>
      <x:c r="F308" s="20" t="s">
        <x:v>152</x:v>
      </x:c>
      <x:c r="G308" s="26">
        <x:v>43972</x:v>
      </x:c>
      <x:c r="H308" s="24" t="s">
        <x:v>1554</x:v>
      </x:c>
      <x:c r="I308" s="28" t="s">
        <x:v>1555</x:v>
      </x:c>
      <x:c r="J308" s="29" t="s">
        <x:v>1556</x:v>
      </x:c>
    </x:row>
    <x:row r="309" ht="10.050000190734863" customHeight="1">
      <x:c r="A309" s="21" t="s">
        <x:v>1557</x:v>
      </x:c>
      <x:c r="B309" s="20" t="s">
        <x:v>1557</x:v>
      </x:c>
      <x:c r="C309" s="20" t="s">
        <x:v>1558</x:v>
      </x:c>
      <x:c r="D309" s="24">
        <x:v>26</x:v>
      </x:c>
      <x:c r="E309" s="24" t="s">
        <x:v>103</x:v>
      </x:c>
      <x:c r="F309" s="20" t="s">
        <x:v>97</x:v>
      </x:c>
      <x:c r="G309" s="26">
        <x:v>42615</x:v>
      </x:c>
      <x:c r="H309" s="24" t="s">
        <x:v>1559</x:v>
      </x:c>
      <x:c r="I309" s="28" t="s">
        <x:v>1560</x:v>
      </x:c>
      <x:c r="J309" s="29" t="s">
        <x:v>1561</x:v>
      </x:c>
    </x:row>
    <x:row r="310" ht="10.050000190734863" customHeight="1">
      <x:c r="A310" s="21" t="s">
        <x:v>1562</x:v>
      </x:c>
      <x:c r="B310" s="20" t="s">
        <x:v>1562</x:v>
      </x:c>
      <x:c r="C310" s="20" t="s">
        <x:v>1563</x:v>
      </x:c>
      <x:c r="D310" s="24">
        <x:v>9</x:v>
      </x:c>
      <x:c r="E310" s="24" t="s">
        <x:v>125</x:v>
      </x:c>
      <x:c r="F310" s="20" t="s">
        <x:v>90</x:v>
      </x:c>
      <x:c r="G310" s="26">
        <x:v>44135</x:v>
      </x:c>
      <x:c r="H310" s="24" t="s">
        <x:v>1564</x:v>
      </x:c>
      <x:c r="I310" s="28" t="s">
        <x:v>1565</x:v>
      </x:c>
      <x:c r="J310" s="29" t="s">
        <x:v>1566</x:v>
      </x:c>
    </x:row>
    <x:row r="311" ht="10.050000190734863" customHeight="1">
      <x:c r="A311" s="21" t="s">
        <x:v>1567</x:v>
      </x:c>
      <x:c r="B311" s="20" t="s">
        <x:v>1567</x:v>
      </x:c>
      <x:c r="C311" s="20" t="s">
        <x:v>1568</x:v>
      </x:c>
      <x:c r="D311" s="24">
        <x:v>1</x:v>
      </x:c>
      <x:c r="E311" s="24" t="s">
        <x:v>89</x:v>
      </x:c>
      <x:c r="F311" s="20" t="s">
        <x:v>610</x:v>
      </x:c>
      <x:c r="G311" s="26">
        <x:v>42897</x:v>
      </x:c>
      <x:c r="H311" s="24" t="s">
        <x:v>1569</x:v>
      </x:c>
      <x:c r="I311" s="28" t="s">
        <x:v>1570</x:v>
      </x:c>
      <x:c r="J311" s="29" t="s">
        <x:v>1571</x:v>
      </x:c>
    </x:row>
    <x:row r="312" ht="10.050000190734863" customHeight="1">
      <x:c r="A312" s="21" t="s">
        <x:v>1572</x:v>
      </x:c>
      <x:c r="B312" s="20" t="s">
        <x:v>1572</x:v>
      </x:c>
      <x:c r="C312" s="20" t="s">
        <x:v>1573</x:v>
      </x:c>
      <x:c r="D312" s="24">
        <x:v>5</x:v>
      </x:c>
      <x:c r="E312" s="24" t="s">
        <x:v>103</x:v>
      </x:c>
      <x:c r="F312" s="20" t="s">
        <x:v>97</x:v>
      </x:c>
      <x:c r="G312" s="26">
        <x:v>42276</x:v>
      </x:c>
      <x:c r="H312" s="24" t="s">
        <x:v>1574</x:v>
      </x:c>
      <x:c r="I312" s="28" t="s">
        <x:v>1575</x:v>
      </x:c>
      <x:c r="J312" s="29" t="s">
        <x:v>1576</x:v>
      </x:c>
    </x:row>
    <x:row r="313" ht="10.050000190734863" customHeight="1">
      <x:c r="A313" s="21" t="s">
        <x:v>1577</x:v>
      </x:c>
      <x:c r="B313" s="20" t="s">
        <x:v>1577</x:v>
      </x:c>
      <x:c r="C313" s="20" t="s">
        <x:v>1472</x:v>
      </x:c>
      <x:c r="D313" s="24">
        <x:v>6</x:v>
      </x:c>
      <x:c r="E313" s="24" t="s">
        <x:v>96</x:v>
      </x:c>
      <x:c r="F313" s="20" t="s">
        <x:v>97</x:v>
      </x:c>
      <x:c r="G313" s="26">
        <x:v>46142</x:v>
      </x:c>
      <x:c r="H313" s="24" t="s">
        <x:v>1578</x:v>
      </x:c>
      <x:c r="I313" s="28" t="s">
        <x:v>1579</x:v>
      </x:c>
      <x:c r="J313" s="29" t="s">
        <x:v>1580</x:v>
      </x:c>
    </x:row>
    <x:row r="314" ht="10.050000190734863" customHeight="1">
      <x:c r="A314" s="21" t="s">
        <x:v>1581</x:v>
      </x:c>
      <x:c r="B314" s="20" t="s">
        <x:v>1581</x:v>
      </x:c>
      <x:c r="C314" s="20" t="s">
        <x:v>1472</x:v>
      </x:c>
      <x:c r="D314" s="24">
        <x:v>6</x:v>
      </x:c>
      <x:c r="E314" s="24" t="s">
        <x:v>96</x:v>
      </x:c>
      <x:c r="F314" s="20" t="s">
        <x:v>97</x:v>
      </x:c>
      <x:c r="G314" s="26">
        <x:v>46198</x:v>
      </x:c>
      <x:c r="H314" s="24" t="s">
        <x:v>1582</x:v>
      </x:c>
      <x:c r="I314" s="28" t="s">
        <x:v>1583</x:v>
      </x:c>
      <x:c r="J314" s="29" t="s">
        <x:v>1584</x:v>
      </x:c>
    </x:row>
    <x:row r="315" ht="10.050000190734863" customHeight="1">
      <x:c r="A315" s="21" t="s">
        <x:v>1585</x:v>
      </x:c>
      <x:c r="B315" s="20" t="s">
        <x:v>1585</x:v>
      </x:c>
      <x:c r="C315" s="20" t="s">
        <x:v>1472</x:v>
      </x:c>
      <x:c r="D315" s="24">
        <x:v>6</x:v>
      </x:c>
      <x:c r="E315" s="24" t="s">
        <x:v>89</x:v>
      </x:c>
      <x:c r="F315" s="20" t="s">
        <x:v>97</x:v>
      </x:c>
      <x:c r="G315" s="26">
        <x:v>46164</x:v>
      </x:c>
      <x:c r="H315" s="24" t="s">
        <x:v>1586</x:v>
      </x:c>
      <x:c r="I315" s="28" t="s">
        <x:v>1587</x:v>
      </x:c>
      <x:c r="J315" s="29" t="s">
        <x:v>1588</x:v>
      </x:c>
    </x:row>
    <x:row r="316" ht="10.050000190734863" customHeight="1">
      <x:c r="A316" s="21" t="s">
        <x:v>1589</x:v>
      </x:c>
      <x:c r="B316" s="20" t="s">
        <x:v>1589</x:v>
      </x:c>
      <x:c r="C316" s="20" t="s">
        <x:v>1472</x:v>
      </x:c>
      <x:c r="D316" s="24">
        <x:v>6</x:v>
      </x:c>
      <x:c r="E316" s="24" t="s">
        <x:v>89</x:v>
      </x:c>
      <x:c r="F316" s="20" t="s">
        <x:v>97</x:v>
      </x:c>
      <x:c r="G316" s="26">
        <x:v>46202</x:v>
      </x:c>
      <x:c r="H316" s="24" t="s">
        <x:v>1590</x:v>
      </x:c>
      <x:c r="I316" s="28" t="s">
        <x:v>1591</x:v>
      </x:c>
      <x:c r="J316" s="29" t="s">
        <x:v>1592</x:v>
      </x:c>
    </x:row>
    <x:row r="317" ht="10.050000190734863" customHeight="1">
      <x:c r="A317" s="21" t="s">
        <x:v>1593</x:v>
      </x:c>
      <x:c r="B317" s="20" t="s">
        <x:v>1593</x:v>
      </x:c>
      <x:c r="C317" s="20" t="s">
        <x:v>1594</x:v>
      </x:c>
      <x:c r="D317" s="24">
        <x:v>1</x:v>
      </x:c>
      <x:c r="E317" s="24" t="s">
        <x:v>125</x:v>
      </x:c>
      <x:c r="F317" s="20" t="s">
        <x:v>126</x:v>
      </x:c>
      <x:c r="G317" s="26">
        <x:v>43962</x:v>
      </x:c>
      <x:c r="H317" s="24" t="s">
        <x:v>1595</x:v>
      </x:c>
      <x:c r="I317" s="28" t="s">
        <x:v>1596</x:v>
      </x:c>
      <x:c r="J317" s="29" t="s">
        <x:v>1597</x:v>
      </x:c>
    </x:row>
    <x:row r="318" ht="10.050000190734863" customHeight="1">
      <x:c r="A318" s="21" t="s">
        <x:v>1598</x:v>
      </x:c>
      <x:c r="B318" s="20" t="s">
        <x:v>1598</x:v>
      </x:c>
      <x:c r="C318" s="20" t="s">
        <x:v>800</x:v>
      </x:c>
      <x:c r="D318" s="24">
        <x:v>2</x:v>
      </x:c>
      <x:c r="E318" s="24" t="s">
        <x:v>103</x:v>
      </x:c>
      <x:c r="F318" s="20" t="s">
        <x:v>97</x:v>
      </x:c>
      <x:c r="G318" s="26">
        <x:v>41999</x:v>
      </x:c>
      <x:c r="H318" s="24" t="s">
        <x:v>1599</x:v>
      </x:c>
      <x:c r="I318" s="28" t="s">
        <x:v>1600</x:v>
      </x:c>
      <x:c r="J318" s="29" t="s">
        <x:v>1601</x:v>
      </x:c>
    </x:row>
    <x:row r="319" ht="10.050000190734863" customHeight="1">
      <x:c r="A319" s="21" t="s">
        <x:v>1602</x:v>
      </x:c>
      <x:c r="B319" s="20" t="s">
        <x:v>1602</x:v>
      </x:c>
      <x:c r="C319" s="20" t="s">
        <x:v>1603</x:v>
      </x:c>
      <x:c r="D319" s="24">
        <x:v>11</x:v>
      </x:c>
      <x:c r="E319" s="24" t="s">
        <x:v>198</x:v>
      </x:c>
      <x:c r="F319" s="20" t="s">
        <x:v>90</x:v>
      </x:c>
      <x:c r="G319" s="26">
        <x:v>44237</x:v>
      </x:c>
      <x:c r="H319" s="24" t="s">
        <x:v>1604</x:v>
      </x:c>
      <x:c r="I319" s="28" t="s">
        <x:v>1605</x:v>
      </x:c>
      <x:c r="J319" s="29" t="s">
        <x:v>1606</x:v>
      </x:c>
    </x:row>
    <x:row r="320" ht="10.050000190734863" customHeight="1">
      <x:c r="A320" s="21" t="s">
        <x:v>1607</x:v>
      </x:c>
      <x:c r="B320" s="20" t="s">
        <x:v>1607</x:v>
      </x:c>
      <x:c r="C320" s="20" t="s">
        <x:v>1608</x:v>
      </x:c>
      <x:c r="D320" s="24">
        <x:v>6</x:v>
      </x:c>
      <x:c r="E320" s="24" t="s">
        <x:v>198</x:v>
      </x:c>
      <x:c r="F320" s="20" t="s">
        <x:v>90</x:v>
      </x:c>
      <x:c r="G320" s="26">
        <x:v>44362</x:v>
      </x:c>
      <x:c r="H320" s="24" t="s">
        <x:v>1609</x:v>
      </x:c>
      <x:c r="I320" s="28" t="s">
        <x:v>1610</x:v>
      </x:c>
      <x:c r="J320" s="29" t="s">
        <x:v>1611</x:v>
      </x:c>
    </x:row>
    <x:row r="321" ht="10.050000190734863" customHeight="1">
      <x:c r="A321" s="21" t="s">
        <x:v>1612</x:v>
      </x:c>
      <x:c r="B321" s="20" t="s">
        <x:v>1612</x:v>
      </x:c>
      <x:c r="C321" s="20" t="s">
        <x:v>1613</x:v>
      </x:c>
      <x:c r="D321" s="24">
        <x:v>20</x:v>
      </x:c>
      <x:c r="E321" s="24" t="s">
        <x:v>103</x:v>
      </x:c>
      <x:c r="F321" s="20" t="s">
        <x:v>90</x:v>
      </x:c>
      <x:c r="G321" s="26">
        <x:v>46006</x:v>
      </x:c>
      <x:c r="H321" s="24" t="s">
        <x:v>1614</x:v>
      </x:c>
      <x:c r="I321" s="28" t="s">
        <x:v>1615</x:v>
      </x:c>
      <x:c r="J321" s="29" t="s">
        <x:v>1616</x:v>
      </x:c>
    </x:row>
    <x:row r="322" ht="10.050000190734863" customHeight="1">
      <x:c r="A322" s="21" t="s">
        <x:v>1617</x:v>
      </x:c>
      <x:c r="B322" s="20" t="s">
        <x:v>1617</x:v>
      </x:c>
      <x:c r="C322" s="20" t="s">
        <x:v>1618</x:v>
      </x:c>
      <x:c r="D322" s="24">
        <x:v>9</x:v>
      </x:c>
      <x:c r="E322" s="24" t="s">
        <x:v>198</x:v>
      </x:c>
      <x:c r="F322" s="20" t="s">
        <x:v>90</x:v>
      </x:c>
      <x:c r="G322" s="26">
        <x:v>44594</x:v>
      </x:c>
      <x:c r="H322" s="24" t="s">
        <x:v>1619</x:v>
      </x:c>
      <x:c r="I322" s="28" t="s">
        <x:v>1620</x:v>
      </x:c>
      <x:c r="J322" s="29" t="s">
        <x:v>1621</x:v>
      </x:c>
    </x:row>
    <x:row r="323" ht="10.050000190734863" customHeight="1">
      <x:c r="A323" s="21" t="s">
        <x:v>1622</x:v>
      </x:c>
      <x:c r="B323" s="20" t="s">
        <x:v>1622</x:v>
      </x:c>
      <x:c r="C323" s="20" t="s">
        <x:v>756</x:v>
      </x:c>
      <x:c r="D323" s="24">
        <x:v>15</x:v>
      </x:c>
      <x:c r="E323" s="24" t="s">
        <x:v>198</x:v>
      </x:c>
      <x:c r="F323" s="20" t="s">
        <x:v>90</x:v>
      </x:c>
      <x:c r="G323" s="26">
        <x:v>43452</x:v>
      </x:c>
      <x:c r="H323" s="24" t="s">
        <x:v>1623</x:v>
      </x:c>
      <x:c r="I323" s="28" t="s">
        <x:v>1624</x:v>
      </x:c>
      <x:c r="J323" s="29" t="s">
        <x:v>1625</x:v>
      </x:c>
    </x:row>
    <x:row r="324" ht="10.050000190734863" customHeight="1">
      <x:c r="A324" s="21" t="s">
        <x:v>1626</x:v>
      </x:c>
      <x:c r="B324" s="20" t="s">
        <x:v>1626</x:v>
      </x:c>
      <x:c r="C324" s="20" t="s">
        <x:v>756</x:v>
      </x:c>
      <x:c r="D324" s="24">
        <x:v>0</x:v>
      </x:c>
      <x:c r="E324" s="24" t="s">
        <x:v>198</x:v>
      </x:c>
      <x:c r="F324" s="20" t="s">
        <x:v>90</x:v>
      </x:c>
      <x:c r="G324" s="26">
        <x:v>45902</x:v>
      </x:c>
      <x:c r="H324" s="24" t="s">
        <x:v>1627</x:v>
      </x:c>
      <x:c r="I324" s="28" t="s">
        <x:v>1628</x:v>
      </x:c>
      <x:c r="J324" s="29" t="s">
        <x:v>1629</x:v>
      </x:c>
    </x:row>
    <x:row r="325" ht="10.050000190734863" customHeight="1">
      <x:c r="A325" s="21" t="s">
        <x:v>1630</x:v>
      </x:c>
      <x:c r="B325" s="20" t="s">
        <x:v>1630</x:v>
      </x:c>
      <x:c r="C325" s="20" t="s">
        <x:v>1631</x:v>
      </x:c>
      <x:c r="D325" s="24">
        <x:v>11</x:v>
      </x:c>
      <x:c r="E325" s="24" t="s">
        <x:v>103</x:v>
      </x:c>
      <x:c r="F325" s="20" t="s">
        <x:v>97</x:v>
      </x:c>
      <x:c r="G325" s="26">
        <x:v>42215</x:v>
      </x:c>
      <x:c r="H325" s="24" t="s">
        <x:v>1632</x:v>
      </x:c>
      <x:c r="I325" s="28" t="s">
        <x:v>1633</x:v>
      </x:c>
      <x:c r="J325" s="29" t="s">
        <x:v>1634</x:v>
      </x:c>
    </x:row>
    <x:row r="326" ht="10.050000190734863" customHeight="1">
      <x:c r="A326" s="21" t="s">
        <x:v>1635</x:v>
      </x:c>
      <x:c r="B326" s="20" t="s">
        <x:v>1635</x:v>
      </x:c>
      <x:c r="C326" s="20" t="s">
        <x:v>1636</x:v>
      </x:c>
      <x:c r="D326" s="24">
        <x:v>26</x:v>
      </x:c>
      <x:c r="E326" s="24" t="s">
        <x:v>96</x:v>
      </x:c>
      <x:c r="F326" s="20" t="s">
        <x:v>97</x:v>
      </x:c>
      <x:c r="G326" s="26">
        <x:v>42037</x:v>
      </x:c>
      <x:c r="H326" s="24" t="s">
        <x:v>1637</x:v>
      </x:c>
      <x:c r="I326" s="28" t="s">
        <x:v>1638</x:v>
      </x:c>
      <x:c r="J326" s="29" t="s">
        <x:v>1639</x:v>
      </x:c>
    </x:row>
    <x:row r="327" ht="10.050000190734863" customHeight="1">
      <x:c r="A327" s="21" t="s">
        <x:v>1640</x:v>
      </x:c>
      <x:c r="B327" s="20" t="s">
        <x:v>1640</x:v>
      </x:c>
      <x:c r="C327" s="20" t="s">
        <x:v>1641</x:v>
      </x:c>
      <x:c r="D327" s="24">
        <x:v>10</x:v>
      </x:c>
      <x:c r="E327" s="24" t="s">
        <x:v>96</x:v>
      </x:c>
      <x:c r="F327" s="20" t="s">
        <x:v>97</x:v>
      </x:c>
      <x:c r="G327" s="26">
        <x:v>45314</x:v>
      </x:c>
      <x:c r="H327" s="24" t="s">
        <x:v>1642</x:v>
      </x:c>
      <x:c r="I327" s="28" t="s">
        <x:v>1643</x:v>
      </x:c>
      <x:c r="J327" s="29" t="s">
        <x:v>1644</x:v>
      </x:c>
    </x:row>
    <x:row r="328" ht="10.050000190734863" customHeight="1">
      <x:c r="A328" s="21" t="s">
        <x:v>1645</x:v>
      </x:c>
      <x:c r="B328" s="20" t="s">
        <x:v>1645</x:v>
      </x:c>
      <x:c r="C328" s="20" t="s">
        <x:v>1646</x:v>
      </x:c>
      <x:c r="D328" s="24">
        <x:v>4</x:v>
      </x:c>
      <x:c r="E328" s="24" t="s">
        <x:v>198</x:v>
      </x:c>
      <x:c r="F328" s="20" t="s">
        <x:v>90</x:v>
      </x:c>
      <x:c r="G328" s="26">
        <x:v>45111</x:v>
      </x:c>
      <x:c r="H328" s="24" t="s">
        <x:v>1647</x:v>
      </x:c>
      <x:c r="I328" s="28" t="s">
        <x:v>1648</x:v>
      </x:c>
      <x:c r="J328" s="29" t="s">
        <x:v>1649</x:v>
      </x:c>
    </x:row>
    <x:row r="329" ht="10.050000190734863" customHeight="1">
      <x:c r="A329" s="21" t="s">
        <x:v>1650</x:v>
      </x:c>
      <x:c r="B329" s="20" t="s">
        <x:v>1650</x:v>
      </x:c>
      <x:c r="C329" s="20" t="s">
        <x:v>1535</x:v>
      </x:c>
      <x:c r="D329" s="24">
        <x:v>0</x:v>
      </x:c>
      <x:c r="E329" s="24" t="s">
        <x:v>96</x:v>
      </x:c>
      <x:c r="F329" s="20" t="s">
        <x:v>97</x:v>
      </x:c>
      <x:c r="G329" s="26">
        <x:v>42718</x:v>
      </x:c>
      <x:c r="H329" s="24" t="s">
        <x:v>1651</x:v>
      </x:c>
      <x:c r="I329" s="28" t="s">
        <x:v>1652</x:v>
      </x:c>
      <x:c r="J329" s="29" t="s">
        <x:v>1653</x:v>
      </x:c>
    </x:row>
    <x:row r="330" ht="10.050000190734863" customHeight="1">
      <x:c r="A330" s="21" t="s">
        <x:v>1654</x:v>
      </x:c>
      <x:c r="B330" s="20" t="s">
        <x:v>1654</x:v>
      </x:c>
      <x:c r="C330" s="20" t="s">
        <x:v>1655</x:v>
      </x:c>
      <x:c r="D330" s="24">
        <x:v>8</x:v>
      </x:c>
      <x:c r="E330" s="24" t="s">
        <x:v>257</x:v>
      </x:c>
      <x:c r="F330" s="20" t="s">
        <x:v>97</x:v>
      </x:c>
      <x:c r="G330" s="26">
        <x:v>44614</x:v>
      </x:c>
      <x:c r="H330" s="24" t="s">
        <x:v>1656</x:v>
      </x:c>
      <x:c r="I330" s="28" t="s">
        <x:v>1657</x:v>
      </x:c>
      <x:c r="J330" s="29" t="s">
        <x:v>1658</x:v>
      </x:c>
    </x:row>
    <x:row r="331" ht="10.050000190734863" customHeight="1">
      <x:c r="A331" s="21" t="s">
        <x:v>1659</x:v>
      </x:c>
      <x:c r="B331" s="20" t="s">
        <x:v>1659</x:v>
      </x:c>
      <x:c r="C331" s="20" t="s">
        <x:v>1660</x:v>
      </x:c>
      <x:c r="D331" s="24">
        <x:v>11</x:v>
      </x:c>
      <x:c r="E331" s="24" t="s">
        <x:v>89</x:v>
      </x:c>
      <x:c r="F331" s="20" t="s">
        <x:v>90</x:v>
      </x:c>
      <x:c r="G331" s="26">
        <x:v>44685</x:v>
      </x:c>
      <x:c r="H331" s="24" t="s">
        <x:v>1661</x:v>
      </x:c>
      <x:c r="I331" s="28" t="s">
        <x:v>1662</x:v>
      </x:c>
      <x:c r="J331" s="29" t="s">
        <x:v>1663</x:v>
      </x:c>
    </x:row>
    <x:row r="332" ht="10.050000190734863" customHeight="1">
      <x:c r="A332" s="21" t="s">
        <x:v>38</x:v>
      </x:c>
      <x:c r="B332" s="20" t="s">
        <x:v>38</x:v>
      </x:c>
      <x:c r="C332" s="20" t="s">
        <x:v>1664</x:v>
      </x:c>
      <x:c r="D332" s="24">
        <x:v>17</x:v>
      </x:c>
      <x:c r="E332" s="24" t="s">
        <x:v>198</x:v>
      </x:c>
      <x:c r="F332" s="20" t="s">
        <x:v>90</x:v>
      </x:c>
      <x:c r="G332" s="26">
        <x:v>45040</x:v>
      </x:c>
      <x:c r="H332" s="24" t="s">
        <x:v>1665</x:v>
      </x:c>
      <x:c r="I332" s="28" t="s">
        <x:v>1666</x:v>
      </x:c>
      <x:c r="J332" s="29" t="s">
        <x:v>1667</x:v>
      </x:c>
    </x:row>
    <x:row r="333" ht="10.050000190734863" customHeight="1">
      <x:c r="A333" s="21" t="s">
        <x:v>1668</x:v>
      </x:c>
      <x:c r="B333" s="20" t="s">
        <x:v>1668</x:v>
      </x:c>
      <x:c r="C333" s="20" t="s">
        <x:v>1669</x:v>
      </x:c>
      <x:c r="D333" s="24">
        <x:v>23</x:v>
      </x:c>
      <x:c r="E333" s="24" t="s">
        <x:v>96</x:v>
      </x:c>
      <x:c r="F333" s="20" t="s">
        <x:v>90</x:v>
      </x:c>
      <x:c r="G333" s="26">
        <x:v>45477</x:v>
      </x:c>
      <x:c r="H333" s="24" t="s">
        <x:v>1670</x:v>
      </x:c>
      <x:c r="I333" s="28" t="s">
        <x:v>1671</x:v>
      </x:c>
      <x:c r="J333" s="29" t="s">
        <x:v>1672</x:v>
      </x:c>
    </x:row>
    <x:row r="334" ht="10.050000190734863" customHeight="1">
      <x:c r="A334" s="21" t="s">
        <x:v>1673</x:v>
      </x:c>
      <x:c r="B334" s="20" t="s">
        <x:v>1673</x:v>
      </x:c>
      <x:c r="C334" s="20" t="s">
        <x:v>1674</x:v>
      </x:c>
      <x:c r="D334" s="24">
        <x:v>10</x:v>
      </x:c>
      <x:c r="E334" s="24" t="s">
        <x:v>89</x:v>
      </x:c>
      <x:c r="F334" s="20" t="s">
        <x:v>90</x:v>
      </x:c>
      <x:c r="G334" s="26">
        <x:v>45613</x:v>
      </x:c>
      <x:c r="H334" s="24" t="s">
        <x:v>1675</x:v>
      </x:c>
      <x:c r="I334" s="28" t="s">
        <x:v>1676</x:v>
      </x:c>
      <x:c r="J334" s="29" t="s">
        <x:v>1677</x:v>
      </x:c>
    </x:row>
    <x:row r="335" ht="10.050000190734863" customHeight="1">
      <x:c r="A335" s="21" t="s">
        <x:v>1678</x:v>
      </x:c>
      <x:c r="B335" s="20" t="s">
        <x:v>1678</x:v>
      </x:c>
      <x:c r="C335" s="20" t="s">
        <x:v>119</x:v>
      </x:c>
      <x:c r="D335" s="24">
        <x:v>12</x:v>
      </x:c>
      <x:c r="E335" s="24" t="s">
        <x:v>257</x:v>
      </x:c>
      <x:c r="F335" s="20" t="s">
        <x:v>97</x:v>
      </x:c>
      <x:c r="G335" s="26">
        <x:v>42132</x:v>
      </x:c>
      <x:c r="H335" s="24" t="s">
        <x:v>1679</x:v>
      </x:c>
      <x:c r="I335" s="28" t="s">
        <x:v>1680</x:v>
      </x:c>
      <x:c r="J335" s="29" t="s">
        <x:v>1681</x:v>
      </x:c>
    </x:row>
    <x:row r="336" ht="10.050000190734863" customHeight="1">
      <x:c r="A336" s="21" t="s">
        <x:v>1682</x:v>
      </x:c>
      <x:c r="B336" s="20" t="s">
        <x:v>1682</x:v>
      </x:c>
      <x:c r="C336" s="20" t="s">
        <x:v>1683</x:v>
      </x:c>
      <x:c r="D336" s="24">
        <x:v>1</x:v>
      </x:c>
      <x:c r="E336" s="24" t="s">
        <x:v>103</x:v>
      </x:c>
      <x:c r="F336" s="20" t="s">
        <x:v>97</x:v>
      </x:c>
      <x:c r="G336" s="26">
        <x:v>42003</x:v>
      </x:c>
      <x:c r="H336" s="24" t="s">
        <x:v>1684</x:v>
      </x:c>
      <x:c r="I336" s="28" t="s">
        <x:v>1685</x:v>
      </x:c>
      <x:c r="J336" s="29" t="s">
        <x:v>1686</x:v>
      </x:c>
    </x:row>
    <x:row r="337" ht="10.050000190734863" customHeight="1">
      <x:c r="A337" s="21" t="s">
        <x:v>1687</x:v>
      </x:c>
      <x:c r="B337" s="20" t="s">
        <x:v>1687</x:v>
      </x:c>
      <x:c r="C337" s="20" t="s">
        <x:v>1688</x:v>
      </x:c>
      <x:c r="D337" s="24">
        <x:v>19</x:v>
      </x:c>
      <x:c r="E337" s="24" t="s">
        <x:v>198</x:v>
      </x:c>
      <x:c r="F337" s="20" t="s">
        <x:v>90</x:v>
      </x:c>
      <x:c r="G337" s="26">
        <x:v>44523</x:v>
      </x:c>
      <x:c r="H337" s="24" t="s">
        <x:v>1689</x:v>
      </x:c>
      <x:c r="I337" s="28" t="s">
        <x:v>1690</x:v>
      </x:c>
      <x:c r="J337" s="29" t="s">
        <x:v>1691</x:v>
      </x:c>
    </x:row>
    <x:row r="338" ht="10.050000190734863" customHeight="1">
      <x:c r="A338" s="21" t="s">
        <x:v>1692</x:v>
      </x:c>
      <x:c r="B338" s="20" t="s">
        <x:v>1692</x:v>
      </x:c>
      <x:c r="C338" s="20" t="s">
        <x:v>781</x:v>
      </x:c>
      <x:c r="D338" s="24">
        <x:v>13</x:v>
      </x:c>
      <x:c r="E338" s="24" t="s">
        <x:v>198</x:v>
      </x:c>
      <x:c r="F338" s="20" t="s">
        <x:v>90</x:v>
      </x:c>
      <x:c r="G338" s="26">
        <x:v>44722</x:v>
      </x:c>
      <x:c r="H338" s="24" t="s">
        <x:v>1693</x:v>
      </x:c>
      <x:c r="I338" s="28" t="s">
        <x:v>1694</x:v>
      </x:c>
      <x:c r="J338" s="29" t="s">
        <x:v>1695</x:v>
      </x:c>
    </x:row>
    <x:row r="339" ht="10.050000190734863" customHeight="1">
      <x:c r="A339" s="21" t="s">
        <x:v>1696</x:v>
      </x:c>
      <x:c r="B339" s="20" t="s">
        <x:v>1696</x:v>
      </x:c>
      <x:c r="C339" s="20" t="s">
        <x:v>1697</x:v>
      </x:c>
      <x:c r="D339" s="24">
        <x:v>5</x:v>
      </x:c>
      <x:c r="E339" s="24" t="s">
        <x:v>96</x:v>
      </x:c>
      <x:c r="F339" s="20" t="s">
        <x:v>152</x:v>
      </x:c>
      <x:c r="G339" s="26">
        <x:v>44383</x:v>
      </x:c>
      <x:c r="H339" s="24" t="s">
        <x:v>1698</x:v>
      </x:c>
      <x:c r="I339" s="28" t="s">
        <x:v>1699</x:v>
      </x:c>
      <x:c r="J339" s="29" t="s">
        <x:v>1700</x:v>
      </x:c>
    </x:row>
    <x:row r="340" ht="10.050000190734863" customHeight="1">
      <x:c r="A340" s="21" t="s">
        <x:v>1701</x:v>
      </x:c>
      <x:c r="B340" s="20" t="s">
        <x:v>1701</x:v>
      </x:c>
      <x:c r="C340" s="20" t="s">
        <x:v>1702</x:v>
      </x:c>
      <x:c r="D340" s="24">
        <x:v>8</x:v>
      </x:c>
      <x:c r="E340" s="24" t="s">
        <x:v>114</x:v>
      </x:c>
      <x:c r="F340" s="20" t="s">
        <x:v>90</x:v>
      </x:c>
      <x:c r="G340" s="26">
        <x:v>45452</x:v>
      </x:c>
      <x:c r="H340" s="24" t="s">
        <x:v>1703</x:v>
      </x:c>
      <x:c r="I340" s="28" t="s">
        <x:v>1704</x:v>
      </x:c>
      <x:c r="J340" s="29" t="s">
        <x:v>1705</x:v>
      </x:c>
    </x:row>
    <x:row r="341" ht="10.050000190734863" customHeight="1">
      <x:c r="A341" s="21" t="s">
        <x:v>1706</x:v>
      </x:c>
      <x:c r="B341" s="20" t="s">
        <x:v>1706</x:v>
      </x:c>
      <x:c r="C341" s="20" t="s">
        <x:v>102</x:v>
      </x:c>
      <x:c r="D341" s="24">
        <x:v>12</x:v>
      </x:c>
      <x:c r="E341" s="24" t="s">
        <x:v>96</x:v>
      </x:c>
      <x:c r="F341" s="20" t="s">
        <x:v>97</x:v>
      </x:c>
      <x:c r="G341" s="26">
        <x:v>42380</x:v>
      </x:c>
      <x:c r="H341" s="24" t="s">
        <x:v>1707</x:v>
      </x:c>
      <x:c r="I341" s="28" t="s">
        <x:v>1708</x:v>
      </x:c>
      <x:c r="J341" s="29" t="s">
        <x:v>1709</x:v>
      </x:c>
    </x:row>
    <x:row r="342" ht="10.050000190734863" customHeight="1">
      <x:c r="A342" s="21" t="s">
        <x:v>1710</x:v>
      </x:c>
      <x:c r="B342" s="20" t="s">
        <x:v>1710</x:v>
      </x:c>
      <x:c r="C342" s="20" t="s">
        <x:v>1167</x:v>
      </x:c>
      <x:c r="D342" s="24">
        <x:v>6</x:v>
      </x:c>
      <x:c r="E342" s="24" t="s">
        <x:v>96</x:v>
      </x:c>
      <x:c r="F342" s="20" t="s">
        <x:v>97</x:v>
      </x:c>
      <x:c r="G342" s="26">
        <x:v>45534</x:v>
      </x:c>
      <x:c r="H342" s="24" t="s">
        <x:v>1711</x:v>
      </x:c>
      <x:c r="I342" s="28" t="s">
        <x:v>1712</x:v>
      </x:c>
      <x:c r="J342" s="29" t="s">
        <x:v>1713</x:v>
      </x:c>
    </x:row>
    <x:row r="343" ht="10.050000190734863" customHeight="1">
      <x:c r="A343" s="21" t="s">
        <x:v>1714</x:v>
      </x:c>
      <x:c r="B343" s="20" t="s">
        <x:v>1714</x:v>
      </x:c>
      <x:c r="C343" s="20" t="s">
        <x:v>1253</x:v>
      </x:c>
      <x:c r="D343" s="24">
        <x:v>4</x:v>
      </x:c>
      <x:c r="E343" s="24" t="s">
        <x:v>96</x:v>
      </x:c>
      <x:c r="F343" s="20" t="s">
        <x:v>97</x:v>
      </x:c>
      <x:c r="G343" s="26">
        <x:v>45627</x:v>
      </x:c>
      <x:c r="H343" s="24" t="s">
        <x:v>1715</x:v>
      </x:c>
      <x:c r="I343" s="28" t="s">
        <x:v>1716</x:v>
      </x:c>
      <x:c r="J343" s="29" t="s">
        <x:v>1717</x:v>
      </x:c>
    </x:row>
    <x:row r="344" ht="10.050000190734863" customHeight="1">
      <x:c r="A344" s="21" t="s">
        <x:v>1718</x:v>
      </x:c>
      <x:c r="B344" s="20" t="s">
        <x:v>1718</x:v>
      </x:c>
      <x:c r="C344" s="20" t="s">
        <x:v>1253</x:v>
      </x:c>
      <x:c r="D344" s="24">
        <x:v>8</x:v>
      </x:c>
      <x:c r="E344" s="24" t="s">
        <x:v>103</x:v>
      </x:c>
      <x:c r="F344" s="20" t="s">
        <x:v>97</x:v>
      </x:c>
      <x:c r="G344" s="26">
        <x:v>45565</x:v>
      </x:c>
      <x:c r="H344" s="24" t="s">
        <x:v>1719</x:v>
      </x:c>
      <x:c r="I344" s="28" t="s">
        <x:v>1720</x:v>
      </x:c>
      <x:c r="J344" s="29" t="s">
        <x:v>1721</x:v>
      </x:c>
    </x:row>
    <x:row r="345" ht="10.050000190734863" customHeight="1">
      <x:c r="A345" s="21" t="s">
        <x:v>1722</x:v>
      </x:c>
      <x:c r="B345" s="20" t="s">
        <x:v>1722</x:v>
      </x:c>
      <x:c r="C345" s="20" t="s">
        <x:v>1723</x:v>
      </x:c>
      <x:c r="D345" s="24">
        <x:v>27</x:v>
      </x:c>
      <x:c r="E345" s="24" t="s">
        <x:v>96</x:v>
      </x:c>
      <x:c r="F345" s="20" t="s">
        <x:v>97</x:v>
      </x:c>
      <x:c r="G345" s="26">
        <x:v>42733</x:v>
      </x:c>
      <x:c r="H345" s="24" t="s">
        <x:v>1724</x:v>
      </x:c>
      <x:c r="I345" s="28" t="s">
        <x:v>1725</x:v>
      </x:c>
      <x:c r="J345" s="29" t="s">
        <x:v>1726</x:v>
      </x:c>
    </x:row>
    <x:row r="346" ht="10.050000190734863" customHeight="1">
      <x:c r="A346" s="21" t="s">
        <x:v>1727</x:v>
      </x:c>
      <x:c r="B346" s="20" t="s">
        <x:v>1727</x:v>
      </x:c>
      <x:c r="C346" s="20" t="s">
        <x:v>685</x:v>
      </x:c>
      <x:c r="D346" s="24">
        <x:v>0</x:v>
      </x:c>
      <x:c r="E346" s="24" t="s">
        <x:v>198</x:v>
      </x:c>
      <x:c r="F346" s="20" t="s">
        <x:v>90</x:v>
      </x:c>
      <x:c r="G346" s="26">
        <x:v>45747</x:v>
      </x:c>
      <x:c r="H346" s="24" t="s">
        <x:v>1728</x:v>
      </x:c>
      <x:c r="I346" s="28" t="s">
        <x:v>1729</x:v>
      </x:c>
      <x:c r="J346" s="29" t="s">
        <x:v>1730</x:v>
      </x:c>
    </x:row>
    <x:row r="347" ht="10.050000190734863" customHeight="1">
      <x:c r="A347" s="21" t="s">
        <x:v>1731</x:v>
      </x:c>
      <x:c r="B347" s="20" t="s">
        <x:v>1731</x:v>
      </x:c>
      <x:c r="C347" s="20" t="s">
        <x:v>203</x:v>
      </x:c>
      <x:c r="D347" s="24">
        <x:v>9</x:v>
      </x:c>
      <x:c r="E347" s="24" t="s">
        <x:v>125</x:v>
      </x:c>
      <x:c r="F347" s="20" t="s">
        <x:v>90</x:v>
      </x:c>
      <x:c r="G347" s="26">
        <x:v>45781</x:v>
      </x:c>
      <x:c r="H347" s="24" t="s">
        <x:v>1732</x:v>
      </x:c>
      <x:c r="I347" s="28" t="s">
        <x:v>1733</x:v>
      </x:c>
      <x:c r="J347" s="29" t="s">
        <x:v>1734</x:v>
      </x:c>
    </x:row>
    <x:row r="348" ht="10.050000190734863" customHeight="1">
      <x:c r="A348" s="21" t="s">
        <x:v>1735</x:v>
      </x:c>
      <x:c r="B348" s="20" t="s">
        <x:v>1735</x:v>
      </x:c>
      <x:c r="C348" s="20" t="s">
        <x:v>1736</x:v>
      </x:c>
      <x:c r="D348" s="24">
        <x:v>22</x:v>
      </x:c>
      <x:c r="E348" s="24" t="s">
        <x:v>198</x:v>
      </x:c>
      <x:c r="F348" s="20" t="s">
        <x:v>90</x:v>
      </x:c>
      <x:c r="G348" s="26">
        <x:v>45608</x:v>
      </x:c>
      <x:c r="H348" s="24" t="s">
        <x:v>1737</x:v>
      </x:c>
      <x:c r="I348" s="28" t="s">
        <x:v>1738</x:v>
      </x:c>
      <x:c r="J348" s="29" t="s">
        <x:v>1739</x:v>
      </x:c>
    </x:row>
    <x:row r="349" ht="10.050000190734863" customHeight="1">
      <x:c r="A349" s="21" t="s">
        <x:v>1740</x:v>
      </x:c>
      <x:c r="B349" s="20" t="s">
        <x:v>1740</x:v>
      </x:c>
      <x:c r="C349" s="20" t="s">
        <x:v>1741</x:v>
      </x:c>
      <x:c r="D349" s="24">
        <x:v>15</x:v>
      </x:c>
      <x:c r="E349" s="24" t="s">
        <x:v>103</x:v>
      </x:c>
      <x:c r="F349" s="20" t="s">
        <x:v>97</x:v>
      </x:c>
      <x:c r="G349" s="26">
        <x:v>41569</x:v>
      </x:c>
      <x:c r="H349" s="24" t="s">
        <x:v>1742</x:v>
      </x:c>
      <x:c r="I349" s="28" t="s">
        <x:v>1743</x:v>
      </x:c>
      <x:c r="J349" s="29" t="s">
        <x:v>1744</x:v>
      </x:c>
    </x:row>
    <x:row r="350" ht="10.050000190734863" customHeight="1">
      <x:c r="A350" s="21" t="s">
        <x:v>1745</x:v>
      </x:c>
      <x:c r="B350" s="20" t="s">
        <x:v>1745</x:v>
      </x:c>
      <x:c r="C350" s="20" t="s">
        <x:v>1746</x:v>
      </x:c>
      <x:c r="D350" s="24">
        <x:v>7</x:v>
      </x:c>
      <x:c r="E350" s="24" t="s">
        <x:v>103</x:v>
      </x:c>
      <x:c r="F350" s="20" t="s">
        <x:v>97</x:v>
      </x:c>
      <x:c r="G350" s="26">
        <x:v>43167</x:v>
      </x:c>
      <x:c r="H350" s="24" t="s">
        <x:v>1747</x:v>
      </x:c>
      <x:c r="I350" s="28" t="s">
        <x:v>1748</x:v>
      </x:c>
      <x:c r="J350" s="29" t="s">
        <x:v>1749</x:v>
      </x:c>
    </x:row>
    <x:row r="351" ht="10.050000190734863" customHeight="1">
      <x:c r="A351" s="21" t="s">
        <x:v>1750</x:v>
      </x:c>
      <x:c r="B351" s="20" t="s">
        <x:v>1750</x:v>
      </x:c>
      <x:c r="C351" s="20" t="s">
        <x:v>1751</x:v>
      </x:c>
      <x:c r="D351" s="24">
        <x:v>120</x:v>
      </x:c>
      <x:c r="E351" s="24" t="s">
        <x:v>96</x:v>
      </x:c>
      <x:c r="F351" s="20" t="s">
        <x:v>97</x:v>
      </x:c>
      <x:c r="G351" s="26">
        <x:v>43571</x:v>
      </x:c>
      <x:c r="H351" s="24" t="s">
        <x:v>1752</x:v>
      </x:c>
      <x:c r="I351" s="28" t="s">
        <x:v>1753</x:v>
      </x:c>
      <x:c r="J351" s="29" t="s">
        <x:v>1754</x:v>
      </x:c>
    </x:row>
    <x:row r="352" ht="10.050000190734863" customHeight="1">
      <x:c r="A352" s="21" t="s">
        <x:v>1755</x:v>
      </x:c>
      <x:c r="B352" s="20" t="s">
        <x:v>1755</x:v>
      </x:c>
      <x:c r="C352" s="20" t="s">
        <x:v>1751</x:v>
      </x:c>
      <x:c r="D352" s="24">
        <x:v>120</x:v>
      </x:c>
      <x:c r="E352" s="24" t="s">
        <x:v>96</x:v>
      </x:c>
      <x:c r="F352" s="20" t="s">
        <x:v>97</x:v>
      </x:c>
      <x:c r="G352" s="26">
        <x:v>43995</x:v>
      </x:c>
      <x:c r="H352" s="24" t="s">
        <x:v>1756</x:v>
      </x:c>
      <x:c r="I352" s="28" t="s">
        <x:v>1757</x:v>
      </x:c>
      <x:c r="J352" s="29" t="s">
        <x:v>1758</x:v>
      </x:c>
    </x:row>
    <x:row r="353" ht="10.050000190734863" customHeight="1">
      <x:c r="A353" s="21" t="s">
        <x:v>1759</x:v>
      </x:c>
      <x:c r="B353" s="20" t="s">
        <x:v>1759</x:v>
      </x:c>
      <x:c r="C353" s="20" t="s">
        <x:v>1751</x:v>
      </x:c>
      <x:c r="D353" s="24">
        <x:v>113</x:v>
      </x:c>
      <x:c r="E353" s="24" t="s">
        <x:v>96</x:v>
      </x:c>
      <x:c r="F353" s="20" t="s">
        <x:v>97</x:v>
      </x:c>
      <x:c r="G353" s="26">
        <x:v>43615</x:v>
      </x:c>
      <x:c r="H353" s="24" t="s">
        <x:v>1760</x:v>
      </x:c>
      <x:c r="I353" s="28" t="s">
        <x:v>1761</x:v>
      </x:c>
      <x:c r="J353" s="29" t="s">
        <x:v>1762</x:v>
      </x:c>
    </x:row>
    <x:row r="354" ht="10.050000190734863" customHeight="1">
      <x:c r="A354" s="21" t="s">
        <x:v>1763</x:v>
      </x:c>
      <x:c r="B354" s="20" t="s">
        <x:v>1763</x:v>
      </x:c>
      <x:c r="C354" s="20" t="s">
        <x:v>718</x:v>
      </x:c>
      <x:c r="D354" s="24">
        <x:v>32</x:v>
      </x:c>
      <x:c r="E354" s="24" t="s">
        <x:v>257</x:v>
      </x:c>
      <x:c r="F354" s="20" t="s">
        <x:v>97</x:v>
      </x:c>
      <x:c r="G354" s="26">
        <x:v>42108</x:v>
      </x:c>
      <x:c r="H354" s="24" t="s">
        <x:v>1764</x:v>
      </x:c>
      <x:c r="I354" s="28" t="s">
        <x:v>1765</x:v>
      </x:c>
      <x:c r="J354" s="29" t="s">
        <x:v>1766</x:v>
      </x:c>
    </x:row>
    <x:row r="355" ht="10.050000190734863" customHeight="1">
      <x:c r="A355" s="21" t="s">
        <x:v>1767</x:v>
      </x:c>
      <x:c r="B355" s="20" t="s">
        <x:v>1767</x:v>
      </x:c>
      <x:c r="C355" s="20" t="s">
        <x:v>1768</x:v>
      </x:c>
      <x:c r="D355" s="24">
        <x:v>96</x:v>
      </x:c>
      <x:c r="E355" s="24" t="s">
        <x:v>198</x:v>
      </x:c>
      <x:c r="F355" s="20" t="s">
        <x:v>90</x:v>
      </x:c>
      <x:c r="G355" s="26">
        <x:v>43263</x:v>
      </x:c>
      <x:c r="H355" s="24" t="s">
        <x:v>1769</x:v>
      </x:c>
      <x:c r="I355" s="28" t="s">
        <x:v>1770</x:v>
      </x:c>
      <x:c r="J355" s="29" t="s">
        <x:v>1771</x:v>
      </x:c>
    </x:row>
    <x:row r="356" ht="10.050000190734863" customHeight="1">
      <x:c r="A356" s="21" t="s">
        <x:v>1772</x:v>
      </x:c>
      <x:c r="B356" s="20" t="s">
        <x:v>1772</x:v>
      </x:c>
      <x:c r="C356" s="20" t="s">
        <x:v>756</x:v>
      </x:c>
      <x:c r="D356" s="24">
        <x:v>9</x:v>
      </x:c>
      <x:c r="E356" s="24" t="s">
        <x:v>96</x:v>
      </x:c>
      <x:c r="F356" s="20" t="s">
        <x:v>90</x:v>
      </x:c>
      <x:c r="G356" s="26">
        <x:v>43558</x:v>
      </x:c>
      <x:c r="H356" s="24" t="s">
        <x:v>1773</x:v>
      </x:c>
      <x:c r="I356" s="28" t="s">
        <x:v>1774</x:v>
      </x:c>
      <x:c r="J356" s="29" t="s">
        <x:v>1775</x:v>
      </x:c>
    </x:row>
    <x:row r="357" ht="10.050000190734863" customHeight="1">
      <x:c r="A357" s="21" t="s">
        <x:v>1776</x:v>
      </x:c>
      <x:c r="B357" s="20" t="s">
        <x:v>1776</x:v>
      </x:c>
      <x:c r="C357" s="20" t="s">
        <x:v>1777</x:v>
      </x:c>
      <x:c r="D357" s="24">
        <x:v>11</x:v>
      </x:c>
      <x:c r="E357" s="24" t="s">
        <x:v>89</x:v>
      </x:c>
      <x:c r="F357" s="20" t="s">
        <x:v>90</x:v>
      </x:c>
      <x:c r="G357" s="26">
        <x:v>44822</x:v>
      </x:c>
      <x:c r="H357" s="24" t="s">
        <x:v>1778</x:v>
      </x:c>
      <x:c r="I357" s="28" t="s">
        <x:v>1779</x:v>
      </x:c>
      <x:c r="J357" s="29" t="s">
        <x:v>1780</x:v>
      </x:c>
    </x:row>
    <x:row r="358" ht="10.050000190734863" customHeight="1">
      <x:c r="A358" s="21" t="s">
        <x:v>1781</x:v>
      </x:c>
      <x:c r="B358" s="20" t="s">
        <x:v>1781</x:v>
      </x:c>
      <x:c r="C358" s="20" t="s">
        <x:v>1782</x:v>
      </x:c>
      <x:c r="D358" s="24">
        <x:v>10</x:v>
      </x:c>
      <x:c r="E358" s="24" t="s">
        <x:v>114</x:v>
      </x:c>
      <x:c r="F358" s="20" t="s">
        <x:v>90</x:v>
      </x:c>
      <x:c r="G358" s="26">
        <x:v>44952</x:v>
      </x:c>
      <x:c r="H358" s="24" t="s">
        <x:v>1783</x:v>
      </x:c>
      <x:c r="I358" s="28" t="s">
        <x:v>1784</x:v>
      </x:c>
      <x:c r="J358" s="29" t="s">
        <x:v>1785</x:v>
      </x:c>
    </x:row>
    <x:row r="359" ht="10.050000190734863" customHeight="1">
      <x:c r="A359" s="21" t="s">
        <x:v>1786</x:v>
      </x:c>
      <x:c r="B359" s="20" t="s">
        <x:v>1786</x:v>
      </x:c>
      <x:c r="C359" s="20" t="s">
        <x:v>1787</x:v>
      </x:c>
      <x:c r="D359" s="24">
        <x:v>11</x:v>
      </x:c>
      <x:c r="E359" s="24" t="s">
        <x:v>103</x:v>
      </x:c>
      <x:c r="F359" s="20" t="s">
        <x:v>97</x:v>
      </x:c>
      <x:c r="G359" s="26">
        <x:v>41856</x:v>
      </x:c>
      <x:c r="H359" s="24" t="s">
        <x:v>1788</x:v>
      </x:c>
      <x:c r="I359" s="28" t="s">
        <x:v>1789</x:v>
      </x:c>
      <x:c r="J359" s="29" t="s">
        <x:v>1790</x:v>
      </x:c>
    </x:row>
    <x:row r="360" ht="10.050000190734863" customHeight="1">
      <x:c r="A360" s="21" t="s">
        <x:v>1791</x:v>
      </x:c>
      <x:c r="B360" s="20" t="s">
        <x:v>1791</x:v>
      </x:c>
      <x:c r="C360" s="20" t="s">
        <x:v>1273</x:v>
      </x:c>
      <x:c r="D360" s="24">
        <x:v>15</x:v>
      </x:c>
      <x:c r="E360" s="24" t="s">
        <x:v>103</x:v>
      </x:c>
      <x:c r="F360" s="20" t="s">
        <x:v>97</x:v>
      </x:c>
      <x:c r="G360" s="26">
        <x:v>41614</x:v>
      </x:c>
      <x:c r="H360" s="24" t="s">
        <x:v>1792</x:v>
      </x:c>
      <x:c r="I360" s="28" t="s">
        <x:v>1793</x:v>
      </x:c>
      <x:c r="J360" s="29" t="s">
        <x:v>1794</x:v>
      </x:c>
    </x:row>
    <x:row r="361" ht="10.050000190734863" customHeight="1">
      <x:c r="A361" s="21" t="s">
        <x:v>1795</x:v>
      </x:c>
      <x:c r="B361" s="20" t="s">
        <x:v>1795</x:v>
      </x:c>
      <x:c r="C361" s="20" t="s">
        <x:v>1796</x:v>
      </x:c>
      <x:c r="D361" s="24">
        <x:v>2</x:v>
      </x:c>
      <x:c r="E361" s="24" t="s">
        <x:v>114</x:v>
      </x:c>
      <x:c r="F361" s="20" t="s">
        <x:v>126</x:v>
      </x:c>
      <x:c r="G361" s="26">
        <x:v>42753</x:v>
      </x:c>
      <x:c r="H361" s="24" t="s">
        <x:v>1797</x:v>
      </x:c>
      <x:c r="I361" s="28" t="s">
        <x:v>1798</x:v>
      </x:c>
      <x:c r="J361" s="29" t="s">
        <x:v>1799</x:v>
      </x:c>
    </x:row>
    <x:row r="362" ht="10.050000190734863" customHeight="1">
      <x:c r="A362" s="21" t="s">
        <x:v>1800</x:v>
      </x:c>
      <x:c r="B362" s="20" t="s">
        <x:v>1801</x:v>
      </x:c>
      <x:c r="C362" s="20" t="s">
        <x:v>1802</x:v>
      </x:c>
      <x:c r="D362" s="24">
        <x:v>5</x:v>
      </x:c>
      <x:c r="E362" s="24" t="s">
        <x:v>96</x:v>
      </x:c>
      <x:c r="F362" s="20" t="s">
        <x:v>97</x:v>
      </x:c>
      <x:c r="G362" s="26">
        <x:v>41644</x:v>
      </x:c>
      <x:c r="H362" s="24" t="s">
        <x:v>1803</x:v>
      </x:c>
      <x:c r="I362" s="28" t="s">
        <x:v>1804</x:v>
      </x:c>
      <x:c r="J362" s="29" t="s">
        <x:v>1805</x:v>
      </x:c>
    </x:row>
    <x:row r="363" ht="10.050000190734863" customHeight="1">
      <x:c r="A363" s="21" t="s">
        <x:v>1806</x:v>
      </x:c>
      <x:c r="B363" s="20" t="s">
        <x:v>1807</x:v>
      </x:c>
      <x:c r="C363" s="20" t="s">
        <x:v>1808</x:v>
      </x:c>
      <x:c r="D363" s="24">
        <x:v>22</x:v>
      </x:c>
      <x:c r="E363" s="24" t="s">
        <x:v>114</x:v>
      </x:c>
      <x:c r="F363" s="20" t="s">
        <x:v>90</x:v>
      </x:c>
      <x:c r="G363" s="26">
        <x:v>44449</x:v>
      </x:c>
      <x:c r="H363" s="24" t="s">
        <x:v>1809</x:v>
      </x:c>
      <x:c r="I363" s="28" t="s">
        <x:v>1810</x:v>
      </x:c>
      <x:c r="J363" s="29" t="s">
        <x:v>1811</x:v>
      </x:c>
    </x:row>
    <x:row r="364" ht="10.050000190734863" customHeight="1">
      <x:c r="A364" s="21" t="s">
        <x:v>1812</x:v>
      </x:c>
      <x:c r="B364" s="20" t="s">
        <x:v>1812</x:v>
      </x:c>
      <x:c r="C364" s="20" t="s">
        <x:v>1802</x:v>
      </x:c>
      <x:c r="D364" s="24">
        <x:v>8</x:v>
      </x:c>
      <x:c r="E364" s="24" t="s">
        <x:v>96</x:v>
      </x:c>
      <x:c r="F364" s="20" t="s">
        <x:v>97</x:v>
      </x:c>
      <x:c r="G364" s="26">
        <x:v>42334</x:v>
      </x:c>
      <x:c r="H364" s="24" t="s">
        <x:v>1813</x:v>
      </x:c>
      <x:c r="I364" s="28" t="s">
        <x:v>1814</x:v>
      </x:c>
      <x:c r="J364" s="29" t="s">
        <x:v>1815</x:v>
      </x:c>
    </x:row>
    <x:row r="365" ht="10.050000190734863" customHeight="1">
      <x:c r="A365" s="21" t="s">
        <x:v>1816</x:v>
      </x:c>
      <x:c r="B365" s="20" t="s">
        <x:v>1816</x:v>
      </x:c>
      <x:c r="C365" s="20" t="s">
        <x:v>102</x:v>
      </x:c>
      <x:c r="D365" s="24">
        <x:v>95</x:v>
      </x:c>
      <x:c r="E365" s="24" t="s">
        <x:v>114</x:v>
      </x:c>
      <x:c r="F365" s="20" t="s">
        <x:v>97</x:v>
      </x:c>
      <x:c r="G365" s="26">
        <x:v>42211</x:v>
      </x:c>
      <x:c r="H365" s="24" t="s">
        <x:v>1817</x:v>
      </x:c>
      <x:c r="I365" s="28" t="s">
        <x:v>1818</x:v>
      </x:c>
      <x:c r="J365" s="29" t="s">
        <x:v>1819</x:v>
      </x:c>
    </x:row>
    <x:row r="366" ht="10.050000190734863" customHeight="1">
      <x:c r="A366" s="21" t="s">
        <x:v>1820</x:v>
      </x:c>
      <x:c r="B366" s="20" t="s">
        <x:v>1820</x:v>
      </x:c>
      <x:c r="C366" s="20" t="s">
        <x:v>1821</x:v>
      </x:c>
      <x:c r="D366" s="24">
        <x:v>18</x:v>
      </x:c>
      <x:c r="E366" s="24" t="s">
        <x:v>103</x:v>
      </x:c>
      <x:c r="F366" s="20" t="s">
        <x:v>97</x:v>
      </x:c>
      <x:c r="G366" s="26">
        <x:v>42288</x:v>
      </x:c>
      <x:c r="H366" s="24" t="s">
        <x:v>1822</x:v>
      </x:c>
      <x:c r="I366" s="28" t="s">
        <x:v>1823</x:v>
      </x:c>
      <x:c r="J366" s="29" t="s">
        <x:v>1824</x:v>
      </x:c>
    </x:row>
    <x:row r="367" ht="10.050000190734863" customHeight="1">
      <x:c r="A367" s="21" t="s">
        <x:v>1825</x:v>
      </x:c>
      <x:c r="B367" s="20" t="s">
        <x:v>1825</x:v>
      </x:c>
      <x:c r="C367" s="20" t="s">
        <x:v>1826</x:v>
      </x:c>
      <x:c r="D367" s="24">
        <x:v>36</x:v>
      </x:c>
      <x:c r="E367" s="24" t="s">
        <x:v>96</x:v>
      </x:c>
      <x:c r="F367" s="20" t="s">
        <x:v>610</x:v>
      </x:c>
      <x:c r="G367" s="26">
        <x:v>42654</x:v>
      </x:c>
      <x:c r="H367" s="24" t="s">
        <x:v>1827</x:v>
      </x:c>
      <x:c r="I367" s="28" t="s">
        <x:v>1828</x:v>
      </x:c>
      <x:c r="J367" s="29" t="s">
        <x:v>1829</x:v>
      </x:c>
    </x:row>
    <x:row r="368" ht="10.050000190734863" customHeight="1">
      <x:c r="A368" s="21" t="s">
        <x:v>1830</x:v>
      </x:c>
      <x:c r="B368" s="20" t="s">
        <x:v>1830</x:v>
      </x:c>
      <x:c r="C368" s="20" t="s">
        <x:v>1831</x:v>
      </x:c>
      <x:c r="D368" s="24">
        <x:v>18</x:v>
      </x:c>
      <x:c r="E368" s="24" t="s">
        <x:v>198</x:v>
      </x:c>
      <x:c r="F368" s="20" t="s">
        <x:v>90</x:v>
      </x:c>
      <x:c r="G368" s="26">
        <x:v>44156</x:v>
      </x:c>
      <x:c r="H368" s="24" t="s">
        <x:v>1832</x:v>
      </x:c>
      <x:c r="I368" s="28" t="s">
        <x:v>1833</x:v>
      </x:c>
      <x:c r="J368" s="29" t="s">
        <x:v>1834</x:v>
      </x:c>
    </x:row>
    <x:row r="369" ht="10.050000190734863" customHeight="1">
      <x:c r="A369" s="21" t="s">
        <x:v>1835</x:v>
      </x:c>
      <x:c r="B369" s="20" t="s">
        <x:v>1835</x:v>
      </x:c>
      <x:c r="C369" s="20" t="s">
        <x:v>1836</x:v>
      </x:c>
      <x:c r="D369" s="24">
        <x:v>13</x:v>
      </x:c>
      <x:c r="E369" s="24" t="s">
        <x:v>89</x:v>
      </x:c>
      <x:c r="F369" s="20" t="s">
        <x:v>90</x:v>
      </x:c>
      <x:c r="G369" s="26">
        <x:v>45262</x:v>
      </x:c>
      <x:c r="H369" s="24" t="s">
        <x:v>1837</x:v>
      </x:c>
      <x:c r="I369" s="28" t="s">
        <x:v>1838</x:v>
      </x:c>
      <x:c r="J369" s="29" t="s">
        <x:v>1839</x:v>
      </x:c>
    </x:row>
    <x:row r="370" ht="10.050000190734863" customHeight="1">
      <x:c r="A370" s="21" t="s">
        <x:v>1840</x:v>
      </x:c>
      <x:c r="B370" s="20" t="s">
        <x:v>1840</x:v>
      </x:c>
      <x:c r="C370" s="20" t="s">
        <x:v>1841</x:v>
      </x:c>
      <x:c r="D370" s="24">
        <x:v>4</x:v>
      </x:c>
      <x:c r="E370" s="24" t="s">
        <x:v>103</x:v>
      </x:c>
      <x:c r="F370" s="20" t="s">
        <x:v>97</x:v>
      </x:c>
      <x:c r="G370" s="26">
        <x:v>43035</x:v>
      </x:c>
      <x:c r="H370" s="24" t="s">
        <x:v>1842</x:v>
      </x:c>
      <x:c r="I370" s="28" t="s">
        <x:v>1843</x:v>
      </x:c>
      <x:c r="J370" s="29" t="s">
        <x:v>1844</x:v>
      </x:c>
    </x:row>
    <x:row r="371" ht="10.050000190734863" customHeight="1">
      <x:c r="A371" s="21" t="s">
        <x:v>1845</x:v>
      </x:c>
      <x:c r="B371" s="20" t="s">
        <x:v>1845</x:v>
      </x:c>
      <x:c r="C371" s="20" t="s">
        <x:v>1846</x:v>
      </x:c>
      <x:c r="D371" s="24">
        <x:v>8</x:v>
      </x:c>
      <x:c r="E371" s="24" t="s">
        <x:v>96</x:v>
      </x:c>
      <x:c r="F371" s="20" t="s">
        <x:v>97</x:v>
      </x:c>
      <x:c r="G371" s="26">
        <x:v>44724</x:v>
      </x:c>
      <x:c r="H371" s="24" t="s">
        <x:v>1847</x:v>
      </x:c>
      <x:c r="I371" s="28" t="s">
        <x:v>1848</x:v>
      </x:c>
      <x:c r="J371" s="29" t="s">
        <x:v>1849</x:v>
      </x:c>
    </x:row>
    <x:row r="372" ht="10.050000190734863" customHeight="1">
      <x:c r="A372" s="21" t="s">
        <x:v>1850</x:v>
      </x:c>
      <x:c r="B372" s="20" t="s">
        <x:v>1850</x:v>
      </x:c>
      <x:c r="C372" s="20" t="s">
        <x:v>1851</x:v>
      </x:c>
      <x:c r="D372" s="24">
        <x:v>1</x:v>
      </x:c>
      <x:c r="E372" s="24" t="s">
        <x:v>89</x:v>
      </x:c>
      <x:c r="F372" s="20" t="s">
        <x:v>610</x:v>
      </x:c>
      <x:c r="G372" s="26">
        <x:v>41710</x:v>
      </x:c>
      <x:c r="H372" s="24" t="s">
        <x:v>1852</x:v>
      </x:c>
      <x:c r="I372" s="28" t="s">
        <x:v>1853</x:v>
      </x:c>
      <x:c r="J372" s="29" t="s">
        <x:v>1854</x:v>
      </x:c>
    </x:row>
    <x:row r="373" ht="10.050000190734863" customHeight="1">
      <x:c r="A373" s="21" t="s">
        <x:v>1855</x:v>
      </x:c>
      <x:c r="B373" s="20" t="s">
        <x:v>1855</x:v>
      </x:c>
      <x:c r="C373" s="20" t="s">
        <x:v>1856</x:v>
      </x:c>
      <x:c r="D373" s="24">
        <x:v>16</x:v>
      </x:c>
      <x:c r="E373" s="24" t="s">
        <x:v>89</x:v>
      </x:c>
      <x:c r="F373" s="20" t="s">
        <x:v>90</x:v>
      </x:c>
      <x:c r="G373" s="26">
        <x:v>43424</x:v>
      </x:c>
      <x:c r="H373" s="24" t="s">
        <x:v>1857</x:v>
      </x:c>
      <x:c r="I373" s="28" t="s">
        <x:v>1858</x:v>
      </x:c>
      <x:c r="J373" s="29" t="s">
        <x:v>1859</x:v>
      </x:c>
    </x:row>
    <x:row r="374" ht="10.050000190734863" customHeight="1">
      <x:c r="A374" s="21" t="s">
        <x:v>1860</x:v>
      </x:c>
      <x:c r="B374" s="20" t="s">
        <x:v>1860</x:v>
      </x:c>
      <x:c r="C374" s="20" t="s">
        <x:v>1861</x:v>
      </x:c>
      <x:c r="D374" s="24">
        <x:v>4</x:v>
      </x:c>
      <x:c r="E374" s="24" t="s">
        <x:v>198</x:v>
      </x:c>
      <x:c r="F374" s="20" t="s">
        <x:v>90</x:v>
      </x:c>
      <x:c r="G374" s="26">
        <x:v>45230</x:v>
      </x:c>
      <x:c r="H374" s="24" t="s">
        <x:v>1862</x:v>
      </x:c>
      <x:c r="I374" s="28" t="s">
        <x:v>1863</x:v>
      </x:c>
      <x:c r="J374" s="29" t="s">
        <x:v>1864</x:v>
      </x:c>
    </x:row>
    <x:row r="375" ht="10.050000190734863" customHeight="1">
      <x:c r="A375" s="21" t="s">
        <x:v>1865</x:v>
      </x:c>
      <x:c r="B375" s="20" t="s">
        <x:v>1865</x:v>
      </x:c>
      <x:c r="C375" s="20" t="s">
        <x:v>880</x:v>
      </x:c>
      <x:c r="D375" s="24">
        <x:v>23</x:v>
      </x:c>
      <x:c r="E375" s="24" t="s">
        <x:v>198</x:v>
      </x:c>
      <x:c r="F375" s="20" t="s">
        <x:v>90</x:v>
      </x:c>
      <x:c r="G375" s="26">
        <x:v>46219</x:v>
      </x:c>
      <x:c r="H375" s="24" t="s">
        <x:v>1866</x:v>
      </x:c>
      <x:c r="I375" s="28" t="s">
        <x:v>1867</x:v>
      </x:c>
      <x:c r="J375" s="29" t="s">
        <x:v>1868</x:v>
      </x:c>
    </x:row>
    <x:row r="376" ht="10.050000190734863" customHeight="1">
      <x:c r="A376" s="21" t="s">
        <x:v>1869</x:v>
      </x:c>
      <x:c r="B376" s="20" t="s">
        <x:v>1869</x:v>
      </x:c>
      <x:c r="C376" s="20" t="s">
        <x:v>1870</x:v>
      </x:c>
      <x:c r="D376" s="24">
        <x:v>27</x:v>
      </x:c>
      <x:c r="E376" s="24" t="s">
        <x:v>89</x:v>
      </x:c>
      <x:c r="F376" s="20" t="s">
        <x:v>90</x:v>
      </x:c>
      <x:c r="G376" s="26">
        <x:v>44413</x:v>
      </x:c>
      <x:c r="H376" s="24" t="s">
        <x:v>1871</x:v>
      </x:c>
      <x:c r="I376" s="28" t="s">
        <x:v>1872</x:v>
      </x:c>
      <x:c r="J376" s="29" t="s">
        <x:v>1873</x:v>
      </x:c>
    </x:row>
    <x:row r="377" ht="10.050000190734863" customHeight="1">
      <x:c r="A377" s="21" t="s">
        <x:v>1874</x:v>
      </x:c>
      <x:c r="B377" s="20" t="s">
        <x:v>1874</x:v>
      </x:c>
      <x:c r="C377" s="20" t="s">
        <x:v>1875</x:v>
      </x:c>
      <x:c r="D377" s="24">
        <x:v>45</x:v>
      </x:c>
      <x:c r="E377" s="24" t="s">
        <x:v>198</x:v>
      </x:c>
      <x:c r="F377" s="20" t="s">
        <x:v>90</x:v>
      </x:c>
      <x:c r="G377" s="26">
        <x:v>45836</x:v>
      </x:c>
      <x:c r="H377" s="24" t="s">
        <x:v>1876</x:v>
      </x:c>
      <x:c r="I377" s="28" t="s">
        <x:v>1877</x:v>
      </x:c>
      <x:c r="J377" s="29" t="s">
        <x:v>1878</x:v>
      </x:c>
    </x:row>
    <x:row r="378" ht="10.050000190734863" customHeight="1">
      <x:c r="A378" s="21" t="s">
        <x:v>1879</x:v>
      </x:c>
      <x:c r="B378" s="20" t="s">
        <x:v>1879</x:v>
      </x:c>
      <x:c r="C378" s="20" t="s">
        <x:v>1880</x:v>
      </x:c>
      <x:c r="D378" s="24">
        <x:v>23</x:v>
      </x:c>
      <x:c r="E378" s="24" t="s">
        <x:v>198</x:v>
      </x:c>
      <x:c r="F378" s="20" t="s">
        <x:v>90</x:v>
      </x:c>
      <x:c r="G378" s="26">
        <x:v>45484</x:v>
      </x:c>
      <x:c r="H378" s="24" t="s">
        <x:v>1881</x:v>
      </x:c>
      <x:c r="I378" s="28" t="s">
        <x:v>1882</x:v>
      </x:c>
      <x:c r="J378" s="29" t="s">
        <x:v>1883</x:v>
      </x:c>
    </x:row>
    <x:row r="379" ht="10.050000190734863" customHeight="1">
      <x:c r="A379" s="21" t="s">
        <x:v>1884</x:v>
      </x:c>
      <x:c r="B379" s="20" t="s">
        <x:v>1884</x:v>
      </x:c>
      <x:c r="C379" s="20" t="s">
        <x:v>1885</x:v>
      </x:c>
      <x:c r="D379" s="24">
        <x:v>14</x:v>
      </x:c>
      <x:c r="E379" s="24" t="s">
        <x:v>198</x:v>
      </x:c>
      <x:c r="F379" s="20" t="s">
        <x:v>90</x:v>
      </x:c>
      <x:c r="G379" s="26">
        <x:v>45587</x:v>
      </x:c>
      <x:c r="H379" s="24" t="s">
        <x:v>1886</x:v>
      </x:c>
      <x:c r="I379" s="28" t="s">
        <x:v>1887</x:v>
      </x:c>
      <x:c r="J379" s="29" t="s">
        <x:v>1888</x:v>
      </x:c>
    </x:row>
    <x:row r="380" ht="10.050000190734863" customHeight="1">
      <x:c r="A380" s="21" t="s">
        <x:v>1889</x:v>
      </x:c>
      <x:c r="B380" s="20" t="s">
        <x:v>1889</x:v>
      </x:c>
      <x:c r="C380" s="20" t="s">
        <x:v>1751</x:v>
      </x:c>
      <x:c r="D380" s="24">
        <x:v>102</x:v>
      </x:c>
      <x:c r="E380" s="24" t="s">
        <x:v>96</x:v>
      </x:c>
      <x:c r="F380" s="20" t="s">
        <x:v>97</x:v>
      </x:c>
      <x:c r="G380" s="26">
        <x:v>46204</x:v>
      </x:c>
      <x:c r="H380" s="24" t="s">
        <x:v>1890</x:v>
      </x:c>
      <x:c r="I380" s="28" t="s">
        <x:v>1891</x:v>
      </x:c>
      <x:c r="J380" s="29" t="s">
        <x:v>1892</x:v>
      </x:c>
    </x:row>
    <x:row r="381" ht="10.050000190734863" customHeight="1">
      <x:c r="A381" s="21" t="s">
        <x:v>1893</x:v>
      </x:c>
      <x:c r="B381" s="20" t="s">
        <x:v>1893</x:v>
      </x:c>
      <x:c r="C381" s="20" t="s">
        <x:v>1751</x:v>
      </x:c>
      <x:c r="D381" s="24">
        <x:v>120</x:v>
      </x:c>
      <x:c r="E381" s="24" t="s">
        <x:v>96</x:v>
      </x:c>
      <x:c r="F381" s="20" t="s">
        <x:v>97</x:v>
      </x:c>
      <x:c r="G381" s="26">
        <x:v>46215</x:v>
      </x:c>
      <x:c r="H381" s="24" t="s">
        <x:v>1894</x:v>
      </x:c>
      <x:c r="I381" s="28" t="s">
        <x:v>1895</x:v>
      </x:c>
      <x:c r="J381" s="29" t="s">
        <x:v>1896</x:v>
      </x:c>
    </x:row>
    <x:row r="382" ht="10.050000190734863" customHeight="1">
      <x:c r="A382" s="21" t="s">
        <x:v>1897</x:v>
      </x:c>
      <x:c r="B382" s="20" t="s">
        <x:v>1897</x:v>
      </x:c>
      <x:c r="C382" s="20" t="s">
        <x:v>1898</x:v>
      </x:c>
      <x:c r="D382" s="24">
        <x:v>10</x:v>
      </x:c>
      <x:c r="E382" s="24" t="s">
        <x:v>89</x:v>
      </x:c>
      <x:c r="F382" s="20" t="s">
        <x:v>90</x:v>
      </x:c>
      <x:c r="G382" s="26">
        <x:v>45867</x:v>
      </x:c>
      <x:c r="H382" s="24" t="s">
        <x:v>1899</x:v>
      </x:c>
      <x:c r="I382" s="28" t="s">
        <x:v>1900</x:v>
      </x:c>
      <x:c r="J382" s="29" t="s">
        <x:v>1901</x:v>
      </x:c>
    </x:row>
    <x:row r="383" ht="10.050000190734863" customHeight="1">
      <x:c r="A383" s="21" t="s">
        <x:v>1902</x:v>
      </x:c>
      <x:c r="B383" s="20" t="s">
        <x:v>1902</x:v>
      </x:c>
      <x:c r="C383" s="20" t="s">
        <x:v>1898</x:v>
      </x:c>
      <x:c r="D383" s="24">
        <x:v>14</x:v>
      </x:c>
      <x:c r="E383" s="24" t="s">
        <x:v>89</x:v>
      </x:c>
      <x:c r="F383" s="20" t="s">
        <x:v>90</x:v>
      </x:c>
      <x:c r="G383" s="26">
        <x:v>46007</x:v>
      </x:c>
      <x:c r="H383" s="24" t="s">
        <x:v>1903</x:v>
      </x:c>
      <x:c r="I383" s="28" t="s">
        <x:v>1904</x:v>
      </x:c>
      <x:c r="J383" s="29" t="s">
        <x:v>1905</x:v>
      </x:c>
    </x:row>
    <x:row r="384" ht="10.050000190734863" customHeight="1">
      <x:c r="A384" s="21" t="s">
        <x:v>1906</x:v>
      </x:c>
      <x:c r="B384" s="20" t="s">
        <x:v>1906</x:v>
      </x:c>
      <x:c r="C384" s="20" t="s">
        <x:v>1907</x:v>
      </x:c>
      <x:c r="D384" s="24">
        <x:v>15</x:v>
      </x:c>
      <x:c r="E384" s="24" t="s">
        <x:v>198</x:v>
      </x:c>
      <x:c r="F384" s="20" t="s">
        <x:v>90</x:v>
      </x:c>
      <x:c r="G384" s="26">
        <x:v>45120</x:v>
      </x:c>
      <x:c r="H384" s="24" t="s">
        <x:v>1908</x:v>
      </x:c>
      <x:c r="I384" s="28" t="s">
        <x:v>1909</x:v>
      </x:c>
      <x:c r="J384" s="29" t="s">
        <x:v>1910</x:v>
      </x:c>
    </x:row>
    <x:row r="385" ht="10.050000190734863" customHeight="1">
      <x:c r="A385" s="21" t="s">
        <x:v>1911</x:v>
      </x:c>
      <x:c r="B385" s="20" t="s">
        <x:v>1911</x:v>
      </x:c>
      <x:c r="C385" s="20" t="s">
        <x:v>1912</x:v>
      </x:c>
      <x:c r="D385" s="24">
        <x:v>22</x:v>
      </x:c>
      <x:c r="E385" s="24" t="s">
        <x:v>198</x:v>
      </x:c>
      <x:c r="F385" s="20" t="s">
        <x:v>90</x:v>
      </x:c>
      <x:c r="G385" s="26">
        <x:v>44378</x:v>
      </x:c>
      <x:c r="H385" s="24" t="s">
        <x:v>1913</x:v>
      </x:c>
      <x:c r="I385" s="28" t="s">
        <x:v>1914</x:v>
      </x:c>
      <x:c r="J385" s="29" t="s">
        <x:v>1915</x:v>
      </x:c>
    </x:row>
    <x:row r="386" ht="10.050000190734863" customHeight="1">
      <x:c r="A386" s="21" t="s">
        <x:v>1916</x:v>
      </x:c>
      <x:c r="B386" s="20" t="s">
        <x:v>1916</x:v>
      </x:c>
      <x:c r="C386" s="20" t="s">
        <x:v>491</x:v>
      </x:c>
      <x:c r="D386" s="24">
        <x:v>11</x:v>
      </x:c>
      <x:c r="E386" s="24" t="s">
        <x:v>89</x:v>
      </x:c>
      <x:c r="F386" s="20" t="s">
        <x:v>90</x:v>
      </x:c>
      <x:c r="G386" s="26">
        <x:v>44861</x:v>
      </x:c>
      <x:c r="H386" s="24" t="s">
        <x:v>1917</x:v>
      </x:c>
      <x:c r="I386" s="28" t="s">
        <x:v>1918</x:v>
      </x:c>
      <x:c r="J386" s="29" t="s">
        <x:v>1919</x:v>
      </x:c>
    </x:row>
    <x:row r="387" ht="10.050000190734863" customHeight="1">
      <x:c r="A387" s="21" t="s">
        <x:v>1920</x:v>
      </x:c>
      <x:c r="B387" s="20" t="s">
        <x:v>1920</x:v>
      </x:c>
      <x:c r="C387" s="20" t="s">
        <x:v>1921</x:v>
      </x:c>
      <x:c r="D387" s="24">
        <x:v>8</x:v>
      </x:c>
      <x:c r="E387" s="24" t="s">
        <x:v>198</x:v>
      </x:c>
      <x:c r="F387" s="20" t="s">
        <x:v>90</x:v>
      </x:c>
      <x:c r="G387" s="26">
        <x:v>44330</x:v>
      </x:c>
      <x:c r="H387" s="24" t="s">
        <x:v>1922</x:v>
      </x:c>
      <x:c r="I387" s="28" t="s">
        <x:v>1923</x:v>
      </x:c>
      <x:c r="J387" s="29" t="s">
        <x:v>1924</x:v>
      </x:c>
    </x:row>
    <x:row r="388" ht="10.050000190734863" customHeight="1">
      <x:c r="A388" s="21" t="s">
        <x:v>1925</x:v>
      </x:c>
      <x:c r="B388" s="20" t="s">
        <x:v>1925</x:v>
      </x:c>
      <x:c r="C388" s="20" t="s">
        <x:v>1921</x:v>
      </x:c>
      <x:c r="D388" s="24">
        <x:v>9</x:v>
      </x:c>
      <x:c r="E388" s="24" t="s">
        <x:v>198</x:v>
      </x:c>
      <x:c r="F388" s="20" t="s">
        <x:v>90</x:v>
      </x:c>
      <x:c r="G388" s="26">
        <x:v>44373</x:v>
      </x:c>
      <x:c r="H388" s="24" t="s">
        <x:v>1926</x:v>
      </x:c>
      <x:c r="I388" s="28" t="s">
        <x:v>1927</x:v>
      </x:c>
      <x:c r="J388" s="29" t="s">
        <x:v>1928</x:v>
      </x:c>
    </x:row>
    <x:row r="389" ht="10.050000190734863" customHeight="1">
      <x:c r="A389" s="21" t="s">
        <x:v>1929</x:v>
      </x:c>
      <x:c r="B389" s="20" t="s">
        <x:v>1929</x:v>
      </x:c>
      <x:c r="C389" s="20" t="s">
        <x:v>1921</x:v>
      </x:c>
      <x:c r="D389" s="24">
        <x:v>12</x:v>
      </x:c>
      <x:c r="E389" s="24" t="s">
        <x:v>198</x:v>
      </x:c>
      <x:c r="F389" s="20" t="s">
        <x:v>90</x:v>
      </x:c>
      <x:c r="G389" s="26">
        <x:v>44724</x:v>
      </x:c>
      <x:c r="H389" s="24" t="s">
        <x:v>1930</x:v>
      </x:c>
      <x:c r="I389" s="28" t="s">
        <x:v>1931</x:v>
      </x:c>
      <x:c r="J389" s="29" t="s">
        <x:v>1932</x:v>
      </x:c>
    </x:row>
    <x:row r="390" ht="10.050000190734863" customHeight="1">
      <x:c r="A390" s="21" t="s">
        <x:v>1933</x:v>
      </x:c>
      <x:c r="B390" s="20" t="s">
        <x:v>1933</x:v>
      </x:c>
      <x:c r="C390" s="20" t="s">
        <x:v>1921</x:v>
      </x:c>
      <x:c r="D390" s="24">
        <x:v>13</x:v>
      </x:c>
      <x:c r="E390" s="24" t="s">
        <x:v>198</x:v>
      </x:c>
      <x:c r="F390" s="20" t="s">
        <x:v>90</x:v>
      </x:c>
      <x:c r="G390" s="26">
        <x:v>45150</x:v>
      </x:c>
      <x:c r="H390" s="24" t="s">
        <x:v>1934</x:v>
      </x:c>
      <x:c r="I390" s="28" t="s">
        <x:v>1935</x:v>
      </x:c>
      <x:c r="J390" s="29" t="s">
        <x:v>1936</x:v>
      </x:c>
    </x:row>
    <x:row r="391" ht="10.050000190734863" customHeight="1">
      <x:c r="A391" s="21" t="s">
        <x:v>1937</x:v>
      </x:c>
      <x:c r="B391" s="20" t="s">
        <x:v>1937</x:v>
      </x:c>
      <x:c r="C391" s="20" t="s">
        <x:v>1921</x:v>
      </x:c>
      <x:c r="D391" s="24">
        <x:v>23</x:v>
      </x:c>
      <x:c r="E391" s="24" t="s">
        <x:v>114</x:v>
      </x:c>
      <x:c r="F391" s="20" t="s">
        <x:v>90</x:v>
      </x:c>
      <x:c r="G391" s="26">
        <x:v>45522</x:v>
      </x:c>
      <x:c r="H391" s="24" t="s">
        <x:v>1938</x:v>
      </x:c>
      <x:c r="I391" s="28" t="s">
        <x:v>1939</x:v>
      </x:c>
      <x:c r="J391" s="29" t="s">
        <x:v>1940</x:v>
      </x:c>
    </x:row>
    <x:row r="392" ht="10.050000190734863" customHeight="1">
      <x:c r="A392" s="21" t="s">
        <x:v>1941</x:v>
      </x:c>
      <x:c r="B392" s="20" t="s">
        <x:v>1941</x:v>
      </x:c>
      <x:c r="C392" s="20" t="s">
        <x:v>1942</x:v>
      </x:c>
      <x:c r="D392" s="24">
        <x:v>10</x:v>
      </x:c>
      <x:c r="E392" s="24" t="s">
        <x:v>89</x:v>
      </x:c>
      <x:c r="F392" s="20" t="s">
        <x:v>90</x:v>
      </x:c>
      <x:c r="G392" s="26">
        <x:v>45567</x:v>
      </x:c>
      <x:c r="H392" s="24" t="s">
        <x:v>1943</x:v>
      </x:c>
      <x:c r="I392" s="28" t="s">
        <x:v>1944</x:v>
      </x:c>
      <x:c r="J392" s="29" t="s">
        <x:v>1945</x:v>
      </x:c>
    </x:row>
    <x:row r="393" ht="10.050000190734863" customHeight="1">
      <x:c r="A393" s="21" t="s">
        <x:v>1946</x:v>
      </x:c>
      <x:c r="B393" s="20" t="s">
        <x:v>1946</x:v>
      </x:c>
      <x:c r="C393" s="20" t="s">
        <x:v>1942</x:v>
      </x:c>
      <x:c r="D393" s="24">
        <x:v>14</x:v>
      </x:c>
      <x:c r="E393" s="24" t="s">
        <x:v>89</x:v>
      </x:c>
      <x:c r="F393" s="20" t="s">
        <x:v>90</x:v>
      </x:c>
      <x:c r="G393" s="26">
        <x:v>44249</x:v>
      </x:c>
      <x:c r="H393" s="24" t="s">
        <x:v>1947</x:v>
      </x:c>
      <x:c r="I393" s="28" t="s">
        <x:v>1948</x:v>
      </x:c>
      <x:c r="J393" s="29" t="s">
        <x:v>1949</x:v>
      </x:c>
    </x:row>
    <x:row r="394" ht="10.050000190734863" customHeight="1">
      <x:c r="A394" s="21" t="s">
        <x:v>1950</x:v>
      </x:c>
      <x:c r="B394" s="20" t="s">
        <x:v>1950</x:v>
      </x:c>
      <x:c r="C394" s="20" t="s">
        <x:v>1942</x:v>
      </x:c>
      <x:c r="D394" s="24">
        <x:v>15</x:v>
      </x:c>
      <x:c r="E394" s="24" t="s">
        <x:v>89</x:v>
      </x:c>
      <x:c r="F394" s="20" t="s">
        <x:v>90</x:v>
      </x:c>
      <x:c r="G394" s="26">
        <x:v>44698</x:v>
      </x:c>
      <x:c r="H394" s="24" t="s">
        <x:v>1951</x:v>
      </x:c>
      <x:c r="I394" s="28" t="s">
        <x:v>1952</x:v>
      </x:c>
      <x:c r="J394" s="29" t="s">
        <x:v>1953</x:v>
      </x:c>
    </x:row>
    <x:row r="395" ht="10.050000190734863" customHeight="1">
      <x:c r="A395" s="21" t="s">
        <x:v>1954</x:v>
      </x:c>
      <x:c r="B395" s="20" t="s">
        <x:v>1954</x:v>
      </x:c>
      <x:c r="C395" s="20" t="s">
        <x:v>1955</x:v>
      </x:c>
      <x:c r="D395" s="24">
        <x:v>10</x:v>
      </x:c>
      <x:c r="E395" s="24" t="s">
        <x:v>198</x:v>
      </x:c>
      <x:c r="F395" s="20" t="s">
        <x:v>90</x:v>
      </x:c>
      <x:c r="G395" s="26">
        <x:v>45914</x:v>
      </x:c>
      <x:c r="H395" s="24" t="s">
        <x:v>1956</x:v>
      </x:c>
      <x:c r="I395" s="28" t="s">
        <x:v>1957</x:v>
      </x:c>
      <x:c r="J395" s="29" t="s">
        <x:v>1958</x:v>
      </x:c>
    </x:row>
    <x:row r="396" ht="10.050000190734863" customHeight="1">
      <x:c r="A396" s="21" t="s">
        <x:v>1959</x:v>
      </x:c>
      <x:c r="B396" s="20" t="s">
        <x:v>1959</x:v>
      </x:c>
      <x:c r="C396" s="20" t="s">
        <x:v>1613</x:v>
      </x:c>
      <x:c r="D396" s="24">
        <x:v>0</x:v>
      </x:c>
      <x:c r="E396" s="24" t="s">
        <x:v>96</x:v>
      </x:c>
      <x:c r="F396" s="20" t="s">
        <x:v>97</x:v>
      </x:c>
      <x:c r="G396" s="26">
        <x:v>45747</x:v>
      </x:c>
      <x:c r="H396" s="24" t="s">
        <x:v>1960</x:v>
      </x:c>
      <x:c r="I396" s="28" t="s">
        <x:v>1961</x:v>
      </x:c>
      <x:c r="J396" s="29" t="s">
        <x:v>1962</x:v>
      </x:c>
    </x:row>
    <x:row r="397" ht="10.050000190734863" customHeight="1">
      <x:c r="A397" s="21" t="s">
        <x:v>1963</x:v>
      </x:c>
      <x:c r="B397" s="20" t="s">
        <x:v>1963</x:v>
      </x:c>
      <x:c r="C397" s="20" t="s">
        <x:v>1964</x:v>
      </x:c>
      <x:c r="D397" s="24">
        <x:v>9</x:v>
      </x:c>
      <x:c r="E397" s="24" t="s">
        <x:v>198</x:v>
      </x:c>
      <x:c r="F397" s="20" t="s">
        <x:v>90</x:v>
      </x:c>
      <x:c r="G397" s="26">
        <x:v>44879</x:v>
      </x:c>
      <x:c r="H397" s="24" t="s">
        <x:v>1965</x:v>
      </x:c>
      <x:c r="I397" s="28" t="s">
        <x:v>1966</x:v>
      </x:c>
      <x:c r="J397" s="29" t="s">
        <x:v>1967</x:v>
      </x:c>
    </x:row>
    <x:row r="398" ht="10.050000190734863" customHeight="1">
      <x:c r="A398" s="21" t="s">
        <x:v>1968</x:v>
      </x:c>
      <x:c r="B398" s="20" t="s">
        <x:v>1968</x:v>
      </x:c>
      <x:c r="C398" s="20" t="s">
        <x:v>1969</x:v>
      </x:c>
      <x:c r="D398" s="24">
        <x:v>8</x:v>
      </x:c>
      <x:c r="E398" s="24" t="s">
        <x:v>114</x:v>
      </x:c>
      <x:c r="F398" s="20" t="s">
        <x:v>90</x:v>
      </x:c>
      <x:c r="G398" s="26">
        <x:v>44729</x:v>
      </x:c>
      <x:c r="H398" s="24" t="s">
        <x:v>1970</x:v>
      </x:c>
      <x:c r="I398" s="28" t="s">
        <x:v>1971</x:v>
      </x:c>
      <x:c r="J398" s="29" t="s">
        <x:v>1972</x:v>
      </x:c>
    </x:row>
    <x:row r="399" ht="10.050000190734863" customHeight="1">
      <x:c r="A399" s="21" t="s">
        <x:v>1973</x:v>
      </x:c>
      <x:c r="B399" s="20" t="s">
        <x:v>1973</x:v>
      </x:c>
      <x:c r="C399" s="20" t="s">
        <x:v>1969</x:v>
      </x:c>
      <x:c r="D399" s="24">
        <x:v>10</x:v>
      </x:c>
      <x:c r="E399" s="24" t="s">
        <x:v>114</x:v>
      </x:c>
      <x:c r="F399" s="20" t="s">
        <x:v>90</x:v>
      </x:c>
      <x:c r="G399" s="26">
        <x:v>44529</x:v>
      </x:c>
      <x:c r="H399" s="24" t="s">
        <x:v>1974</x:v>
      </x:c>
      <x:c r="I399" s="28" t="s">
        <x:v>1975</x:v>
      </x:c>
      <x:c r="J399" s="29" t="s">
        <x:v>1976</x:v>
      </x:c>
    </x:row>
    <x:row r="400" ht="10.050000190734863" customHeight="1">
      <x:c r="A400" s="21" t="s">
        <x:v>1977</x:v>
      </x:c>
      <x:c r="B400" s="20" t="s">
        <x:v>1977</x:v>
      </x:c>
      <x:c r="C400" s="20" t="s">
        <x:v>1969</x:v>
      </x:c>
      <x:c r="D400" s="24">
        <x:v>8</x:v>
      </x:c>
      <x:c r="E400" s="24" t="s">
        <x:v>114</x:v>
      </x:c>
      <x:c r="F400" s="20" t="s">
        <x:v>90</x:v>
      </x:c>
      <x:c r="G400" s="26">
        <x:v>44832</x:v>
      </x:c>
      <x:c r="H400" s="24" t="s">
        <x:v>1978</x:v>
      </x:c>
      <x:c r="I400" s="28" t="s">
        <x:v>1979</x:v>
      </x:c>
      <x:c r="J400" s="29" t="s">
        <x:v>1980</x:v>
      </x:c>
    </x:row>
    <x:row r="401" ht="10.050000190734863" customHeight="1">
      <x:c r="A401" s="21" t="s">
        <x:v>1981</x:v>
      </x:c>
      <x:c r="B401" s="20" t="s">
        <x:v>1981</x:v>
      </x:c>
      <x:c r="C401" s="20" t="s">
        <x:v>1982</x:v>
      </x:c>
      <x:c r="D401" s="24">
        <x:v>17</x:v>
      </x:c>
      <x:c r="E401" s="24" t="s">
        <x:v>96</x:v>
      </x:c>
      <x:c r="F401" s="20" t="s">
        <x:v>97</x:v>
      </x:c>
      <x:c r="G401" s="26">
        <x:v>45494</x:v>
      </x:c>
      <x:c r="H401" s="24" t="s">
        <x:v>1983</x:v>
      </x:c>
      <x:c r="I401" s="28" t="s">
        <x:v>1984</x:v>
      </x:c>
      <x:c r="J401" s="29" t="s">
        <x:v>1985</x:v>
      </x:c>
    </x:row>
    <x:row r="402" ht="10.050000190734863" customHeight="1">
      <x:c r="A402" s="21" t="s">
        <x:v>1986</x:v>
      </x:c>
      <x:c r="B402" s="20" t="s">
        <x:v>1986</x:v>
      </x:c>
      <x:c r="C402" s="20" t="s">
        <x:v>1942</x:v>
      </x:c>
      <x:c r="D402" s="24">
        <x:v>22</x:v>
      </x:c>
      <x:c r="E402" s="24" t="s">
        <x:v>198</x:v>
      </x:c>
      <x:c r="F402" s="20" t="s">
        <x:v>90</x:v>
      </x:c>
      <x:c r="G402" s="26">
        <x:v>44154</x:v>
      </x:c>
      <x:c r="H402" s="24" t="s">
        <x:v>1987</x:v>
      </x:c>
      <x:c r="I402" s="28" t="s">
        <x:v>1988</x:v>
      </x:c>
      <x:c r="J402" s="29" t="s">
        <x:v>1989</x:v>
      </x:c>
    </x:row>
    <x:row r="403" ht="10.050000190734863" customHeight="1">
      <x:c r="A403" s="21" t="s">
        <x:v>1990</x:v>
      </x:c>
      <x:c r="B403" s="20" t="s">
        <x:v>1990</x:v>
      </x:c>
      <x:c r="C403" s="20" t="s">
        <x:v>341</x:v>
      </x:c>
      <x:c r="D403" s="24">
        <x:v>0</x:v>
      </x:c>
      <x:c r="E403" s="24" t="s">
        <x:v>96</x:v>
      </x:c>
      <x:c r="F403" s="20" t="s">
        <x:v>97</x:v>
      </x:c>
      <x:c r="G403" s="26">
        <x:v>44635</x:v>
      </x:c>
      <x:c r="H403" s="24" t="s">
        <x:v>1991</x:v>
      </x:c>
      <x:c r="I403" s="28" t="s">
        <x:v>1992</x:v>
      </x:c>
      <x:c r="J403" s="29" t="s">
        <x:v>1993</x:v>
      </x:c>
    </x:row>
    <x:row r="404" ht="10.050000190734863" customHeight="1">
      <x:c r="A404" s="21" t="s">
        <x:v>1994</x:v>
      </x:c>
      <x:c r="B404" s="20" t="s">
        <x:v>1994</x:v>
      </x:c>
      <x:c r="C404" s="20" t="s">
        <x:v>1995</x:v>
      </x:c>
      <x:c r="D404" s="24">
        <x:v>0</x:v>
      </x:c>
      <x:c r="E404" s="24" t="s">
        <x:v>114</x:v>
      </x:c>
      <x:c r="F404" s="20" t="s">
        <x:v>90</x:v>
      </x:c>
      <x:c r="G404" s="26">
        <x:v>44480</x:v>
      </x:c>
      <x:c r="H404" s="24" t="s">
        <x:v>1996</x:v>
      </x:c>
      <x:c r="I404" s="28" t="s">
        <x:v>1997</x:v>
      </x:c>
      <x:c r="J404" s="29" t="s">
        <x:v>1998</x:v>
      </x:c>
    </x:row>
    <x:row r="405" ht="10.050000190734863" customHeight="1">
      <x:c r="A405" s="21" t="s">
        <x:v>1999</x:v>
      </x:c>
      <x:c r="B405" s="20" t="s">
        <x:v>1999</x:v>
      </x:c>
      <x:c r="C405" s="20" t="s">
        <x:v>1516</x:v>
      </x:c>
      <x:c r="D405" s="24">
        <x:v>8</x:v>
      </x:c>
      <x:c r="E405" s="24" t="s">
        <x:v>198</x:v>
      </x:c>
      <x:c r="F405" s="20" t="s">
        <x:v>90</x:v>
      </x:c>
      <x:c r="G405" s="26">
        <x:v>45781</x:v>
      </x:c>
      <x:c r="H405" s="24" t="s">
        <x:v>2000</x:v>
      </x:c>
      <x:c r="I405" s="28" t="s">
        <x:v>2001</x:v>
      </x:c>
      <x:c r="J405" s="29" t="s">
        <x:v>2002</x:v>
      </x:c>
    </x:row>
    <x:row r="406" ht="10.050000190734863" customHeight="1">
      <x:c r="A406" s="21" t="s">
        <x:v>2003</x:v>
      </x:c>
      <x:c r="B406" s="20" t="s">
        <x:v>2003</x:v>
      </x:c>
      <x:c r="C406" s="20" t="s">
        <x:v>2004</x:v>
      </x:c>
      <x:c r="D406" s="24">
        <x:v>18</x:v>
      </x:c>
      <x:c r="E406" s="24" t="s">
        <x:v>114</x:v>
      </x:c>
      <x:c r="F406" s="20" t="s">
        <x:v>90</x:v>
      </x:c>
      <x:c r="G406" s="26">
        <x:v>43849</x:v>
      </x:c>
      <x:c r="H406" s="24" t="s">
        <x:v>2005</x:v>
      </x:c>
      <x:c r="I406" s="28" t="s">
        <x:v>2006</x:v>
      </x:c>
      <x:c r="J406" s="29" t="s">
        <x:v>2007</x:v>
      </x:c>
    </x:row>
    <x:row r="407" ht="10.050000190734863" customHeight="1">
      <x:c r="A407" s="21" t="s">
        <x:v>2008</x:v>
      </x:c>
      <x:c r="B407" s="20" t="s">
        <x:v>2008</x:v>
      </x:c>
      <x:c r="C407" s="20" t="s">
        <x:v>491</x:v>
      </x:c>
      <x:c r="D407" s="24">
        <x:v>1</x:v>
      </x:c>
      <x:c r="E407" s="24" t="s">
        <x:v>96</x:v>
      </x:c>
      <x:c r="F407" s="20" t="s">
        <x:v>90</x:v>
      </x:c>
      <x:c r="G407" s="26">
        <x:v>44885</x:v>
      </x:c>
      <x:c r="H407" s="24" t="s">
        <x:v>2009</x:v>
      </x:c>
      <x:c r="I407" s="28" t="s">
        <x:v>2010</x:v>
      </x:c>
      <x:c r="J407" s="29" t="s">
        <x:v>2011</x:v>
      </x:c>
    </x:row>
    <x:row r="408" ht="10.050000190734863" customHeight="1">
      <x:c r="A408" s="21" t="s">
        <x:v>2012</x:v>
      </x:c>
      <x:c r="B408" s="20" t="s">
        <x:v>2012</x:v>
      </x:c>
      <x:c r="C408" s="20" t="s">
        <x:v>2013</x:v>
      </x:c>
      <x:c r="D408" s="24">
        <x:v>12</x:v>
      </x:c>
      <x:c r="E408" s="24" t="s">
        <x:v>198</x:v>
      </x:c>
      <x:c r="F408" s="20" t="s">
        <x:v>90</x:v>
      </x:c>
      <x:c r="G408" s="26">
        <x:v>45021</x:v>
      </x:c>
      <x:c r="H408" s="24" t="s">
        <x:v>2014</x:v>
      </x:c>
      <x:c r="I408" s="28" t="s">
        <x:v>2015</x:v>
      </x:c>
      <x:c r="J408" s="29" t="s">
        <x:v>2016</x:v>
      </x:c>
    </x:row>
    <x:row r="409" ht="10.050000190734863" customHeight="1">
      <x:c r="A409" s="21" t="s">
        <x:v>2017</x:v>
      </x:c>
      <x:c r="B409" s="20" t="s">
        <x:v>2017</x:v>
      </x:c>
      <x:c r="C409" s="20" t="s">
        <x:v>2018</x:v>
      </x:c>
      <x:c r="D409" s="24">
        <x:v>10</x:v>
      </x:c>
      <x:c r="E409" s="24" t="s">
        <x:v>198</x:v>
      </x:c>
      <x:c r="F409" s="20" t="s">
        <x:v>90</x:v>
      </x:c>
      <x:c r="G409" s="26">
        <x:v>44561</x:v>
      </x:c>
      <x:c r="H409" s="24" t="s">
        <x:v>2019</x:v>
      </x:c>
      <x:c r="I409" s="28" t="s">
        <x:v>2020</x:v>
      </x:c>
      <x:c r="J409" s="29" t="s">
        <x:v>2021</x:v>
      </x:c>
    </x:row>
    <x:row r="410" ht="10.050000190734863" customHeight="1">
      <x:c r="A410" s="21" t="s">
        <x:v>2022</x:v>
      </x:c>
      <x:c r="B410" s="20" t="s">
        <x:v>2022</x:v>
      </x:c>
      <x:c r="C410" s="20" t="s">
        <x:v>2023</x:v>
      </x:c>
      <x:c r="D410" s="24">
        <x:v>4</x:v>
      </x:c>
      <x:c r="E410" s="24" t="s">
        <x:v>103</x:v>
      </x:c>
      <x:c r="F410" s="20" t="s">
        <x:v>97</x:v>
      </x:c>
      <x:c r="G410" s="26">
        <x:v>44007</x:v>
      </x:c>
      <x:c r="H410" s="24" t="s">
        <x:v>2024</x:v>
      </x:c>
      <x:c r="I410" s="28" t="s">
        <x:v>2025</x:v>
      </x:c>
      <x:c r="J410" s="29" t="s">
        <x:v>2026</x:v>
      </x:c>
    </x:row>
    <x:row r="411" ht="10.050000190734863" customHeight="1">
      <x:c r="A411" s="21" t="s">
        <x:v>2027</x:v>
      </x:c>
      <x:c r="B411" s="20" t="s">
        <x:v>2027</x:v>
      </x:c>
      <x:c r="C411" s="20" t="s">
        <x:v>2028</x:v>
      </x:c>
      <x:c r="D411" s="24">
        <x:v>89</x:v>
      </x:c>
      <x:c r="E411" s="24" t="s">
        <x:v>103</x:v>
      </x:c>
      <x:c r="F411" s="20" t="s">
        <x:v>97</x:v>
      </x:c>
      <x:c r="G411" s="26">
        <x:v>45638</x:v>
      </x:c>
      <x:c r="H411" s="24" t="s">
        <x:v>2029</x:v>
      </x:c>
      <x:c r="I411" s="28" t="s">
        <x:v>2030</x:v>
      </x:c>
      <x:c r="J411" s="29" t="s">
        <x:v>2031</x:v>
      </x:c>
    </x:row>
    <x:row r="412" ht="10.050000190734863" customHeight="1">
      <x:c r="A412" s="21" t="s">
        <x:v>2032</x:v>
      </x:c>
      <x:c r="B412" s="20" t="s">
        <x:v>2032</x:v>
      </x:c>
      <x:c r="C412" s="20" t="s">
        <x:v>2033</x:v>
      </x:c>
      <x:c r="D412" s="24">
        <x:v>18</x:v>
      </x:c>
      <x:c r="E412" s="24" t="s">
        <x:v>96</x:v>
      </x:c>
      <x:c r="F412" s="20" t="s">
        <x:v>97</x:v>
      </x:c>
      <x:c r="G412" s="26">
        <x:v>42615</x:v>
      </x:c>
      <x:c r="H412" s="24" t="s">
        <x:v>2034</x:v>
      </x:c>
      <x:c r="I412" s="28" t="s">
        <x:v>2035</x:v>
      </x:c>
      <x:c r="J412" s="29" t="s">
        <x:v>2036</x:v>
      </x:c>
    </x:row>
    <x:row r="413" ht="10.050000190734863" customHeight="1">
      <x:c r="A413" s="21" t="s">
        <x:v>2037</x:v>
      </x:c>
      <x:c r="B413" s="20" t="s">
        <x:v>2037</x:v>
      </x:c>
      <x:c r="C413" s="20" t="s">
        <x:v>2038</x:v>
      </x:c>
      <x:c r="D413" s="24">
        <x:v>7</x:v>
      </x:c>
      <x:c r="E413" s="24" t="s">
        <x:v>103</x:v>
      </x:c>
      <x:c r="F413" s="20" t="s">
        <x:v>97</x:v>
      </x:c>
      <x:c r="G413" s="26">
        <x:v>42134</x:v>
      </x:c>
      <x:c r="H413" s="24" t="s">
        <x:v>2039</x:v>
      </x:c>
      <x:c r="I413" s="28" t="s">
        <x:v>2040</x:v>
      </x:c>
      <x:c r="J413" s="29" t="s">
        <x:v>2041</x:v>
      </x:c>
    </x:row>
    <x:row r="414" ht="10.050000190734863" customHeight="1">
      <x:c r="A414" s="21" t="s">
        <x:v>2042</x:v>
      </x:c>
      <x:c r="B414" s="20" t="s">
        <x:v>2042</x:v>
      </x:c>
      <x:c r="C414" s="20" t="s">
        <x:v>2043</x:v>
      </x:c>
      <x:c r="D414" s="24">
        <x:v>0</x:v>
      </x:c>
      <x:c r="E414" s="24" t="s">
        <x:v>114</x:v>
      </x:c>
      <x:c r="F414" s="20" t="s">
        <x:v>90</x:v>
      </x:c>
      <x:c r="G414" s="26">
        <x:v>46072</x:v>
      </x:c>
      <x:c r="H414" s="24" t="s">
        <x:v>2044</x:v>
      </x:c>
      <x:c r="I414" s="28" t="s">
        <x:v>2045</x:v>
      </x:c>
      <x:c r="J414" s="29" t="s">
        <x:v>2046</x:v>
      </x:c>
    </x:row>
    <x:row r="415" ht="10.050000190734863" customHeight="1">
      <x:c r="A415" s="21" t="s">
        <x:v>2047</x:v>
      </x:c>
      <x:c r="B415" s="20" t="s">
        <x:v>2047</x:v>
      </x:c>
      <x:c r="C415" s="20" t="s">
        <x:v>2048</x:v>
      </x:c>
      <x:c r="D415" s="24">
        <x:v>23</x:v>
      </x:c>
      <x:c r="E415" s="24" t="s">
        <x:v>198</x:v>
      </x:c>
      <x:c r="F415" s="20" t="s">
        <x:v>90</x:v>
      </x:c>
      <x:c r="G415" s="26">
        <x:v>44349</x:v>
      </x:c>
      <x:c r="H415" s="24" t="s">
        <x:v>2049</x:v>
      </x:c>
      <x:c r="I415" s="28" t="s">
        <x:v>2050</x:v>
      </x:c>
      <x:c r="J415" s="29" t="s">
        <x:v>2051</x:v>
      </x:c>
    </x:row>
    <x:row r="416" ht="10.050000190734863" customHeight="1">
      <x:c r="A416" s="21" t="s">
        <x:v>2052</x:v>
      </x:c>
      <x:c r="B416" s="20" t="s">
        <x:v>2052</x:v>
      </x:c>
      <x:c r="C416" s="20" t="s">
        <x:v>2053</x:v>
      </x:c>
      <x:c r="D416" s="24">
        <x:v>11</x:v>
      </x:c>
      <x:c r="E416" s="24" t="s">
        <x:v>89</x:v>
      </x:c>
      <x:c r="F416" s="20" t="s">
        <x:v>610</x:v>
      </x:c>
      <x:c r="G416" s="26">
        <x:v>42873</x:v>
      </x:c>
      <x:c r="H416" s="24" t="s">
        <x:v>2054</x:v>
      </x:c>
      <x:c r="I416" s="28" t="s">
        <x:v>2055</x:v>
      </x:c>
      <x:c r="J416" s="29" t="s">
        <x:v>2056</x:v>
      </x:c>
    </x:row>
    <x:row r="417" ht="10.050000190734863" customHeight="1">
      <x:c r="A417" s="21" t="s">
        <x:v>2057</x:v>
      </x:c>
      <x:c r="B417" s="20" t="s">
        <x:v>2057</x:v>
      </x:c>
      <x:c r="C417" s="20" t="s">
        <x:v>2058</x:v>
      </x:c>
      <x:c r="D417" s="24">
        <x:v>1</x:v>
      </x:c>
      <x:c r="E417" s="24" t="s">
        <x:v>198</x:v>
      </x:c>
      <x:c r="F417" s="20" t="s">
        <x:v>90</x:v>
      </x:c>
      <x:c r="G417" s="26">
        <x:v>45595</x:v>
      </x:c>
      <x:c r="H417" s="24" t="s">
        <x:v>2059</x:v>
      </x:c>
      <x:c r="I417" s="28" t="s">
        <x:v>2060</x:v>
      </x:c>
      <x:c r="J417" s="29" t="s">
        <x:v>2061</x:v>
      </x:c>
    </x:row>
    <x:row r="418" ht="10.050000190734863" customHeight="1">
      <x:c r="A418" s="21" t="s">
        <x:v>2062</x:v>
      </x:c>
      <x:c r="B418" s="20" t="s">
        <x:v>2062</x:v>
      </x:c>
      <x:c r="C418" s="20" t="s">
        <x:v>1467</x:v>
      </x:c>
      <x:c r="D418" s="24">
        <x:v>20</x:v>
      </x:c>
      <x:c r="E418" s="24" t="s">
        <x:v>198</x:v>
      </x:c>
      <x:c r="F418" s="20" t="s">
        <x:v>90</x:v>
      </x:c>
      <x:c r="G418" s="26">
        <x:v>44033</x:v>
      </x:c>
      <x:c r="H418" s="24" t="s">
        <x:v>2063</x:v>
      </x:c>
      <x:c r="I418" s="28" t="s">
        <x:v>2064</x:v>
      </x:c>
      <x:c r="J418" s="29" t="s">
        <x:v>2065</x:v>
      </x:c>
    </x:row>
    <x:row r="419" ht="10.050000190734863" customHeight="1">
      <x:c r="A419" s="21" t="s">
        <x:v>2066</x:v>
      </x:c>
      <x:c r="B419" s="20" t="s">
        <x:v>2066</x:v>
      </x:c>
      <x:c r="C419" s="20" t="s">
        <x:v>2067</x:v>
      </x:c>
      <x:c r="D419" s="24">
        <x:v>7</x:v>
      </x:c>
      <x:c r="E419" s="24" t="s">
        <x:v>96</x:v>
      </x:c>
      <x:c r="F419" s="20" t="s">
        <x:v>97</x:v>
      </x:c>
      <x:c r="G419" s="26">
        <x:v>44779</x:v>
      </x:c>
      <x:c r="H419" s="24" t="s">
        <x:v>2068</x:v>
      </x:c>
      <x:c r="I419" s="28" t="s">
        <x:v>2069</x:v>
      </x:c>
      <x:c r="J419" s="29" t="s">
        <x:v>2070</x:v>
      </x:c>
    </x:row>
    <x:row r="420" ht="10.050000190734863" customHeight="1">
      <x:c r="A420" s="21" t="s">
        <x:v>2071</x:v>
      </x:c>
      <x:c r="B420" s="20" t="s">
        <x:v>2071</x:v>
      </x:c>
      <x:c r="C420" s="20" t="s">
        <x:v>2072</x:v>
      </x:c>
      <x:c r="D420" s="24">
        <x:v>22</x:v>
      </x:c>
      <x:c r="E420" s="24" t="s">
        <x:v>89</x:v>
      </x:c>
      <x:c r="F420" s="20" t="s">
        <x:v>90</x:v>
      </x:c>
      <x:c r="G420" s="26">
        <x:v>43879</x:v>
      </x:c>
      <x:c r="H420" s="24" t="s">
        <x:v>2073</x:v>
      </x:c>
      <x:c r="I420" s="28" t="s">
        <x:v>2074</x:v>
      </x:c>
      <x:c r="J420" s="29" t="s">
        <x:v>2075</x:v>
      </x:c>
    </x:row>
    <x:row r="421" ht="10.050000190734863" customHeight="1">
      <x:c r="A421" s="21" t="s">
        <x:v>2076</x:v>
      </x:c>
      <x:c r="B421" s="20" t="s">
        <x:v>2076</x:v>
      </x:c>
      <x:c r="C421" s="20" t="s">
        <x:v>1427</x:v>
      </x:c>
      <x:c r="D421" s="24">
        <x:v>17</x:v>
      </x:c>
      <x:c r="E421" s="24" t="s">
        <x:v>198</x:v>
      </x:c>
      <x:c r="F421" s="20" t="s">
        <x:v>90</x:v>
      </x:c>
      <x:c r="G421" s="26">
        <x:v>45076</x:v>
      </x:c>
      <x:c r="H421" s="24" t="s">
        <x:v>2077</x:v>
      </x:c>
      <x:c r="I421" s="28" t="s">
        <x:v>2078</x:v>
      </x:c>
      <x:c r="J421" s="29" t="s">
        <x:v>2079</x:v>
      </x:c>
    </x:row>
    <x:row r="422" ht="10.050000190734863" customHeight="1">
      <x:c r="A422" s="21" t="s">
        <x:v>2080</x:v>
      </x:c>
      <x:c r="B422" s="20" t="s">
        <x:v>2080</x:v>
      </x:c>
      <x:c r="C422" s="20" t="s">
        <x:v>2081</x:v>
      </x:c>
      <x:c r="D422" s="24">
        <x:v>10</x:v>
      </x:c>
      <x:c r="E422" s="24" t="s">
        <x:v>198</x:v>
      </x:c>
      <x:c r="F422" s="20" t="s">
        <x:v>90</x:v>
      </x:c>
      <x:c r="G422" s="26">
        <x:v>44817</x:v>
      </x:c>
      <x:c r="H422" s="24" t="s">
        <x:v>2082</x:v>
      </x:c>
      <x:c r="I422" s="28" t="s">
        <x:v>2083</x:v>
      </x:c>
      <x:c r="J422" s="29" t="s">
        <x:v>2084</x:v>
      </x:c>
    </x:row>
    <x:row r="423" ht="10.050000190734863" customHeight="1">
      <x:c r="A423" s="21" t="s">
        <x:v>2085</x:v>
      </x:c>
      <x:c r="B423" s="20" t="s">
        <x:v>2085</x:v>
      </x:c>
      <x:c r="C423" s="20" t="s">
        <x:v>680</x:v>
      </x:c>
      <x:c r="D423" s="24">
        <x:v>5</x:v>
      </x:c>
      <x:c r="E423" s="24" t="s">
        <x:v>114</x:v>
      </x:c>
      <x:c r="F423" s="20" t="s">
        <x:v>90</x:v>
      </x:c>
      <x:c r="G423" s="26">
        <x:v>44304</x:v>
      </x:c>
      <x:c r="H423" s="24" t="s">
        <x:v>2086</x:v>
      </x:c>
      <x:c r="I423" s="28" t="s">
        <x:v>2087</x:v>
      </x:c>
      <x:c r="J423" s="29" t="s">
        <x:v>2088</x:v>
      </x:c>
    </x:row>
    <x:row r="424" ht="10.050000190734863" customHeight="1">
      <x:c r="A424" s="21" t="s">
        <x:v>2089</x:v>
      </x:c>
      <x:c r="B424" s="20" t="s">
        <x:v>2089</x:v>
      </x:c>
      <x:c r="C424" s="20" t="s">
        <x:v>1674</x:v>
      </x:c>
      <x:c r="D424" s="24">
        <x:v>9</x:v>
      </x:c>
      <x:c r="E424" s="24" t="s">
        <x:v>198</x:v>
      </x:c>
      <x:c r="F424" s="20" t="s">
        <x:v>90</x:v>
      </x:c>
      <x:c r="G424" s="26">
        <x:v>46081</x:v>
      </x:c>
      <x:c r="H424" s="24" t="s">
        <x:v>2090</x:v>
      </x:c>
      <x:c r="I424" s="28" t="s">
        <x:v>2091</x:v>
      </x:c>
      <x:c r="J424" s="29" t="s">
        <x:v>2092</x:v>
      </x:c>
    </x:row>
    <x:row r="425" ht="10.050000190734863" customHeight="1">
      <x:c r="A425" s="21" t="s">
        <x:v>2093</x:v>
      </x:c>
      <x:c r="B425" s="20" t="s">
        <x:v>2093</x:v>
      </x:c>
      <x:c r="C425" s="20" t="s">
        <x:v>2094</x:v>
      </x:c>
      <x:c r="D425" s="24">
        <x:v>1</x:v>
      </x:c>
      <x:c r="E425" s="24" t="s">
        <x:v>96</x:v>
      </x:c>
      <x:c r="F425" s="20" t="s">
        <x:v>97</x:v>
      </x:c>
      <x:c r="G425" s="26">
        <x:v>42161</x:v>
      </x:c>
      <x:c r="H425" s="24" t="s">
        <x:v>2095</x:v>
      </x:c>
      <x:c r="I425" s="28" t="s">
        <x:v>2096</x:v>
      </x:c>
      <x:c r="J425" s="29" t="s">
        <x:v>2097</x:v>
      </x:c>
    </x:row>
    <x:row r="426" ht="10.050000190734863" customHeight="1">
      <x:c r="A426" s="21" t="s">
        <x:v>2098</x:v>
      </x:c>
      <x:c r="B426" s="20" t="s">
        <x:v>2098</x:v>
      </x:c>
      <x:c r="C426" s="20" t="s">
        <x:v>2099</x:v>
      </x:c>
      <x:c r="D426" s="24">
        <x:v>10</x:v>
      </x:c>
      <x:c r="E426" s="24" t="s">
        <x:v>198</x:v>
      </x:c>
      <x:c r="F426" s="20" t="s">
        <x:v>152</x:v>
      </x:c>
      <x:c r="G426" s="26">
        <x:v>43817</x:v>
      </x:c>
      <x:c r="H426" s="24" t="s">
        <x:v>2100</x:v>
      </x:c>
      <x:c r="I426" s="28" t="s">
        <x:v>2101</x:v>
      </x:c>
      <x:c r="J426" s="29" t="s">
        <x:v>2102</x:v>
      </x:c>
    </x:row>
    <x:row r="427" ht="10.050000190734863" customHeight="1">
      <x:c r="A427" s="21" t="s">
        <x:v>2103</x:v>
      </x:c>
      <x:c r="B427" s="20" t="s">
        <x:v>2103</x:v>
      </x:c>
      <x:c r="C427" s="20" t="s">
        <x:v>2104</x:v>
      </x:c>
      <x:c r="D427" s="24">
        <x:v>1</x:v>
      </x:c>
      <x:c r="E427" s="24" t="s">
        <x:v>257</x:v>
      </x:c>
      <x:c r="F427" s="20" t="s">
        <x:v>97</x:v>
      </x:c>
      <x:c r="G427" s="26">
        <x:v>42339</x:v>
      </x:c>
      <x:c r="H427" s="24" t="s">
        <x:v>2105</x:v>
      </x:c>
      <x:c r="I427" s="28" t="s">
        <x:v>2106</x:v>
      </x:c>
      <x:c r="J427" s="29" t="s">
        <x:v>2107</x:v>
      </x:c>
    </x:row>
    <x:row r="428" ht="10.050000190734863" customHeight="1">
      <x:c r="A428" s="21" t="s">
        <x:v>2108</x:v>
      </x:c>
      <x:c r="B428" s="20" t="s">
        <x:v>2108</x:v>
      </x:c>
      <x:c r="C428" s="20" t="s">
        <x:v>2109</x:v>
      </x:c>
      <x:c r="D428" s="24">
        <x:v>2</x:v>
      </x:c>
      <x:c r="E428" s="24" t="s">
        <x:v>96</x:v>
      </x:c>
      <x:c r="F428" s="20" t="s">
        <x:v>97</x:v>
      </x:c>
      <x:c r="G428" s="26">
        <x:v>45957</x:v>
      </x:c>
      <x:c r="H428" s="24" t="s">
        <x:v>2110</x:v>
      </x:c>
      <x:c r="I428" s="28" t="s">
        <x:v>2111</x:v>
      </x:c>
      <x:c r="J428" s="29" t="s">
        <x:v>2112</x:v>
      </x:c>
    </x:row>
    <x:row r="429" ht="10.050000190734863" customHeight="1">
      <x:c r="A429" s="21" t="s">
        <x:v>2113</x:v>
      </x:c>
      <x:c r="B429" s="20" t="s">
        <x:v>2113</x:v>
      </x:c>
      <x:c r="C429" s="20" t="s">
        <x:v>1427</x:v>
      </x:c>
      <x:c r="D429" s="24">
        <x:v>20</x:v>
      </x:c>
      <x:c r="E429" s="24" t="s">
        <x:v>198</x:v>
      </x:c>
      <x:c r="F429" s="20" t="s">
        <x:v>90</x:v>
      </x:c>
      <x:c r="G429" s="26">
        <x:v>45463</x:v>
      </x:c>
      <x:c r="H429" s="24" t="s">
        <x:v>2114</x:v>
      </x:c>
      <x:c r="I429" s="28" t="s">
        <x:v>2115</x:v>
      </x:c>
      <x:c r="J429" s="29" t="s">
        <x:v>2116</x:v>
      </x:c>
    </x:row>
    <x:row r="430" ht="10.050000190734863" customHeight="1">
      <x:c r="A430" s="21" t="s">
        <x:v>2117</x:v>
      </x:c>
      <x:c r="B430" s="20" t="s">
        <x:v>2117</x:v>
      </x:c>
      <x:c r="C430" s="20" t="s">
        <x:v>2118</x:v>
      </x:c>
      <x:c r="D430" s="24">
        <x:v>15</x:v>
      </x:c>
      <x:c r="E430" s="24" t="s">
        <x:v>89</x:v>
      </x:c>
      <x:c r="F430" s="20" t="s">
        <x:v>90</x:v>
      </x:c>
      <x:c r="G430" s="26">
        <x:v>45635</x:v>
      </x:c>
      <x:c r="H430" s="24" t="s">
        <x:v>2119</x:v>
      </x:c>
      <x:c r="I430" s="28" t="s">
        <x:v>2120</x:v>
      </x:c>
      <x:c r="J430" s="29" t="s">
        <x:v>2121</x:v>
      </x:c>
    </x:row>
    <x:row r="431" ht="10.050000190734863" customHeight="1">
      <x:c r="A431" s="21" t="s">
        <x:v>2122</x:v>
      </x:c>
      <x:c r="B431" s="20" t="s">
        <x:v>2122</x:v>
      </x:c>
      <x:c r="C431" s="20" t="s">
        <x:v>2123</x:v>
      </x:c>
      <x:c r="D431" s="24">
        <x:v>5</x:v>
      </x:c>
      <x:c r="E431" s="24" t="s">
        <x:v>198</x:v>
      </x:c>
      <x:c r="F431" s="20" t="s">
        <x:v>90</x:v>
      </x:c>
      <x:c r="G431" s="26">
        <x:v>44536</x:v>
      </x:c>
      <x:c r="H431" s="24" t="s">
        <x:v>2124</x:v>
      </x:c>
      <x:c r="I431" s="28" t="s">
        <x:v>2125</x:v>
      </x:c>
      <x:c r="J431" s="29" t="s">
        <x:v>2126</x:v>
      </x:c>
    </x:row>
    <x:row r="432" ht="10.050000190734863" customHeight="1">
      <x:c r="A432" s="21" t="s">
        <x:v>2127</x:v>
      </x:c>
      <x:c r="B432" s="20" t="s">
        <x:v>2127</x:v>
      </x:c>
      <x:c r="C432" s="20" t="s">
        <x:v>119</x:v>
      </x:c>
      <x:c r="D432" s="24">
        <x:v>3</x:v>
      </x:c>
      <x:c r="E432" s="24" t="s">
        <x:v>103</x:v>
      </x:c>
      <x:c r="F432" s="20" t="s">
        <x:v>97</x:v>
      </x:c>
      <x:c r="G432" s="26">
        <x:v>42270</x:v>
      </x:c>
      <x:c r="H432" s="24" t="s">
        <x:v>2128</x:v>
      </x:c>
      <x:c r="I432" s="28" t="s">
        <x:v>2129</x:v>
      </x:c>
      <x:c r="J432" s="29" t="s">
        <x:v>2130</x:v>
      </x:c>
    </x:row>
    <x:row r="433" ht="10.050000190734863" customHeight="1">
      <x:c r="A433" s="21" t="s">
        <x:v>2131</x:v>
      </x:c>
      <x:c r="B433" s="20" t="s">
        <x:v>2131</x:v>
      </x:c>
      <x:c r="C433" s="20" t="s">
        <x:v>2132</x:v>
      </x:c>
      <x:c r="D433" s="24">
        <x:v>9</x:v>
      </x:c>
      <x:c r="E433" s="24" t="s">
        <x:v>198</x:v>
      </x:c>
      <x:c r="F433" s="20" t="s">
        <x:v>90</x:v>
      </x:c>
      <x:c r="G433" s="26">
        <x:v>43860</x:v>
      </x:c>
      <x:c r="H433" s="24" t="s">
        <x:v>2133</x:v>
      </x:c>
      <x:c r="I433" s="28" t="s">
        <x:v>2134</x:v>
      </x:c>
      <x:c r="J433" s="29" t="s">
        <x:v>2135</x:v>
      </x:c>
    </x:row>
    <x:row r="434" ht="10.050000190734863" customHeight="1">
      <x:c r="A434" s="21" t="s">
        <x:v>2136</x:v>
      </x:c>
      <x:c r="B434" s="20" t="s">
        <x:v>2136</x:v>
      </x:c>
      <x:c r="C434" s="20" t="s">
        <x:v>2137</x:v>
      </x:c>
      <x:c r="D434" s="24">
        <x:v>20</x:v>
      </x:c>
      <x:c r="E434" s="24" t="s">
        <x:v>103</x:v>
      </x:c>
      <x:c r="F434" s="20" t="s">
        <x:v>97</x:v>
      </x:c>
      <x:c r="G434" s="26">
        <x:v>42276</x:v>
      </x:c>
      <x:c r="H434" s="24" t="s">
        <x:v>2138</x:v>
      </x:c>
      <x:c r="I434" s="28" t="s">
        <x:v>2139</x:v>
      </x:c>
      <x:c r="J434" s="29" t="s">
        <x:v>2140</x:v>
      </x:c>
    </x:row>
    <x:row r="435" ht="10.050000190734863" customHeight="1">
      <x:c r="A435" s="21" t="s">
        <x:v>2141</x:v>
      </x:c>
      <x:c r="B435" s="20" t="s">
        <x:v>2141</x:v>
      </x:c>
      <x:c r="C435" s="20" t="s">
        <x:v>102</x:v>
      </x:c>
      <x:c r="D435" s="24">
        <x:v>12</x:v>
      </x:c>
      <x:c r="E435" s="24" t="s">
        <x:v>89</x:v>
      </x:c>
      <x:c r="F435" s="20" t="s">
        <x:v>97</x:v>
      </x:c>
      <x:c r="G435" s="26">
        <x:v>44317</x:v>
      </x:c>
      <x:c r="H435" s="24" t="s">
        <x:v>2142</x:v>
      </x:c>
      <x:c r="I435" s="28" t="s">
        <x:v>2143</x:v>
      </x:c>
      <x:c r="J435" s="29" t="s">
        <x:v>2144</x:v>
      </x:c>
    </x:row>
    <x:row r="436" ht="10.050000190734863" customHeight="1">
      <x:c r="A436" s="21" t="s">
        <x:v>2145</x:v>
      </x:c>
      <x:c r="B436" s="20" t="s">
        <x:v>2145</x:v>
      </x:c>
      <x:c r="C436" s="20" t="s">
        <x:v>2146</x:v>
      </x:c>
      <x:c r="D436" s="24">
        <x:v>8</x:v>
      </x:c>
      <x:c r="E436" s="24" t="s">
        <x:v>96</x:v>
      </x:c>
      <x:c r="F436" s="20" t="s">
        <x:v>97</x:v>
      </x:c>
      <x:c r="G436" s="26">
        <x:v>42694</x:v>
      </x:c>
      <x:c r="H436" s="24" t="s">
        <x:v>2147</x:v>
      </x:c>
      <x:c r="I436" s="28" t="s">
        <x:v>2148</x:v>
      </x:c>
      <x:c r="J436" s="29" t="s">
        <x:v>2149</x:v>
      </x:c>
    </x:row>
    <x:row r="437" ht="10.050000190734863" customHeight="1">
      <x:c r="A437" s="21" t="s">
        <x:v>2150</x:v>
      </x:c>
      <x:c r="B437" s="20" t="s">
        <x:v>2150</x:v>
      </x:c>
      <x:c r="C437" s="20" t="s">
        <x:v>2151</x:v>
      </x:c>
      <x:c r="D437" s="24">
        <x:v>8</x:v>
      </x:c>
      <x:c r="E437" s="24" t="s">
        <x:v>103</x:v>
      </x:c>
      <x:c r="F437" s="20" t="s">
        <x:v>97</x:v>
      </x:c>
      <x:c r="G437" s="26">
        <x:v>43827</x:v>
      </x:c>
      <x:c r="H437" s="24" t="s">
        <x:v>2152</x:v>
      </x:c>
      <x:c r="I437" s="28" t="s">
        <x:v>2153</x:v>
      </x:c>
      <x:c r="J437" s="29" t="s">
        <x:v>2154</x:v>
      </x:c>
    </x:row>
    <x:row r="438" ht="10.050000190734863" customHeight="1">
      <x:c r="A438" s="21" t="s">
        <x:v>2155</x:v>
      </x:c>
      <x:c r="B438" s="20" t="s">
        <x:v>2155</x:v>
      </x:c>
      <x:c r="C438" s="20" t="s">
        <x:v>2156</x:v>
      </x:c>
      <x:c r="D438" s="24">
        <x:v>30</x:v>
      </x:c>
      <x:c r="E438" s="24" t="s">
        <x:v>96</x:v>
      </x:c>
      <x:c r="F438" s="20" t="s">
        <x:v>97</x:v>
      </x:c>
      <x:c r="G438" s="26">
        <x:v>44617</x:v>
      </x:c>
      <x:c r="H438" s="24" t="s">
        <x:v>2157</x:v>
      </x:c>
      <x:c r="I438" s="28" t="s">
        <x:v>2158</x:v>
      </x:c>
      <x:c r="J438" s="29" t="s">
        <x:v>2159</x:v>
      </x:c>
    </x:row>
    <x:row r="439" ht="10.050000190734863" customHeight="1">
      <x:c r="A439" s="21" t="s">
        <x:v>2160</x:v>
      </x:c>
      <x:c r="B439" s="20" t="s">
        <x:v>2160</x:v>
      </x:c>
      <x:c r="C439" s="20" t="s">
        <x:v>2156</x:v>
      </x:c>
      <x:c r="D439" s="24">
        <x:v>21</x:v>
      </x:c>
      <x:c r="E439" s="24" t="s">
        <x:v>96</x:v>
      </x:c>
      <x:c r="F439" s="20" t="s">
        <x:v>97</x:v>
      </x:c>
      <x:c r="G439" s="26">
        <x:v>43949</x:v>
      </x:c>
      <x:c r="H439" s="24" t="s">
        <x:v>2161</x:v>
      </x:c>
      <x:c r="I439" s="28" t="s">
        <x:v>2162</x:v>
      </x:c>
      <x:c r="J439" s="29" t="s">
        <x:v>2163</x:v>
      </x:c>
    </x:row>
    <x:row r="440" ht="10.050000190734863" customHeight="1">
      <x:c r="A440" s="21" t="s">
        <x:v>2164</x:v>
      </x:c>
      <x:c r="B440" s="20" t="s">
        <x:v>2164</x:v>
      </x:c>
      <x:c r="C440" s="20" t="s">
        <x:v>2165</x:v>
      </x:c>
      <x:c r="D440" s="24">
        <x:v>12</x:v>
      </x:c>
      <x:c r="E440" s="24" t="s">
        <x:v>96</x:v>
      </x:c>
      <x:c r="F440" s="20" t="s">
        <x:v>97</x:v>
      </x:c>
      <x:c r="G440" s="26">
        <x:v>44414</x:v>
      </x:c>
      <x:c r="H440" s="24" t="s">
        <x:v>2166</x:v>
      </x:c>
      <x:c r="I440" s="28" t="s">
        <x:v>2167</x:v>
      </x:c>
      <x:c r="J440" s="29" t="s">
        <x:v>2168</x:v>
      </x:c>
    </x:row>
    <x:row r="441" ht="10.050000190734863" customHeight="1">
      <x:c r="A441" s="21" t="s">
        <x:v>2169</x:v>
      </x:c>
      <x:c r="B441" s="20" t="s">
        <x:v>2169</x:v>
      </x:c>
      <x:c r="C441" s="20" t="s">
        <x:v>2170</x:v>
      </x:c>
      <x:c r="D441" s="24">
        <x:v>2</x:v>
      </x:c>
      <x:c r="E441" s="24" t="s">
        <x:v>96</x:v>
      </x:c>
      <x:c r="F441" s="20" t="s">
        <x:v>152</x:v>
      </x:c>
      <x:c r="G441" s="26">
        <x:v>45174</x:v>
      </x:c>
      <x:c r="H441" s="24" t="s">
        <x:v>2171</x:v>
      </x:c>
      <x:c r="I441" s="28" t="s">
        <x:v>2172</x:v>
      </x:c>
      <x:c r="J441" s="29" t="s">
        <x:v>2173</x:v>
      </x:c>
    </x:row>
    <x:row r="442" ht="10.050000190734863" customHeight="1">
      <x:c r="A442" s="21" t="s">
        <x:v>2174</x:v>
      </x:c>
      <x:c r="B442" s="20" t="s">
        <x:v>2174</x:v>
      </x:c>
      <x:c r="C442" s="20" t="s">
        <x:v>624</x:v>
      </x:c>
      <x:c r="D442" s="24">
        <x:v>11</x:v>
      </x:c>
      <x:c r="E442" s="24" t="s">
        <x:v>198</x:v>
      </x:c>
      <x:c r="F442" s="20" t="s">
        <x:v>90</x:v>
      </x:c>
      <x:c r="G442" s="26">
        <x:v>44252</x:v>
      </x:c>
      <x:c r="H442" s="24" t="s">
        <x:v>2175</x:v>
      </x:c>
      <x:c r="I442" s="28" t="s">
        <x:v>2176</x:v>
      </x:c>
      <x:c r="J442" s="29" t="s">
        <x:v>2177</x:v>
      </x:c>
    </x:row>
    <x:row r="443" ht="10.050000190734863" customHeight="1">
      <x:c r="A443" s="21" t="s">
        <x:v>2178</x:v>
      </x:c>
      <x:c r="B443" s="20" t="s">
        <x:v>2178</x:v>
      </x:c>
      <x:c r="C443" s="20" t="s">
        <x:v>2179</x:v>
      </x:c>
      <x:c r="D443" s="24">
        <x:v>8</x:v>
      </x:c>
      <x:c r="E443" s="24" t="s">
        <x:v>114</x:v>
      </x:c>
      <x:c r="F443" s="20" t="s">
        <x:v>90</x:v>
      </x:c>
      <x:c r="G443" s="26">
        <x:v>44420</x:v>
      </x:c>
      <x:c r="H443" s="24" t="s">
        <x:v>2180</x:v>
      </x:c>
      <x:c r="I443" s="28" t="s">
        <x:v>2181</x:v>
      </x:c>
      <x:c r="J443" s="29" t="s">
        <x:v>2182</x:v>
      </x:c>
    </x:row>
    <x:row r="444" ht="10.050000190734863" customHeight="1">
      <x:c r="A444" s="21" t="s">
        <x:v>2183</x:v>
      </x:c>
      <x:c r="B444" s="20" t="s">
        <x:v>2183</x:v>
      </x:c>
      <x:c r="C444" s="20" t="s">
        <x:v>2184</x:v>
      </x:c>
      <x:c r="D444" s="24">
        <x:v>5</x:v>
      </x:c>
      <x:c r="E444" s="24" t="s">
        <x:v>257</x:v>
      </x:c>
      <x:c r="F444" s="20" t="s">
        <x:v>97</x:v>
      </x:c>
      <x:c r="G444" s="26">
        <x:v>41462</x:v>
      </x:c>
      <x:c r="H444" s="24" t="s">
        <x:v>2185</x:v>
      </x:c>
      <x:c r="I444" s="28" t="s">
        <x:v>2186</x:v>
      </x:c>
      <x:c r="J444" s="29" t="s">
        <x:v>2187</x:v>
      </x:c>
    </x:row>
    <x:row r="445" ht="10.050000190734863" customHeight="1">
      <x:c r="A445" s="21" t="s">
        <x:v>2188</x:v>
      </x:c>
      <x:c r="B445" s="20" t="s">
        <x:v>2188</x:v>
      </x:c>
      <x:c r="C445" s="20" t="s">
        <x:v>2189</x:v>
      </x:c>
      <x:c r="D445" s="24">
        <x:v>4</x:v>
      </x:c>
      <x:c r="E445" s="24" t="s">
        <x:v>96</x:v>
      </x:c>
      <x:c r="F445" s="20" t="s">
        <x:v>97</x:v>
      </x:c>
      <x:c r="G445" s="26">
        <x:v>42933</x:v>
      </x:c>
      <x:c r="H445" s="24" t="s">
        <x:v>2190</x:v>
      </x:c>
      <x:c r="I445" s="28" t="s">
        <x:v>2191</x:v>
      </x:c>
      <x:c r="J445" s="29" t="s">
        <x:v>2192</x:v>
      </x:c>
    </x:row>
    <x:row r="446" ht="10.050000190734863" customHeight="1">
      <x:c r="A446" s="21" t="s">
        <x:v>2193</x:v>
      </x:c>
      <x:c r="B446" s="20" t="s">
        <x:v>2193</x:v>
      </x:c>
      <x:c r="C446" s="20" t="s">
        <x:v>2189</x:v>
      </x:c>
      <x:c r="D446" s="24">
        <x:v>4</x:v>
      </x:c>
      <x:c r="E446" s="24" t="s">
        <x:v>96</x:v>
      </x:c>
      <x:c r="F446" s="20" t="s">
        <x:v>97</x:v>
      </x:c>
      <x:c r="G446" s="26">
        <x:v>43305</x:v>
      </x:c>
      <x:c r="H446" s="24" t="s">
        <x:v>2194</x:v>
      </x:c>
      <x:c r="I446" s="28" t="s">
        <x:v>2195</x:v>
      </x:c>
      <x:c r="J446" s="29" t="s">
        <x:v>2196</x:v>
      </x:c>
    </x:row>
    <x:row r="447" ht="10.050000190734863" customHeight="1">
      <x:c r="A447" s="21" t="s">
        <x:v>2197</x:v>
      </x:c>
      <x:c r="B447" s="20" t="s">
        <x:v>2197</x:v>
      </x:c>
      <x:c r="C447" s="20" t="s">
        <x:v>2189</x:v>
      </x:c>
      <x:c r="D447" s="24">
        <x:v>4</x:v>
      </x:c>
      <x:c r="E447" s="24" t="s">
        <x:v>96</x:v>
      </x:c>
      <x:c r="F447" s="20" t="s">
        <x:v>97</x:v>
      </x:c>
      <x:c r="G447" s="26">
        <x:v>45710</x:v>
      </x:c>
      <x:c r="H447" s="24" t="s">
        <x:v>2198</x:v>
      </x:c>
      <x:c r="I447" s="28" t="s">
        <x:v>2199</x:v>
      </x:c>
      <x:c r="J447" s="29" t="s">
        <x:v>2200</x:v>
      </x:c>
    </x:row>
    <x:row r="448" ht="10.050000190734863" customHeight="1">
      <x:c r="A448" s="21" t="s">
        <x:v>2201</x:v>
      </x:c>
      <x:c r="B448" s="20" t="s">
        <x:v>2201</x:v>
      </x:c>
      <x:c r="C448" s="20" t="s">
        <x:v>2202</x:v>
      </x:c>
      <x:c r="D448" s="24">
        <x:v>1</x:v>
      </x:c>
      <x:c r="E448" s="24" t="s">
        <x:v>96</x:v>
      </x:c>
      <x:c r="F448" s="20" t="s">
        <x:v>97</x:v>
      </x:c>
      <x:c r="G448" s="26">
        <x:v>44362</x:v>
      </x:c>
      <x:c r="H448" s="24" t="s">
        <x:v>2203</x:v>
      </x:c>
      <x:c r="I448" s="28" t="s">
        <x:v>2204</x:v>
      </x:c>
      <x:c r="J448" s="29" t="s">
        <x:v>2205</x:v>
      </x:c>
    </x:row>
    <x:row r="449" ht="10.050000190734863" customHeight="1">
      <x:c r="A449" s="21" t="s">
        <x:v>2206</x:v>
      </x:c>
      <x:c r="B449" s="20" t="s">
        <x:v>2206</x:v>
      </x:c>
      <x:c r="C449" s="20" t="s">
        <x:v>292</x:v>
      </x:c>
      <x:c r="D449" s="24">
        <x:v>19</x:v>
      </x:c>
      <x:c r="E449" s="24" t="s">
        <x:v>198</x:v>
      </x:c>
      <x:c r="F449" s="20" t="s">
        <x:v>90</x:v>
      </x:c>
      <x:c r="G449" s="26">
        <x:v>46046</x:v>
      </x:c>
      <x:c r="H449" s="24" t="s">
        <x:v>2207</x:v>
      </x:c>
      <x:c r="I449" s="28" t="s">
        <x:v>2208</x:v>
      </x:c>
      <x:c r="J449" s="29" t="s">
        <x:v>2209</x:v>
      </x:c>
    </x:row>
    <x:row r="450" ht="10.050000190734863" customHeight="1">
      <x:c r="A450" s="21" t="s">
        <x:v>2210</x:v>
      </x:c>
      <x:c r="B450" s="20" t="s">
        <x:v>2210</x:v>
      </x:c>
      <x:c r="C450" s="20" t="s">
        <x:v>2211</x:v>
      </x:c>
      <x:c r="D450" s="24">
        <x:v>21</x:v>
      </x:c>
      <x:c r="E450" s="24" t="s">
        <x:v>89</x:v>
      </x:c>
      <x:c r="F450" s="20" t="s">
        <x:v>90</x:v>
      </x:c>
      <x:c r="G450" s="26">
        <x:v>43658</x:v>
      </x:c>
      <x:c r="H450" s="24" t="s">
        <x:v>2212</x:v>
      </x:c>
      <x:c r="I450" s="28" t="s">
        <x:v>2213</x:v>
      </x:c>
      <x:c r="J450" s="29" t="s">
        <x:v>2214</x:v>
      </x:c>
    </x:row>
    <x:row r="451" ht="10.050000190734863" customHeight="1">
      <x:c r="A451" s="21" t="s">
        <x:v>2215</x:v>
      </x:c>
      <x:c r="B451" s="20" t="s">
        <x:v>2215</x:v>
      </x:c>
      <x:c r="C451" s="20" t="s">
        <x:v>2216</x:v>
      </x:c>
      <x:c r="D451" s="24">
        <x:v>4</x:v>
      </x:c>
      <x:c r="E451" s="24" t="s">
        <x:v>103</x:v>
      </x:c>
      <x:c r="F451" s="20" t="s">
        <x:v>97</x:v>
      </x:c>
      <x:c r="G451" s="26">
        <x:v>42108</x:v>
      </x:c>
      <x:c r="H451" s="24" t="s">
        <x:v>2217</x:v>
      </x:c>
      <x:c r="I451" s="28" t="s">
        <x:v>2218</x:v>
      </x:c>
      <x:c r="J451" s="29" t="s">
        <x:v>2219</x:v>
      </x:c>
    </x:row>
    <x:row r="452" ht="10.050000190734863" customHeight="1">
      <x:c r="A452" s="21" t="s">
        <x:v>2220</x:v>
      </x:c>
      <x:c r="B452" s="20" t="s">
        <x:v>2220</x:v>
      </x:c>
      <x:c r="C452" s="20" t="s">
        <x:v>1102</x:v>
      </x:c>
      <x:c r="D452" s="24">
        <x:v>17</x:v>
      </x:c>
      <x:c r="E452" s="24" t="s">
        <x:v>96</x:v>
      </x:c>
      <x:c r="F452" s="20" t="s">
        <x:v>90</x:v>
      </x:c>
      <x:c r="G452" s="26">
        <x:v>45349</x:v>
      </x:c>
      <x:c r="H452" s="24" t="s">
        <x:v>2221</x:v>
      </x:c>
      <x:c r="I452" s="28" t="s">
        <x:v>2222</x:v>
      </x:c>
      <x:c r="J452" s="29" t="s">
        <x:v>2223</x:v>
      </x:c>
    </x:row>
    <x:row r="453" ht="10.050000190734863" customHeight="1">
      <x:c r="A453" s="21" t="s">
        <x:v>2224</x:v>
      </x:c>
      <x:c r="B453" s="20" t="s">
        <x:v>2224</x:v>
      </x:c>
      <x:c r="C453" s="20" t="s">
        <x:v>2225</x:v>
      </x:c>
      <x:c r="D453" s="24">
        <x:v>20</x:v>
      </x:c>
      <x:c r="E453" s="24" t="s">
        <x:v>198</x:v>
      </x:c>
      <x:c r="F453" s="20" t="s">
        <x:v>90</x:v>
      </x:c>
      <x:c r="G453" s="26">
        <x:v>44937</x:v>
      </x:c>
      <x:c r="H453" s="24" t="s">
        <x:v>2226</x:v>
      </x:c>
      <x:c r="I453" s="28" t="s">
        <x:v>2227</x:v>
      </x:c>
      <x:c r="J453" s="29" t="s">
        <x:v>2228</x:v>
      </x:c>
    </x:row>
    <x:row r="454" ht="10.050000190734863" customHeight="1">
      <x:c r="A454" s="21" t="s">
        <x:v>2229</x:v>
      </x:c>
      <x:c r="B454" s="20" t="s">
        <x:v>2229</x:v>
      </x:c>
      <x:c r="C454" s="20" t="s">
        <x:v>2179</x:v>
      </x:c>
      <x:c r="D454" s="24">
        <x:v>16</x:v>
      </x:c>
      <x:c r="E454" s="24" t="s">
        <x:v>114</x:v>
      </x:c>
      <x:c r="F454" s="20" t="s">
        <x:v>90</x:v>
      </x:c>
      <x:c r="G454" s="26">
        <x:v>44218</x:v>
      </x:c>
      <x:c r="H454" s="24" t="s">
        <x:v>2230</x:v>
      </x:c>
      <x:c r="I454" s="28" t="s">
        <x:v>2231</x:v>
      </x:c>
      <x:c r="J454" s="29" t="s">
        <x:v>2232</x:v>
      </x:c>
    </x:row>
    <x:row r="455" ht="10.050000190734863" customHeight="1">
      <x:c r="A455" s="21" t="s">
        <x:v>2233</x:v>
      </x:c>
      <x:c r="B455" s="20" t="s">
        <x:v>2233</x:v>
      </x:c>
      <x:c r="C455" s="20" t="s">
        <x:v>2234</x:v>
      </x:c>
      <x:c r="D455" s="24">
        <x:v>60</x:v>
      </x:c>
      <x:c r="E455" s="24" t="s">
        <x:v>103</x:v>
      </x:c>
      <x:c r="F455" s="20" t="s">
        <x:v>97</x:v>
      </x:c>
      <x:c r="G455" s="26">
        <x:v>41673</x:v>
      </x:c>
      <x:c r="H455" s="24" t="s">
        <x:v>2235</x:v>
      </x:c>
      <x:c r="I455" s="28" t="s">
        <x:v>2236</x:v>
      </x:c>
      <x:c r="J455" s="29" t="s">
        <x:v>2237</x:v>
      </x:c>
    </x:row>
    <x:row r="456" ht="10.050000190734863" customHeight="1">
      <x:c r="A456" s="21" t="s">
        <x:v>2238</x:v>
      </x:c>
      <x:c r="B456" s="20" t="s">
        <x:v>2238</x:v>
      </x:c>
      <x:c r="C456" s="20" t="s">
        <x:v>2058</x:v>
      </x:c>
      <x:c r="D456" s="24">
        <x:v>5</x:v>
      </x:c>
      <x:c r="E456" s="24" t="s">
        <x:v>114</x:v>
      </x:c>
      <x:c r="F456" s="20" t="s">
        <x:v>90</x:v>
      </x:c>
      <x:c r="G456" s="26">
        <x:v>45613</x:v>
      </x:c>
      <x:c r="H456" s="24" t="s">
        <x:v>2239</x:v>
      </x:c>
      <x:c r="I456" s="28" t="s">
        <x:v>2240</x:v>
      </x:c>
      <x:c r="J456" s="29" t="s">
        <x:v>2241</x:v>
      </x:c>
    </x:row>
    <x:row r="457" ht="10.050000190734863" customHeight="1">
      <x:c r="A457" s="21" t="s">
        <x:v>2242</x:v>
      </x:c>
      <x:c r="B457" s="20" t="s">
        <x:v>2242</x:v>
      </x:c>
      <x:c r="C457" s="20" t="s">
        <x:v>292</x:v>
      </x:c>
      <x:c r="D457" s="24">
        <x:v>0</x:v>
      </x:c>
      <x:c r="E457" s="24" t="s">
        <x:v>198</x:v>
      </x:c>
      <x:c r="F457" s="20" t="s">
        <x:v>90</x:v>
      </x:c>
      <x:c r="G457" s="26">
        <x:v>44963</x:v>
      </x:c>
      <x:c r="H457" s="24" t="s">
        <x:v>2243</x:v>
      </x:c>
      <x:c r="I457" s="28" t="s">
        <x:v>2244</x:v>
      </x:c>
      <x:c r="J457" s="29" t="s">
        <x:v>2245</x:v>
      </x:c>
    </x:row>
    <x:row r="458" ht="10.050000190734863" customHeight="1">
      <x:c r="A458" s="21" t="s">
        <x:v>2246</x:v>
      </x:c>
      <x:c r="B458" s="20" t="s">
        <x:v>2246</x:v>
      </x:c>
      <x:c r="C458" s="20" t="s">
        <x:v>2247</x:v>
      </x:c>
      <x:c r="D458" s="24">
        <x:v>11</x:v>
      </x:c>
      <x:c r="E458" s="24" t="s">
        <x:v>198</x:v>
      </x:c>
      <x:c r="F458" s="20" t="s">
        <x:v>90</x:v>
      </x:c>
      <x:c r="G458" s="26">
        <x:v>46105</x:v>
      </x:c>
      <x:c r="H458" s="24" t="s">
        <x:v>2248</x:v>
      </x:c>
      <x:c r="I458" s="28" t="s">
        <x:v>2249</x:v>
      </x:c>
      <x:c r="J458" s="29" t="s">
        <x:v>2250</x:v>
      </x:c>
    </x:row>
    <x:row r="459" ht="10.050000190734863" customHeight="1">
      <x:c r="A459" s="21" t="s">
        <x:v>2251</x:v>
      </x:c>
      <x:c r="B459" s="20" t="s">
        <x:v>2251</x:v>
      </x:c>
      <x:c r="C459" s="20" t="s">
        <x:v>2252</x:v>
      </x:c>
      <x:c r="D459" s="24">
        <x:v>15</x:v>
      </x:c>
      <x:c r="E459" s="24" t="s">
        <x:v>89</x:v>
      </x:c>
      <x:c r="F459" s="20" t="s">
        <x:v>90</x:v>
      </x:c>
      <x:c r="G459" s="26">
        <x:v>44522</x:v>
      </x:c>
      <x:c r="H459" s="24" t="s">
        <x:v>2253</x:v>
      </x:c>
      <x:c r="I459" s="28" t="s">
        <x:v>2254</x:v>
      </x:c>
      <x:c r="J459" s="29" t="s">
        <x:v>2255</x:v>
      </x:c>
    </x:row>
    <x:row r="460" ht="10.050000190734863" customHeight="1">
      <x:c r="A460" s="21" t="s">
        <x:v>2256</x:v>
      </x:c>
      <x:c r="B460" s="20" t="s">
        <x:v>2256</x:v>
      </x:c>
      <x:c r="C460" s="20" t="s">
        <x:v>2257</x:v>
      </x:c>
      <x:c r="D460" s="24">
        <x:v>5</x:v>
      </x:c>
      <x:c r="E460" s="24" t="s">
        <x:v>198</x:v>
      </x:c>
      <x:c r="F460" s="20" t="s">
        <x:v>90</x:v>
      </x:c>
      <x:c r="G460" s="26">
        <x:v>45931</x:v>
      </x:c>
      <x:c r="H460" s="24" t="s">
        <x:v>2258</x:v>
      </x:c>
      <x:c r="I460" s="28" t="s">
        <x:v>2259</x:v>
      </x:c>
      <x:c r="J460" s="29" t="s">
        <x:v>2260</x:v>
      </x:c>
    </x:row>
    <x:row r="461" ht="10.050000190734863" customHeight="1">
      <x:c r="A461" s="21" t="s">
        <x:v>2261</x:v>
      </x:c>
      <x:c r="B461" s="20" t="s">
        <x:v>2261</x:v>
      </x:c>
      <x:c r="C461" s="20" t="s">
        <x:v>2262</x:v>
      </x:c>
      <x:c r="D461" s="24">
        <x:v>2</x:v>
      </x:c>
      <x:c r="E461" s="24" t="s">
        <x:v>96</x:v>
      </x:c>
      <x:c r="F461" s="20" t="s">
        <x:v>97</x:v>
      </x:c>
      <x:c r="G461" s="26">
        <x:v>42003</x:v>
      </x:c>
      <x:c r="H461" s="24" t="s">
        <x:v>2263</x:v>
      </x:c>
      <x:c r="I461" s="28" t="s">
        <x:v>2264</x:v>
      </x:c>
      <x:c r="J461" s="29" t="s">
        <x:v>2265</x:v>
      </x:c>
    </x:row>
    <x:row r="462" ht="10.050000190734863" customHeight="1">
      <x:c r="A462" s="21" t="s">
        <x:v>2266</x:v>
      </x:c>
      <x:c r="B462" s="20" t="s">
        <x:v>2266</x:v>
      </x:c>
      <x:c r="C462" s="20" t="s">
        <x:v>2267</x:v>
      </x:c>
      <x:c r="D462" s="24">
        <x:v>25</x:v>
      </x:c>
      <x:c r="E462" s="24" t="s">
        <x:v>89</x:v>
      </x:c>
      <x:c r="F462" s="20" t="s">
        <x:v>90</x:v>
      </x:c>
      <x:c r="G462" s="26">
        <x:v>44417</x:v>
      </x:c>
      <x:c r="H462" s="24" t="s">
        <x:v>2268</x:v>
      </x:c>
      <x:c r="I462" s="28" t="s">
        <x:v>2269</x:v>
      </x:c>
      <x:c r="J462" s="29" t="s">
        <x:v>2270</x:v>
      </x:c>
    </x:row>
    <x:row r="463" ht="10.050000190734863" customHeight="1">
      <x:c r="A463" s="21" t="s">
        <x:v>2271</x:v>
      </x:c>
      <x:c r="B463" s="20" t="s">
        <x:v>2271</x:v>
      </x:c>
      <x:c r="C463" s="20" t="s">
        <x:v>2272</x:v>
      </x:c>
      <x:c r="D463" s="24">
        <x:v>4</x:v>
      </x:c>
      <x:c r="E463" s="24" t="s">
        <x:v>89</x:v>
      </x:c>
      <x:c r="F463" s="20" t="s">
        <x:v>90</x:v>
      </x:c>
      <x:c r="G463" s="26">
        <x:v>43534</x:v>
      </x:c>
      <x:c r="H463" s="24" t="s">
        <x:v>2273</x:v>
      </x:c>
      <x:c r="I463" s="28" t="s">
        <x:v>2274</x:v>
      </x:c>
      <x:c r="J463" s="29" t="s">
        <x:v>2275</x:v>
      </x:c>
    </x:row>
    <x:row r="464" ht="10.050000190734863" customHeight="1">
      <x:c r="A464" s="21" t="s">
        <x:v>2276</x:v>
      </x:c>
      <x:c r="B464" s="20" t="s">
        <x:v>2276</x:v>
      </x:c>
      <x:c r="C464" s="20" t="s">
        <x:v>2277</x:v>
      </x:c>
      <x:c r="D464" s="24">
        <x:v>11</x:v>
      </x:c>
      <x:c r="E464" s="24" t="s">
        <x:v>114</x:v>
      </x:c>
      <x:c r="F464" s="20" t="s">
        <x:v>90</x:v>
      </x:c>
      <x:c r="G464" s="26">
        <x:v>42124</x:v>
      </x:c>
      <x:c r="H464" s="24" t="s">
        <x:v>2278</x:v>
      </x:c>
      <x:c r="I464" s="28" t="s">
        <x:v>2279</x:v>
      </x:c>
      <x:c r="J464" s="29" t="s">
        <x:v>2280</x:v>
      </x:c>
    </x:row>
    <x:row r="465" ht="10.050000190734863" customHeight="1">
      <x:c r="A465" s="21" t="s">
        <x:v>2281</x:v>
      </x:c>
      <x:c r="B465" s="20" t="s">
        <x:v>2281</x:v>
      </x:c>
      <x:c r="C465" s="20" t="s">
        <x:v>2282</x:v>
      </x:c>
      <x:c r="D465" s="24">
        <x:v>38</x:v>
      </x:c>
      <x:c r="E465" s="24" t="s">
        <x:v>89</x:v>
      </x:c>
      <x:c r="F465" s="20" t="s">
        <x:v>97</x:v>
      </x:c>
      <x:c r="G465" s="26">
        <x:v>43892</x:v>
      </x:c>
      <x:c r="H465" s="24" t="s">
        <x:v>2283</x:v>
      </x:c>
      <x:c r="I465" s="28" t="s">
        <x:v>2284</x:v>
      </x:c>
      <x:c r="J465" s="29" t="s">
        <x:v>2285</x:v>
      </x:c>
    </x:row>
    <x:row r="466" ht="10.050000190734863" customHeight="1">
      <x:c r="A466" s="21" t="s">
        <x:v>2286</x:v>
      </x:c>
      <x:c r="B466" s="20" t="s">
        <x:v>2286</x:v>
      </x:c>
      <x:c r="C466" s="20" t="s">
        <x:v>2287</x:v>
      </x:c>
      <x:c r="D466" s="24">
        <x:v>10</x:v>
      </x:c>
      <x:c r="E466" s="24" t="s">
        <x:v>114</x:v>
      </x:c>
      <x:c r="F466" s="20" t="s">
        <x:v>90</x:v>
      </x:c>
      <x:c r="G466" s="26">
        <x:v>45967</x:v>
      </x:c>
      <x:c r="H466" s="24" t="s">
        <x:v>2288</x:v>
      </x:c>
      <x:c r="I466" s="28" t="s">
        <x:v>2289</x:v>
      </x:c>
      <x:c r="J466" s="29" t="s">
        <x:v>2290</x:v>
      </x:c>
    </x:row>
    <x:row r="467" ht="10.050000190734863" customHeight="1">
      <x:c r="A467" s="21" t="s">
        <x:v>2291</x:v>
      </x:c>
      <x:c r="B467" s="20" t="s">
        <x:v>2291</x:v>
      </x:c>
      <x:c r="C467" s="20" t="s">
        <x:v>2292</x:v>
      </x:c>
      <x:c r="D467" s="24">
        <x:v>10</x:v>
      </x:c>
      <x:c r="E467" s="24" t="s">
        <x:v>89</x:v>
      </x:c>
      <x:c r="F467" s="20" t="s">
        <x:v>90</x:v>
      </x:c>
      <x:c r="G467" s="26">
        <x:v>44677</x:v>
      </x:c>
      <x:c r="H467" s="24" t="s">
        <x:v>2293</x:v>
      </x:c>
      <x:c r="I467" s="28" t="s">
        <x:v>2294</x:v>
      </x:c>
      <x:c r="J467" s="29" t="s">
        <x:v>2295</x:v>
      </x:c>
    </x:row>
    <x:row r="468" ht="10.050000190734863" customHeight="1">
      <x:c r="A468" s="21" t="s">
        <x:v>2296</x:v>
      </x:c>
      <x:c r="B468" s="20" t="s">
        <x:v>2296</x:v>
      </x:c>
      <x:c r="C468" s="20" t="s">
        <x:v>2297</x:v>
      </x:c>
      <x:c r="D468" s="24">
        <x:v>4</x:v>
      </x:c>
      <x:c r="E468" s="24" t="s">
        <x:v>103</x:v>
      </x:c>
      <x:c r="F468" s="20" t="s">
        <x:v>97</x:v>
      </x:c>
      <x:c r="G468" s="26">
        <x:v>44493</x:v>
      </x:c>
      <x:c r="H468" s="24" t="s">
        <x:v>2298</x:v>
      </x:c>
      <x:c r="I468" s="28" t="s">
        <x:v>2299</x:v>
      </x:c>
      <x:c r="J468" s="29" t="s">
        <x:v>2300</x:v>
      </x:c>
    </x:row>
    <x:row r="469" ht="10.050000190734863" customHeight="1">
      <x:c r="A469" s="21" t="s">
        <x:v>2301</x:v>
      </x:c>
      <x:c r="B469" s="20" t="s">
        <x:v>2301</x:v>
      </x:c>
      <x:c r="C469" s="20" t="s">
        <x:v>466</x:v>
      </x:c>
      <x:c r="D469" s="24">
        <x:v>7</x:v>
      </x:c>
      <x:c r="E469" s="24" t="s">
        <x:v>198</x:v>
      </x:c>
      <x:c r="F469" s="20" t="s">
        <x:v>90</x:v>
      </x:c>
      <x:c r="G469" s="26">
        <x:v>45144</x:v>
      </x:c>
      <x:c r="H469" s="24" t="s">
        <x:v>2302</x:v>
      </x:c>
      <x:c r="I469" s="28" t="s">
        <x:v>2303</x:v>
      </x:c>
      <x:c r="J469" s="29" t="s">
        <x:v>2304</x:v>
      </x:c>
    </x:row>
    <x:row r="470" ht="10.050000190734863" customHeight="1">
      <x:c r="A470" s="21" t="s">
        <x:v>2305</x:v>
      </x:c>
      <x:c r="B470" s="20" t="s">
        <x:v>2305</x:v>
      </x:c>
      <x:c r="C470" s="20" t="s">
        <x:v>2306</x:v>
      </x:c>
      <x:c r="D470" s="24">
        <x:v>1</x:v>
      </x:c>
      <x:c r="E470" s="24" t="s">
        <x:v>114</x:v>
      </x:c>
      <x:c r="F470" s="20" t="s">
        <x:v>126</x:v>
      </x:c>
      <x:c r="G470" s="26">
        <x:v>44087</x:v>
      </x:c>
      <x:c r="H470" s="24" t="s">
        <x:v>2307</x:v>
      </x:c>
      <x:c r="I470" s="28" t="s">
        <x:v>2308</x:v>
      </x:c>
      <x:c r="J470" s="29" t="s">
        <x:v>2309</x:v>
      </x:c>
    </x:row>
    <x:row r="471" ht="10.050000190734863" customHeight="1">
      <x:c r="A471" s="21" t="s">
        <x:v>2310</x:v>
      </x:c>
      <x:c r="B471" s="20" t="s">
        <x:v>2310</x:v>
      </x:c>
      <x:c r="C471" s="20" t="s">
        <x:v>2306</x:v>
      </x:c>
      <x:c r="D471" s="24">
        <x:v>3</x:v>
      </x:c>
      <x:c r="E471" s="24" t="s">
        <x:v>125</x:v>
      </x:c>
      <x:c r="F471" s="20" t="s">
        <x:v>126</x:v>
      </x:c>
      <x:c r="G471" s="26">
        <x:v>45816</x:v>
      </x:c>
      <x:c r="H471" s="24" t="s">
        <x:v>2311</x:v>
      </x:c>
      <x:c r="I471" s="28" t="s">
        <x:v>2312</x:v>
      </x:c>
      <x:c r="J471" s="29" t="s">
        <x:v>2313</x:v>
      </x:c>
    </x:row>
    <x:row r="472" ht="10.050000190734863" customHeight="1">
      <x:c r="A472" s="21" t="s">
        <x:v>2314</x:v>
      </x:c>
      <x:c r="B472" s="20" t="s">
        <x:v>2314</x:v>
      </x:c>
      <x:c r="C472" s="20" t="s">
        <x:v>629</x:v>
      </x:c>
      <x:c r="D472" s="24">
        <x:v>14</x:v>
      </x:c>
      <x:c r="E472" s="24" t="s">
        <x:v>96</x:v>
      </x:c>
      <x:c r="F472" s="20" t="s">
        <x:v>90</x:v>
      </x:c>
      <x:c r="G472" s="26">
        <x:v>45386</x:v>
      </x:c>
      <x:c r="H472" s="24" t="s">
        <x:v>2315</x:v>
      </x:c>
      <x:c r="I472" s="28" t="s">
        <x:v>2316</x:v>
      </x:c>
      <x:c r="J472" s="29" t="s">
        <x:v>2317</x:v>
      </x:c>
    </x:row>
    <x:row r="473" ht="10.050000190734863" customHeight="1">
      <x:c r="A473" s="21" t="s">
        <x:v>2318</x:v>
      </x:c>
      <x:c r="B473" s="20" t="s">
        <x:v>2318</x:v>
      </x:c>
      <x:c r="C473" s="20" t="s">
        <x:v>629</x:v>
      </x:c>
      <x:c r="D473" s="24">
        <x:v>16</x:v>
      </x:c>
      <x:c r="E473" s="24" t="s">
        <x:v>96</x:v>
      </x:c>
      <x:c r="F473" s="20" t="s">
        <x:v>90</x:v>
      </x:c>
      <x:c r="G473" s="26">
        <x:v>45572</x:v>
      </x:c>
      <x:c r="H473" s="24" t="s">
        <x:v>2319</x:v>
      </x:c>
      <x:c r="I473" s="28" t="s">
        <x:v>2320</x:v>
      </x:c>
      <x:c r="J473" s="29" t="s">
        <x:v>2321</x:v>
      </x:c>
    </x:row>
    <x:row r="474" ht="10.050000190734863" customHeight="1">
      <x:c r="A474" s="21" t="s">
        <x:v>2322</x:v>
      </x:c>
      <x:c r="B474" s="20" t="s">
        <x:v>2322</x:v>
      </x:c>
      <x:c r="C474" s="20" t="s">
        <x:v>629</x:v>
      </x:c>
      <x:c r="D474" s="24">
        <x:v>19</x:v>
      </x:c>
      <x:c r="E474" s="24" t="s">
        <x:v>89</x:v>
      </x:c>
      <x:c r="F474" s="20" t="s">
        <x:v>90</x:v>
      </x:c>
      <x:c r="G474" s="26">
        <x:v>45996</x:v>
      </x:c>
      <x:c r="H474" s="24" t="s">
        <x:v>2323</x:v>
      </x:c>
      <x:c r="I474" s="28" t="s">
        <x:v>2324</x:v>
      </x:c>
      <x:c r="J474" s="29" t="s">
        <x:v>2325</x:v>
      </x:c>
    </x:row>
    <x:row r="475" ht="10.050000190734863" customHeight="1">
      <x:c r="A475" s="21" t="s">
        <x:v>2326</x:v>
      </x:c>
      <x:c r="B475" s="20" t="s">
        <x:v>2326</x:v>
      </x:c>
      <x:c r="C475" s="20" t="s">
        <x:v>2327</x:v>
      </x:c>
      <x:c r="D475" s="24">
        <x:v>0</x:v>
      </x:c>
      <x:c r="E475" s="24" t="s">
        <x:v>96</x:v>
      </x:c>
      <x:c r="F475" s="20" t="s">
        <x:v>90</x:v>
      </x:c>
      <x:c r="G475" s="26">
        <x:v>46093</x:v>
      </x:c>
      <x:c r="H475" s="24" t="s">
        <x:v>2328</x:v>
      </x:c>
      <x:c r="I475" s="28" t="s">
        <x:v>2329</x:v>
      </x:c>
      <x:c r="J475" s="29" t="s">
        <x:v>2330</x:v>
      </x:c>
    </x:row>
    <x:row r="476" ht="10.050000190734863" customHeight="1">
      <x:c r="A476" s="21" t="s">
        <x:v>2331</x:v>
      </x:c>
      <x:c r="B476" s="20" t="s">
        <x:v>2331</x:v>
      </x:c>
      <x:c r="C476" s="20" t="s">
        <x:v>1427</x:v>
      </x:c>
      <x:c r="D476" s="24">
        <x:v>12</x:v>
      </x:c>
      <x:c r="E476" s="24" t="s">
        <x:v>96</x:v>
      </x:c>
      <x:c r="F476" s="20" t="s">
        <x:v>90</x:v>
      </x:c>
      <x:c r="G476" s="26">
        <x:v>45394</x:v>
      </x:c>
      <x:c r="H476" s="24" t="s">
        <x:v>2332</x:v>
      </x:c>
      <x:c r="I476" s="28" t="s">
        <x:v>2333</x:v>
      </x:c>
      <x:c r="J476" s="29" t="s">
        <x:v>2334</x:v>
      </x:c>
    </x:row>
    <x:row r="477" ht="10.050000190734863" customHeight="1">
      <x:c r="A477" s="21" t="s">
        <x:v>2335</x:v>
      </x:c>
      <x:c r="B477" s="20" t="s">
        <x:v>2335</x:v>
      </x:c>
      <x:c r="C477" s="20" t="s">
        <x:v>2336</x:v>
      </x:c>
      <x:c r="D477" s="24">
        <x:v>6</x:v>
      </x:c>
      <x:c r="E477" s="24" t="s">
        <x:v>257</x:v>
      </x:c>
      <x:c r="F477" s="20" t="s">
        <x:v>97</x:v>
      </x:c>
      <x:c r="G477" s="26">
        <x:v>42093</x:v>
      </x:c>
      <x:c r="H477" s="24" t="s">
        <x:v>2337</x:v>
      </x:c>
      <x:c r="I477" s="28" t="s">
        <x:v>2338</x:v>
      </x:c>
      <x:c r="J477" s="29" t="s">
        <x:v>2339</x:v>
      </x:c>
    </x:row>
    <x:row r="478" ht="10.050000190734863" customHeight="1">
      <x:c r="A478" s="21" t="s">
        <x:v>2340</x:v>
      </x:c>
      <x:c r="B478" s="20" t="s">
        <x:v>2340</x:v>
      </x:c>
      <x:c r="C478" s="20" t="s">
        <x:v>2341</x:v>
      </x:c>
      <x:c r="D478" s="24">
        <x:v>57</x:v>
      </x:c>
      <x:c r="E478" s="24" t="s">
        <x:v>198</x:v>
      </x:c>
      <x:c r="F478" s="20" t="s">
        <x:v>97</x:v>
      </x:c>
      <x:c r="G478" s="26">
        <x:v>45151</x:v>
      </x:c>
      <x:c r="H478" s="24" t="s">
        <x:v>2342</x:v>
      </x:c>
      <x:c r="I478" s="28" t="s">
        <x:v>2343</x:v>
      </x:c>
      <x:c r="J478" s="29" t="s">
        <x:v>2344</x:v>
      </x:c>
    </x:row>
    <x:row r="479" ht="10.050000190734863" customHeight="1">
      <x:c r="A479" s="21" t="s">
        <x:v>2345</x:v>
      </x:c>
      <x:c r="B479" s="20" t="s">
        <x:v>2345</x:v>
      </x:c>
      <x:c r="C479" s="20" t="s">
        <x:v>2346</x:v>
      </x:c>
      <x:c r="D479" s="24">
        <x:v>10</x:v>
      </x:c>
      <x:c r="E479" s="24" t="s">
        <x:v>89</x:v>
      </x:c>
      <x:c r="F479" s="20" t="s">
        <x:v>90</x:v>
      </x:c>
      <x:c r="G479" s="26">
        <x:v>45534</x:v>
      </x:c>
      <x:c r="H479" s="24" t="s">
        <x:v>2347</x:v>
      </x:c>
      <x:c r="I479" s="28" t="s">
        <x:v>2348</x:v>
      </x:c>
      <x:c r="J479" s="29" t="s">
        <x:v>2349</x:v>
      </x:c>
    </x:row>
    <x:row r="480" ht="10.050000190734863" customHeight="1">
      <x:c r="A480" s="21" t="s">
        <x:v>2350</x:v>
      </x:c>
      <x:c r="B480" s="20" t="s">
        <x:v>2350</x:v>
      </x:c>
      <x:c r="C480" s="20" t="s">
        <x:v>1841</x:v>
      </x:c>
      <x:c r="D480" s="24">
        <x:v>8</x:v>
      </x:c>
      <x:c r="E480" s="24" t="s">
        <x:v>198</x:v>
      </x:c>
      <x:c r="F480" s="20" t="s">
        <x:v>90</x:v>
      </x:c>
      <x:c r="G480" s="26">
        <x:v>45883</x:v>
      </x:c>
      <x:c r="H480" s="24" t="s">
        <x:v>2351</x:v>
      </x:c>
      <x:c r="I480" s="28" t="s">
        <x:v>2352</x:v>
      </x:c>
      <x:c r="J480" s="29" t="s">
        <x:v>2353</x:v>
      </x:c>
    </x:row>
    <x:row r="481" ht="10.050000190734863" customHeight="1">
      <x:c r="A481" s="21" t="s">
        <x:v>2354</x:v>
      </x:c>
      <x:c r="B481" s="20" t="s">
        <x:v>2354</x:v>
      </x:c>
      <x:c r="C481" s="20" t="s">
        <x:v>680</x:v>
      </x:c>
      <x:c r="D481" s="24">
        <x:v>50</x:v>
      </x:c>
      <x:c r="E481" s="24" t="s">
        <x:v>114</x:v>
      </x:c>
      <x:c r="F481" s="20" t="s">
        <x:v>152</x:v>
      </x:c>
      <x:c r="G481" s="26">
        <x:v>45457</x:v>
      </x:c>
      <x:c r="H481" s="24" t="s">
        <x:v>2355</x:v>
      </x:c>
      <x:c r="I481" s="28" t="s">
        <x:v>2356</x:v>
      </x:c>
      <x:c r="J481" s="29" t="s">
        <x:v>2357</x:v>
      </x:c>
    </x:row>
    <x:row r="482" ht="10.050000190734863" customHeight="1">
      <x:c r="A482" s="21" t="s">
        <x:v>2358</x:v>
      </x:c>
      <x:c r="B482" s="20" t="s">
        <x:v>2358</x:v>
      </x:c>
      <x:c r="C482" s="20" t="s">
        <x:v>1613</x:v>
      </x:c>
      <x:c r="D482" s="24">
        <x:v>19</x:v>
      </x:c>
      <x:c r="E482" s="24" t="s">
        <x:v>198</x:v>
      </x:c>
      <x:c r="F482" s="20" t="s">
        <x:v>90</x:v>
      </x:c>
      <x:c r="G482" s="26">
        <x:v>44940</x:v>
      </x:c>
      <x:c r="H482" s="24" t="s">
        <x:v>2359</x:v>
      </x:c>
      <x:c r="I482" s="28" t="s">
        <x:v>2360</x:v>
      </x:c>
      <x:c r="J482" s="29" t="s">
        <x:v>2361</x:v>
      </x:c>
    </x:row>
    <x:row r="483" ht="10.050000190734863" customHeight="1">
      <x:c r="A483" s="21" t="s">
        <x:v>2362</x:v>
      </x:c>
      <x:c r="B483" s="20" t="s">
        <x:v>2362</x:v>
      </x:c>
      <x:c r="C483" s="20" t="s">
        <x:v>2363</x:v>
      </x:c>
      <x:c r="D483" s="24">
        <x:v>10</x:v>
      </x:c>
      <x:c r="E483" s="24" t="s">
        <x:v>198</x:v>
      </x:c>
      <x:c r="F483" s="20" t="s">
        <x:v>90</x:v>
      </x:c>
      <x:c r="G483" s="26">
        <x:v>44291</x:v>
      </x:c>
      <x:c r="H483" s="24" t="s">
        <x:v>2364</x:v>
      </x:c>
      <x:c r="I483" s="28" t="s">
        <x:v>2365</x:v>
      </x:c>
      <x:c r="J483" s="29" t="s">
        <x:v>2366</x:v>
      </x:c>
    </x:row>
    <x:row r="484" ht="10.050000190734863" customHeight="1">
      <x:c r="A484" s="21" t="s">
        <x:v>2367</x:v>
      </x:c>
      <x:c r="B484" s="20" t="s">
        <x:v>2367</x:v>
      </x:c>
      <x:c r="C484" s="20" t="s">
        <x:v>2368</x:v>
      </x:c>
      <x:c r="D484" s="24">
        <x:v>8</x:v>
      </x:c>
      <x:c r="E484" s="24" t="s">
        <x:v>103</x:v>
      </x:c>
      <x:c r="F484" s="20" t="s">
        <x:v>97</x:v>
      </x:c>
      <x:c r="G484" s="26">
        <x:v>41856</x:v>
      </x:c>
      <x:c r="H484" s="24" t="s">
        <x:v>2369</x:v>
      </x:c>
      <x:c r="I484" s="28" t="s">
        <x:v>2370</x:v>
      </x:c>
      <x:c r="J484" s="29" t="s">
        <x:v>2371</x:v>
      </x:c>
    </x:row>
    <x:row r="485" ht="10.050000190734863" customHeight="1">
      <x:c r="A485" s="21" t="s">
        <x:v>2372</x:v>
      </x:c>
      <x:c r="B485" s="20" t="s">
        <x:v>2372</x:v>
      </x:c>
      <x:c r="C485" s="20" t="s">
        <x:v>2179</x:v>
      </x:c>
      <x:c r="D485" s="24">
        <x:v>13</x:v>
      </x:c>
      <x:c r="E485" s="24" t="s">
        <x:v>114</x:v>
      </x:c>
      <x:c r="F485" s="20" t="s">
        <x:v>90</x:v>
      </x:c>
      <x:c r="G485" s="26">
        <x:v>43538</x:v>
      </x:c>
      <x:c r="H485" s="24" t="s">
        <x:v>2373</x:v>
      </x:c>
      <x:c r="I485" s="28" t="s">
        <x:v>2374</x:v>
      </x:c>
      <x:c r="J485" s="29" t="s">
        <x:v>2375</x:v>
      </x:c>
    </x:row>
    <x:row r="486" ht="10.050000190734863" customHeight="1">
      <x:c r="A486" s="21" t="s">
        <x:v>2376</x:v>
      </x:c>
      <x:c r="B486" s="20" t="s">
        <x:v>2376</x:v>
      </x:c>
      <x:c r="C486" s="20" t="s">
        <x:v>2377</x:v>
      </x:c>
      <x:c r="D486" s="24">
        <x:v>11</x:v>
      </x:c>
      <x:c r="E486" s="24" t="s">
        <x:v>198</x:v>
      </x:c>
      <x:c r="F486" s="20" t="s">
        <x:v>90</x:v>
      </x:c>
      <x:c r="G486" s="26">
        <x:v>44694</x:v>
      </x:c>
      <x:c r="H486" s="24" t="s">
        <x:v>2378</x:v>
      </x:c>
      <x:c r="I486" s="28" t="s">
        <x:v>2379</x:v>
      </x:c>
      <x:c r="J486" s="29" t="s">
        <x:v>2380</x:v>
      </x:c>
    </x:row>
    <x:row r="487" ht="10.050000190734863" customHeight="1">
      <x:c r="A487" s="21" t="s">
        <x:v>2381</x:v>
      </x:c>
      <x:c r="B487" s="20" t="s">
        <x:v>2381</x:v>
      </x:c>
      <x:c r="C487" s="20" t="s">
        <x:v>2382</x:v>
      </x:c>
      <x:c r="D487" s="24">
        <x:v>12</x:v>
      </x:c>
      <x:c r="E487" s="24" t="s">
        <x:v>198</x:v>
      </x:c>
      <x:c r="F487" s="20" t="s">
        <x:v>90</x:v>
      </x:c>
      <x:c r="G487" s="26">
        <x:v>44462</x:v>
      </x:c>
      <x:c r="H487" s="24" t="s">
        <x:v>2383</x:v>
      </x:c>
      <x:c r="I487" s="28" t="s">
        <x:v>2384</x:v>
      </x:c>
      <x:c r="J487" s="29" t="s">
        <x:v>2385</x:v>
      </x:c>
    </x:row>
    <x:row r="488" ht="10.050000190734863" customHeight="1">
      <x:c r="A488" s="21" t="s">
        <x:v>2386</x:v>
      </x:c>
      <x:c r="B488" s="20" t="s">
        <x:v>2386</x:v>
      </x:c>
      <x:c r="C488" s="20" t="s">
        <x:v>379</x:v>
      </x:c>
      <x:c r="D488" s="24">
        <x:v>12</x:v>
      </x:c>
      <x:c r="E488" s="24" t="s">
        <x:v>198</x:v>
      </x:c>
      <x:c r="F488" s="20" t="s">
        <x:v>90</x:v>
      </x:c>
      <x:c r="G488" s="26">
        <x:v>44913</x:v>
      </x:c>
      <x:c r="H488" s="24" t="s">
        <x:v>2387</x:v>
      </x:c>
      <x:c r="I488" s="28" t="s">
        <x:v>2388</x:v>
      </x:c>
      <x:c r="J488" s="29" t="s">
        <x:v>2389</x:v>
      </x:c>
    </x:row>
    <x:row r="489" ht="10.050000190734863" customHeight="1">
      <x:c r="A489" s="21" t="s">
        <x:v>2390</x:v>
      </x:c>
      <x:c r="B489" s="20" t="s">
        <x:v>2390</x:v>
      </x:c>
      <x:c r="C489" s="20" t="s">
        <x:v>2391</x:v>
      </x:c>
      <x:c r="D489" s="24">
        <x:v>9</x:v>
      </x:c>
      <x:c r="E489" s="24" t="s">
        <x:v>198</x:v>
      </x:c>
      <x:c r="F489" s="20" t="s">
        <x:v>90</x:v>
      </x:c>
      <x:c r="G489" s="26">
        <x:v>45337</x:v>
      </x:c>
      <x:c r="H489" s="24" t="s">
        <x:v>2392</x:v>
      </x:c>
      <x:c r="I489" s="28" t="s">
        <x:v>2393</x:v>
      </x:c>
      <x:c r="J489" s="29" t="s">
        <x:v>2394</x:v>
      </x:c>
    </x:row>
    <x:row r="490" ht="10.050000190734863" customHeight="1">
      <x:c r="A490" s="21" t="s">
        <x:v>2395</x:v>
      </x:c>
      <x:c r="B490" s="20" t="s">
        <x:v>2395</x:v>
      </x:c>
      <x:c r="C490" s="20" t="s">
        <x:v>2396</x:v>
      </x:c>
      <x:c r="D490" s="24">
        <x:v>10</x:v>
      </x:c>
      <x:c r="E490" s="24" t="s">
        <x:v>198</x:v>
      </x:c>
      <x:c r="F490" s="20" t="s">
        <x:v>90</x:v>
      </x:c>
      <x:c r="G490" s="26">
        <x:v>44602</x:v>
      </x:c>
      <x:c r="H490" s="24" t="s">
        <x:v>2397</x:v>
      </x:c>
      <x:c r="I490" s="28" t="s">
        <x:v>2398</x:v>
      </x:c>
      <x:c r="J490" s="29" t="s">
        <x:v>2399</x:v>
      </x:c>
    </x:row>
    <x:row r="491" ht="10.050000190734863" customHeight="1">
      <x:c r="A491" s="21" t="s">
        <x:v>2400</x:v>
      </x:c>
      <x:c r="B491" s="20" t="s">
        <x:v>2400</x:v>
      </x:c>
      <x:c r="C491" s="20" t="s">
        <x:v>761</x:v>
      </x:c>
      <x:c r="D491" s="24">
        <x:v>16</x:v>
      </x:c>
      <x:c r="E491" s="24" t="s">
        <x:v>198</x:v>
      </x:c>
      <x:c r="F491" s="20" t="s">
        <x:v>90</x:v>
      </x:c>
      <x:c r="G491" s="26">
        <x:v>45143</x:v>
      </x:c>
      <x:c r="H491" s="24" t="s">
        <x:v>2401</x:v>
      </x:c>
      <x:c r="I491" s="28" t="s">
        <x:v>2402</x:v>
      </x:c>
      <x:c r="J491" s="29" t="s">
        <x:v>2403</x:v>
      </x:c>
    </x:row>
    <x:row r="492" ht="10.050000190734863" customHeight="1">
      <x:c r="A492" s="21" t="s">
        <x:v>2404</x:v>
      </x:c>
      <x:c r="B492" s="20" t="s">
        <x:v>2404</x:v>
      </x:c>
      <x:c r="C492" s="20" t="s">
        <x:v>2405</x:v>
      </x:c>
      <x:c r="D492" s="24">
        <x:v>7</x:v>
      </x:c>
      <x:c r="E492" s="24" t="s">
        <x:v>103</x:v>
      </x:c>
      <x:c r="F492" s="20" t="s">
        <x:v>97</x:v>
      </x:c>
      <x:c r="G492" s="26">
        <x:v>41667</x:v>
      </x:c>
      <x:c r="H492" s="24" t="s">
        <x:v>2406</x:v>
      </x:c>
      <x:c r="I492" s="28" t="s">
        <x:v>2407</x:v>
      </x:c>
      <x:c r="J492" s="29" t="s">
        <x:v>2408</x:v>
      </x:c>
    </x:row>
    <x:row r="493" ht="10.050000190734863" customHeight="1">
      <x:c r="A493" s="21" t="s">
        <x:v>2409</x:v>
      </x:c>
      <x:c r="B493" s="20" t="s">
        <x:v>2409</x:v>
      </x:c>
      <x:c r="C493" s="20" t="s">
        <x:v>2410</x:v>
      </x:c>
      <x:c r="D493" s="24">
        <x:v>8</x:v>
      </x:c>
      <x:c r="E493" s="24" t="s">
        <x:v>198</x:v>
      </x:c>
      <x:c r="F493" s="20" t="s">
        <x:v>90</x:v>
      </x:c>
      <x:c r="G493" s="26">
        <x:v>43999</x:v>
      </x:c>
      <x:c r="H493" s="24" t="s">
        <x:v>2411</x:v>
      </x:c>
      <x:c r="I493" s="28" t="s">
        <x:v>2412</x:v>
      </x:c>
      <x:c r="J493" s="29" t="s">
        <x:v>2413</x:v>
      </x:c>
    </x:row>
    <x:row r="494" ht="10.050000190734863" customHeight="1">
      <x:c r="A494" s="21" t="s">
        <x:v>56</x:v>
      </x:c>
      <x:c r="B494" s="20" t="s">
        <x:v>56</x:v>
      </x:c>
      <x:c r="C494" s="20" t="s">
        <x:v>2396</x:v>
      </x:c>
      <x:c r="D494" s="24">
        <x:v>21</x:v>
      </x:c>
      <x:c r="E494" s="24" t="s">
        <x:v>198</x:v>
      </x:c>
      <x:c r="F494" s="20" t="s">
        <x:v>90</x:v>
      </x:c>
      <x:c r="G494" s="26">
        <x:v>45654</x:v>
      </x:c>
      <x:c r="H494" s="24" t="s">
        <x:v>2414</x:v>
      </x:c>
      <x:c r="I494" s="28" t="s">
        <x:v>2415</x:v>
      </x:c>
      <x:c r="J494" s="29" t="s">
        <x:v>2416</x:v>
      </x:c>
    </x:row>
    <x:row r="495" ht="10.050000190734863" customHeight="1">
      <x:c r="A495" s="21" t="s">
        <x:v>2417</x:v>
      </x:c>
      <x:c r="B495" s="20" t="s">
        <x:v>2417</x:v>
      </x:c>
      <x:c r="C495" s="20" t="s">
        <x:v>2418</x:v>
      </x:c>
      <x:c r="D495" s="24">
        <x:v>8</x:v>
      </x:c>
      <x:c r="E495" s="24" t="s">
        <x:v>198</x:v>
      </x:c>
      <x:c r="F495" s="20" t="s">
        <x:v>90</x:v>
      </x:c>
      <x:c r="G495" s="26">
        <x:v>43789</x:v>
      </x:c>
      <x:c r="H495" s="24" t="s">
        <x:v>2419</x:v>
      </x:c>
      <x:c r="I495" s="28" t="s">
        <x:v>2420</x:v>
      </x:c>
      <x:c r="J495" s="29" t="s">
        <x:v>2421</x:v>
      </x:c>
    </x:row>
    <x:row r="496" ht="10.050000190734863" customHeight="1">
      <x:c r="A496" s="21" t="s">
        <x:v>2422</x:v>
      </x:c>
      <x:c r="B496" s="20" t="s">
        <x:v>2422</x:v>
      </x:c>
      <x:c r="C496" s="20" t="s">
        <x:v>1087</x:v>
      </x:c>
      <x:c r="D496" s="24">
        <x:v>13</x:v>
      </x:c>
      <x:c r="E496" s="24" t="s">
        <x:v>89</x:v>
      </x:c>
      <x:c r="F496" s="20" t="s">
        <x:v>90</x:v>
      </x:c>
      <x:c r="G496" s="26">
        <x:v>45126</x:v>
      </x:c>
      <x:c r="H496" s="24" t="s">
        <x:v>2423</x:v>
      </x:c>
      <x:c r="I496" s="28" t="s">
        <x:v>2424</x:v>
      </x:c>
      <x:c r="J496" s="29" t="s">
        <x:v>2425</x:v>
      </x:c>
    </x:row>
    <x:row r="497" ht="10.050000190734863" customHeight="1">
      <x:c r="A497" s="21" t="s">
        <x:v>2426</x:v>
      </x:c>
      <x:c r="B497" s="20" t="s">
        <x:v>2426</x:v>
      </x:c>
      <x:c r="C497" s="20" t="s">
        <x:v>2427</x:v>
      </x:c>
      <x:c r="D497" s="24">
        <x:v>9</x:v>
      </x:c>
      <x:c r="E497" s="24" t="s">
        <x:v>89</x:v>
      </x:c>
      <x:c r="F497" s="20" t="s">
        <x:v>90</x:v>
      </x:c>
      <x:c r="G497" s="26">
        <x:v>46071</x:v>
      </x:c>
      <x:c r="H497" s="24" t="s">
        <x:v>2428</x:v>
      </x:c>
      <x:c r="I497" s="28" t="s">
        <x:v>2429</x:v>
      </x:c>
      <x:c r="J497" s="29" t="s">
        <x:v>2430</x:v>
      </x:c>
    </x:row>
    <x:row r="498" ht="10.050000190734863" customHeight="1">
      <x:c r="A498" s="21" t="s">
        <x:v>2431</x:v>
      </x:c>
      <x:c r="B498" s="20" t="s">
        <x:v>2431</x:v>
      </x:c>
      <x:c r="C498" s="20" t="s">
        <x:v>2432</x:v>
      </x:c>
      <x:c r="D498" s="24">
        <x:v>4</x:v>
      </x:c>
      <x:c r="E498" s="24" t="s">
        <x:v>198</x:v>
      </x:c>
      <x:c r="F498" s="20" t="s">
        <x:v>90</x:v>
      </x:c>
      <x:c r="G498" s="26">
        <x:v>42950</x:v>
      </x:c>
      <x:c r="H498" s="24" t="s">
        <x:v>2433</x:v>
      </x:c>
      <x:c r="I498" s="28" t="s">
        <x:v>2434</x:v>
      </x:c>
      <x:c r="J498" s="29" t="s">
        <x:v>2435</x:v>
      </x:c>
    </x:row>
    <x:row r="499" ht="10.050000190734863" customHeight="1">
      <x:c r="A499" s="21" t="s">
        <x:v>2436</x:v>
      </x:c>
      <x:c r="B499" s="20" t="s">
        <x:v>2436</x:v>
      </x:c>
      <x:c r="C499" s="20" t="s">
        <x:v>2437</x:v>
      </x:c>
      <x:c r="D499" s="24">
        <x:v>5</x:v>
      </x:c>
      <x:c r="E499" s="24" t="s">
        <x:v>103</x:v>
      </x:c>
      <x:c r="F499" s="20" t="s">
        <x:v>97</x:v>
      </x:c>
      <x:c r="G499" s="26">
        <x:v>42657</x:v>
      </x:c>
      <x:c r="H499" s="24" t="s">
        <x:v>2438</x:v>
      </x:c>
      <x:c r="I499" s="28" t="s">
        <x:v>2439</x:v>
      </x:c>
      <x:c r="J499" s="29" t="s">
        <x:v>2440</x:v>
      </x:c>
    </x:row>
    <x:row r="500" ht="10.050000190734863" customHeight="1">
      <x:c r="A500" s="21" t="s">
        <x:v>2441</x:v>
      </x:c>
      <x:c r="B500" s="20" t="s">
        <x:v>2441</x:v>
      </x:c>
      <x:c r="C500" s="20" t="s">
        <x:v>1003</x:v>
      </x:c>
      <x:c r="D500" s="24">
        <x:v>10</x:v>
      </x:c>
      <x:c r="E500" s="24" t="s">
        <x:v>198</x:v>
      </x:c>
      <x:c r="F500" s="20" t="s">
        <x:v>90</x:v>
      </x:c>
      <x:c r="G500" s="26">
        <x:v>44755</x:v>
      </x:c>
      <x:c r="H500" s="24" t="s">
        <x:v>2442</x:v>
      </x:c>
      <x:c r="I500" s="28" t="s">
        <x:v>2443</x:v>
      </x:c>
      <x:c r="J500" s="29" t="s">
        <x:v>2444</x:v>
      </x:c>
    </x:row>
    <x:row r="501" ht="10.050000190734863" customHeight="1">
      <x:c r="A501" s="21" t="s">
        <x:v>2445</x:v>
      </x:c>
      <x:c r="B501" s="20" t="s">
        <x:v>2445</x:v>
      </x:c>
      <x:c r="C501" s="20" t="s">
        <x:v>2446</x:v>
      </x:c>
      <x:c r="D501" s="24">
        <x:v>12</x:v>
      </x:c>
      <x:c r="E501" s="24" t="s">
        <x:v>103</x:v>
      </x:c>
      <x:c r="F501" s="20" t="s">
        <x:v>97</x:v>
      </x:c>
      <x:c r="G501" s="26">
        <x:v>41535</x:v>
      </x:c>
      <x:c r="H501" s="24" t="s">
        <x:v>2447</x:v>
      </x:c>
      <x:c r="I501" s="28" t="s">
        <x:v>2448</x:v>
      </x:c>
      <x:c r="J501" s="29" t="s">
        <x:v>2449</x:v>
      </x:c>
    </x:row>
    <x:row r="502" ht="10.050000190734863" customHeight="1">
      <x:c r="A502" s="21" t="s">
        <x:v>2450</x:v>
      </x:c>
      <x:c r="B502" s="20" t="s">
        <x:v>2450</x:v>
      </x:c>
      <x:c r="C502" s="20" t="s">
        <x:v>2451</x:v>
      </x:c>
      <x:c r="D502" s="24">
        <x:v>7</x:v>
      </x:c>
      <x:c r="E502" s="24" t="s">
        <x:v>103</x:v>
      </x:c>
      <x:c r="F502" s="20" t="s">
        <x:v>97</x:v>
      </x:c>
      <x:c r="G502" s="26">
        <x:v>42058</x:v>
      </x:c>
      <x:c r="H502" s="24" t="s">
        <x:v>2452</x:v>
      </x:c>
      <x:c r="I502" s="28" t="s">
        <x:v>2453</x:v>
      </x:c>
      <x:c r="J502" s="29" t="s">
        <x:v>2454</x:v>
      </x:c>
    </x:row>
    <x:row r="503" ht="10.050000190734863" customHeight="1">
      <x:c r="A503" s="21" t="s">
        <x:v>2455</x:v>
      </x:c>
      <x:c r="B503" s="20" t="s">
        <x:v>2455</x:v>
      </x:c>
      <x:c r="C503" s="20" t="s">
        <x:v>1334</x:v>
      </x:c>
      <x:c r="D503" s="24">
        <x:v>10</x:v>
      </x:c>
      <x:c r="E503" s="24" t="s">
        <x:v>103</x:v>
      </x:c>
      <x:c r="F503" s="20" t="s">
        <x:v>97</x:v>
      </x:c>
      <x:c r="G503" s="26">
        <x:v>41885</x:v>
      </x:c>
      <x:c r="H503" s="24" t="s">
        <x:v>2456</x:v>
      </x:c>
      <x:c r="I503" s="28" t="s">
        <x:v>2457</x:v>
      </x:c>
      <x:c r="J503" s="29" t="s">
        <x:v>2458</x:v>
      </x:c>
    </x:row>
    <x:row r="504" ht="10.050000190734863" customHeight="1">
      <x:c r="A504" s="21" t="s">
        <x:v>2459</x:v>
      </x:c>
      <x:c r="B504" s="20" t="s">
        <x:v>2459</x:v>
      </x:c>
      <x:c r="C504" s="20" t="s">
        <x:v>282</x:v>
      </x:c>
      <x:c r="D504" s="24">
        <x:v>9</x:v>
      </x:c>
      <x:c r="E504" s="24" t="s">
        <x:v>96</x:v>
      </x:c>
      <x:c r="F504" s="20" t="s">
        <x:v>97</x:v>
      </x:c>
      <x:c r="G504" s="26">
        <x:v>45004</x:v>
      </x:c>
      <x:c r="H504" s="24" t="s">
        <x:v>2460</x:v>
      </x:c>
      <x:c r="I504" s="28" t="s">
        <x:v>2461</x:v>
      </x:c>
      <x:c r="J504" s="29" t="s">
        <x:v>2462</x:v>
      </x:c>
    </x:row>
    <x:row r="505" ht="10.050000190734863" customHeight="1">
      <x:c r="A505" s="21" t="s">
        <x:v>2463</x:v>
      </x:c>
      <x:c r="B505" s="20" t="s">
        <x:v>2463</x:v>
      </x:c>
      <x:c r="C505" s="20" t="s">
        <x:v>2451</x:v>
      </x:c>
      <x:c r="D505" s="24">
        <x:v>9</x:v>
      </x:c>
      <x:c r="E505" s="24" t="s">
        <x:v>103</x:v>
      </x:c>
      <x:c r="F505" s="20" t="s">
        <x:v>97</x:v>
      </x:c>
      <x:c r="G505" s="26">
        <x:v>42233</x:v>
      </x:c>
      <x:c r="H505" s="24" t="s">
        <x:v>2464</x:v>
      </x:c>
      <x:c r="I505" s="28" t="s">
        <x:v>2465</x:v>
      </x:c>
      <x:c r="J505" s="29" t="s">
        <x:v>2466</x:v>
      </x:c>
    </x:row>
    <x:row r="506" ht="10.050000190734863" customHeight="1">
      <x:c r="A506" s="21" t="s">
        <x:v>2467</x:v>
      </x:c>
      <x:c r="B506" s="20" t="s">
        <x:v>2467</x:v>
      </x:c>
      <x:c r="C506" s="20" t="s">
        <x:v>2468</x:v>
      </x:c>
      <x:c r="D506" s="24">
        <x:v>3</x:v>
      </x:c>
      <x:c r="E506" s="24" t="s">
        <x:v>103</x:v>
      </x:c>
      <x:c r="F506" s="20" t="s">
        <x:v>2469</x:v>
      </x:c>
      <x:c r="G506" s="26">
        <x:v>45958</x:v>
      </x:c>
      <x:c r="H506" s="24" t="s">
        <x:v>2470</x:v>
      </x:c>
      <x:c r="I506" s="28" t="s">
        <x:v>2471</x:v>
      </x:c>
      <x:c r="J506" s="29" t="s">
        <x:v>2472</x:v>
      </x:c>
    </x:row>
    <x:row r="507" ht="10.050000190734863" customHeight="1">
      <x:c r="A507" s="21" t="s">
        <x:v>2473</x:v>
      </x:c>
      <x:c r="B507" s="20" t="s">
        <x:v>2473</x:v>
      </x:c>
      <x:c r="C507" s="20" t="s">
        <x:v>1613</x:v>
      </x:c>
      <x:c r="D507" s="24">
        <x:v>11</x:v>
      </x:c>
      <x:c r="E507" s="24" t="s">
        <x:v>89</x:v>
      </x:c>
      <x:c r="F507" s="20" t="s">
        <x:v>90</x:v>
      </x:c>
      <x:c r="G507" s="26">
        <x:v>44763</x:v>
      </x:c>
      <x:c r="H507" s="24" t="s">
        <x:v>2474</x:v>
      </x:c>
      <x:c r="I507" s="28" t="s">
        <x:v>2475</x:v>
      </x:c>
      <x:c r="J507" s="29" t="s">
        <x:v>2476</x:v>
      </x:c>
    </x:row>
    <x:row r="508" ht="10.050000190734863" customHeight="1">
      <x:c r="A508" s="21" t="s">
        <x:v>2477</x:v>
      </x:c>
      <x:c r="B508" s="20" t="s">
        <x:v>2477</x:v>
      </x:c>
      <x:c r="C508" s="20" t="s">
        <x:v>2478</x:v>
      </x:c>
      <x:c r="D508" s="24">
        <x:v>63</x:v>
      </x:c>
      <x:c r="E508" s="24" t="s">
        <x:v>198</x:v>
      </x:c>
      <x:c r="F508" s="20" t="s">
        <x:v>97</x:v>
      </x:c>
      <x:c r="G508" s="26">
        <x:v>42230</x:v>
      </x:c>
      <x:c r="H508" s="24" t="s">
        <x:v>2479</x:v>
      </x:c>
      <x:c r="I508" s="28" t="s">
        <x:v>2480</x:v>
      </x:c>
      <x:c r="J508" s="29" t="s">
        <x:v>2481</x:v>
      </x:c>
    </x:row>
    <x:row r="509" ht="10.050000190734863" customHeight="1">
      <x:c r="A509" s="21" t="s">
        <x:v>2482</x:v>
      </x:c>
      <x:c r="B509" s="20" t="s">
        <x:v>2482</x:v>
      </x:c>
      <x:c r="C509" s="20" t="s">
        <x:v>2483</x:v>
      </x:c>
      <x:c r="D509" s="24">
        <x:v>6</x:v>
      </x:c>
      <x:c r="E509" s="24" t="s">
        <x:v>198</x:v>
      </x:c>
      <x:c r="F509" s="20" t="s">
        <x:v>90</x:v>
      </x:c>
      <x:c r="G509" s="26">
        <x:v>44861</x:v>
      </x:c>
      <x:c r="H509" s="24" t="s">
        <x:v>2484</x:v>
      </x:c>
      <x:c r="I509" s="28" t="s">
        <x:v>2485</x:v>
      </x:c>
      <x:c r="J509" s="29" t="s">
        <x:v>2486</x:v>
      </x:c>
    </x:row>
    <x:row r="510" ht="10.050000190734863" customHeight="1">
      <x:c r="A510" s="21" t="s">
        <x:v>2487</x:v>
      </x:c>
      <x:c r="B510" s="20" t="s">
        <x:v>2487</x:v>
      </x:c>
      <x:c r="C510" s="20" t="s">
        <x:v>2483</x:v>
      </x:c>
      <x:c r="D510" s="24">
        <x:v>7</x:v>
      </x:c>
      <x:c r="E510" s="24" t="s">
        <x:v>114</x:v>
      </x:c>
      <x:c r="F510" s="20" t="s">
        <x:v>90</x:v>
      </x:c>
      <x:c r="G510" s="26">
        <x:v>45389</x:v>
      </x:c>
      <x:c r="H510" s="24" t="s">
        <x:v>2488</x:v>
      </x:c>
      <x:c r="I510" s="28" t="s">
        <x:v>2489</x:v>
      </x:c>
      <x:c r="J510" s="29" t="s">
        <x:v>2490</x:v>
      </x:c>
    </x:row>
    <x:row r="511" ht="10.050000190734863" customHeight="1">
      <x:c r="A511" s="21" t="s">
        <x:v>2491</x:v>
      </x:c>
      <x:c r="B511" s="20" t="s">
        <x:v>2491</x:v>
      </x:c>
      <x:c r="C511" s="20" t="s">
        <x:v>533</x:v>
      </x:c>
      <x:c r="D511" s="24">
        <x:v>3</x:v>
      </x:c>
      <x:c r="E511" s="24" t="s">
        <x:v>89</x:v>
      </x:c>
      <x:c r="F511" s="20" t="s">
        <x:v>152</x:v>
      </x:c>
      <x:c r="G511" s="26">
        <x:v>45915</x:v>
      </x:c>
      <x:c r="H511" s="24" t="s">
        <x:v>2492</x:v>
      </x:c>
      <x:c r="I511" s="28" t="s">
        <x:v>2493</x:v>
      </x:c>
      <x:c r="J511" s="29" t="s">
        <x:v>2494</x:v>
      </x:c>
    </x:row>
    <x:row r="512" ht="10.050000190734863" customHeight="1">
      <x:c r="A512" s="21" t="s">
        <x:v>2495</x:v>
      </x:c>
      <x:c r="B512" s="20" t="s">
        <x:v>2495</x:v>
      </x:c>
      <x:c r="C512" s="20" t="s">
        <x:v>2496</x:v>
      </x:c>
      <x:c r="D512" s="24">
        <x:v>15</x:v>
      </x:c>
      <x:c r="E512" s="24" t="s">
        <x:v>96</x:v>
      </x:c>
      <x:c r="F512" s="20" t="s">
        <x:v>97</x:v>
      </x:c>
      <x:c r="G512" s="26">
        <x:v>42225</x:v>
      </x:c>
      <x:c r="H512" s="24" t="s">
        <x:v>2497</x:v>
      </x:c>
      <x:c r="I512" s="28" t="s">
        <x:v>2498</x:v>
      </x:c>
      <x:c r="J512" s="29" t="s">
        <x:v>2499</x:v>
      </x:c>
    </x:row>
    <x:row r="513" ht="10.050000190734863" customHeight="1">
      <x:c r="A513" s="21" t="s">
        <x:v>2500</x:v>
      </x:c>
      <x:c r="B513" s="20" t="s">
        <x:v>2500</x:v>
      </x:c>
      <x:c r="C513" s="20" t="s">
        <x:v>2501</x:v>
      </x:c>
      <x:c r="D513" s="24">
        <x:v>21</x:v>
      </x:c>
      <x:c r="E513" s="24" t="s">
        <x:v>198</x:v>
      </x:c>
      <x:c r="F513" s="20" t="s">
        <x:v>90</x:v>
      </x:c>
      <x:c r="G513" s="26">
        <x:v>43830</x:v>
      </x:c>
      <x:c r="H513" s="24" t="s">
        <x:v>2502</x:v>
      </x:c>
      <x:c r="I513" s="28" t="s">
        <x:v>2503</x:v>
      </x:c>
      <x:c r="J513" s="29" t="s">
        <x:v>2504</x:v>
      </x:c>
    </x:row>
    <x:row r="514" ht="10.050000190734863" customHeight="1">
      <x:c r="A514" s="21" t="s">
        <x:v>2505</x:v>
      </x:c>
      <x:c r="B514" s="20" t="s">
        <x:v>2505</x:v>
      </x:c>
      <x:c r="C514" s="20" t="s">
        <x:v>1102</x:v>
      </x:c>
      <x:c r="D514" s="24">
        <x:v>9</x:v>
      </x:c>
      <x:c r="E514" s="24" t="s">
        <x:v>198</x:v>
      </x:c>
      <x:c r="F514" s="20" t="s">
        <x:v>90</x:v>
      </x:c>
      <x:c r="G514" s="26">
        <x:v>46014</x:v>
      </x:c>
      <x:c r="H514" s="24" t="s">
        <x:v>2506</x:v>
      </x:c>
      <x:c r="I514" s="28" t="s">
        <x:v>2507</x:v>
      </x:c>
      <x:c r="J514" s="29" t="s">
        <x:v>2508</x:v>
      </x:c>
    </x:row>
    <x:row r="515" ht="10.050000190734863" customHeight="1">
      <x:c r="A515" s="21" t="s">
        <x:v>2509</x:v>
      </x:c>
      <x:c r="B515" s="20" t="s">
        <x:v>2509</x:v>
      </x:c>
      <x:c r="C515" s="20" t="s">
        <x:v>394</x:v>
      </x:c>
      <x:c r="D515" s="24">
        <x:v>24</x:v>
      </x:c>
      <x:c r="E515" s="24" t="s">
        <x:v>198</x:v>
      </x:c>
      <x:c r="F515" s="20" t="s">
        <x:v>90</x:v>
      </x:c>
      <x:c r="G515" s="26">
        <x:v>45713</x:v>
      </x:c>
      <x:c r="H515" s="24" t="s">
        <x:v>2510</x:v>
      </x:c>
      <x:c r="I515" s="28" t="s">
        <x:v>2511</x:v>
      </x:c>
      <x:c r="J515" s="29" t="s">
        <x:v>2512</x:v>
      </x:c>
    </x:row>
    <x:row r="516" ht="10.050000190734863" customHeight="1">
      <x:c r="A516" s="21" t="s">
        <x:v>2513</x:v>
      </x:c>
      <x:c r="B516" s="20" t="s">
        <x:v>2513</x:v>
      </x:c>
      <x:c r="C516" s="20" t="s">
        <x:v>2514</x:v>
      </x:c>
      <x:c r="D516" s="24">
        <x:v>10</x:v>
      </x:c>
      <x:c r="E516" s="24" t="s">
        <x:v>89</x:v>
      </x:c>
      <x:c r="F516" s="20" t="s">
        <x:v>90</x:v>
      </x:c>
      <x:c r="G516" s="26">
        <x:v>44439</x:v>
      </x:c>
      <x:c r="H516" s="24" t="s">
        <x:v>2515</x:v>
      </x:c>
      <x:c r="I516" s="28" t="s">
        <x:v>2516</x:v>
      </x:c>
      <x:c r="J516" s="29" t="s">
        <x:v>2517</x:v>
      </x:c>
    </x:row>
    <x:row r="517" ht="10.050000190734863" customHeight="1">
      <x:c r="A517" s="21" t="s">
        <x:v>2518</x:v>
      </x:c>
      <x:c r="B517" s="20" t="s">
        <x:v>2518</x:v>
      </x:c>
      <x:c r="C517" s="20" t="s">
        <x:v>2519</x:v>
      </x:c>
      <x:c r="D517" s="24">
        <x:v>1</x:v>
      </x:c>
      <x:c r="E517" s="24" t="s">
        <x:v>89</x:v>
      </x:c>
      <x:c r="F517" s="20" t="s">
        <x:v>610</x:v>
      </x:c>
      <x:c r="G517" s="26">
        <x:v>43290</x:v>
      </x:c>
      <x:c r="H517" s="24" t="s">
        <x:v>2520</x:v>
      </x:c>
      <x:c r="I517" s="28" t="s">
        <x:v>2521</x:v>
      </x:c>
      <x:c r="J517" s="29" t="s">
        <x:v>2522</x:v>
      </x:c>
    </x:row>
    <x:row r="518" ht="10.050000190734863" customHeight="1">
      <x:c r="A518" s="21" t="s">
        <x:v>2523</x:v>
      </x:c>
      <x:c r="B518" s="20" t="s">
        <x:v>2523</x:v>
      </x:c>
      <x:c r="C518" s="20" t="s">
        <x:v>2524</x:v>
      </x:c>
      <x:c r="D518" s="24">
        <x:v>29</x:v>
      </x:c>
      <x:c r="E518" s="24" t="s">
        <x:v>89</x:v>
      </x:c>
      <x:c r="F518" s="20" t="s">
        <x:v>90</x:v>
      </x:c>
      <x:c r="G518" s="26">
        <x:v>44016</x:v>
      </x:c>
      <x:c r="H518" s="24" t="s">
        <x:v>2525</x:v>
      </x:c>
      <x:c r="I518" s="28" t="s">
        <x:v>2526</x:v>
      </x:c>
      <x:c r="J518" s="29" t="s">
        <x:v>2527</x:v>
      </x:c>
    </x:row>
    <x:row r="519" ht="10.050000190734863" customHeight="1">
      <x:c r="A519" s="21" t="s">
        <x:v>2528</x:v>
      </x:c>
      <x:c r="B519" s="20" t="s">
        <x:v>2528</x:v>
      </x:c>
      <x:c r="C519" s="20" t="s">
        <x:v>2529</x:v>
      </x:c>
      <x:c r="D519" s="24">
        <x:v>5</x:v>
      </x:c>
      <x:c r="E519" s="24" t="s">
        <x:v>103</x:v>
      </x:c>
      <x:c r="F519" s="20" t="s">
        <x:v>97</x:v>
      </x:c>
      <x:c r="G519" s="26">
        <x:v>42658</x:v>
      </x:c>
      <x:c r="H519" s="24" t="s">
        <x:v>2530</x:v>
      </x:c>
      <x:c r="I519" s="28" t="s">
        <x:v>2531</x:v>
      </x:c>
      <x:c r="J519" s="29" t="s">
        <x:v>2532</x:v>
      </x:c>
    </x:row>
    <x:row r="520" ht="10.050000190734863" customHeight="1">
      <x:c r="A520" s="21" t="s">
        <x:v>2533</x:v>
      </x:c>
      <x:c r="B520" s="20" t="s">
        <x:v>2533</x:v>
      </x:c>
      <x:c r="C520" s="20" t="s">
        <x:v>213</x:v>
      </x:c>
      <x:c r="D520" s="24">
        <x:v>15</x:v>
      </x:c>
      <x:c r="E520" s="24" t="s">
        <x:v>96</x:v>
      </x:c>
      <x:c r="F520" s="20" t="s">
        <x:v>90</x:v>
      </x:c>
      <x:c r="G520" s="26">
        <x:v>44510</x:v>
      </x:c>
      <x:c r="H520" s="24" t="s">
        <x:v>2534</x:v>
      </x:c>
      <x:c r="I520" s="28" t="s">
        <x:v>2535</x:v>
      </x:c>
      <x:c r="J520" s="29" t="s">
        <x:v>2536</x:v>
      </x:c>
    </x:row>
    <x:row r="521" ht="10.050000190734863" customHeight="1">
      <x:c r="A521" s="21" t="s">
        <x:v>2537</x:v>
      </x:c>
      <x:c r="B521" s="20" t="s">
        <x:v>2537</x:v>
      </x:c>
      <x:c r="C521" s="20" t="s">
        <x:v>2538</x:v>
      </x:c>
      <x:c r="D521" s="24">
        <x:v>12</x:v>
      </x:c>
      <x:c r="E521" s="24" t="s">
        <x:v>96</x:v>
      </x:c>
      <x:c r="F521" s="20" t="s">
        <x:v>97</x:v>
      </x:c>
      <x:c r="G521" s="26">
        <x:v>42104</x:v>
      </x:c>
      <x:c r="H521" s="24" t="s">
        <x:v>2539</x:v>
      </x:c>
      <x:c r="I521" s="28" t="s">
        <x:v>2540</x:v>
      </x:c>
      <x:c r="J521" s="29" t="s">
        <x:v>2541</x:v>
      </x:c>
    </x:row>
    <x:row r="522" ht="10.050000190734863" customHeight="1">
      <x:c r="A522" s="21" t="s">
        <x:v>2542</x:v>
      </x:c>
      <x:c r="B522" s="20" t="s">
        <x:v>2542</x:v>
      </x:c>
      <x:c r="C522" s="20" t="s">
        <x:v>2543</x:v>
      </x:c>
      <x:c r="D522" s="24">
        <x:v>9</x:v>
      </x:c>
      <x:c r="E522" s="24" t="s">
        <x:v>89</x:v>
      </x:c>
      <x:c r="F522" s="20" t="s">
        <x:v>610</x:v>
      </x:c>
      <x:c r="G522" s="26">
        <x:v>43514</x:v>
      </x:c>
      <x:c r="H522" s="24" t="s">
        <x:v>2544</x:v>
      </x:c>
      <x:c r="I522" s="28" t="s">
        <x:v>2545</x:v>
      </x:c>
      <x:c r="J522" s="29" t="s">
        <x:v>2546</x:v>
      </x:c>
    </x:row>
    <x:row r="523" ht="10.050000190734863" customHeight="1">
      <x:c r="A523" s="21" t="s">
        <x:v>2547</x:v>
      </x:c>
      <x:c r="B523" s="20" t="s">
        <x:v>2547</x:v>
      </x:c>
      <x:c r="C523" s="20" t="s">
        <x:v>2548</x:v>
      </x:c>
      <x:c r="D523" s="24">
        <x:v>27</x:v>
      </x:c>
      <x:c r="E523" s="24" t="s">
        <x:v>114</x:v>
      </x:c>
      <x:c r="F523" s="20" t="s">
        <x:v>90</x:v>
      </x:c>
      <x:c r="G523" s="26">
        <x:v>44916</x:v>
      </x:c>
      <x:c r="H523" s="24" t="s">
        <x:v>2549</x:v>
      </x:c>
      <x:c r="I523" s="28" t="s">
        <x:v>2550</x:v>
      </x:c>
      <x:c r="J523" s="29" t="s">
        <x:v>2551</x:v>
      </x:c>
    </x:row>
    <x:row r="524" ht="10.050000190734863" customHeight="1">
      <x:c r="A524" s="21" t="s">
        <x:v>2552</x:v>
      </x:c>
      <x:c r="B524" s="20" t="s">
        <x:v>2552</x:v>
      </x:c>
      <x:c r="C524" s="20" t="s">
        <x:v>2156</x:v>
      </x:c>
      <x:c r="D524" s="24">
        <x:v>19</x:v>
      </x:c>
      <x:c r="E524" s="24" t="s">
        <x:v>96</x:v>
      </x:c>
      <x:c r="F524" s="20" t="s">
        <x:v>97</x:v>
      </x:c>
      <x:c r="G524" s="26">
        <x:v>44120</x:v>
      </x:c>
      <x:c r="H524" s="24" t="s">
        <x:v>2553</x:v>
      </x:c>
      <x:c r="I524" s="28" t="s">
        <x:v>2554</x:v>
      </x:c>
      <x:c r="J524" s="29" t="s">
        <x:v>2555</x:v>
      </x:c>
    </x:row>
    <x:row r="525" ht="10.050000190734863" customHeight="1">
      <x:c r="A525" s="21" t="s">
        <x:v>2556</x:v>
      </x:c>
      <x:c r="B525" s="20" t="s">
        <x:v>2556</x:v>
      </x:c>
      <x:c r="C525" s="20" t="s">
        <x:v>2557</x:v>
      </x:c>
      <x:c r="D525" s="24">
        <x:v>21</x:v>
      </x:c>
      <x:c r="E525" s="24" t="s">
        <x:v>114</x:v>
      </x:c>
      <x:c r="F525" s="20" t="s">
        <x:v>90</x:v>
      </x:c>
      <x:c r="G525" s="26">
        <x:v>45447</x:v>
      </x:c>
      <x:c r="H525" s="24" t="s">
        <x:v>2558</x:v>
      </x:c>
      <x:c r="I525" s="28" t="s">
        <x:v>2559</x:v>
      </x:c>
      <x:c r="J525" s="29" t="s">
        <x:v>2560</x:v>
      </x:c>
    </x:row>
    <x:row r="526" ht="10.050000190734863" customHeight="1">
      <x:c r="A526" s="21" t="s">
        <x:v>2561</x:v>
      </x:c>
      <x:c r="B526" s="20" t="s">
        <x:v>2561</x:v>
      </x:c>
      <x:c r="C526" s="20" t="s">
        <x:v>2562</x:v>
      </x:c>
      <x:c r="D526" s="24">
        <x:v>10</x:v>
      </x:c>
      <x:c r="E526" s="24" t="s">
        <x:v>114</x:v>
      </x:c>
      <x:c r="F526" s="20" t="s">
        <x:v>90</x:v>
      </x:c>
      <x:c r="G526" s="26">
        <x:v>45071</x:v>
      </x:c>
      <x:c r="H526" s="24" t="s">
        <x:v>2563</x:v>
      </x:c>
      <x:c r="I526" s="28" t="s">
        <x:v>2564</x:v>
      </x:c>
      <x:c r="J526" s="29" t="s">
        <x:v>2565</x:v>
      </x:c>
    </x:row>
    <x:row r="527" ht="10.050000190734863" customHeight="1">
      <x:c r="A527" s="21" t="s">
        <x:v>2566</x:v>
      </x:c>
      <x:c r="B527" s="20" t="s">
        <x:v>2566</x:v>
      </x:c>
      <x:c r="C527" s="20" t="s">
        <x:v>2567</x:v>
      </x:c>
      <x:c r="D527" s="24">
        <x:v>5</x:v>
      </x:c>
      <x:c r="E527" s="24" t="s">
        <x:v>198</x:v>
      </x:c>
      <x:c r="F527" s="20" t="s">
        <x:v>90</x:v>
      </x:c>
      <x:c r="G527" s="26">
        <x:v>44398</x:v>
      </x:c>
      <x:c r="H527" s="24" t="s">
        <x:v>2568</x:v>
      </x:c>
      <x:c r="I527" s="28" t="s">
        <x:v>2569</x:v>
      </x:c>
      <x:c r="J527" s="29" t="s">
        <x:v>2570</x:v>
      </x:c>
    </x:row>
    <x:row r="528" ht="10.050000190734863" customHeight="1">
      <x:c r="A528" s="21" t="s">
        <x:v>2571</x:v>
      </x:c>
      <x:c r="B528" s="20" t="s">
        <x:v>2571</x:v>
      </x:c>
      <x:c r="C528" s="20" t="s">
        <x:v>1417</x:v>
      </x:c>
      <x:c r="D528" s="24">
        <x:v>24</x:v>
      </x:c>
      <x:c r="E528" s="24" t="s">
        <x:v>96</x:v>
      </x:c>
      <x:c r="F528" s="20" t="s">
        <x:v>90</x:v>
      </x:c>
      <x:c r="G528" s="26">
        <x:v>45664</x:v>
      </x:c>
      <x:c r="H528" s="24" t="s">
        <x:v>2572</x:v>
      </x:c>
      <x:c r="I528" s="28" t="s">
        <x:v>2573</x:v>
      </x:c>
      <x:c r="J528" s="29" t="s">
        <x:v>2574</x:v>
      </x:c>
    </x:row>
    <x:row r="529" ht="10.050000190734863" customHeight="1">
      <x:c r="A529" s="21" t="s">
        <x:v>2575</x:v>
      </x:c>
      <x:c r="B529" s="20" t="s">
        <x:v>2575</x:v>
      </x:c>
      <x:c r="C529" s="20" t="s">
        <x:v>609</x:v>
      </x:c>
      <x:c r="D529" s="24">
        <x:v>1</x:v>
      </x:c>
      <x:c r="E529" s="24" t="s">
        <x:v>198</x:v>
      </x:c>
      <x:c r="F529" s="20" t="s">
        <x:v>90</x:v>
      </x:c>
      <x:c r="G529" s="26">
        <x:v>44302</x:v>
      </x:c>
      <x:c r="H529" s="24" t="s">
        <x:v>2576</x:v>
      </x:c>
      <x:c r="I529" s="28" t="s">
        <x:v>2577</x:v>
      </x:c>
      <x:c r="J529" s="29" t="s">
        <x:v>2578</x:v>
      </x:c>
    </x:row>
    <x:row r="530" ht="10.050000190734863" customHeight="1">
      <x:c r="A530" s="21" t="s">
        <x:v>2579</x:v>
      </x:c>
      <x:c r="B530" s="20" t="s">
        <x:v>2579</x:v>
      </x:c>
      <x:c r="C530" s="20" t="s">
        <x:v>2580</x:v>
      </x:c>
      <x:c r="D530" s="24">
        <x:v>11</x:v>
      </x:c>
      <x:c r="E530" s="24" t="s">
        <x:v>89</x:v>
      </x:c>
      <x:c r="F530" s="20" t="s">
        <x:v>90</x:v>
      </x:c>
      <x:c r="G530" s="26">
        <x:v>45244</x:v>
      </x:c>
      <x:c r="H530" s="24" t="s">
        <x:v>2581</x:v>
      </x:c>
      <x:c r="I530" s="28" t="s">
        <x:v>2582</x:v>
      </x:c>
      <x:c r="J530" s="29" t="s">
        <x:v>2583</x:v>
      </x:c>
    </x:row>
    <x:row r="531" ht="10.050000190734863" customHeight="1">
      <x:c r="A531" s="21" t="s">
        <x:v>2584</x:v>
      </x:c>
      <x:c r="B531" s="20" t="s">
        <x:v>2584</x:v>
      </x:c>
      <x:c r="C531" s="20" t="s">
        <x:v>2585</x:v>
      </x:c>
      <x:c r="D531" s="24">
        <x:v>60</x:v>
      </x:c>
      <x:c r="E531" s="24" t="s">
        <x:v>103</x:v>
      </x:c>
      <x:c r="F531" s="20" t="s">
        <x:v>97</x:v>
      </x:c>
      <x:c r="G531" s="26">
        <x:v>42217</x:v>
      </x:c>
      <x:c r="H531" s="24" t="s">
        <x:v>2586</x:v>
      </x:c>
      <x:c r="I531" s="28" t="s">
        <x:v>2587</x:v>
      </x:c>
      <x:c r="J531" s="29" t="s">
        <x:v>2588</x:v>
      </x:c>
    </x:row>
    <x:row r="532" ht="10.050000190734863" customHeight="1">
      <x:c r="A532" s="21" t="s">
        <x:v>2589</x:v>
      </x:c>
      <x:c r="B532" s="20" t="s">
        <x:v>2589</x:v>
      </x:c>
      <x:c r="C532" s="20" t="s">
        <x:v>2590</x:v>
      </x:c>
      <x:c r="D532" s="24">
        <x:v>19</x:v>
      </x:c>
      <x:c r="E532" s="24" t="s">
        <x:v>114</x:v>
      </x:c>
      <x:c r="F532" s="20" t="s">
        <x:v>90</x:v>
      </x:c>
      <x:c r="G532" s="26">
        <x:v>44320</x:v>
      </x:c>
      <x:c r="H532" s="24" t="s">
        <x:v>2591</x:v>
      </x:c>
      <x:c r="I532" s="28" t="s">
        <x:v>2592</x:v>
      </x:c>
      <x:c r="J532" s="29" t="s">
        <x:v>2593</x:v>
      </x:c>
    </x:row>
    <x:row r="533" ht="10.050000190734863" customHeight="1">
      <x:c r="A533" s="21" t="s">
        <x:v>2594</x:v>
      </x:c>
      <x:c r="B533" s="20" t="s">
        <x:v>2594</x:v>
      </x:c>
      <x:c r="C533" s="20" t="s">
        <x:v>2595</x:v>
      </x:c>
      <x:c r="D533" s="24">
        <x:v>5</x:v>
      </x:c>
      <x:c r="E533" s="24" t="s">
        <x:v>103</x:v>
      </x:c>
      <x:c r="F533" s="20" t="s">
        <x:v>97</x:v>
      </x:c>
      <x:c r="G533" s="26">
        <x:v>43470</x:v>
      </x:c>
      <x:c r="H533" s="24" t="s">
        <x:v>2596</x:v>
      </x:c>
      <x:c r="I533" s="28" t="s">
        <x:v>2597</x:v>
      </x:c>
      <x:c r="J533" s="29" t="s">
        <x:v>2598</x:v>
      </x:c>
    </x:row>
    <x:row r="534" ht="10.050000190734863" customHeight="1">
      <x:c r="A534" s="21" t="s">
        <x:v>2599</x:v>
      </x:c>
      <x:c r="B534" s="20" t="s">
        <x:v>2599</x:v>
      </x:c>
      <x:c r="C534" s="20" t="s">
        <x:v>685</x:v>
      </x:c>
      <x:c r="D534" s="24">
        <x:v>11</x:v>
      </x:c>
      <x:c r="E534" s="24" t="s">
        <x:v>89</x:v>
      </x:c>
      <x:c r="F534" s="20" t="s">
        <x:v>90</x:v>
      </x:c>
      <x:c r="G534" s="26">
        <x:v>45603</x:v>
      </x:c>
      <x:c r="H534" s="24" t="s">
        <x:v>2600</x:v>
      </x:c>
      <x:c r="I534" s="28" t="s">
        <x:v>2601</x:v>
      </x:c>
      <x:c r="J534" s="29" t="s">
        <x:v>2602</x:v>
      </x:c>
    </x:row>
    <x:row r="535" ht="10.050000190734863" customHeight="1">
      <x:c r="A535" s="21" t="s">
        <x:v>2603</x:v>
      </x:c>
      <x:c r="B535" s="20" t="s">
        <x:v>2603</x:v>
      </x:c>
      <x:c r="C535" s="20" t="s">
        <x:v>2604</x:v>
      </x:c>
      <x:c r="D535" s="24">
        <x:v>14</x:v>
      </x:c>
      <x:c r="E535" s="24" t="s">
        <x:v>103</x:v>
      </x:c>
      <x:c r="F535" s="20" t="s">
        <x:v>97</x:v>
      </x:c>
      <x:c r="G535" s="26">
        <x:v>42914</x:v>
      </x:c>
      <x:c r="H535" s="24" t="s">
        <x:v>2605</x:v>
      </x:c>
      <x:c r="I535" s="28" t="s">
        <x:v>2606</x:v>
      </x:c>
      <x:c r="J535" s="29" t="s">
        <x:v>2607</x:v>
      </x:c>
    </x:row>
    <x:row r="536" ht="10.050000190734863" customHeight="1">
      <x:c r="A536" s="21" t="s">
        <x:v>2608</x:v>
      </x:c>
      <x:c r="B536" s="20" t="s">
        <x:v>2608</x:v>
      </x:c>
      <x:c r="C536" s="20" t="s">
        <x:v>2609</x:v>
      </x:c>
      <x:c r="D536" s="24">
        <x:v>7</x:v>
      </x:c>
      <x:c r="E536" s="24" t="s">
        <x:v>114</x:v>
      </x:c>
      <x:c r="F536" s="20" t="s">
        <x:v>90</x:v>
      </x:c>
      <x:c r="G536" s="26">
        <x:v>44460</x:v>
      </x:c>
      <x:c r="H536" s="24" t="s">
        <x:v>2610</x:v>
      </x:c>
      <x:c r="I536" s="28" t="s">
        <x:v>2611</x:v>
      </x:c>
      <x:c r="J536" s="29" t="s">
        <x:v>2612</x:v>
      </x:c>
    </x:row>
    <x:row r="537" ht="10.050000190734863" customHeight="1">
      <x:c r="A537" s="21" t="s">
        <x:v>2613</x:v>
      </x:c>
      <x:c r="B537" s="20" t="s">
        <x:v>2613</x:v>
      </x:c>
      <x:c r="C537" s="20" t="s">
        <x:v>2614</x:v>
      </x:c>
      <x:c r="D537" s="24">
        <x:v>2</x:v>
      </x:c>
      <x:c r="E537" s="24" t="s">
        <x:v>89</x:v>
      </x:c>
      <x:c r="F537" s="20" t="s">
        <x:v>97</x:v>
      </x:c>
      <x:c r="G537" s="26">
        <x:v>42519</x:v>
      </x:c>
      <x:c r="H537" s="24" t="s">
        <x:v>2615</x:v>
      </x:c>
      <x:c r="I537" s="28" t="s">
        <x:v>2616</x:v>
      </x:c>
      <x:c r="J537" s="29" t="s">
        <x:v>2617</x:v>
      </x:c>
    </x:row>
    <x:row r="538" ht="10.050000190734863" customHeight="1">
      <x:c r="A538" s="21" t="s">
        <x:v>2618</x:v>
      </x:c>
      <x:c r="B538" s="20" t="s">
        <x:v>2618</x:v>
      </x:c>
      <x:c r="C538" s="20" t="s">
        <x:v>2619</x:v>
      </x:c>
      <x:c r="D538" s="24">
        <x:v>11</x:v>
      </x:c>
      <x:c r="E538" s="24" t="s">
        <x:v>89</x:v>
      </x:c>
      <x:c r="F538" s="20" t="s">
        <x:v>90</x:v>
      </x:c>
      <x:c r="G538" s="26">
        <x:v>45153</x:v>
      </x:c>
      <x:c r="H538" s="24" t="s">
        <x:v>2620</x:v>
      </x:c>
      <x:c r="I538" s="28" t="s">
        <x:v>2621</x:v>
      </x:c>
      <x:c r="J538" s="29" t="s">
        <x:v>2622</x:v>
      </x:c>
    </x:row>
    <x:row r="539" ht="10.050000190734863" customHeight="1">
      <x:c r="A539" s="21" t="s">
        <x:v>2623</x:v>
      </x:c>
      <x:c r="B539" s="20" t="s">
        <x:v>2623</x:v>
      </x:c>
      <x:c r="C539" s="20" t="s">
        <x:v>2624</x:v>
      </x:c>
      <x:c r="D539" s="24">
        <x:v>6</x:v>
      </x:c>
      <x:c r="E539" s="24" t="s">
        <x:v>114</x:v>
      </x:c>
      <x:c r="F539" s="20" t="s">
        <x:v>90</x:v>
      </x:c>
      <x:c r="G539" s="26">
        <x:v>43468</x:v>
      </x:c>
      <x:c r="H539" s="24" t="s">
        <x:v>2625</x:v>
      </x:c>
      <x:c r="I539" s="28" t="s">
        <x:v>2626</x:v>
      </x:c>
      <x:c r="J539" s="29" t="s">
        <x:v>2627</x:v>
      </x:c>
    </x:row>
    <x:row r="540" ht="10.050000190734863" customHeight="1">
      <x:c r="A540" s="21" t="s">
        <x:v>2628</x:v>
      </x:c>
      <x:c r="B540" s="20" t="s">
        <x:v>2628</x:v>
      </x:c>
      <x:c r="C540" s="20" t="s">
        <x:v>2629</x:v>
      </x:c>
      <x:c r="D540" s="24">
        <x:v>7</x:v>
      </x:c>
      <x:c r="E540" s="24" t="s">
        <x:v>114</x:v>
      </x:c>
      <x:c r="F540" s="20" t="s">
        <x:v>90</x:v>
      </x:c>
      <x:c r="G540" s="26">
        <x:v>44587</x:v>
      </x:c>
      <x:c r="H540" s="24" t="s">
        <x:v>2630</x:v>
      </x:c>
      <x:c r="I540" s="28" t="s">
        <x:v>2631</x:v>
      </x:c>
      <x:c r="J540" s="29" t="s">
        <x:v>2632</x:v>
      </x:c>
    </x:row>
    <x:row r="541" ht="10.050000190734863" customHeight="1">
      <x:c r="A541" s="21" t="s">
        <x:v>2633</x:v>
      </x:c>
      <x:c r="B541" s="20" t="s">
        <x:v>2633</x:v>
      </x:c>
      <x:c r="C541" s="20" t="s">
        <x:v>2634</x:v>
      </x:c>
      <x:c r="D541" s="24">
        <x:v>25</x:v>
      </x:c>
      <x:c r="E541" s="24" t="s">
        <x:v>89</x:v>
      </x:c>
      <x:c r="F541" s="20" t="s">
        <x:v>90</x:v>
      </x:c>
      <x:c r="G541" s="26">
        <x:v>44687</x:v>
      </x:c>
      <x:c r="H541" s="24" t="s">
        <x:v>2635</x:v>
      </x:c>
      <x:c r="I541" s="28" t="s">
        <x:v>2636</x:v>
      </x:c>
      <x:c r="J541" s="29" t="s">
        <x:v>2637</x:v>
      </x:c>
    </x:row>
    <x:row r="542" ht="10.050000190734863" customHeight="1">
      <x:c r="A542" s="21" t="s">
        <x:v>2638</x:v>
      </x:c>
      <x:c r="B542" s="20" t="s">
        <x:v>2638</x:v>
      </x:c>
      <x:c r="C542" s="20" t="s">
        <x:v>2282</x:v>
      </x:c>
      <x:c r="D542" s="24">
        <x:v>13</x:v>
      </x:c>
      <x:c r="E542" s="24" t="s">
        <x:v>198</x:v>
      </x:c>
      <x:c r="F542" s="20" t="s">
        <x:v>90</x:v>
      </x:c>
      <x:c r="G542" s="26">
        <x:v>45166</x:v>
      </x:c>
      <x:c r="H542" s="24" t="s">
        <x:v>2639</x:v>
      </x:c>
      <x:c r="I542" s="28" t="s">
        <x:v>2640</x:v>
      </x:c>
      <x:c r="J542" s="29" t="s">
        <x:v>2641</x:v>
      </x:c>
    </x:row>
    <x:row r="543" ht="10.050000190734863" customHeight="1">
      <x:c r="A543" s="21" t="s">
        <x:v>2642</x:v>
      </x:c>
      <x:c r="B543" s="20" t="s">
        <x:v>2642</x:v>
      </x:c>
      <x:c r="C543" s="20" t="s">
        <x:v>680</x:v>
      </x:c>
      <x:c r="D543" s="24">
        <x:v>0</x:v>
      </x:c>
      <x:c r="E543" s="24" t="s">
        <x:v>114</x:v>
      </x:c>
      <x:c r="F543" s="20" t="s">
        <x:v>90</x:v>
      </x:c>
      <x:c r="G543" s="26">
        <x:v>44581</x:v>
      </x:c>
      <x:c r="H543" s="24" t="s">
        <x:v>2643</x:v>
      </x:c>
      <x:c r="I543" s="28" t="s">
        <x:v>2644</x:v>
      </x:c>
      <x:c r="J543" s="29" t="s">
        <x:v>2645</x:v>
      </x:c>
    </x:row>
    <x:row r="544" ht="10.050000190734863" customHeight="1">
      <x:c r="A544" s="21" t="s">
        <x:v>2646</x:v>
      </x:c>
      <x:c r="B544" s="20" t="s">
        <x:v>2646</x:v>
      </x:c>
      <x:c r="C544" s="20" t="s">
        <x:v>491</x:v>
      </x:c>
      <x:c r="D544" s="24">
        <x:v>11</x:v>
      </x:c>
      <x:c r="E544" s="24" t="s">
        <x:v>89</x:v>
      </x:c>
      <x:c r="F544" s="20" t="s">
        <x:v>90</x:v>
      </x:c>
      <x:c r="G544" s="26">
        <x:v>44921</x:v>
      </x:c>
      <x:c r="H544" s="24" t="s">
        <x:v>2647</x:v>
      </x:c>
      <x:c r="I544" s="28" t="s">
        <x:v>2648</x:v>
      </x:c>
      <x:c r="J544" s="29" t="s">
        <x:v>2649</x:v>
      </x:c>
    </x:row>
    <x:row r="545" ht="10.050000190734863" customHeight="1">
      <x:c r="A545" s="21" t="s">
        <x:v>2650</x:v>
      </x:c>
      <x:c r="B545" s="20" t="s">
        <x:v>2650</x:v>
      </x:c>
      <x:c r="C545" s="20" t="s">
        <x:v>2651</x:v>
      </x:c>
      <x:c r="D545" s="24">
        <x:v>9</x:v>
      </x:c>
      <x:c r="E545" s="24" t="s">
        <x:v>96</x:v>
      </x:c>
      <x:c r="F545" s="20" t="s">
        <x:v>97</x:v>
      </x:c>
      <x:c r="G545" s="26">
        <x:v>44436</x:v>
      </x:c>
      <x:c r="H545" s="24" t="s">
        <x:v>2652</x:v>
      </x:c>
      <x:c r="I545" s="28" t="s">
        <x:v>2653</x:v>
      </x:c>
      <x:c r="J545" s="29" t="s">
        <x:v>2654</x:v>
      </x:c>
    </x:row>
    <x:row r="546" ht="10.050000190734863" customHeight="1">
      <x:c r="A546" s="21" t="s">
        <x:v>2655</x:v>
      </x:c>
      <x:c r="B546" s="20" t="s">
        <x:v>2655</x:v>
      </x:c>
      <x:c r="C546" s="20" t="s">
        <x:v>2656</x:v>
      </x:c>
      <x:c r="D546" s="24">
        <x:v>10</x:v>
      </x:c>
      <x:c r="E546" s="24" t="s">
        <x:v>89</x:v>
      </x:c>
      <x:c r="F546" s="20" t="s">
        <x:v>90</x:v>
      </x:c>
      <x:c r="G546" s="26">
        <x:v>43950</x:v>
      </x:c>
      <x:c r="H546" s="24" t="s">
        <x:v>2657</x:v>
      </x:c>
      <x:c r="I546" s="28" t="s">
        <x:v>2658</x:v>
      </x:c>
      <x:c r="J546" s="29" t="s">
        <x:v>2659</x:v>
      </x:c>
    </x:row>
    <x:row r="547" ht="10.050000190734863" customHeight="1">
      <x:c r="A547" s="21" t="s">
        <x:v>2660</x:v>
      </x:c>
      <x:c r="B547" s="20" t="s">
        <x:v>2660</x:v>
      </x:c>
      <x:c r="C547" s="20" t="s">
        <x:v>2661</x:v>
      </x:c>
      <x:c r="D547" s="24">
        <x:v>17</x:v>
      </x:c>
      <x:c r="E547" s="24" t="s">
        <x:v>89</x:v>
      </x:c>
      <x:c r="F547" s="20" t="s">
        <x:v>90</x:v>
      </x:c>
      <x:c r="G547" s="26">
        <x:v>45531</x:v>
      </x:c>
      <x:c r="H547" s="24" t="s">
        <x:v>2662</x:v>
      </x:c>
      <x:c r="I547" s="28" t="s">
        <x:v>2663</x:v>
      </x:c>
      <x:c r="J547" s="29" t="s">
        <x:v>2664</x:v>
      </x:c>
    </x:row>
    <x:row r="548" ht="10.050000190734863" customHeight="1">
      <x:c r="A548" s="21" t="s">
        <x:v>2665</x:v>
      </x:c>
      <x:c r="B548" s="20" t="s">
        <x:v>2665</x:v>
      </x:c>
      <x:c r="C548" s="20" t="s">
        <x:v>2661</x:v>
      </x:c>
      <x:c r="D548" s="24">
        <x:v>17</x:v>
      </x:c>
      <x:c r="E548" s="24" t="s">
        <x:v>96</x:v>
      </x:c>
      <x:c r="F548" s="20" t="s">
        <x:v>90</x:v>
      </x:c>
      <x:c r="G548" s="26">
        <x:v>45531</x:v>
      </x:c>
      <x:c r="H548" s="24" t="s">
        <x:v>2666</x:v>
      </x:c>
      <x:c r="I548" s="28" t="s">
        <x:v>2667</x:v>
      </x:c>
      <x:c r="J548" s="29" t="s">
        <x:v>2668</x:v>
      </x:c>
    </x:row>
    <x:row r="549" ht="10.050000190734863" customHeight="1">
      <x:c r="A549" s="21" t="s">
        <x:v>2669</x:v>
      </x:c>
      <x:c r="B549" s="20" t="s">
        <x:v>2669</x:v>
      </x:c>
      <x:c r="C549" s="20" t="s">
        <x:v>119</x:v>
      </x:c>
      <x:c r="D549" s="24">
        <x:v>15</x:v>
      </x:c>
      <x:c r="E549" s="24" t="s">
        <x:v>89</x:v>
      </x:c>
      <x:c r="F549" s="20" t="s">
        <x:v>90</x:v>
      </x:c>
      <x:c r="G549" s="26">
        <x:v>45716</x:v>
      </x:c>
      <x:c r="H549" s="24" t="s">
        <x:v>2670</x:v>
      </x:c>
      <x:c r="I549" s="28" t="s">
        <x:v>2671</x:v>
      </x:c>
      <x:c r="J549" s="29" t="s">
        <x:v>2672</x:v>
      </x:c>
    </x:row>
    <x:row r="550" ht="10.050000190734863" customHeight="1">
      <x:c r="A550" s="21" t="s">
        <x:v>2673</x:v>
      </x:c>
      <x:c r="B550" s="20" t="s">
        <x:v>2673</x:v>
      </x:c>
      <x:c r="C550" s="20" t="s">
        <x:v>2202</x:v>
      </x:c>
      <x:c r="D550" s="24">
        <x:v>92</x:v>
      </x:c>
      <x:c r="E550" s="24" t="s">
        <x:v>89</x:v>
      </x:c>
      <x:c r="F550" s="20" t="s">
        <x:v>97</x:v>
      </x:c>
      <x:c r="G550" s="26">
        <x:v>46104</x:v>
      </x:c>
      <x:c r="H550" s="24" t="s">
        <x:v>2674</x:v>
      </x:c>
      <x:c r="I550" s="28" t="s">
        <x:v>2675</x:v>
      </x:c>
      <x:c r="J550" s="29" t="s">
        <x:v>2676</x:v>
      </x:c>
    </x:row>
    <x:row r="551" ht="10.050000190734863" customHeight="1">
      <x:c r="A551" s="21" t="s">
        <x:v>2677</x:v>
      </x:c>
      <x:c r="B551" s="20" t="s">
        <x:v>2677</x:v>
      </x:c>
      <x:c r="C551" s="20" t="s">
        <x:v>533</x:v>
      </x:c>
      <x:c r="D551" s="24">
        <x:v>9</x:v>
      </x:c>
      <x:c r="E551" s="24" t="s">
        <x:v>96</x:v>
      </x:c>
      <x:c r="F551" s="20" t="s">
        <x:v>152</x:v>
      </x:c>
      <x:c r="G551" s="26">
        <x:v>45780</x:v>
      </x:c>
      <x:c r="H551" s="24" t="s">
        <x:v>2678</x:v>
      </x:c>
      <x:c r="I551" s="28" t="s">
        <x:v>2679</x:v>
      </x:c>
      <x:c r="J551" s="29" t="s">
        <x:v>2680</x:v>
      </x:c>
    </x:row>
    <x:row r="552" ht="10.050000190734863" customHeight="1">
      <x:c r="A552" s="21" t="s">
        <x:v>2681</x:v>
      </x:c>
      <x:c r="B552" s="20" t="s">
        <x:v>2681</x:v>
      </x:c>
      <x:c r="C552" s="20" t="s">
        <x:v>2682</x:v>
      </x:c>
      <x:c r="D552" s="24">
        <x:v>1</x:v>
      </x:c>
      <x:c r="E552" s="24" t="s">
        <x:v>114</x:v>
      </x:c>
      <x:c r="F552" s="20" t="s">
        <x:v>90</x:v>
      </x:c>
      <x:c r="G552" s="26">
        <x:v>45299</x:v>
      </x:c>
      <x:c r="H552" s="24" t="s">
        <x:v>2683</x:v>
      </x:c>
      <x:c r="I552" s="28" t="s">
        <x:v>2684</x:v>
      </x:c>
      <x:c r="J552" s="29" t="s">
        <x:v>2685</x:v>
      </x:c>
    </x:row>
    <x:row r="553" ht="10.050000190734863" customHeight="1">
      <x:c r="A553" s="21" t="s">
        <x:v>2686</x:v>
      </x:c>
      <x:c r="B553" s="20" t="s">
        <x:v>2686</x:v>
      </x:c>
      <x:c r="C553" s="20" t="s">
        <x:v>146</x:v>
      </x:c>
      <x:c r="D553" s="24">
        <x:v>15</x:v>
      </x:c>
      <x:c r="E553" s="24" t="s">
        <x:v>198</x:v>
      </x:c>
      <x:c r="F553" s="20" t="s">
        <x:v>90</x:v>
      </x:c>
      <x:c r="G553" s="26">
        <x:v>44795</x:v>
      </x:c>
      <x:c r="H553" s="24" t="s">
        <x:v>2687</x:v>
      </x:c>
      <x:c r="I553" s="28" t="s">
        <x:v>2688</x:v>
      </x:c>
      <x:c r="J553" s="29" t="s">
        <x:v>2689</x:v>
      </x:c>
    </x:row>
    <x:row r="554" ht="10.050000190734863" customHeight="1">
      <x:c r="A554" s="21" t="s">
        <x:v>2690</x:v>
      </x:c>
      <x:c r="B554" s="20" t="s">
        <x:v>2690</x:v>
      </x:c>
      <x:c r="C554" s="20" t="s">
        <x:v>2691</x:v>
      </x:c>
      <x:c r="D554" s="24">
        <x:v>11</x:v>
      </x:c>
      <x:c r="E554" s="24" t="s">
        <x:v>103</x:v>
      </x:c>
      <x:c r="F554" s="20" t="s">
        <x:v>97</x:v>
      </x:c>
      <x:c r="G554" s="26">
        <x:v>42093</x:v>
      </x:c>
      <x:c r="H554" s="24" t="s">
        <x:v>2692</x:v>
      </x:c>
      <x:c r="I554" s="28" t="s">
        <x:v>2693</x:v>
      </x:c>
      <x:c r="J554" s="29" t="s">
        <x:v>2694</x:v>
      </x:c>
    </x:row>
    <x:row r="555" ht="10.050000190734863" customHeight="1">
      <x:c r="A555" s="21" t="s">
        <x:v>2695</x:v>
      </x:c>
      <x:c r="B555" s="20" t="s">
        <x:v>2695</x:v>
      </x:c>
      <x:c r="C555" s="20" t="s">
        <x:v>1660</x:v>
      </x:c>
      <x:c r="D555" s="24">
        <x:v>14</x:v>
      </x:c>
      <x:c r="E555" s="24" t="s">
        <x:v>89</x:v>
      </x:c>
      <x:c r="F555" s="20" t="s">
        <x:v>90</x:v>
      </x:c>
      <x:c r="G555" s="26">
        <x:v>45448</x:v>
      </x:c>
      <x:c r="H555" s="24" t="s">
        <x:v>2696</x:v>
      </x:c>
      <x:c r="I555" s="28" t="s">
        <x:v>2697</x:v>
      </x:c>
      <x:c r="J555" s="29" t="s">
        <x:v>2698</x:v>
      </x:c>
    </x:row>
    <x:row r="556" ht="10.050000190734863" customHeight="1">
      <x:c r="A556" s="21" t="s">
        <x:v>2699</x:v>
      </x:c>
      <x:c r="B556" s="20" t="s">
        <x:v>2699</x:v>
      </x:c>
      <x:c r="C556" s="20" t="s">
        <x:v>1660</x:v>
      </x:c>
      <x:c r="D556" s="24">
        <x:v>36</x:v>
      </x:c>
      <x:c r="E556" s="24" t="s">
        <x:v>198</x:v>
      </x:c>
      <x:c r="F556" s="20" t="s">
        <x:v>90</x:v>
      </x:c>
      <x:c r="G556" s="26">
        <x:v>46050</x:v>
      </x:c>
      <x:c r="H556" s="24" t="s">
        <x:v>2700</x:v>
      </x:c>
      <x:c r="I556" s="28" t="s">
        <x:v>2701</x:v>
      </x:c>
      <x:c r="J556" s="29" t="s">
        <x:v>2702</x:v>
      </x:c>
    </x:row>
    <x:row r="557" ht="10.050000190734863" customHeight="1">
      <x:c r="A557" s="21" t="s">
        <x:v>2703</x:v>
      </x:c>
      <x:c r="B557" s="20" t="s">
        <x:v>2703</x:v>
      </x:c>
      <x:c r="C557" s="20" t="s">
        <x:v>2704</x:v>
      </x:c>
      <x:c r="D557" s="24">
        <x:v>11</x:v>
      </x:c>
      <x:c r="E557" s="24" t="s">
        <x:v>198</x:v>
      </x:c>
      <x:c r="F557" s="20" t="s">
        <x:v>90</x:v>
      </x:c>
      <x:c r="G557" s="26">
        <x:v>43892</x:v>
      </x:c>
      <x:c r="H557" s="24" t="s">
        <x:v>2705</x:v>
      </x:c>
      <x:c r="I557" s="28" t="s">
        <x:v>2706</x:v>
      </x:c>
      <x:c r="J557" s="29" t="s">
        <x:v>2707</x:v>
      </x:c>
    </x:row>
    <x:row r="558" ht="10.050000190734863" customHeight="1">
      <x:c r="A558" s="21" t="s">
        <x:v>2708</x:v>
      </x:c>
      <x:c r="B558" s="20" t="s">
        <x:v>2708</x:v>
      </x:c>
      <x:c r="C558" s="20" t="s">
        <x:v>2709</x:v>
      </x:c>
      <x:c r="D558" s="24">
        <x:v>14</x:v>
      </x:c>
      <x:c r="E558" s="24" t="s">
        <x:v>198</x:v>
      </x:c>
      <x:c r="F558" s="20" t="s">
        <x:v>90</x:v>
      </x:c>
      <x:c r="G558" s="26">
        <x:v>45898</x:v>
      </x:c>
      <x:c r="H558" s="24" t="s">
        <x:v>2710</x:v>
      </x:c>
      <x:c r="I558" s="28" t="s">
        <x:v>2711</x:v>
      </x:c>
      <x:c r="J558" s="29" t="s">
        <x:v>2712</x:v>
      </x:c>
    </x:row>
    <x:row r="559" ht="10.050000190734863" customHeight="1">
      <x:c r="A559" s="21" t="s">
        <x:v>2713</x:v>
      </x:c>
      <x:c r="B559" s="20" t="s">
        <x:v>2713</x:v>
      </x:c>
      <x:c r="C559" s="20" t="s">
        <x:v>2714</x:v>
      </x:c>
      <x:c r="D559" s="24">
        <x:v>5</x:v>
      </x:c>
      <x:c r="E559" s="24" t="s">
        <x:v>103</x:v>
      </x:c>
      <x:c r="F559" s="20" t="s">
        <x:v>97</x:v>
      </x:c>
      <x:c r="G559" s="26">
        <x:v>42441</x:v>
      </x:c>
      <x:c r="H559" s="24" t="s">
        <x:v>2715</x:v>
      </x:c>
      <x:c r="I559" s="28" t="s">
        <x:v>2716</x:v>
      </x:c>
      <x:c r="J559" s="29" t="s">
        <x:v>2717</x:v>
      </x:c>
    </x:row>
    <x:row r="560" ht="10.050000190734863" customHeight="1">
      <x:c r="A560" s="21" t="s">
        <x:v>2718</x:v>
      </x:c>
      <x:c r="B560" s="20" t="s">
        <x:v>2718</x:v>
      </x:c>
      <x:c r="C560" s="20" t="s">
        <x:v>246</x:v>
      </x:c>
      <x:c r="D560" s="24">
        <x:v>22</x:v>
      </x:c>
      <x:c r="E560" s="24" t="s">
        <x:v>198</x:v>
      </x:c>
      <x:c r="F560" s="20" t="s">
        <x:v>90</x:v>
      </x:c>
      <x:c r="G560" s="26">
        <x:v>45450</x:v>
      </x:c>
      <x:c r="H560" s="24" t="s">
        <x:v>2719</x:v>
      </x:c>
      <x:c r="I560" s="28" t="s">
        <x:v>2720</x:v>
      </x:c>
      <x:c r="J560" s="29" t="s">
        <x:v>2721</x:v>
      </x:c>
    </x:row>
    <x:row r="561" ht="10.050000190734863" customHeight="1">
      <x:c r="A561" s="21" t="s">
        <x:v>2722</x:v>
      </x:c>
      <x:c r="B561" s="20" t="s">
        <x:v>2722</x:v>
      </x:c>
      <x:c r="C561" s="20" t="s">
        <x:v>2723</x:v>
      </x:c>
      <x:c r="D561" s="24">
        <x:v>13</x:v>
      </x:c>
      <x:c r="E561" s="24" t="s">
        <x:v>89</x:v>
      </x:c>
      <x:c r="F561" s="20" t="s">
        <x:v>90</x:v>
      </x:c>
      <x:c r="G561" s="26">
        <x:v>44388</x:v>
      </x:c>
      <x:c r="H561" s="24" t="s">
        <x:v>2724</x:v>
      </x:c>
      <x:c r="I561" s="28" t="s">
        <x:v>2725</x:v>
      </x:c>
      <x:c r="J561" s="29" t="s">
        <x:v>2726</x:v>
      </x:c>
    </x:row>
    <x:row r="562" ht="10.050000190734863" customHeight="1">
      <x:c r="A562" s="21" t="s">
        <x:v>2727</x:v>
      </x:c>
      <x:c r="B562" s="20" t="s">
        <x:v>2727</x:v>
      </x:c>
      <x:c r="C562" s="20" t="s">
        <x:v>2728</x:v>
      </x:c>
      <x:c r="D562" s="24">
        <x:v>19</x:v>
      </x:c>
      <x:c r="E562" s="24" t="s">
        <x:v>198</x:v>
      </x:c>
      <x:c r="F562" s="20" t="s">
        <x:v>90</x:v>
      </x:c>
      <x:c r="G562" s="26">
        <x:v>45539</x:v>
      </x:c>
      <x:c r="H562" s="24" t="s">
        <x:v>2729</x:v>
      </x:c>
      <x:c r="I562" s="28" t="s">
        <x:v>2730</x:v>
      </x:c>
      <x:c r="J562" s="29" t="s">
        <x:v>2731</x:v>
      </x:c>
    </x:row>
    <x:row r="563" ht="10.050000190734863" customHeight="1">
      <x:c r="A563" s="21" t="s">
        <x:v>2732</x:v>
      </x:c>
      <x:c r="B563" s="20" t="s">
        <x:v>2732</x:v>
      </x:c>
      <x:c r="C563" s="20" t="s">
        <x:v>1209</x:v>
      </x:c>
      <x:c r="D563" s="24">
        <x:v>7</x:v>
      </x:c>
      <x:c r="E563" s="24" t="s">
        <x:v>198</x:v>
      </x:c>
      <x:c r="F563" s="20" t="s">
        <x:v>90</x:v>
      </x:c>
      <x:c r="G563" s="26">
        <x:v>44363</x:v>
      </x:c>
      <x:c r="H563" s="24" t="s">
        <x:v>2733</x:v>
      </x:c>
      <x:c r="I563" s="28" t="s">
        <x:v>2734</x:v>
      </x:c>
      <x:c r="J563" s="29" t="s">
        <x:v>2735</x:v>
      </x:c>
    </x:row>
    <x:row r="564" ht="10.050000190734863" customHeight="1">
      <x:c r="A564" s="21" t="s">
        <x:v>2736</x:v>
      </x:c>
      <x:c r="B564" s="20" t="s">
        <x:v>2736</x:v>
      </x:c>
      <x:c r="C564" s="20" t="s">
        <x:v>2737</x:v>
      </x:c>
      <x:c r="D564" s="24">
        <x:v>30</x:v>
      </x:c>
      <x:c r="E564" s="24" t="s">
        <x:v>198</x:v>
      </x:c>
      <x:c r="F564" s="20" t="s">
        <x:v>90</x:v>
      </x:c>
      <x:c r="G564" s="26">
        <x:v>45984</x:v>
      </x:c>
      <x:c r="H564" s="24" t="s">
        <x:v>2738</x:v>
      </x:c>
      <x:c r="I564" s="28" t="s">
        <x:v>2739</x:v>
      </x:c>
      <x:c r="J564" s="29" t="s">
        <x:v>2740</x:v>
      </x:c>
    </x:row>
    <x:row r="565" ht="10.050000190734863" customHeight="1">
      <x:c r="A565" s="21" t="s">
        <x:v>2741</x:v>
      </x:c>
      <x:c r="B565" s="20" t="s">
        <x:v>2741</x:v>
      </x:c>
      <x:c r="C565" s="20" t="s">
        <x:v>2742</x:v>
      </x:c>
      <x:c r="D565" s="24">
        <x:v>23</x:v>
      </x:c>
      <x:c r="E565" s="24" t="s">
        <x:v>89</x:v>
      </x:c>
      <x:c r="F565" s="20" t="s">
        <x:v>90</x:v>
      </x:c>
      <x:c r="G565" s="26">
        <x:v>44133</x:v>
      </x:c>
      <x:c r="H565" s="24" t="s">
        <x:v>2743</x:v>
      </x:c>
      <x:c r="I565" s="28" t="s">
        <x:v>2744</x:v>
      </x:c>
      <x:c r="J565" s="29" t="s">
        <x:v>2745</x:v>
      </x:c>
    </x:row>
    <x:row r="566" ht="10.050000190734863" customHeight="1">
      <x:c r="A566" s="21" t="s">
        <x:v>2746</x:v>
      </x:c>
      <x:c r="B566" s="20" t="s">
        <x:v>2746</x:v>
      </x:c>
      <x:c r="C566" s="20" t="s">
        <x:v>2179</x:v>
      </x:c>
      <x:c r="D566" s="24">
        <x:v>8</x:v>
      </x:c>
      <x:c r="E566" s="24" t="s">
        <x:v>114</x:v>
      </x:c>
      <x:c r="F566" s="20" t="s">
        <x:v>90</x:v>
      </x:c>
      <x:c r="G566" s="26">
        <x:v>43348</x:v>
      </x:c>
      <x:c r="H566" s="24" t="s">
        <x:v>2747</x:v>
      </x:c>
      <x:c r="I566" s="28" t="s">
        <x:v>2748</x:v>
      </x:c>
      <x:c r="J566" s="29" t="s">
        <x:v>2749</x:v>
      </x:c>
    </x:row>
    <x:row r="567" ht="10.050000190734863" customHeight="1">
      <x:c r="A567" s="21" t="s">
        <x:v>2750</x:v>
      </x:c>
      <x:c r="B567" s="20" t="s">
        <x:v>2750</x:v>
      </x:c>
      <x:c r="C567" s="20" t="s">
        <x:v>2751</x:v>
      </x:c>
      <x:c r="D567" s="24">
        <x:v>21</x:v>
      </x:c>
      <x:c r="E567" s="24" t="s">
        <x:v>198</x:v>
      </x:c>
      <x:c r="F567" s="20" t="s">
        <x:v>90</x:v>
      </x:c>
      <x:c r="G567" s="26">
        <x:v>44923</x:v>
      </x:c>
      <x:c r="H567" s="24" t="s">
        <x:v>2752</x:v>
      </x:c>
      <x:c r="I567" s="28" t="s">
        <x:v>2753</x:v>
      </x:c>
      <x:c r="J567" s="29" t="s">
        <x:v>2754</x:v>
      </x:c>
    </x:row>
    <x:row r="568" ht="10.050000190734863" customHeight="1">
      <x:c r="A568" s="21" t="s">
        <x:v>2755</x:v>
      </x:c>
      <x:c r="B568" s="20" t="s">
        <x:v>2755</x:v>
      </x:c>
      <x:c r="C568" s="20" t="s">
        <x:v>2756</x:v>
      </x:c>
      <x:c r="D568" s="24">
        <x:v>11</x:v>
      </x:c>
      <x:c r="E568" s="24" t="s">
        <x:v>89</x:v>
      </x:c>
      <x:c r="F568" s="20" t="s">
        <x:v>90</x:v>
      </x:c>
      <x:c r="G568" s="26">
        <x:v>44964</x:v>
      </x:c>
      <x:c r="H568" s="24" t="s">
        <x:v>2757</x:v>
      </x:c>
      <x:c r="I568" s="28" t="s">
        <x:v>2758</x:v>
      </x:c>
      <x:c r="J568" s="29" t="s">
        <x:v>2759</x:v>
      </x:c>
    </x:row>
    <x:row r="569" ht="10.050000190734863" customHeight="1">
      <x:c r="A569" s="21" t="s">
        <x:v>28</x:v>
      </x:c>
      <x:c r="B569" s="20" t="s">
        <x:v>28</x:v>
      </x:c>
      <x:c r="C569" s="20" t="s">
        <x:v>2756</x:v>
      </x:c>
      <x:c r="D569" s="24">
        <x:v>18</x:v>
      </x:c>
      <x:c r="E569" s="24" t="s">
        <x:v>198</x:v>
      </x:c>
      <x:c r="F569" s="20" t="s">
        <x:v>90</x:v>
      </x:c>
      <x:c r="G569" s="26">
        <x:v>45398</x:v>
      </x:c>
      <x:c r="H569" s="24" t="s">
        <x:v>2760</x:v>
      </x:c>
      <x:c r="I569" s="28" t="s">
        <x:v>2761</x:v>
      </x:c>
      <x:c r="J569" s="29" t="s">
        <x:v>2762</x:v>
      </x:c>
    </x:row>
    <x:row r="570" ht="10.050000190734863" customHeight="1">
      <x:c r="A570" s="21" t="s">
        <x:v>2763</x:v>
      </x:c>
      <x:c r="B570" s="20" t="s">
        <x:v>2763</x:v>
      </x:c>
      <x:c r="C570" s="20" t="s">
        <x:v>95</x:v>
      </x:c>
      <x:c r="D570" s="24">
        <x:v>0</x:v>
      </x:c>
      <x:c r="E570" s="24" t="s">
        <x:v>89</x:v>
      </x:c>
      <x:c r="F570" s="20" t="s">
        <x:v>97</x:v>
      </x:c>
      <x:c r="G570" s="26">
        <x:v>42686</x:v>
      </x:c>
      <x:c r="H570" s="24" t="s">
        <x:v>2764</x:v>
      </x:c>
      <x:c r="I570" s="28" t="s">
        <x:v>2765</x:v>
      </x:c>
      <x:c r="J570" s="29" t="s">
        <x:v>2766</x:v>
      </x:c>
    </x:row>
    <x:row r="571" ht="10.050000190734863" customHeight="1">
      <x:c r="A571" s="21" t="s">
        <x:v>2767</x:v>
      </x:c>
      <x:c r="B571" s="20" t="s">
        <x:v>2767</x:v>
      </x:c>
      <x:c r="C571" s="20" t="s">
        <x:v>2768</x:v>
      </x:c>
      <x:c r="D571" s="24">
        <x:v>7</x:v>
      </x:c>
      <x:c r="E571" s="24" t="s">
        <x:v>96</x:v>
      </x:c>
      <x:c r="F571" s="20" t="s">
        <x:v>97</x:v>
      </x:c>
      <x:c r="G571" s="26">
        <x:v>42426</x:v>
      </x:c>
      <x:c r="H571" s="24" t="s">
        <x:v>2769</x:v>
      </x:c>
      <x:c r="I571" s="28" t="s">
        <x:v>2770</x:v>
      </x:c>
      <x:c r="J571" s="29" t="s">
        <x:v>2771</x:v>
      </x:c>
    </x:row>
    <x:row r="572" ht="10.050000190734863" customHeight="1">
      <x:c r="A572" s="21" t="s">
        <x:v>2772</x:v>
      </x:c>
      <x:c r="B572" s="20" t="s">
        <x:v>2772</x:v>
      </x:c>
      <x:c r="C572" s="20" t="s">
        <x:v>2773</x:v>
      </x:c>
      <x:c r="D572" s="24">
        <x:v>0</x:v>
      </x:c>
      <x:c r="E572" s="24" t="s">
        <x:v>198</x:v>
      </x:c>
      <x:c r="F572" s="20" t="s">
        <x:v>90</x:v>
      </x:c>
      <x:c r="G572" s="26">
        <x:v>45161</x:v>
      </x:c>
      <x:c r="H572" s="24" t="s">
        <x:v>2774</x:v>
      </x:c>
      <x:c r="I572" s="28" t="s">
        <x:v>2775</x:v>
      </x:c>
      <x:c r="J572" s="29" t="s">
        <x:v>2776</x:v>
      </x:c>
    </x:row>
    <x:row r="573" ht="10.050000190734863" customHeight="1">
      <x:c r="A573" s="21" t="s">
        <x:v>2777</x:v>
      </x:c>
      <x:c r="B573" s="20" t="s">
        <x:v>2777</x:v>
      </x:c>
      <x:c r="C573" s="20" t="s">
        <x:v>2432</x:v>
      </x:c>
      <x:c r="D573" s="24">
        <x:v>12</x:v>
      </x:c>
      <x:c r="E573" s="24" t="s">
        <x:v>114</x:v>
      </x:c>
      <x:c r="F573" s="20" t="s">
        <x:v>90</x:v>
      </x:c>
      <x:c r="G573" s="26">
        <x:v>44013</x:v>
      </x:c>
      <x:c r="H573" s="24" t="s">
        <x:v>2778</x:v>
      </x:c>
      <x:c r="I573" s="28" t="s">
        <x:v>2779</x:v>
      </x:c>
      <x:c r="J573" s="29" t="s">
        <x:v>2780</x:v>
      </x:c>
    </x:row>
    <x:row r="574" ht="10.050000190734863" customHeight="1">
      <x:c r="A574" s="21" t="s">
        <x:v>2781</x:v>
      </x:c>
      <x:c r="B574" s="20" t="s">
        <x:v>2781</x:v>
      </x:c>
      <x:c r="C574" s="20" t="s">
        <x:v>1427</x:v>
      </x:c>
      <x:c r="D574" s="24">
        <x:v>0</x:v>
      </x:c>
      <x:c r="E574" s="24" t="s">
        <x:v>89</x:v>
      </x:c>
      <x:c r="F574" s="20" t="s">
        <x:v>90</x:v>
      </x:c>
      <x:c r="G574" s="26">
        <x:v>45662</x:v>
      </x:c>
      <x:c r="H574" s="24" t="s">
        <x:v>2782</x:v>
      </x:c>
      <x:c r="I574" s="28" t="s">
        <x:v>2783</x:v>
      </x:c>
      <x:c r="J574" s="29" t="s">
        <x:v>2784</x:v>
      </x:c>
    </x:row>
    <x:row r="575" ht="10.050000190734863" customHeight="1">
      <x:c r="A575" s="21" t="s">
        <x:v>2785</x:v>
      </x:c>
      <x:c r="B575" s="20" t="s">
        <x:v>2785</x:v>
      </x:c>
      <x:c r="C575" s="20" t="s">
        <x:v>1344</x:v>
      </x:c>
      <x:c r="D575" s="24">
        <x:v>7</x:v>
      </x:c>
      <x:c r="E575" s="24" t="s">
        <x:v>96</x:v>
      </x:c>
      <x:c r="F575" s="20" t="s">
        <x:v>97</x:v>
      </x:c>
      <x:c r="G575" s="26">
        <x:v>45020</x:v>
      </x:c>
      <x:c r="H575" s="24" t="s">
        <x:v>2786</x:v>
      </x:c>
      <x:c r="I575" s="28" t="s">
        <x:v>2787</x:v>
      </x:c>
      <x:c r="J575" s="29" t="s">
        <x:v>2788</x:v>
      </x:c>
    </x:row>
    <x:row r="576" ht="10.050000190734863" customHeight="1">
      <x:c r="A576" s="21" t="s">
        <x:v>2789</x:v>
      </x:c>
      <x:c r="B576" s="20" t="s">
        <x:v>2789</x:v>
      </x:c>
      <x:c r="C576" s="20" t="s">
        <x:v>1344</x:v>
      </x:c>
      <x:c r="D576" s="24">
        <x:v>7</x:v>
      </x:c>
      <x:c r="E576" s="24" t="s">
        <x:v>96</x:v>
      </x:c>
      <x:c r="F576" s="20" t="s">
        <x:v>97</x:v>
      </x:c>
      <x:c r="G576" s="26">
        <x:v>45076</x:v>
      </x:c>
      <x:c r="H576" s="24" t="s">
        <x:v>2790</x:v>
      </x:c>
      <x:c r="I576" s="28" t="s">
        <x:v>2791</x:v>
      </x:c>
      <x:c r="J576" s="29" t="s">
        <x:v>2792</x:v>
      </x:c>
    </x:row>
    <x:row r="577" ht="10.050000190734863" customHeight="1">
      <x:c r="A577" s="21" t="s">
        <x:v>2793</x:v>
      </x:c>
      <x:c r="B577" s="20" t="s">
        <x:v>2793</x:v>
      </x:c>
      <x:c r="C577" s="20" t="s">
        <x:v>2682</x:v>
      </x:c>
      <x:c r="D577" s="24">
        <x:v>2</x:v>
      </x:c>
      <x:c r="E577" s="24" t="s">
        <x:v>125</x:v>
      </x:c>
      <x:c r="F577" s="20" t="s">
        <x:v>90</x:v>
      </x:c>
      <x:c r="G577" s="26">
        <x:v>45637</x:v>
      </x:c>
      <x:c r="H577" s="24" t="s">
        <x:v>2794</x:v>
      </x:c>
      <x:c r="I577" s="28" t="s">
        <x:v>2795</x:v>
      </x:c>
      <x:c r="J577" s="29" t="s">
        <x:v>2796</x:v>
      </x:c>
    </x:row>
    <x:row r="578" ht="10.050000190734863" customHeight="1">
      <x:c r="A578" s="21" t="s">
        <x:v>2797</x:v>
      </x:c>
      <x:c r="B578" s="20" t="s">
        <x:v>2797</x:v>
      </x:c>
      <x:c r="C578" s="20" t="s">
        <x:v>2798</x:v>
      </x:c>
      <x:c r="D578" s="24">
        <x:v>12</x:v>
      </x:c>
      <x:c r="E578" s="24" t="s">
        <x:v>198</x:v>
      </x:c>
      <x:c r="F578" s="20" t="s">
        <x:v>90</x:v>
      </x:c>
      <x:c r="G578" s="26">
        <x:v>44721</x:v>
      </x:c>
      <x:c r="H578" s="24" t="s">
        <x:v>2799</x:v>
      </x:c>
      <x:c r="I578" s="28" t="s">
        <x:v>2800</x:v>
      </x:c>
      <x:c r="J578" s="29" t="s">
        <x:v>2801</x:v>
      </x:c>
    </x:row>
    <x:row r="579" ht="10.050000190734863" customHeight="1">
      <x:c r="A579" s="21" t="s">
        <x:v>2802</x:v>
      </x:c>
      <x:c r="B579" s="20" t="s">
        <x:v>2802</x:v>
      </x:c>
      <x:c r="C579" s="20" t="s">
        <x:v>1660</x:v>
      </x:c>
      <x:c r="D579" s="24">
        <x:v>19</x:v>
      </x:c>
      <x:c r="E579" s="24" t="s">
        <x:v>198</x:v>
      </x:c>
      <x:c r="F579" s="20" t="s">
        <x:v>90</x:v>
      </x:c>
      <x:c r="G579" s="26">
        <x:v>44942</x:v>
      </x:c>
      <x:c r="H579" s="24" t="s">
        <x:v>2803</x:v>
      </x:c>
      <x:c r="I579" s="28" t="s">
        <x:v>2804</x:v>
      </x:c>
      <x:c r="J579" s="29" t="s">
        <x:v>2805</x:v>
      </x:c>
    </x:row>
    <x:row r="580" ht="10.050000190734863" customHeight="1">
      <x:c r="A580" s="21" t="s">
        <x:v>2806</x:v>
      </x:c>
      <x:c r="B580" s="20" t="s">
        <x:v>2806</x:v>
      </x:c>
      <x:c r="C580" s="20" t="s">
        <x:v>2807</x:v>
      </x:c>
      <x:c r="D580" s="24">
        <x:v>32</x:v>
      </x:c>
      <x:c r="E580" s="24" t="s">
        <x:v>89</x:v>
      </x:c>
      <x:c r="F580" s="20" t="s">
        <x:v>152</x:v>
      </x:c>
      <x:c r="G580" s="26">
        <x:v>45797</x:v>
      </x:c>
      <x:c r="H580" s="24" t="s">
        <x:v>2808</x:v>
      </x:c>
      <x:c r="I580" s="28" t="s">
        <x:v>2809</x:v>
      </x:c>
      <x:c r="J580" s="29" t="s">
        <x:v>2810</x:v>
      </x:c>
    </x:row>
    <x:row r="581" ht="10.050000190734863" customHeight="1">
      <x:c r="A581" s="21" t="s">
        <x:v>2811</x:v>
      </x:c>
      <x:c r="B581" s="20" t="s">
        <x:v>2811</x:v>
      </x:c>
      <x:c r="C581" s="20" t="s">
        <x:v>2812</x:v>
      </x:c>
      <x:c r="D581" s="24">
        <x:v>27</x:v>
      </x:c>
      <x:c r="E581" s="24" t="s">
        <x:v>96</x:v>
      </x:c>
      <x:c r="F581" s="20" t="s">
        <x:v>97</x:v>
      </x:c>
      <x:c r="G581" s="26">
        <x:v>42807</x:v>
      </x:c>
      <x:c r="H581" s="24" t="s">
        <x:v>2813</x:v>
      </x:c>
      <x:c r="I581" s="28" t="s">
        <x:v>2814</x:v>
      </x:c>
      <x:c r="J581" s="29" t="s">
        <x:v>2815</x:v>
      </x:c>
    </x:row>
    <x:row r="582" ht="10.050000190734863" customHeight="1">
      <x:c r="A582" s="21" t="s">
        <x:v>2816</x:v>
      </x:c>
      <x:c r="B582" s="20" t="s">
        <x:v>2816</x:v>
      </x:c>
      <x:c r="C582" s="20" t="s">
        <x:v>2817</x:v>
      </x:c>
      <x:c r="D582" s="24">
        <x:v>28</x:v>
      </x:c>
      <x:c r="E582" s="24" t="s">
        <x:v>89</x:v>
      </x:c>
      <x:c r="F582" s="20" t="s">
        <x:v>97</x:v>
      </x:c>
      <x:c r="G582" s="26">
        <x:v>45895</x:v>
      </x:c>
      <x:c r="H582" s="24" t="s">
        <x:v>2818</x:v>
      </x:c>
      <x:c r="I582" s="28" t="s">
        <x:v>2819</x:v>
      </x:c>
      <x:c r="J582" s="29" t="s">
        <x:v>2820</x:v>
      </x:c>
    </x:row>
    <x:row r="583" ht="10.050000190734863" customHeight="1">
      <x:c r="A583" s="21" t="s">
        <x:v>2821</x:v>
      </x:c>
      <x:c r="B583" s="20" t="s">
        <x:v>2821</x:v>
      </x:c>
      <x:c r="C583" s="20" t="s">
        <x:v>1608</x:v>
      </x:c>
      <x:c r="D583" s="24">
        <x:v>11</x:v>
      </x:c>
      <x:c r="E583" s="24" t="s">
        <x:v>198</x:v>
      </x:c>
      <x:c r="F583" s="20" t="s">
        <x:v>90</x:v>
      </x:c>
      <x:c r="G583" s="26">
        <x:v>44198</x:v>
      </x:c>
      <x:c r="H583" s="24" t="s">
        <x:v>2822</x:v>
      </x:c>
      <x:c r="I583" s="28" t="s">
        <x:v>2823</x:v>
      </x:c>
      <x:c r="J583" s="29" t="s">
        <x:v>2824</x:v>
      </x:c>
    </x:row>
    <x:row r="584" ht="10.050000190734863" customHeight="1">
      <x:c r="A584" s="21" t="s">
        <x:v>2825</x:v>
      </x:c>
      <x:c r="B584" s="20" t="s">
        <x:v>2825</x:v>
      </x:c>
      <x:c r="C584" s="20" t="s">
        <x:v>973</x:v>
      </x:c>
      <x:c r="D584" s="24">
        <x:v>20</x:v>
      </x:c>
      <x:c r="E584" s="24" t="s">
        <x:v>198</x:v>
      </x:c>
      <x:c r="F584" s="20" t="s">
        <x:v>90</x:v>
      </x:c>
      <x:c r="G584" s="26">
        <x:v>44311</x:v>
      </x:c>
      <x:c r="H584" s="24" t="s">
        <x:v>2826</x:v>
      </x:c>
      <x:c r="I584" s="28" t="s">
        <x:v>2827</x:v>
      </x:c>
      <x:c r="J584" s="29" t="s">
        <x:v>2828</x:v>
      </x:c>
    </x:row>
    <x:row r="585" ht="10.050000190734863" customHeight="1">
      <x:c r="A585" s="21" t="s">
        <x:v>2829</x:v>
      </x:c>
      <x:c r="B585" s="20" t="s">
        <x:v>2829</x:v>
      </x:c>
      <x:c r="C585" s="20" t="s">
        <x:v>2590</x:v>
      </x:c>
      <x:c r="D585" s="24">
        <x:v>14</x:v>
      </x:c>
      <x:c r="E585" s="24" t="s">
        <x:v>125</x:v>
      </x:c>
      <x:c r="F585" s="20" t="s">
        <x:v>90</x:v>
      </x:c>
      <x:c r="G585" s="26">
        <x:v>45723</x:v>
      </x:c>
      <x:c r="H585" s="24" t="s">
        <x:v>2830</x:v>
      </x:c>
      <x:c r="I585" s="28" t="s">
        <x:v>2831</x:v>
      </x:c>
      <x:c r="J585" s="29" t="s">
        <x:v>2832</x:v>
      </x:c>
    </x:row>
    <x:row r="586" ht="10.050000190734863" customHeight="1">
      <x:c r="A586" s="21" t="s">
        <x:v>2833</x:v>
      </x:c>
      <x:c r="B586" s="20" t="s">
        <x:v>2833</x:v>
      </x:c>
      <x:c r="C586" s="20" t="s">
        <x:v>2282</x:v>
      </x:c>
      <x:c r="D586" s="24">
        <x:v>10</x:v>
      </x:c>
      <x:c r="E586" s="24" t="s">
        <x:v>89</x:v>
      </x:c>
      <x:c r="F586" s="20" t="s">
        <x:v>97</x:v>
      </x:c>
      <x:c r="G586" s="26">
        <x:v>44831</x:v>
      </x:c>
      <x:c r="H586" s="24" t="s">
        <x:v>2834</x:v>
      </x:c>
      <x:c r="I586" s="28" t="s">
        <x:v>2835</x:v>
      </x:c>
      <x:c r="J586" s="29" t="s">
        <x:v>2836</x:v>
      </x:c>
    </x:row>
    <x:row r="587" ht="10.050000190734863" customHeight="1">
      <x:c r="A587" s="21" t="s">
        <x:v>2837</x:v>
      </x:c>
      <x:c r="B587" s="20" t="s">
        <x:v>2837</x:v>
      </x:c>
      <x:c r="C587" s="20" t="s">
        <x:v>2282</x:v>
      </x:c>
      <x:c r="D587" s="24">
        <x:v>9</x:v>
      </x:c>
      <x:c r="E587" s="24" t="s">
        <x:v>89</x:v>
      </x:c>
      <x:c r="F587" s="20" t="s">
        <x:v>97</x:v>
      </x:c>
      <x:c r="G587" s="26">
        <x:v>44982</x:v>
      </x:c>
      <x:c r="H587" s="24" t="s">
        <x:v>2838</x:v>
      </x:c>
      <x:c r="I587" s="28" t="s">
        <x:v>2839</x:v>
      </x:c>
      <x:c r="J587" s="29" t="s">
        <x:v>2840</x:v>
      </x:c>
    </x:row>
    <x:row r="588" ht="10.050000190734863" customHeight="1">
      <x:c r="A588" s="21" t="s">
        <x:v>2841</x:v>
      </x:c>
      <x:c r="B588" s="20" t="s">
        <x:v>2841</x:v>
      </x:c>
      <x:c r="C588" s="20" t="s">
        <x:v>2282</x:v>
      </x:c>
      <x:c r="D588" s="24">
        <x:v>19</x:v>
      </x:c>
      <x:c r="E588" s="24" t="s">
        <x:v>198</x:v>
      </x:c>
      <x:c r="F588" s="20" t="s">
        <x:v>152</x:v>
      </x:c>
      <x:c r="G588" s="26">
        <x:v>45141</x:v>
      </x:c>
      <x:c r="H588" s="24" t="s">
        <x:v>2842</x:v>
      </x:c>
      <x:c r="I588" s="28" t="s">
        <x:v>2843</x:v>
      </x:c>
      <x:c r="J588" s="29" t="s">
        <x:v>2844</x:v>
      </x:c>
    </x:row>
    <x:row r="589" ht="10.050000190734863" customHeight="1">
      <x:c r="A589" s="21" t="s">
        <x:v>2845</x:v>
      </x:c>
      <x:c r="B589" s="20" t="s">
        <x:v>2845</x:v>
      </x:c>
      <x:c r="C589" s="20" t="s">
        <x:v>2282</x:v>
      </x:c>
      <x:c r="D589" s="24">
        <x:v>42</x:v>
      </x:c>
      <x:c r="E589" s="24" t="s">
        <x:v>198</x:v>
      </x:c>
      <x:c r="F589" s="20" t="s">
        <x:v>152</x:v>
      </x:c>
      <x:c r="G589" s="26">
        <x:v>45607</x:v>
      </x:c>
      <x:c r="H589" s="24" t="s">
        <x:v>2846</x:v>
      </x:c>
      <x:c r="I589" s="28" t="s">
        <x:v>2847</x:v>
      </x:c>
      <x:c r="J589" s="29" t="s">
        <x:v>2848</x:v>
      </x:c>
    </x:row>
    <x:row r="590" ht="10.050000190734863" customHeight="1">
      <x:c r="A590" s="21" t="s">
        <x:v>2849</x:v>
      </x:c>
      <x:c r="B590" s="20" t="s">
        <x:v>2849</x:v>
      </x:c>
      <x:c r="C590" s="20" t="s">
        <x:v>2282</x:v>
      </x:c>
      <x:c r="D590" s="24">
        <x:v>18</x:v>
      </x:c>
      <x:c r="E590" s="24" t="s">
        <x:v>89</x:v>
      </x:c>
      <x:c r="F590" s="20" t="s">
        <x:v>97</x:v>
      </x:c>
      <x:c r="G590" s="26">
        <x:v>45939</x:v>
      </x:c>
      <x:c r="H590" s="24" t="s">
        <x:v>2850</x:v>
      </x:c>
      <x:c r="I590" s="28" t="s">
        <x:v>2851</x:v>
      </x:c>
      <x:c r="J590" s="29" t="s">
        <x:v>2852</x:v>
      </x:c>
    </x:row>
    <x:row r="591" ht="10.050000190734863" customHeight="1">
      <x:c r="A591" s="21" t="s">
        <x:v>2853</x:v>
      </x:c>
      <x:c r="B591" s="20" t="s">
        <x:v>2853</x:v>
      </x:c>
      <x:c r="C591" s="20" t="s">
        <x:v>361</x:v>
      </x:c>
      <x:c r="D591" s="24">
        <x:v>6</x:v>
      </x:c>
      <x:c r="E591" s="24" t="s">
        <x:v>96</x:v>
      </x:c>
      <x:c r="F591" s="20" t="s">
        <x:v>97</x:v>
      </x:c>
      <x:c r="G591" s="26">
        <x:v>41781</x:v>
      </x:c>
      <x:c r="H591" s="24" t="s">
        <x:v>2854</x:v>
      </x:c>
      <x:c r="I591" s="28" t="s">
        <x:v>2855</x:v>
      </x:c>
      <x:c r="J591" s="29" t="s">
        <x:v>2856</x:v>
      </x:c>
    </x:row>
    <x:row r="592" ht="10.050000190734863" customHeight="1">
      <x:c r="A592" s="21" t="s">
        <x:v>2857</x:v>
      </x:c>
      <x:c r="B592" s="20" t="s">
        <x:v>2857</x:v>
      </x:c>
      <x:c r="C592" s="20" t="s">
        <x:v>2858</x:v>
      </x:c>
      <x:c r="D592" s="24">
        <x:v>8</x:v>
      </x:c>
      <x:c r="E592" s="24" t="s">
        <x:v>257</x:v>
      </x:c>
      <x:c r="F592" s="20" t="s">
        <x:v>97</x:v>
      </x:c>
      <x:c r="G592" s="26">
        <x:v>41479</x:v>
      </x:c>
      <x:c r="H592" s="24" t="s">
        <x:v>2859</x:v>
      </x:c>
      <x:c r="I592" s="28" t="s">
        <x:v>2860</x:v>
      </x:c>
      <x:c r="J592" s="29" t="s">
        <x:v>2861</x:v>
      </x:c>
    </x:row>
    <x:row r="593" ht="10.050000190734863" customHeight="1">
      <x:c r="A593" s="21" t="s">
        <x:v>2862</x:v>
      </x:c>
      <x:c r="B593" s="20" t="s">
        <x:v>2862</x:v>
      </x:c>
      <x:c r="C593" s="20" t="s">
        <x:v>2863</x:v>
      </x:c>
      <x:c r="D593" s="24">
        <x:v>1</x:v>
      </x:c>
      <x:c r="E593" s="24" t="s">
        <x:v>96</x:v>
      </x:c>
      <x:c r="F593" s="20" t="s">
        <x:v>610</x:v>
      </x:c>
      <x:c r="G593" s="26">
        <x:v>43054</x:v>
      </x:c>
      <x:c r="H593" s="24" t="s">
        <x:v>2864</x:v>
      </x:c>
      <x:c r="I593" s="28" t="s">
        <x:v>2865</x:v>
      </x:c>
      <x:c r="J593" s="29" t="s">
        <x:v>2866</x:v>
      </x:c>
    </x:row>
    <x:row r="594" ht="10.050000190734863" customHeight="1">
      <x:c r="A594" s="21" t="s">
        <x:v>69</x:v>
      </x:c>
      <x:c r="B594" s="20" t="s">
        <x:v>69</x:v>
      </x:c>
      <x:c r="C594" s="20" t="s">
        <x:v>2867</x:v>
      </x:c>
      <x:c r="D594" s="24">
        <x:v>21</x:v>
      </x:c>
      <x:c r="E594" s="24" t="s">
        <x:v>114</x:v>
      </x:c>
      <x:c r="F594" s="20" t="s">
        <x:v>90</x:v>
      </x:c>
      <x:c r="G594" s="26">
        <x:v>43198</x:v>
      </x:c>
      <x:c r="H594" s="24" t="s">
        <x:v>2868</x:v>
      </x:c>
      <x:c r="I594" s="28" t="s">
        <x:v>2869</x:v>
      </x:c>
      <x:c r="J594" s="29" t="s">
        <x:v>2870</x:v>
      </x:c>
    </x:row>
    <x:row r="595" ht="10.050000190734863" customHeight="1">
      <x:c r="A595" s="21" t="s">
        <x:v>44</x:v>
      </x:c>
      <x:c r="B595" s="20" t="s">
        <x:v>44</x:v>
      </x:c>
      <x:c r="C595" s="20" t="s">
        <x:v>2867</x:v>
      </x:c>
      <x:c r="D595" s="24">
        <x:v>23</x:v>
      </x:c>
      <x:c r="E595" s="24" t="s">
        <x:v>114</x:v>
      </x:c>
      <x:c r="F595" s="20" t="s">
        <x:v>90</x:v>
      </x:c>
      <x:c r="G595" s="26">
        <x:v>43559</x:v>
      </x:c>
      <x:c r="H595" s="24" t="s">
        <x:v>2871</x:v>
      </x:c>
      <x:c r="I595" s="28" t="s">
        <x:v>2872</x:v>
      </x:c>
      <x:c r="J595" s="29" t="s">
        <x:v>2873</x:v>
      </x:c>
    </x:row>
    <x:row r="596" ht="10.050000190734863" customHeight="1">
      <x:c r="A596" s="21" t="s">
        <x:v>66</x:v>
      </x:c>
      <x:c r="B596" s="20" t="s">
        <x:v>66</x:v>
      </x:c>
      <x:c r="C596" s="20" t="s">
        <x:v>2867</x:v>
      </x:c>
      <x:c r="D596" s="24">
        <x:v>41</x:v>
      </x:c>
      <x:c r="E596" s="24" t="s">
        <x:v>2874</x:v>
      </x:c>
      <x:c r="F596" s="20" t="s">
        <x:v>90</x:v>
      </x:c>
      <x:c r="G596" s="26">
        <x:v>45247</x:v>
      </x:c>
      <x:c r="H596" s="24" t="s">
        <x:v>2875</x:v>
      </x:c>
      <x:c r="I596" s="28" t="s">
        <x:v>2876</x:v>
      </x:c>
      <x:c r="J596" s="29" t="s">
        <x:v>2877</x:v>
      </x:c>
    </x:row>
    <x:row r="597" ht="10.050000190734863" customHeight="1">
      <x:c r="A597" s="21" t="s">
        <x:v>2878</x:v>
      </x:c>
      <x:c r="B597" s="20" t="s">
        <x:v>2878</x:v>
      </x:c>
      <x:c r="C597" s="20" t="s">
        <x:v>2879</x:v>
      </x:c>
      <x:c r="D597" s="24">
        <x:v>6</x:v>
      </x:c>
      <x:c r="E597" s="24" t="s">
        <x:v>96</x:v>
      </x:c>
      <x:c r="F597" s="20" t="s">
        <x:v>90</x:v>
      </x:c>
      <x:c r="G597" s="26">
        <x:v>44044</x:v>
      </x:c>
      <x:c r="H597" s="24" t="s">
        <x:v>2880</x:v>
      </x:c>
      <x:c r="I597" s="28" t="s">
        <x:v>2881</x:v>
      </x:c>
      <x:c r="J597" s="29" t="s">
        <x:v>2882</x:v>
      </x:c>
    </x:row>
    <x:row r="598" ht="10.050000190734863" customHeight="1">
      <x:c r="A598" s="21" t="s">
        <x:v>2883</x:v>
      </x:c>
      <x:c r="B598" s="20" t="s">
        <x:v>2883</x:v>
      </x:c>
      <x:c r="C598" s="20" t="s">
        <x:v>2884</x:v>
      </x:c>
      <x:c r="D598" s="24">
        <x:v>13</x:v>
      </x:c>
      <x:c r="E598" s="24" t="s">
        <x:v>257</x:v>
      </x:c>
      <x:c r="F598" s="20" t="s">
        <x:v>97</x:v>
      </x:c>
      <x:c r="G598" s="26">
        <x:v>41626</x:v>
      </x:c>
      <x:c r="H598" s="24" t="s">
        <x:v>2885</x:v>
      </x:c>
      <x:c r="I598" s="28" t="s">
        <x:v>2886</x:v>
      </x:c>
      <x:c r="J598" s="29" t="s">
        <x:v>2887</x:v>
      </x:c>
    </x:row>
    <x:row r="599" ht="10.050000190734863" customHeight="1">
      <x:c r="A599" s="21" t="s">
        <x:v>2888</x:v>
      </x:c>
      <x:c r="B599" s="20" t="s">
        <x:v>2888</x:v>
      </x:c>
      <x:c r="C599" s="20" t="s">
        <x:v>2889</x:v>
      </x:c>
      <x:c r="D599" s="24">
        <x:v>16</x:v>
      </x:c>
      <x:c r="E599" s="24" t="s">
        <x:v>198</x:v>
      </x:c>
      <x:c r="F599" s="20" t="s">
        <x:v>90</x:v>
      </x:c>
      <x:c r="G599" s="26">
        <x:v>45741</x:v>
      </x:c>
      <x:c r="H599" s="24" t="s">
        <x:v>2890</x:v>
      </x:c>
      <x:c r="I599" s="28" t="s">
        <x:v>2891</x:v>
      </x:c>
      <x:c r="J599" s="29" t="s">
        <x:v>2892</x:v>
      </x:c>
    </x:row>
    <x:row r="600" ht="10.050000190734863" customHeight="1">
      <x:c r="A600" s="21" t="s">
        <x:v>2893</x:v>
      </x:c>
      <x:c r="B600" s="20" t="s">
        <x:v>2893</x:v>
      </x:c>
      <x:c r="C600" s="20" t="s">
        <x:v>1135</x:v>
      </x:c>
      <x:c r="D600" s="24">
        <x:v>3</x:v>
      </x:c>
      <x:c r="E600" s="24" t="s">
        <x:v>125</x:v>
      </x:c>
      <x:c r="F600" s="20" t="s">
        <x:v>610</x:v>
      </x:c>
      <x:c r="G600" s="26">
        <x:v>45386</x:v>
      </x:c>
      <x:c r="H600" s="24" t="s">
        <x:v>2894</x:v>
      </x:c>
      <x:c r="I600" s="28" t="s">
        <x:v>2895</x:v>
      </x:c>
      <x:c r="J600" s="29" t="s">
        <x:v>2896</x:v>
      </x:c>
    </x:row>
    <x:row r="601" ht="10.050000190734863" customHeight="1">
      <x:c r="A601" s="21" t="s">
        <x:v>2897</x:v>
      </x:c>
      <x:c r="B601" s="20" t="s">
        <x:v>2897</x:v>
      </x:c>
      <x:c r="C601" s="20" t="s">
        <x:v>2898</x:v>
      </x:c>
      <x:c r="D601" s="24">
        <x:v>15</x:v>
      </x:c>
      <x:c r="E601" s="24" t="s">
        <x:v>103</x:v>
      </x:c>
      <x:c r="F601" s="20" t="s">
        <x:v>97</x:v>
      </x:c>
      <x:c r="G601" s="26">
        <x:v>42010</x:v>
      </x:c>
      <x:c r="H601" s="24" t="s">
        <x:v>2899</x:v>
      </x:c>
      <x:c r="I601" s="28" t="s">
        <x:v>2900</x:v>
      </x:c>
      <x:c r="J601" s="29" t="s">
        <x:v>2901</x:v>
      </x:c>
    </x:row>
    <x:row r="602" ht="10.050000190734863" customHeight="1">
      <x:c r="A602" s="21" t="s">
        <x:v>2902</x:v>
      </x:c>
      <x:c r="B602" s="20" t="s">
        <x:v>2902</x:v>
      </x:c>
      <x:c r="C602" s="20" t="s">
        <x:v>2327</x:v>
      </x:c>
      <x:c r="D602" s="24">
        <x:v>21</x:v>
      </x:c>
      <x:c r="E602" s="24" t="s">
        <x:v>89</x:v>
      </x:c>
      <x:c r="F602" s="20" t="s">
        <x:v>90</x:v>
      </x:c>
      <x:c r="G602" s="26">
        <x:v>46035</x:v>
      </x:c>
      <x:c r="H602" s="24" t="s">
        <x:v>2903</x:v>
      </x:c>
      <x:c r="I602" s="28" t="s">
        <x:v>2904</x:v>
      </x:c>
      <x:c r="J602" s="29" t="s">
        <x:v>2905</x:v>
      </x:c>
    </x:row>
    <x:row r="603" ht="10.050000190734863" customHeight="1">
      <x:c r="A603" s="21" t="s">
        <x:v>2906</x:v>
      </x:c>
      <x:c r="B603" s="20" t="s">
        <x:v>2906</x:v>
      </x:c>
      <x:c r="C603" s="20" t="s">
        <x:v>2907</x:v>
      </x:c>
      <x:c r="D603" s="24">
        <x:v>34</x:v>
      </x:c>
      <x:c r="E603" s="24" t="s">
        <x:v>89</x:v>
      </x:c>
      <x:c r="F603" s="20" t="s">
        <x:v>97</x:v>
      </x:c>
      <x:c r="G603" s="26">
        <x:v>44082</x:v>
      </x:c>
      <x:c r="H603" s="24" t="s">
        <x:v>2908</x:v>
      </x:c>
      <x:c r="I603" s="28" t="s">
        <x:v>2909</x:v>
      </x:c>
      <x:c r="J603" s="29" t="s">
        <x:v>2910</x:v>
      </x:c>
    </x:row>
    <x:row r="604" ht="10.050000190734863" customHeight="1">
      <x:c r="A604" s="21" t="s">
        <x:v>2911</x:v>
      </x:c>
      <x:c r="B604" s="20" t="s">
        <x:v>2911</x:v>
      </x:c>
      <x:c r="C604" s="20" t="s">
        <x:v>2912</x:v>
      </x:c>
      <x:c r="D604" s="24">
        <x:v>15</x:v>
      </x:c>
      <x:c r="E604" s="24" t="s">
        <x:v>198</x:v>
      </x:c>
      <x:c r="F604" s="20" t="s">
        <x:v>90</x:v>
      </x:c>
      <x:c r="G604" s="26">
        <x:v>45117</x:v>
      </x:c>
      <x:c r="H604" s="24" t="s">
        <x:v>2913</x:v>
      </x:c>
      <x:c r="I604" s="28" t="s">
        <x:v>2914</x:v>
      </x:c>
      <x:c r="J604" s="29" t="s">
        <x:v>2915</x:v>
      </x:c>
    </x:row>
    <x:row r="605" ht="10.050000190734863" customHeight="1">
      <x:c r="A605" s="21" t="s">
        <x:v>2916</x:v>
      </x:c>
      <x:c r="B605" s="20" t="s">
        <x:v>2916</x:v>
      </x:c>
      <x:c r="C605" s="20" t="s">
        <x:v>1107</x:v>
      </x:c>
      <x:c r="D605" s="24">
        <x:v>10</x:v>
      </x:c>
      <x:c r="E605" s="24" t="s">
        <x:v>89</x:v>
      </x:c>
      <x:c r="F605" s="20" t="s">
        <x:v>90</x:v>
      </x:c>
      <x:c r="G605" s="26">
        <x:v>44843</x:v>
      </x:c>
      <x:c r="H605" s="24" t="s">
        <x:v>2917</x:v>
      </x:c>
      <x:c r="I605" s="28" t="s">
        <x:v>2918</x:v>
      </x:c>
      <x:c r="J605" s="29" t="s">
        <x:v>2919</x:v>
      </x:c>
    </x:row>
    <x:row r="606" ht="10.050000190734863" customHeight="1">
      <x:c r="A606" s="21" t="s">
        <x:v>2920</x:v>
      </x:c>
      <x:c r="B606" s="20" t="s">
        <x:v>2920</x:v>
      </x:c>
      <x:c r="C606" s="20" t="s">
        <x:v>2921</x:v>
      </x:c>
      <x:c r="D606" s="24">
        <x:v>19</x:v>
      </x:c>
      <x:c r="E606" s="24" t="s">
        <x:v>198</x:v>
      </x:c>
      <x:c r="F606" s="20" t="s">
        <x:v>90</x:v>
      </x:c>
      <x:c r="G606" s="26">
        <x:v>44711</x:v>
      </x:c>
      <x:c r="H606" s="24" t="s">
        <x:v>2922</x:v>
      </x:c>
      <x:c r="I606" s="28" t="s">
        <x:v>2923</x:v>
      </x:c>
      <x:c r="J606" s="29" t="s">
        <x:v>2924</x:v>
      </x:c>
    </x:row>
    <x:row r="607" ht="10.050000190734863" customHeight="1">
      <x:c r="A607" s="21" t="s">
        <x:v>2925</x:v>
      </x:c>
      <x:c r="B607" s="20" t="s">
        <x:v>2925</x:v>
      </x:c>
      <x:c r="C607" s="20" t="s">
        <x:v>491</x:v>
      </x:c>
      <x:c r="D607" s="24">
        <x:v>1</x:v>
      </x:c>
      <x:c r="E607" s="24" t="s">
        <x:v>89</x:v>
      </x:c>
      <x:c r="F607" s="20" t="s">
        <x:v>90</x:v>
      </x:c>
      <x:c r="G607" s="26">
        <x:v>44543</x:v>
      </x:c>
      <x:c r="H607" s="24" t="s">
        <x:v>2926</x:v>
      </x:c>
      <x:c r="I607" s="28" t="s">
        <x:v>2927</x:v>
      </x:c>
      <x:c r="J607" s="29" t="s">
        <x:v>2928</x:v>
      </x:c>
    </x:row>
    <x:row r="608" ht="10.050000190734863" customHeight="1">
      <x:c r="A608" s="21" t="s">
        <x:v>2929</x:v>
      </x:c>
      <x:c r="B608" s="20" t="s">
        <x:v>2929</x:v>
      </x:c>
      <x:c r="C608" s="20" t="s">
        <x:v>119</x:v>
      </x:c>
      <x:c r="D608" s="24">
        <x:v>16</x:v>
      </x:c>
      <x:c r="E608" s="24" t="s">
        <x:v>89</x:v>
      </x:c>
      <x:c r="F608" s="20" t="s">
        <x:v>90</x:v>
      </x:c>
      <x:c r="G608" s="26">
        <x:v>45791</x:v>
      </x:c>
      <x:c r="H608" s="24" t="s">
        <x:v>2930</x:v>
      </x:c>
      <x:c r="I608" s="28" t="s">
        <x:v>2931</x:v>
      </x:c>
      <x:c r="J608" s="29" t="s">
        <x:v>2932</x:v>
      </x:c>
    </x:row>
    <x:row r="609" ht="10.050000190734863" customHeight="1">
      <x:c r="A609" s="21" t="s">
        <x:v>2933</x:v>
      </x:c>
      <x:c r="B609" s="20" t="s">
        <x:v>2933</x:v>
      </x:c>
      <x:c r="C609" s="20" t="s">
        <x:v>2934</x:v>
      </x:c>
      <x:c r="D609" s="24">
        <x:v>43</x:v>
      </x:c>
      <x:c r="E609" s="24" t="s">
        <x:v>96</x:v>
      </x:c>
      <x:c r="F609" s="20" t="s">
        <x:v>97</x:v>
      </x:c>
      <x:c r="G609" s="26">
        <x:v>42297</x:v>
      </x:c>
      <x:c r="H609" s="24" t="s">
        <x:v>2935</x:v>
      </x:c>
      <x:c r="I609" s="28" t="s">
        <x:v>2936</x:v>
      </x:c>
      <x:c r="J609" s="29" t="s">
        <x:v>2937</x:v>
      </x:c>
    </x:row>
    <x:row r="610" ht="10.050000190734863" customHeight="1">
      <x:c r="A610" s="21" t="s">
        <x:v>2938</x:v>
      </x:c>
      <x:c r="B610" s="20" t="s">
        <x:v>2938</x:v>
      </x:c>
      <x:c r="C610" s="20" t="s">
        <x:v>2939</x:v>
      </x:c>
      <x:c r="D610" s="24">
        <x:v>53</x:v>
      </x:c>
      <x:c r="E610" s="24" t="s">
        <x:v>96</x:v>
      </x:c>
      <x:c r="F610" s="20" t="s">
        <x:v>97</x:v>
      </x:c>
      <x:c r="G610" s="26">
        <x:v>42291</x:v>
      </x:c>
      <x:c r="H610" s="24" t="s">
        <x:v>2940</x:v>
      </x:c>
      <x:c r="I610" s="28" t="s">
        <x:v>2941</x:v>
      </x:c>
      <x:c r="J610" s="29" t="s">
        <x:v>2942</x:v>
      </x:c>
    </x:row>
    <x:row r="611" ht="10.050000190734863" customHeight="1">
      <x:c r="A611" s="21" t="s">
        <x:v>2943</x:v>
      </x:c>
      <x:c r="B611" s="20" t="s">
        <x:v>2943</x:v>
      </x:c>
      <x:c r="C611" s="20" t="s">
        <x:v>1167</x:v>
      </x:c>
      <x:c r="D611" s="24">
        <x:v>9</x:v>
      </x:c>
      <x:c r="E611" s="24" t="s">
        <x:v>103</x:v>
      </x:c>
      <x:c r="F611" s="20" t="s">
        <x:v>97</x:v>
      </x:c>
      <x:c r="G611" s="26">
        <x:v>41539</x:v>
      </x:c>
      <x:c r="H611" s="24" t="s">
        <x:v>2944</x:v>
      </x:c>
      <x:c r="I611" s="28" t="s">
        <x:v>2945</x:v>
      </x:c>
      <x:c r="J611" s="29" t="s">
        <x:v>2946</x:v>
      </x:c>
    </x:row>
    <x:row r="612" ht="10.050000190734863" customHeight="1">
      <x:c r="A612" s="21" t="s">
        <x:v>2947</x:v>
      </x:c>
      <x:c r="B612" s="20" t="s">
        <x:v>2947</x:v>
      </x:c>
      <x:c r="C612" s="20" t="s">
        <x:v>1167</x:v>
      </x:c>
      <x:c r="D612" s="24">
        <x:v>9</x:v>
      </x:c>
      <x:c r="E612" s="24" t="s">
        <x:v>96</x:v>
      </x:c>
      <x:c r="F612" s="20" t="s">
        <x:v>97</x:v>
      </x:c>
      <x:c r="G612" s="26">
        <x:v>44215</x:v>
      </x:c>
      <x:c r="H612" s="24" t="s">
        <x:v>2948</x:v>
      </x:c>
      <x:c r="I612" s="28" t="s">
        <x:v>2949</x:v>
      </x:c>
      <x:c r="J612" s="29" t="s">
        <x:v>2950</x:v>
      </x:c>
    </x:row>
    <x:row r="613" ht="10.050000190734863" customHeight="1">
      <x:c r="A613" s="21" t="s">
        <x:v>2951</x:v>
      </x:c>
      <x:c r="B613" s="20" t="s">
        <x:v>2951</x:v>
      </x:c>
      <x:c r="C613" s="20" t="s">
        <x:v>1167</x:v>
      </x:c>
      <x:c r="D613" s="24">
        <x:v>7</x:v>
      </x:c>
      <x:c r="E613" s="24" t="s">
        <x:v>103</x:v>
      </x:c>
      <x:c r="F613" s="20" t="s">
        <x:v>97</x:v>
      </x:c>
      <x:c r="G613" s="26">
        <x:v>45295</x:v>
      </x:c>
      <x:c r="H613" s="24" t="s">
        <x:v>2952</x:v>
      </x:c>
      <x:c r="I613" s="28" t="s">
        <x:v>2953</x:v>
      </x:c>
      <x:c r="J613" s="29" t="s">
        <x:v>2954</x:v>
      </x:c>
    </x:row>
    <x:row r="614" ht="10.050000190734863" customHeight="1">
      <x:c r="A614" s="21" t="s">
        <x:v>2955</x:v>
      </x:c>
      <x:c r="B614" s="20" t="s">
        <x:v>2955</x:v>
      </x:c>
      <x:c r="C614" s="20" t="s">
        <x:v>1167</x:v>
      </x:c>
      <x:c r="D614" s="24">
        <x:v>7</x:v>
      </x:c>
      <x:c r="E614" s="24" t="s">
        <x:v>89</x:v>
      </x:c>
      <x:c r="F614" s="20" t="s">
        <x:v>97</x:v>
      </x:c>
      <x:c r="G614" s="26">
        <x:v>44148</x:v>
      </x:c>
      <x:c r="H614" s="24" t="s">
        <x:v>2956</x:v>
      </x:c>
      <x:c r="I614" s="28" t="s">
        <x:v>2957</x:v>
      </x:c>
      <x:c r="J614" s="29" t="s">
        <x:v>2958</x:v>
      </x:c>
    </x:row>
    <x:row r="615" ht="10.050000190734863" customHeight="1">
      <x:c r="A615" s="21" t="s">
        <x:v>2959</x:v>
      </x:c>
      <x:c r="B615" s="20" t="s">
        <x:v>2959</x:v>
      </x:c>
      <x:c r="C615" s="20" t="s">
        <x:v>1167</x:v>
      </x:c>
      <x:c r="D615" s="24">
        <x:v>5</x:v>
      </x:c>
      <x:c r="E615" s="24" t="s">
        <x:v>96</x:v>
      </x:c>
      <x:c r="F615" s="20" t="s">
        <x:v>97</x:v>
      </x:c>
      <x:c r="G615" s="26">
        <x:v>45608</x:v>
      </x:c>
      <x:c r="H615" s="24" t="s">
        <x:v>2960</x:v>
      </x:c>
      <x:c r="I615" s="28" t="s">
        <x:v>2961</x:v>
      </x:c>
      <x:c r="J615" s="29" t="s">
        <x:v>2962</x:v>
      </x:c>
    </x:row>
    <x:row r="616" ht="10.050000190734863" customHeight="1">
      <x:c r="A616" s="21" t="s">
        <x:v>2963</x:v>
      </x:c>
      <x:c r="B616" s="20" t="s">
        <x:v>2963</x:v>
      </x:c>
      <x:c r="C616" s="20" t="s">
        <x:v>1167</x:v>
      </x:c>
      <x:c r="D616" s="24">
        <x:v>12</x:v>
      </x:c>
      <x:c r="E616" s="24" t="s">
        <x:v>96</x:v>
      </x:c>
      <x:c r="F616" s="20" t="s">
        <x:v>97</x:v>
      </x:c>
      <x:c r="G616" s="26">
        <x:v>45834</x:v>
      </x:c>
      <x:c r="H616" s="24" t="s">
        <x:v>2964</x:v>
      </x:c>
      <x:c r="I616" s="28" t="s">
        <x:v>2965</x:v>
      </x:c>
      <x:c r="J616" s="29" t="s">
        <x:v>2966</x:v>
      </x:c>
    </x:row>
    <x:row r="617" ht="10.050000190734863" customHeight="1">
      <x:c r="A617" s="21" t="s">
        <x:v>2967</x:v>
      </x:c>
      <x:c r="B617" s="20" t="s">
        <x:v>2967</x:v>
      </x:c>
      <x:c r="C617" s="20" t="s">
        <x:v>1167</x:v>
      </x:c>
      <x:c r="D617" s="24">
        <x:v>10</x:v>
      </x:c>
      <x:c r="E617" s="24" t="s">
        <x:v>96</x:v>
      </x:c>
      <x:c r="F617" s="20" t="s">
        <x:v>97</x:v>
      </x:c>
      <x:c r="G617" s="26">
        <x:v>44185</x:v>
      </x:c>
      <x:c r="H617" s="24" t="s">
        <x:v>2968</x:v>
      </x:c>
      <x:c r="I617" s="28" t="s">
        <x:v>2969</x:v>
      </x:c>
      <x:c r="J617" s="29" t="s">
        <x:v>2970</x:v>
      </x:c>
    </x:row>
    <x:row r="618" ht="10.050000190734863" customHeight="1">
      <x:c r="A618" s="21" t="s">
        <x:v>2971</x:v>
      </x:c>
      <x:c r="B618" s="20" t="s">
        <x:v>2971</x:v>
      </x:c>
      <x:c r="C618" s="20" t="s">
        <x:v>1167</x:v>
      </x:c>
      <x:c r="D618" s="24">
        <x:v>10</x:v>
      </x:c>
      <x:c r="E618" s="24" t="s">
        <x:v>96</x:v>
      </x:c>
      <x:c r="F618" s="20" t="s">
        <x:v>97</x:v>
      </x:c>
      <x:c r="G618" s="26">
        <x:v>44169</x:v>
      </x:c>
      <x:c r="H618" s="24" t="s">
        <x:v>2972</x:v>
      </x:c>
      <x:c r="I618" s="28" t="s">
        <x:v>2973</x:v>
      </x:c>
      <x:c r="J618" s="29" t="s">
        <x:v>2974</x:v>
      </x:c>
    </x:row>
    <x:row r="619" ht="10.050000190734863" customHeight="1">
      <x:c r="A619" s="21" t="s">
        <x:v>2975</x:v>
      </x:c>
      <x:c r="B619" s="20" t="s">
        <x:v>2975</x:v>
      </x:c>
      <x:c r="C619" s="20" t="s">
        <x:v>1167</x:v>
      </x:c>
      <x:c r="D619" s="24">
        <x:v>10</x:v>
      </x:c>
      <x:c r="E619" s="24" t="s">
        <x:v>96</x:v>
      </x:c>
      <x:c r="F619" s="20" t="s">
        <x:v>97</x:v>
      </x:c>
      <x:c r="G619" s="26">
        <x:v>44279</x:v>
      </x:c>
      <x:c r="H619" s="24" t="s">
        <x:v>2976</x:v>
      </x:c>
      <x:c r="I619" s="28" t="s">
        <x:v>2977</x:v>
      </x:c>
      <x:c r="J619" s="29" t="s">
        <x:v>2978</x:v>
      </x:c>
    </x:row>
    <x:row r="620" ht="10.050000190734863" customHeight="1">
      <x:c r="A620" s="21" t="s">
        <x:v>2979</x:v>
      </x:c>
      <x:c r="B620" s="20" t="s">
        <x:v>2979</x:v>
      </x:c>
      <x:c r="C620" s="20" t="s">
        <x:v>1167</x:v>
      </x:c>
      <x:c r="D620" s="24">
        <x:v>20</x:v>
      </x:c>
      <x:c r="E620" s="24" t="s">
        <x:v>96</x:v>
      </x:c>
      <x:c r="F620" s="20" t="s">
        <x:v>97</x:v>
      </x:c>
      <x:c r="G620" s="26">
        <x:v>41627</x:v>
      </x:c>
      <x:c r="H620" s="24" t="s">
        <x:v>2980</x:v>
      </x:c>
      <x:c r="I620" s="28" t="s">
        <x:v>2981</x:v>
      </x:c>
      <x:c r="J620" s="29" t="s">
        <x:v>2982</x:v>
      </x:c>
    </x:row>
    <x:row r="621" ht="10.050000190734863" customHeight="1">
      <x:c r="A621" s="21" t="s">
        <x:v>2983</x:v>
      </x:c>
      <x:c r="B621" s="20" t="s">
        <x:v>2983</x:v>
      </x:c>
      <x:c r="C621" s="20" t="s">
        <x:v>1167</x:v>
      </x:c>
      <x:c r="D621" s="24">
        <x:v>6</x:v>
      </x:c>
      <x:c r="E621" s="24" t="s">
        <x:v>96</x:v>
      </x:c>
      <x:c r="F621" s="20" t="s">
        <x:v>97</x:v>
      </x:c>
      <x:c r="G621" s="26">
        <x:v>46143</x:v>
      </x:c>
      <x:c r="H621" s="24" t="s">
        <x:v>2984</x:v>
      </x:c>
      <x:c r="I621" s="28" t="s">
        <x:v>2985</x:v>
      </x:c>
      <x:c r="J621" s="29" t="s">
        <x:v>2986</x:v>
      </x:c>
    </x:row>
    <x:row r="622" ht="10.050000190734863" customHeight="1">
      <x:c r="A622" s="21" t="s">
        <x:v>2987</x:v>
      </x:c>
      <x:c r="B622" s="20" t="s">
        <x:v>2987</x:v>
      </x:c>
      <x:c r="C622" s="20" t="s">
        <x:v>1167</x:v>
      </x:c>
      <x:c r="D622" s="24">
        <x:v>15</x:v>
      </x:c>
      <x:c r="E622" s="24" t="s">
        <x:v>103</x:v>
      </x:c>
      <x:c r="F622" s="20" t="s">
        <x:v>97</x:v>
      </x:c>
      <x:c r="G622" s="26">
        <x:v>42178</x:v>
      </x:c>
      <x:c r="H622" s="24" t="s">
        <x:v>2988</x:v>
      </x:c>
      <x:c r="I622" s="28" t="s">
        <x:v>2989</x:v>
      </x:c>
      <x:c r="J622" s="29" t="s">
        <x:v>2990</x:v>
      </x:c>
    </x:row>
    <x:row r="623" ht="10.050000190734863" customHeight="1">
      <x:c r="A623" s="21" t="s">
        <x:v>2991</x:v>
      </x:c>
      <x:c r="B623" s="20" t="s">
        <x:v>2991</x:v>
      </x:c>
      <x:c r="C623" s="20" t="s">
        <x:v>1167</x:v>
      </x:c>
      <x:c r="D623" s="24">
        <x:v>11</x:v>
      </x:c>
      <x:c r="E623" s="24" t="s">
        <x:v>103</x:v>
      </x:c>
      <x:c r="F623" s="20" t="s">
        <x:v>97</x:v>
      </x:c>
      <x:c r="G623" s="26">
        <x:v>42952</x:v>
      </x:c>
      <x:c r="H623" s="24" t="s">
        <x:v>2992</x:v>
      </x:c>
      <x:c r="I623" s="28" t="s">
        <x:v>2993</x:v>
      </x:c>
      <x:c r="J623" s="29" t="s">
        <x:v>2994</x:v>
      </x:c>
    </x:row>
    <x:row r="624" ht="10.050000190734863" customHeight="1">
      <x:c r="A624" s="21" t="s">
        <x:v>2995</x:v>
      </x:c>
      <x:c r="B624" s="20" t="s">
        <x:v>2995</x:v>
      </x:c>
      <x:c r="C624" s="20" t="s">
        <x:v>1167</x:v>
      </x:c>
      <x:c r="D624" s="24">
        <x:v>14</x:v>
      </x:c>
      <x:c r="E624" s="24" t="s">
        <x:v>103</x:v>
      </x:c>
      <x:c r="F624" s="20" t="s">
        <x:v>97</x:v>
      </x:c>
      <x:c r="G624" s="26">
        <x:v>43561</x:v>
      </x:c>
      <x:c r="H624" s="24" t="s">
        <x:v>2996</x:v>
      </x:c>
      <x:c r="I624" s="28" t="s">
        <x:v>2997</x:v>
      </x:c>
      <x:c r="J624" s="29" t="s">
        <x:v>2998</x:v>
      </x:c>
    </x:row>
    <x:row r="625" ht="10.050000190734863" customHeight="1">
      <x:c r="A625" s="21" t="s">
        <x:v>2999</x:v>
      </x:c>
      <x:c r="B625" s="20" t="s">
        <x:v>2999</x:v>
      </x:c>
      <x:c r="C625" s="20" t="s">
        <x:v>1167</x:v>
      </x:c>
      <x:c r="D625" s="24">
        <x:v>11</x:v>
      </x:c>
      <x:c r="E625" s="24" t="s">
        <x:v>96</x:v>
      </x:c>
      <x:c r="F625" s="20" t="s">
        <x:v>97</x:v>
      </x:c>
      <x:c r="G625" s="26">
        <x:v>44170</x:v>
      </x:c>
      <x:c r="H625" s="24" t="s">
        <x:v>3000</x:v>
      </x:c>
      <x:c r="I625" s="28" t="s">
        <x:v>3001</x:v>
      </x:c>
      <x:c r="J625" s="29" t="s">
        <x:v>3002</x:v>
      </x:c>
    </x:row>
    <x:row r="626" ht="10.050000190734863" customHeight="1">
      <x:c r="A626" s="21" t="s">
        <x:v>3003</x:v>
      </x:c>
      <x:c r="B626" s="20" t="s">
        <x:v>3003</x:v>
      </x:c>
      <x:c r="C626" s="20" t="s">
        <x:v>1167</x:v>
      </x:c>
      <x:c r="D626" s="24">
        <x:v>10</x:v>
      </x:c>
      <x:c r="E626" s="24" t="s">
        <x:v>96</x:v>
      </x:c>
      <x:c r="F626" s="20" t="s">
        <x:v>97</x:v>
      </x:c>
      <x:c r="G626" s="26">
        <x:v>45386</x:v>
      </x:c>
      <x:c r="H626" s="24" t="s">
        <x:v>3004</x:v>
      </x:c>
      <x:c r="I626" s="28" t="s">
        <x:v>3005</x:v>
      </x:c>
      <x:c r="J626" s="29" t="s">
        <x:v>3006</x:v>
      </x:c>
    </x:row>
    <x:row r="627" ht="10.050000190734863" customHeight="1">
      <x:c r="A627" s="21" t="s">
        <x:v>3007</x:v>
      </x:c>
      <x:c r="B627" s="20" t="s">
        <x:v>3007</x:v>
      </x:c>
      <x:c r="C627" s="20" t="s">
        <x:v>1167</x:v>
      </x:c>
      <x:c r="D627" s="24">
        <x:v>10</x:v>
      </x:c>
      <x:c r="E627" s="24" t="s">
        <x:v>96</x:v>
      </x:c>
      <x:c r="F627" s="20" t="s">
        <x:v>97</x:v>
      </x:c>
      <x:c r="G627" s="26">
        <x:v>45917</x:v>
      </x:c>
      <x:c r="H627" s="24" t="s">
        <x:v>3008</x:v>
      </x:c>
      <x:c r="I627" s="28" t="s">
        <x:v>3009</x:v>
      </x:c>
      <x:c r="J627" s="29" t="s">
        <x:v>3010</x:v>
      </x:c>
    </x:row>
    <x:row r="628" ht="10.050000190734863" customHeight="1">
      <x:c r="A628" s="21" t="s">
        <x:v>3011</x:v>
      </x:c>
      <x:c r="B628" s="20" t="s">
        <x:v>3011</x:v>
      </x:c>
      <x:c r="C628" s="20" t="s">
        <x:v>3012</x:v>
      </x:c>
      <x:c r="D628" s="24">
        <x:v>7</x:v>
      </x:c>
      <x:c r="E628" s="24" t="s">
        <x:v>114</x:v>
      </x:c>
      <x:c r="F628" s="20" t="s">
        <x:v>90</x:v>
      </x:c>
      <x:c r="G628" s="26">
        <x:v>44187</x:v>
      </x:c>
      <x:c r="H628" s="24" t="s">
        <x:v>3013</x:v>
      </x:c>
      <x:c r="I628" s="28" t="s">
        <x:v>3014</x:v>
      </x:c>
      <x:c r="J628" s="29" t="s">
        <x:v>3015</x:v>
      </x:c>
    </x:row>
    <x:row r="629" ht="10.050000190734863" customHeight="1">
      <x:c r="A629" s="21" t="s">
        <x:v>3016</x:v>
      </x:c>
      <x:c r="B629" s="20" t="s">
        <x:v>3016</x:v>
      </x:c>
      <x:c r="C629" s="20" t="s">
        <x:v>1167</x:v>
      </x:c>
      <x:c r="D629" s="24">
        <x:v>27</x:v>
      </x:c>
      <x:c r="E629" s="24" t="s">
        <x:v>96</x:v>
      </x:c>
      <x:c r="F629" s="20" t="s">
        <x:v>152</x:v>
      </x:c>
      <x:c r="G629" s="26">
        <x:v>45732</x:v>
      </x:c>
      <x:c r="H629" s="24" t="s">
        <x:v>3017</x:v>
      </x:c>
      <x:c r="I629" s="28" t="s">
        <x:v>3018</x:v>
      </x:c>
      <x:c r="J629" s="29" t="s">
        <x:v>3019</x:v>
      </x:c>
    </x:row>
    <x:row r="630" ht="10.050000190734863" customHeight="1">
      <x:c r="A630" s="21" t="s">
        <x:v>3020</x:v>
      </x:c>
      <x:c r="B630" s="20" t="s">
        <x:v>3020</x:v>
      </x:c>
      <x:c r="C630" s="20" t="s">
        <x:v>1167</x:v>
      </x:c>
      <x:c r="D630" s="24">
        <x:v>20</x:v>
      </x:c>
      <x:c r="E630" s="24" t="s">
        <x:v>96</x:v>
      </x:c>
      <x:c r="F630" s="20" t="s">
        <x:v>90</x:v>
      </x:c>
      <x:c r="G630" s="26">
        <x:v>45739</x:v>
      </x:c>
      <x:c r="H630" s="24" t="s">
        <x:v>3021</x:v>
      </x:c>
      <x:c r="I630" s="28" t="s">
        <x:v>3022</x:v>
      </x:c>
      <x:c r="J630" s="29" t="s">
        <x:v>3023</x:v>
      </x:c>
    </x:row>
    <x:row r="631" ht="10.050000190734863" customHeight="1">
      <x:c r="A631" s="21" t="s">
        <x:v>3024</x:v>
      </x:c>
      <x:c r="B631" s="20" t="s">
        <x:v>3024</x:v>
      </x:c>
      <x:c r="C631" s="20" t="s">
        <x:v>3025</x:v>
      </x:c>
      <x:c r="D631" s="24">
        <x:v>1</x:v>
      </x:c>
      <x:c r="E631" s="24" t="s">
        <x:v>114</x:v>
      </x:c>
      <x:c r="F631" s="20" t="s">
        <x:v>90</x:v>
      </x:c>
      <x:c r="G631" s="26">
        <x:v>42938</x:v>
      </x:c>
      <x:c r="H631" s="24" t="s">
        <x:v>3026</x:v>
      </x:c>
      <x:c r="I631" s="28" t="s">
        <x:v>3027</x:v>
      </x:c>
      <x:c r="J631" s="29" t="s">
        <x:v>3028</x:v>
      </x:c>
    </x:row>
    <x:row r="632" ht="10.050000190734863" customHeight="1">
      <x:c r="A632" s="21" t="s">
        <x:v>3029</x:v>
      </x:c>
      <x:c r="B632" s="20" t="s">
        <x:v>3029</x:v>
      </x:c>
      <x:c r="C632" s="20" t="s">
        <x:v>3025</x:v>
      </x:c>
      <x:c r="D632" s="24">
        <x:v>1</x:v>
      </x:c>
      <x:c r="E632" s="24" t="s">
        <x:v>114</x:v>
      </x:c>
      <x:c r="F632" s="20" t="s">
        <x:v>90</x:v>
      </x:c>
      <x:c r="G632" s="26">
        <x:v>43287</x:v>
      </x:c>
      <x:c r="H632" s="24" t="s">
        <x:v>3030</x:v>
      </x:c>
      <x:c r="I632" s="28" t="s">
        <x:v>3031</x:v>
      </x:c>
      <x:c r="J632" s="29" t="s">
        <x:v>3032</x:v>
      </x:c>
    </x:row>
    <x:row r="633" ht="10.050000190734863" customHeight="1">
      <x:c r="A633" s="21" t="s">
        <x:v>3033</x:v>
      </x:c>
      <x:c r="B633" s="20" t="s">
        <x:v>3033</x:v>
      </x:c>
      <x:c r="C633" s="20" t="s">
        <x:v>850</x:v>
      </x:c>
      <x:c r="D633" s="24">
        <x:v>13</x:v>
      </x:c>
      <x:c r="E633" s="24" t="s">
        <x:v>198</x:v>
      </x:c>
      <x:c r="F633" s="20" t="s">
        <x:v>90</x:v>
      </x:c>
      <x:c r="G633" s="26">
        <x:v>45760</x:v>
      </x:c>
      <x:c r="H633" s="24" t="s">
        <x:v>3034</x:v>
      </x:c>
      <x:c r="I633" s="28" t="s">
        <x:v>3035</x:v>
      </x:c>
      <x:c r="J633" s="29" t="s">
        <x:v>3036</x:v>
      </x:c>
    </x:row>
    <x:row r="634" ht="10.050000190734863" customHeight="1">
      <x:c r="A634" s="21" t="s">
        <x:v>3037</x:v>
      </x:c>
      <x:c r="B634" s="20" t="s">
        <x:v>3037</x:v>
      </x:c>
      <x:c r="C634" s="20" t="s">
        <x:v>850</x:v>
      </x:c>
      <x:c r="D634" s="24">
        <x:v>23</x:v>
      </x:c>
      <x:c r="E634" s="24" t="s">
        <x:v>198</x:v>
      </x:c>
      <x:c r="F634" s="20" t="s">
        <x:v>90</x:v>
      </x:c>
      <x:c r="G634" s="26">
        <x:v>46087</x:v>
      </x:c>
      <x:c r="H634" s="24" t="s">
        <x:v>3038</x:v>
      </x:c>
      <x:c r="I634" s="28" t="s">
        <x:v>3039</x:v>
      </x:c>
      <x:c r="J634" s="29" t="s">
        <x:v>3040</x:v>
      </x:c>
    </x:row>
    <x:row r="635" ht="10.050000190734863" customHeight="1">
      <x:c r="A635" s="21" t="s">
        <x:v>3041</x:v>
      </x:c>
      <x:c r="B635" s="20" t="s">
        <x:v>3041</x:v>
      </x:c>
      <x:c r="C635" s="20" t="s">
        <x:v>3042</x:v>
      </x:c>
      <x:c r="D635" s="24">
        <x:v>5</x:v>
      </x:c>
      <x:c r="E635" s="24" t="s">
        <x:v>103</x:v>
      </x:c>
      <x:c r="F635" s="20" t="s">
        <x:v>97</x:v>
      </x:c>
      <x:c r="G635" s="26">
        <x:v>42213</x:v>
      </x:c>
      <x:c r="H635" s="24" t="s">
        <x:v>3043</x:v>
      </x:c>
      <x:c r="I635" s="28" t="s">
        <x:v>3044</x:v>
      </x:c>
      <x:c r="J635" s="29" t="s">
        <x:v>3045</x:v>
      </x:c>
    </x:row>
    <x:row r="636" ht="10.050000190734863" customHeight="1">
      <x:c r="A636" s="21" t="s">
        <x:v>3046</x:v>
      </x:c>
      <x:c r="B636" s="20" t="s">
        <x:v>3046</x:v>
      </x:c>
      <x:c r="C636" s="20" t="s">
        <x:v>3047</x:v>
      </x:c>
      <x:c r="D636" s="24">
        <x:v>14</x:v>
      </x:c>
      <x:c r="E636" s="24" t="s">
        <x:v>198</x:v>
      </x:c>
      <x:c r="F636" s="20" t="s">
        <x:v>90</x:v>
      </x:c>
      <x:c r="G636" s="26">
        <x:v>44606</x:v>
      </x:c>
      <x:c r="H636" s="24" t="s">
        <x:v>3048</x:v>
      </x:c>
      <x:c r="I636" s="28" t="s">
        <x:v>3049</x:v>
      </x:c>
      <x:c r="J636" s="29" t="s">
        <x:v>3050</x:v>
      </x:c>
    </x:row>
    <x:row r="637" ht="10.050000190734863" customHeight="1">
      <x:c r="A637" s="21" t="s">
        <x:v>3051</x:v>
      </x:c>
      <x:c r="B637" s="20" t="s">
        <x:v>3051</x:v>
      </x:c>
      <x:c r="C637" s="20" t="s">
        <x:v>1167</x:v>
      </x:c>
      <x:c r="D637" s="24">
        <x:v>7</x:v>
      </x:c>
      <x:c r="E637" s="24" t="s">
        <x:v>96</x:v>
      </x:c>
      <x:c r="F637" s="20" t="s">
        <x:v>97</x:v>
      </x:c>
      <x:c r="G637" s="26">
        <x:v>45825</x:v>
      </x:c>
      <x:c r="H637" s="24" t="s">
        <x:v>3052</x:v>
      </x:c>
      <x:c r="I637" s="28" t="s">
        <x:v>3053</x:v>
      </x:c>
      <x:c r="J637" s="29" t="s">
        <x:v>3054</x:v>
      </x:c>
    </x:row>
    <x:row r="638" ht="10.050000190734863" customHeight="1">
      <x:c r="A638" s="21" t="s">
        <x:v>3055</x:v>
      </x:c>
      <x:c r="B638" s="20" t="s">
        <x:v>3055</x:v>
      </x:c>
      <x:c r="C638" s="20" t="s">
        <x:v>3056</x:v>
      </x:c>
      <x:c r="D638" s="24">
        <x:v>3</x:v>
      </x:c>
      <x:c r="E638" s="24" t="s">
        <x:v>103</x:v>
      </x:c>
      <x:c r="F638" s="20" t="s">
        <x:v>97</x:v>
      </x:c>
      <x:c r="G638" s="26">
        <x:v>43871</x:v>
      </x:c>
      <x:c r="H638" s="24" t="s">
        <x:v>3057</x:v>
      </x:c>
      <x:c r="I638" s="28" t="s">
        <x:v>3058</x:v>
      </x:c>
      <x:c r="J638" s="29" t="s">
        <x:v>3059</x:v>
      </x:c>
    </x:row>
    <x:row r="639" ht="10.050000190734863" customHeight="1">
      <x:c r="A639" s="21" t="s">
        <x:v>3060</x:v>
      </x:c>
      <x:c r="B639" s="20" t="s">
        <x:v>3060</x:v>
      </x:c>
      <x:c r="C639" s="20" t="s">
        <x:v>3061</x:v>
      </x:c>
      <x:c r="D639" s="24">
        <x:v>8</x:v>
      </x:c>
      <x:c r="E639" s="24" t="s">
        <x:v>96</x:v>
      </x:c>
      <x:c r="F639" s="20" t="s">
        <x:v>90</x:v>
      </x:c>
      <x:c r="G639" s="26">
        <x:v>44489</x:v>
      </x:c>
      <x:c r="H639" s="24" t="s">
        <x:v>3062</x:v>
      </x:c>
      <x:c r="I639" s="28" t="s">
        <x:v>3063</x:v>
      </x:c>
      <x:c r="J639" s="29" t="s">
        <x:v>3064</x:v>
      </x:c>
    </x:row>
    <x:row r="640" ht="10.050000190734863" customHeight="1">
      <x:c r="A640" s="21" t="s">
        <x:v>3065</x:v>
      </x:c>
      <x:c r="B640" s="20" t="s">
        <x:v>3065</x:v>
      </x:c>
      <x:c r="C640" s="20" t="s">
        <x:v>282</x:v>
      </x:c>
      <x:c r="D640" s="24">
        <x:v>5</x:v>
      </x:c>
      <x:c r="E640" s="24" t="s">
        <x:v>89</x:v>
      </x:c>
      <x:c r="F640" s="20" t="s">
        <x:v>90</x:v>
      </x:c>
      <x:c r="G640" s="26">
        <x:v>46173</x:v>
      </x:c>
      <x:c r="H640" s="24" t="s">
        <x:v>3066</x:v>
      </x:c>
      <x:c r="I640" s="28" t="s">
        <x:v>3067</x:v>
      </x:c>
      <x:c r="J640" s="29" t="s">
        <x:v>3068</x:v>
      </x:c>
    </x:row>
    <x:row r="641" ht="10.050000190734863" customHeight="1">
      <x:c r="A641" s="21" t="s">
        <x:v>3069</x:v>
      </x:c>
      <x:c r="B641" s="20" t="s">
        <x:v>3069</x:v>
      </x:c>
      <x:c r="C641" s="20" t="s">
        <x:v>685</x:v>
      </x:c>
      <x:c r="D641" s="24">
        <x:v>23</x:v>
      </x:c>
      <x:c r="E641" s="24" t="s">
        <x:v>198</x:v>
      </x:c>
      <x:c r="F641" s="20" t="s">
        <x:v>90</x:v>
      </x:c>
      <x:c r="G641" s="26">
        <x:v>46062</x:v>
      </x:c>
      <x:c r="H641" s="24" t="s">
        <x:v>3070</x:v>
      </x:c>
      <x:c r="I641" s="28" t="s">
        <x:v>3071</x:v>
      </x:c>
      <x:c r="J641" s="29" t="s">
        <x:v>3072</x:v>
      </x:c>
    </x:row>
    <x:row r="642" ht="10.050000190734863" customHeight="1">
      <x:c r="A642" s="21" t="s">
        <x:v>3073</x:v>
      </x:c>
      <x:c r="B642" s="20" t="s">
        <x:v>3073</x:v>
      </x:c>
      <x:c r="C642" s="20" t="s">
        <x:v>685</x:v>
      </x:c>
      <x:c r="D642" s="24">
        <x:v>12</x:v>
      </x:c>
      <x:c r="E642" s="24" t="s">
        <x:v>198</x:v>
      </x:c>
      <x:c r="F642" s="20" t="s">
        <x:v>90</x:v>
      </x:c>
      <x:c r="G642" s="26">
        <x:v>44832</x:v>
      </x:c>
      <x:c r="H642" s="24" t="s">
        <x:v>3074</x:v>
      </x:c>
      <x:c r="I642" s="28" t="s">
        <x:v>3075</x:v>
      </x:c>
      <x:c r="J642" s="29" t="s">
        <x:v>3076</x:v>
      </x:c>
    </x:row>
    <x:row r="643" ht="10.050000190734863" customHeight="1">
      <x:c r="A643" s="21" t="s">
        <x:v>3077</x:v>
      </x:c>
      <x:c r="B643" s="20" t="s">
        <x:v>3077</x:v>
      </x:c>
      <x:c r="C643" s="20" t="s">
        <x:v>685</x:v>
      </x:c>
      <x:c r="D643" s="24">
        <x:v>11</x:v>
      </x:c>
      <x:c r="E643" s="24" t="s">
        <x:v>198</x:v>
      </x:c>
      <x:c r="F643" s="20" t="s">
        <x:v>90</x:v>
      </x:c>
      <x:c r="G643" s="26">
        <x:v>44916</x:v>
      </x:c>
      <x:c r="H643" s="24" t="s">
        <x:v>3078</x:v>
      </x:c>
      <x:c r="I643" s="28" t="s">
        <x:v>3079</x:v>
      </x:c>
      <x:c r="J643" s="29" t="s">
        <x:v>3080</x:v>
      </x:c>
    </x:row>
    <x:row r="644" ht="10.050000190734863" customHeight="1">
      <x:c r="A644" s="21" t="s">
        <x:v>3081</x:v>
      </x:c>
      <x:c r="B644" s="20" t="s">
        <x:v>3081</x:v>
      </x:c>
      <x:c r="C644" s="20" t="s">
        <x:v>3082</x:v>
      </x:c>
      <x:c r="D644" s="24">
        <x:v>23</x:v>
      </x:c>
      <x:c r="E644" s="24" t="s">
        <x:v>89</x:v>
      </x:c>
      <x:c r="F644" s="20" t="s">
        <x:v>90</x:v>
      </x:c>
      <x:c r="G644" s="26">
        <x:v>44942</x:v>
      </x:c>
      <x:c r="H644" s="24" t="s">
        <x:v>3083</x:v>
      </x:c>
      <x:c r="I644" s="28" t="s">
        <x:v>3084</x:v>
      </x:c>
      <x:c r="J644" s="29" t="s">
        <x:v>3085</x:v>
      </x:c>
    </x:row>
    <x:row r="645" ht="10.050000190734863" customHeight="1">
      <x:c r="A645" s="21" t="s">
        <x:v>3086</x:v>
      </x:c>
      <x:c r="B645" s="20" t="s">
        <x:v>3086</x:v>
      </x:c>
      <x:c r="C645" s="20" t="s">
        <x:v>3087</x:v>
      </x:c>
      <x:c r="D645" s="24">
        <x:v>10</x:v>
      </x:c>
      <x:c r="E645" s="24" t="s">
        <x:v>89</x:v>
      </x:c>
      <x:c r="F645" s="20" t="s">
        <x:v>90</x:v>
      </x:c>
      <x:c r="G645" s="26">
        <x:v>44092</x:v>
      </x:c>
      <x:c r="H645" s="24" t="s">
        <x:v>3088</x:v>
      </x:c>
      <x:c r="I645" s="28" t="s">
        <x:v>3089</x:v>
      </x:c>
      <x:c r="J645" s="29" t="s">
        <x:v>3090</x:v>
      </x:c>
    </x:row>
    <x:row r="646" ht="10.050000190734863" customHeight="1">
      <x:c r="A646" s="21" t="s">
        <x:v>3091</x:v>
      </x:c>
      <x:c r="B646" s="20" t="s">
        <x:v>3091</x:v>
      </x:c>
      <x:c r="C646" s="20" t="s">
        <x:v>3087</x:v>
      </x:c>
      <x:c r="D646" s="24">
        <x:v>9</x:v>
      </x:c>
      <x:c r="E646" s="24" t="s">
        <x:v>89</x:v>
      </x:c>
      <x:c r="F646" s="20" t="s">
        <x:v>90</x:v>
      </x:c>
      <x:c r="G646" s="26">
        <x:v>44757</x:v>
      </x:c>
      <x:c r="H646" s="24" t="s">
        <x:v>3092</x:v>
      </x:c>
      <x:c r="I646" s="28" t="s">
        <x:v>3093</x:v>
      </x:c>
      <x:c r="J646" s="29" t="s">
        <x:v>3094</x:v>
      </x:c>
    </x:row>
    <x:row r="647" ht="10.050000190734863" customHeight="1">
      <x:c r="A647" s="21" t="s">
        <x:v>3095</x:v>
      </x:c>
      <x:c r="B647" s="20" t="s">
        <x:v>3095</x:v>
      </x:c>
      <x:c r="C647" s="20" t="s">
        <x:v>1969</x:v>
      </x:c>
      <x:c r="D647" s="24">
        <x:v>5</x:v>
      </x:c>
      <x:c r="E647" s="24" t="s">
        <x:v>125</x:v>
      </x:c>
      <x:c r="F647" s="20" t="s">
        <x:v>90</x:v>
      </x:c>
      <x:c r="G647" s="26">
        <x:v>44904</x:v>
      </x:c>
      <x:c r="H647" s="24" t="s">
        <x:v>3096</x:v>
      </x:c>
      <x:c r="I647" s="28" t="s">
        <x:v>3097</x:v>
      </x:c>
      <x:c r="J647" s="29" t="s">
        <x:v>3098</x:v>
      </x:c>
    </x:row>
    <x:row r="648" ht="10.050000190734863" customHeight="1">
      <x:c r="A648" s="21" t="s">
        <x:v>3099</x:v>
      </x:c>
      <x:c r="B648" s="20" t="s">
        <x:v>3099</x:v>
      </x:c>
      <x:c r="C648" s="20" t="s">
        <x:v>3100</x:v>
      </x:c>
      <x:c r="D648" s="24">
        <x:v>17</x:v>
      </x:c>
      <x:c r="E648" s="24" t="s">
        <x:v>114</x:v>
      </x:c>
      <x:c r="F648" s="20" t="s">
        <x:v>90</x:v>
      </x:c>
      <x:c r="G648" s="26">
        <x:v>45012</x:v>
      </x:c>
      <x:c r="H648" s="24" t="s">
        <x:v>3101</x:v>
      </x:c>
      <x:c r="I648" s="28" t="s">
        <x:v>3102</x:v>
      </x:c>
      <x:c r="J648" s="29" t="s">
        <x:v>3103</x:v>
      </x:c>
    </x:row>
    <x:row r="649" ht="10.050000190734863" customHeight="1">
      <x:c r="A649" s="21" t="s">
        <x:v>3104</x:v>
      </x:c>
      <x:c r="B649" s="20" t="s">
        <x:v>3104</x:v>
      </x:c>
      <x:c r="C649" s="20" t="s">
        <x:v>3105</x:v>
      </x:c>
      <x:c r="D649" s="24">
        <x:v>5</x:v>
      </x:c>
      <x:c r="E649" s="24" t="s">
        <x:v>89</x:v>
      </x:c>
      <x:c r="F649" s="20" t="s">
        <x:v>90</x:v>
      </x:c>
      <x:c r="G649" s="26">
        <x:v>43950</x:v>
      </x:c>
      <x:c r="H649" s="24" t="s">
        <x:v>3106</x:v>
      </x:c>
      <x:c r="I649" s="28" t="s">
        <x:v>3107</x:v>
      </x:c>
      <x:c r="J649" s="29" t="s">
        <x:v>3108</x:v>
      </x:c>
    </x:row>
    <x:row r="650" ht="10.050000190734863" customHeight="1">
      <x:c r="A650" s="21" t="s">
        <x:v>3109</x:v>
      </x:c>
      <x:c r="B650" s="20" t="s">
        <x:v>3109</x:v>
      </x:c>
      <x:c r="C650" s="20" t="s">
        <x:v>3110</x:v>
      </x:c>
      <x:c r="D650" s="24">
        <x:v>19</x:v>
      </x:c>
      <x:c r="E650" s="24" t="s">
        <x:v>89</x:v>
      </x:c>
      <x:c r="F650" s="20" t="s">
        <x:v>90</x:v>
      </x:c>
      <x:c r="G650" s="26">
        <x:v>46029</x:v>
      </x:c>
      <x:c r="H650" s="24" t="s">
        <x:v>3111</x:v>
      </x:c>
      <x:c r="I650" s="28" t="s">
        <x:v>3112</x:v>
      </x:c>
      <x:c r="J650" s="29" t="s">
        <x:v>3113</x:v>
      </x:c>
    </x:row>
    <x:row r="651" ht="10.050000190734863" customHeight="1">
      <x:c r="A651" s="21" t="s">
        <x:v>3114</x:v>
      </x:c>
      <x:c r="B651" s="20" t="s">
        <x:v>3114</x:v>
      </x:c>
      <x:c r="C651" s="20" t="s">
        <x:v>491</x:v>
      </x:c>
      <x:c r="D651" s="24">
        <x:v>0</x:v>
      </x:c>
      <x:c r="E651" s="24" t="s">
        <x:v>89</x:v>
      </x:c>
      <x:c r="F651" s="20" t="s">
        <x:v>90</x:v>
      </x:c>
      <x:c r="G651" s="26">
        <x:v>44409</x:v>
      </x:c>
      <x:c r="H651" s="24" t="s">
        <x:v>3115</x:v>
      </x:c>
      <x:c r="I651" s="28" t="s">
        <x:v>3116</x:v>
      </x:c>
      <x:c r="J651" s="29" t="s">
        <x:v>3117</x:v>
      </x:c>
    </x:row>
    <x:row r="652" ht="10.050000190734863" customHeight="1">
      <x:c r="A652" s="21" t="s">
        <x:v>3118</x:v>
      </x:c>
      <x:c r="B652" s="20" t="s">
        <x:v>3118</x:v>
      </x:c>
      <x:c r="C652" s="20" t="s">
        <x:v>491</x:v>
      </x:c>
      <x:c r="D652" s="24">
        <x:v>0</x:v>
      </x:c>
      <x:c r="E652" s="24" t="s">
        <x:v>89</x:v>
      </x:c>
      <x:c r="F652" s="20" t="s">
        <x:v>90</x:v>
      </x:c>
      <x:c r="G652" s="26">
        <x:v>44460</x:v>
      </x:c>
      <x:c r="H652" s="24" t="s">
        <x:v>3119</x:v>
      </x:c>
      <x:c r="I652" s="28" t="s">
        <x:v>3120</x:v>
      </x:c>
      <x:c r="J652" s="29" t="s">
        <x:v>3121</x:v>
      </x:c>
    </x:row>
    <x:row r="653" ht="10.050000190734863" customHeight="1">
      <x:c r="A653" s="21" t="s">
        <x:v>3122</x:v>
      </x:c>
      <x:c r="B653" s="20" t="s">
        <x:v>3122</x:v>
      </x:c>
      <x:c r="C653" s="20" t="s">
        <x:v>491</x:v>
      </x:c>
      <x:c r="D653" s="24">
        <x:v>0</x:v>
      </x:c>
      <x:c r="E653" s="24" t="s">
        <x:v>89</x:v>
      </x:c>
      <x:c r="F653" s="20" t="s">
        <x:v>90</x:v>
      </x:c>
      <x:c r="G653" s="26">
        <x:v>44463</x:v>
      </x:c>
      <x:c r="H653" s="24" t="s">
        <x:v>3123</x:v>
      </x:c>
      <x:c r="I653" s="28" t="s">
        <x:v>3124</x:v>
      </x:c>
      <x:c r="J653" s="29" t="s">
        <x:v>3125</x:v>
      </x:c>
    </x:row>
    <x:row r="654" ht="10.050000190734863" customHeight="1">
      <x:c r="A654" s="21" t="s">
        <x:v>3126</x:v>
      </x:c>
      <x:c r="B654" s="20" t="s">
        <x:v>3126</x:v>
      </x:c>
      <x:c r="C654" s="20" t="s">
        <x:v>3127</x:v>
      </x:c>
      <x:c r="D654" s="24">
        <x:v>13</x:v>
      </x:c>
      <x:c r="E654" s="24" t="s">
        <x:v>89</x:v>
      </x:c>
      <x:c r="F654" s="20" t="s">
        <x:v>97</x:v>
      </x:c>
      <x:c r="G654" s="26">
        <x:v>45944</x:v>
      </x:c>
      <x:c r="H654" s="24" t="s">
        <x:v>3128</x:v>
      </x:c>
      <x:c r="I654" s="28" t="s">
        <x:v>3129</x:v>
      </x:c>
      <x:c r="J654" s="29" t="s">
        <x:v>3130</x:v>
      </x:c>
    </x:row>
    <x:row r="655" ht="10.050000190734863" customHeight="1">
      <x:c r="A655" s="21" t="s">
        <x:v>3131</x:v>
      </x:c>
      <x:c r="B655" s="20" t="s">
        <x:v>3131</x:v>
      </x:c>
      <x:c r="C655" s="20" t="s">
        <x:v>680</x:v>
      </x:c>
      <x:c r="D655" s="24">
        <x:v>16</x:v>
      </x:c>
      <x:c r="E655" s="24" t="s">
        <x:v>198</x:v>
      </x:c>
      <x:c r="F655" s="20" t="s">
        <x:v>90</x:v>
      </x:c>
      <x:c r="G655" s="26">
        <x:v>44110</x:v>
      </x:c>
      <x:c r="H655" s="24" t="s">
        <x:v>3132</x:v>
      </x:c>
      <x:c r="I655" s="28" t="s">
        <x:v>3133</x:v>
      </x:c>
      <x:c r="J655" s="29" t="s">
        <x:v>3134</x:v>
      </x:c>
    </x:row>
    <x:row r="656" ht="10.050000190734863" customHeight="1">
      <x:c r="A656" s="21" t="s">
        <x:v>3135</x:v>
      </x:c>
      <x:c r="B656" s="20" t="s">
        <x:v>3135</x:v>
      </x:c>
      <x:c r="C656" s="20" t="s">
        <x:v>1821</x:v>
      </x:c>
      <x:c r="D656" s="24">
        <x:v>16</x:v>
      </x:c>
      <x:c r="E656" s="24" t="s">
        <x:v>96</x:v>
      </x:c>
      <x:c r="F656" s="20" t="s">
        <x:v>610</x:v>
      </x:c>
      <x:c r="G656" s="26">
        <x:v>41724</x:v>
      </x:c>
      <x:c r="H656" s="24" t="s">
        <x:v>3136</x:v>
      </x:c>
      <x:c r="I656" s="28" t="s">
        <x:v>3137</x:v>
      </x:c>
      <x:c r="J656" s="29" t="s">
        <x:v>3138</x:v>
      </x:c>
    </x:row>
    <x:row r="657" ht="10.050000190734863" customHeight="1">
      <x:c r="A657" s="21" t="s">
        <x:v>3139</x:v>
      </x:c>
      <x:c r="B657" s="20" t="s">
        <x:v>3139</x:v>
      </x:c>
      <x:c r="C657" s="20" t="s">
        <x:v>3140</x:v>
      </x:c>
      <x:c r="D657" s="24">
        <x:v>14</x:v>
      </x:c>
      <x:c r="E657" s="24" t="s">
        <x:v>114</x:v>
      </x:c>
      <x:c r="F657" s="20" t="s">
        <x:v>90</x:v>
      </x:c>
      <x:c r="G657" s="26">
        <x:v>45970</x:v>
      </x:c>
      <x:c r="H657" s="24" t="s">
        <x:v>3141</x:v>
      </x:c>
      <x:c r="I657" s="28" t="s">
        <x:v>3142</x:v>
      </x:c>
      <x:c r="J657" s="29" t="s">
        <x:v>3143</x:v>
      </x:c>
    </x:row>
    <x:row r="658" ht="10.050000190734863" customHeight="1">
      <x:c r="A658" s="21" t="s">
        <x:v>3144</x:v>
      </x:c>
      <x:c r="B658" s="20" t="s">
        <x:v>3144</x:v>
      </x:c>
      <x:c r="C658" s="20" t="s">
        <x:v>394</x:v>
      </x:c>
      <x:c r="D658" s="24">
        <x:v>12</x:v>
      </x:c>
      <x:c r="E658" s="24" t="s">
        <x:v>198</x:v>
      </x:c>
      <x:c r="F658" s="20" t="s">
        <x:v>90</x:v>
      </x:c>
      <x:c r="G658" s="26">
        <x:v>46130</x:v>
      </x:c>
      <x:c r="H658" s="24" t="s">
        <x:v>3145</x:v>
      </x:c>
      <x:c r="I658" s="28" t="s">
        <x:v>3146</x:v>
      </x:c>
      <x:c r="J658" s="29" t="s">
        <x:v>3147</x:v>
      </x:c>
    </x:row>
    <x:row r="659" ht="10.050000190734863" customHeight="1">
      <x:c r="A659" s="21" t="s">
        <x:v>3148</x:v>
      </x:c>
      <x:c r="B659" s="20" t="s">
        <x:v>3148</x:v>
      </x:c>
      <x:c r="C659" s="20" t="s">
        <x:v>491</x:v>
      </x:c>
      <x:c r="D659" s="24">
        <x:v>6</x:v>
      </x:c>
      <x:c r="E659" s="24" t="s">
        <x:v>198</x:v>
      </x:c>
      <x:c r="F659" s="20" t="s">
        <x:v>90</x:v>
      </x:c>
      <x:c r="G659" s="26">
        <x:v>45634</x:v>
      </x:c>
      <x:c r="H659" s="24" t="s">
        <x:v>3149</x:v>
      </x:c>
      <x:c r="I659" s="28" t="s">
        <x:v>3150</x:v>
      </x:c>
      <x:c r="J659" s="29" t="s">
        <x:v>3151</x:v>
      </x:c>
    </x:row>
    <x:row r="660" ht="10.050000190734863" customHeight="1">
      <x:c r="A660" s="21" t="s">
        <x:v>3152</x:v>
      </x:c>
      <x:c r="B660" s="20" t="s">
        <x:v>3152</x:v>
      </x:c>
      <x:c r="C660" s="20" t="s">
        <x:v>2501</x:v>
      </x:c>
      <x:c r="D660" s="24">
        <x:v>13</x:v>
      </x:c>
      <x:c r="E660" s="24" t="s">
        <x:v>89</x:v>
      </x:c>
      <x:c r="F660" s="20" t="s">
        <x:v>90</x:v>
      </x:c>
      <x:c r="G660" s="26">
        <x:v>43876</x:v>
      </x:c>
      <x:c r="H660" s="24" t="s">
        <x:v>3153</x:v>
      </x:c>
      <x:c r="I660" s="28" t="s">
        <x:v>3154</x:v>
      </x:c>
      <x:c r="J660" s="29" t="s">
        <x:v>3155</x:v>
      </x:c>
    </x:row>
    <x:row r="661" ht="10.050000190734863" customHeight="1">
      <x:c r="A661" s="21" t="s">
        <x:v>3156</x:v>
      </x:c>
      <x:c r="B661" s="20" t="s">
        <x:v>3156</x:v>
      </x:c>
      <x:c r="C661" s="20" t="s">
        <x:v>562</x:v>
      </x:c>
      <x:c r="D661" s="24">
        <x:v>11</x:v>
      </x:c>
      <x:c r="E661" s="24" t="s">
        <x:v>114</x:v>
      </x:c>
      <x:c r="F661" s="20" t="s">
        <x:v>90</x:v>
      </x:c>
      <x:c r="G661" s="26">
        <x:v>44663</x:v>
      </x:c>
      <x:c r="H661" s="24" t="s">
        <x:v>3157</x:v>
      </x:c>
      <x:c r="I661" s="28" t="s">
        <x:v>3158</x:v>
      </x:c>
      <x:c r="J661" s="29" t="s">
        <x:v>3159</x:v>
      </x:c>
    </x:row>
    <x:row r="662" ht="10.050000190734863" customHeight="1">
      <x:c r="A662" s="21" t="s">
        <x:v>3160</x:v>
      </x:c>
      <x:c r="B662" s="20" t="s">
        <x:v>3160</x:v>
      </x:c>
      <x:c r="C662" s="20" t="s">
        <x:v>394</x:v>
      </x:c>
      <x:c r="D662" s="24">
        <x:v>20</x:v>
      </x:c>
      <x:c r="E662" s="24" t="s">
        <x:v>96</x:v>
      </x:c>
      <x:c r="F662" s="20" t="s">
        <x:v>610</x:v>
      </x:c>
      <x:c r="G662" s="26">
        <x:v>41956</x:v>
      </x:c>
      <x:c r="H662" s="24" t="s">
        <x:v>3161</x:v>
      </x:c>
      <x:c r="I662" s="28" t="s">
        <x:v>3162</x:v>
      </x:c>
      <x:c r="J662" s="29" t="s">
        <x:v>3163</x:v>
      </x:c>
    </x:row>
    <x:row r="663" ht="10.050000190734863" customHeight="1">
      <x:c r="A663" s="21" t="s">
        <x:v>3164</x:v>
      </x:c>
      <x:c r="B663" s="20" t="s">
        <x:v>3164</x:v>
      </x:c>
      <x:c r="C663" s="20" t="s">
        <x:v>3165</x:v>
      </x:c>
      <x:c r="D663" s="24">
        <x:v>7</x:v>
      </x:c>
      <x:c r="E663" s="24" t="s">
        <x:v>89</x:v>
      </x:c>
      <x:c r="F663" s="20" t="s">
        <x:v>90</x:v>
      </x:c>
      <x:c r="G663" s="26">
        <x:v>43551</x:v>
      </x:c>
      <x:c r="H663" s="24" t="s">
        <x:v>3166</x:v>
      </x:c>
      <x:c r="I663" s="28" t="s">
        <x:v>3167</x:v>
      </x:c>
      <x:c r="J663" s="29" t="s">
        <x:v>3168</x:v>
      </x:c>
    </x:row>
    <x:row r="664" ht="10.050000190734863" customHeight="1">
      <x:c r="A664" s="21" t="s">
        <x:v>3169</x:v>
      </x:c>
      <x:c r="B664" s="20" t="s">
        <x:v>3169</x:v>
      </x:c>
      <x:c r="C664" s="20" t="s">
        <x:v>3170</x:v>
      </x:c>
      <x:c r="D664" s="24">
        <x:v>13</x:v>
      </x:c>
      <x:c r="E664" s="24" t="s">
        <x:v>114</x:v>
      </x:c>
      <x:c r="F664" s="20" t="s">
        <x:v>3171</x:v>
      </x:c>
      <x:c r="G664" s="26">
        <x:v>44484</x:v>
      </x:c>
      <x:c r="H664" s="24" t="s">
        <x:v>3172</x:v>
      </x:c>
      <x:c r="I664" s="28" t="s">
        <x:v>3173</x:v>
      </x:c>
      <x:c r="J664" s="29" t="s">
        <x:v>3174</x:v>
      </x:c>
    </x:row>
    <x:row r="665" ht="10.050000190734863" customHeight="1">
      <x:c r="A665" s="21" t="s">
        <x:v>3175</x:v>
      </x:c>
      <x:c r="B665" s="20" t="s">
        <x:v>3175</x:v>
      </x:c>
      <x:c r="C665" s="20" t="s">
        <x:v>3176</x:v>
      </x:c>
      <x:c r="D665" s="24">
        <x:v>1</x:v>
      </x:c>
      <x:c r="E665" s="24" t="s">
        <x:v>198</x:v>
      </x:c>
      <x:c r="F665" s="20" t="s">
        <x:v>90</x:v>
      </x:c>
      <x:c r="G665" s="26">
        <x:v>44503</x:v>
      </x:c>
      <x:c r="H665" s="24" t="s">
        <x:v>3177</x:v>
      </x:c>
      <x:c r="I665" s="28" t="s">
        <x:v>3178</x:v>
      </x:c>
      <x:c r="J665" s="29" t="s">
        <x:v>3179</x:v>
      </x:c>
    </x:row>
    <x:row r="666" ht="10.050000190734863" customHeight="1">
      <x:c r="A666" s="21" t="s">
        <x:v>3180</x:v>
      </x:c>
      <x:c r="B666" s="20" t="s">
        <x:v>3180</x:v>
      </x:c>
      <x:c r="C666" s="20" t="s">
        <x:v>1544</x:v>
      </x:c>
      <x:c r="D666" s="24">
        <x:v>5</x:v>
      </x:c>
      <x:c r="E666" s="24" t="s">
        <x:v>103</x:v>
      </x:c>
      <x:c r="F666" s="20" t="s">
        <x:v>97</x:v>
      </x:c>
      <x:c r="G666" s="26">
        <x:v>42218</x:v>
      </x:c>
      <x:c r="H666" s="24" t="s">
        <x:v>3181</x:v>
      </x:c>
      <x:c r="I666" s="28" t="s">
        <x:v>3182</x:v>
      </x:c>
      <x:c r="J666" s="29" t="s">
        <x:v>3183</x:v>
      </x:c>
    </x:row>
    <x:row r="667" ht="10.050000190734863" customHeight="1">
      <x:c r="A667" s="21" t="s">
        <x:v>3184</x:v>
      </x:c>
      <x:c r="B667" s="20" t="s">
        <x:v>3184</x:v>
      </x:c>
      <x:c r="C667" s="20" t="s">
        <x:v>3185</x:v>
      </x:c>
      <x:c r="D667" s="24">
        <x:v>0</x:v>
      </x:c>
      <x:c r="E667" s="24" t="s">
        <x:v>89</x:v>
      </x:c>
      <x:c r="F667" s="20" t="s">
        <x:v>90</x:v>
      </x:c>
      <x:c r="G667" s="26">
        <x:v>45426</x:v>
      </x:c>
      <x:c r="H667" s="24" t="s">
        <x:v>3186</x:v>
      </x:c>
      <x:c r="I667" s="28" t="s">
        <x:v>3187</x:v>
      </x:c>
      <x:c r="J667" s="29" t="s">
        <x:v>3188</x:v>
      </x:c>
    </x:row>
    <x:row r="668" ht="10.050000190734863" customHeight="1">
      <x:c r="A668" s="21" t="s">
        <x:v>3189</x:v>
      </x:c>
      <x:c r="B668" s="20" t="s">
        <x:v>3189</x:v>
      </x:c>
      <x:c r="C668" s="20" t="s">
        <x:v>3190</x:v>
      </x:c>
      <x:c r="D668" s="24">
        <x:v>8</x:v>
      </x:c>
      <x:c r="E668" s="24" t="s">
        <x:v>96</x:v>
      </x:c>
      <x:c r="F668" s="20" t="s">
        <x:v>610</x:v>
      </x:c>
      <x:c r="G668" s="26">
        <x:v>43833</x:v>
      </x:c>
      <x:c r="H668" s="24" t="s">
        <x:v>3191</x:v>
      </x:c>
      <x:c r="I668" s="28" t="s">
        <x:v>3192</x:v>
      </x:c>
      <x:c r="J668" s="29" t="s">
        <x:v>3193</x:v>
      </x:c>
    </x:row>
    <x:row r="669" ht="10.050000190734863" customHeight="1">
      <x:c r="A669" s="21" t="s">
        <x:v>3194</x:v>
      </x:c>
      <x:c r="B669" s="20" t="s">
        <x:v>3194</x:v>
      </x:c>
      <x:c r="C669" s="20" t="s">
        <x:v>3195</x:v>
      </x:c>
      <x:c r="D669" s="24">
        <x:v>28</x:v>
      </x:c>
      <x:c r="E669" s="24" t="s">
        <x:v>103</x:v>
      </x:c>
      <x:c r="F669" s="20" t="s">
        <x:v>97</x:v>
      </x:c>
      <x:c r="G669" s="26">
        <x:v>44836</x:v>
      </x:c>
      <x:c r="H669" s="24" t="s">
        <x:v>3196</x:v>
      </x:c>
      <x:c r="I669" s="28" t="s">
        <x:v>3197</x:v>
      </x:c>
      <x:c r="J669" s="29" t="s">
        <x:v>3198</x:v>
      </x:c>
    </x:row>
    <x:row r="670" ht="10.050000190734863" customHeight="1">
      <x:c r="A670" s="21" t="s">
        <x:v>3199</x:v>
      </x:c>
      <x:c r="B670" s="20" t="s">
        <x:v>3199</x:v>
      </x:c>
      <x:c r="C670" s="20" t="s">
        <x:v>2939</x:v>
      </x:c>
      <x:c r="D670" s="24">
        <x:v>62</x:v>
      </x:c>
      <x:c r="E670" s="24" t="s">
        <x:v>96</x:v>
      </x:c>
      <x:c r="F670" s="20" t="s">
        <x:v>97</x:v>
      </x:c>
      <x:c r="G670" s="26">
        <x:v>42245</x:v>
      </x:c>
      <x:c r="H670" s="24" t="s">
        <x:v>3200</x:v>
      </x:c>
      <x:c r="I670" s="28" t="s">
        <x:v>3201</x:v>
      </x:c>
      <x:c r="J670" s="29" t="s">
        <x:v>3202</x:v>
      </x:c>
    </x:row>
    <x:row r="671" ht="10.050000190734863" customHeight="1">
      <x:c r="A671" s="21" t="s">
        <x:v>3203</x:v>
      </x:c>
      <x:c r="B671" s="20" t="s">
        <x:v>3203</x:v>
      </x:c>
      <x:c r="C671" s="20" t="s">
        <x:v>2934</x:v>
      </x:c>
      <x:c r="D671" s="24">
        <x:v>27</x:v>
      </x:c>
      <x:c r="E671" s="24" t="s">
        <x:v>96</x:v>
      </x:c>
      <x:c r="F671" s="20" t="s">
        <x:v>97</x:v>
      </x:c>
      <x:c r="G671" s="26">
        <x:v>42618</x:v>
      </x:c>
      <x:c r="H671" s="24" t="s">
        <x:v>3204</x:v>
      </x:c>
      <x:c r="I671" s="28" t="s">
        <x:v>3205</x:v>
      </x:c>
      <x:c r="J671" s="29" t="s">
        <x:v>3206</x:v>
      </x:c>
    </x:row>
    <x:row r="672" ht="10.050000190734863" customHeight="1">
      <x:c r="A672" s="21" t="s">
        <x:v>3207</x:v>
      </x:c>
      <x:c r="B672" s="20" t="s">
        <x:v>3207</x:v>
      </x:c>
      <x:c r="C672" s="20" t="s">
        <x:v>2742</x:v>
      </x:c>
      <x:c r="D672" s="24">
        <x:v>17</x:v>
      </x:c>
      <x:c r="E672" s="24" t="s">
        <x:v>198</x:v>
      </x:c>
      <x:c r="F672" s="20" t="s">
        <x:v>90</x:v>
      </x:c>
      <x:c r="G672" s="26">
        <x:v>44445</x:v>
      </x:c>
      <x:c r="H672" s="24" t="s">
        <x:v>3208</x:v>
      </x:c>
      <x:c r="I672" s="28" t="s">
        <x:v>3209</x:v>
      </x:c>
      <x:c r="J672" s="29" t="s">
        <x:v>3210</x:v>
      </x:c>
    </x:row>
    <x:row r="673" ht="10.050000190734863" customHeight="1">
      <x:c r="A673" s="21" t="s">
        <x:v>3211</x:v>
      </x:c>
      <x:c r="B673" s="20" t="s">
        <x:v>3211</x:v>
      </x:c>
      <x:c r="C673" s="20" t="s">
        <x:v>3212</x:v>
      </x:c>
      <x:c r="D673" s="24">
        <x:v>7</x:v>
      </x:c>
      <x:c r="E673" s="24" t="s">
        <x:v>103</x:v>
      </x:c>
      <x:c r="F673" s="20" t="s">
        <x:v>97</x:v>
      </x:c>
      <x:c r="G673" s="26">
        <x:v>42215</x:v>
      </x:c>
      <x:c r="H673" s="24" t="s">
        <x:v>3213</x:v>
      </x:c>
      <x:c r="I673" s="28" t="s">
        <x:v>3214</x:v>
      </x:c>
      <x:c r="J673" s="29" t="s">
        <x:v>3215</x:v>
      </x:c>
    </x:row>
    <x:row r="674" ht="10.050000190734863" customHeight="1">
      <x:c r="A674" s="21" t="s">
        <x:v>3216</x:v>
      </x:c>
      <x:c r="B674" s="20" t="s">
        <x:v>3216</x:v>
      </x:c>
      <x:c r="C674" s="20" t="s">
        <x:v>609</x:v>
      </x:c>
      <x:c r="D674" s="24">
        <x:v>1</x:v>
      </x:c>
      <x:c r="E674" s="24" t="s">
        <x:v>114</x:v>
      </x:c>
      <x:c r="F674" s="20" t="s">
        <x:v>90</x:v>
      </x:c>
      <x:c r="G674" s="26">
        <x:v>41976</x:v>
      </x:c>
      <x:c r="H674" s="24" t="s">
        <x:v>3217</x:v>
      </x:c>
      <x:c r="I674" s="28" t="s">
        <x:v>3218</x:v>
      </x:c>
      <x:c r="J674" s="29" t="s">
        <x:v>3219</x:v>
      </x:c>
    </x:row>
    <x:row r="675" ht="10.050000190734863" customHeight="1">
      <x:c r="A675" s="21" t="s">
        <x:v>3220</x:v>
      </x:c>
      <x:c r="B675" s="20" t="s">
        <x:v>3220</x:v>
      </x:c>
      <x:c r="C675" s="20" t="s">
        <x:v>3221</x:v>
      </x:c>
      <x:c r="D675" s="24">
        <x:v>28</x:v>
      </x:c>
      <x:c r="E675" s="24" t="s">
        <x:v>89</x:v>
      </x:c>
      <x:c r="F675" s="20" t="s">
        <x:v>90</x:v>
      </x:c>
      <x:c r="G675" s="26">
        <x:v>44642</x:v>
      </x:c>
      <x:c r="H675" s="24" t="s">
        <x:v>3222</x:v>
      </x:c>
      <x:c r="I675" s="28" t="s">
        <x:v>3223</x:v>
      </x:c>
      <x:c r="J675" s="29" t="s">
        <x:v>3224</x:v>
      </x:c>
    </x:row>
    <x:row r="676" ht="10.050000190734863" customHeight="1">
      <x:c r="A676" s="21" t="s">
        <x:v>3225</x:v>
      </x:c>
      <x:c r="B676" s="20" t="s">
        <x:v>3225</x:v>
      </x:c>
      <x:c r="C676" s="20" t="s">
        <x:v>1782</x:v>
      </x:c>
      <x:c r="D676" s="24">
        <x:v>3</x:v>
      </x:c>
      <x:c r="E676" s="24" t="s">
        <x:v>114</x:v>
      </x:c>
      <x:c r="F676" s="20" t="s">
        <x:v>90</x:v>
      </x:c>
      <x:c r="G676" s="26">
        <x:v>45671</x:v>
      </x:c>
      <x:c r="H676" s="24" t="s">
        <x:v>3226</x:v>
      </x:c>
      <x:c r="I676" s="28" t="s">
        <x:v>3227</x:v>
      </x:c>
      <x:c r="J676" s="29" t="s">
        <x:v>3228</x:v>
      </x:c>
    </x:row>
    <x:row r="677" ht="10.050000190734863" customHeight="1">
      <x:c r="A677" s="21" t="s">
        <x:v>3229</x:v>
      </x:c>
      <x:c r="B677" s="20" t="s">
        <x:v>3229</x:v>
      </x:c>
      <x:c r="C677" s="20" t="s">
        <x:v>2912</x:v>
      </x:c>
      <x:c r="D677" s="24">
        <x:v>14</x:v>
      </x:c>
      <x:c r="E677" s="24" t="s">
        <x:v>89</x:v>
      </x:c>
      <x:c r="F677" s="20" t="s">
        <x:v>90</x:v>
      </x:c>
      <x:c r="G677" s="26">
        <x:v>45246</x:v>
      </x:c>
      <x:c r="H677" s="24" t="s">
        <x:v>3230</x:v>
      </x:c>
      <x:c r="I677" s="28" t="s">
        <x:v>3231</x:v>
      </x:c>
      <x:c r="J677" s="29" t="s">
        <x:v>3232</x:v>
      </x:c>
    </x:row>
    <x:row r="678" ht="10.050000190734863" customHeight="1">
      <x:c r="A678" s="21" t="s">
        <x:v>3233</x:v>
      </x:c>
      <x:c r="B678" s="20" t="s">
        <x:v>3233</x:v>
      </x:c>
      <x:c r="C678" s="20" t="s">
        <x:v>3234</x:v>
      </x:c>
      <x:c r="D678" s="24">
        <x:v>28</x:v>
      </x:c>
      <x:c r="E678" s="24" t="s">
        <x:v>96</x:v>
      </x:c>
      <x:c r="F678" s="20" t="s">
        <x:v>97</x:v>
      </x:c>
      <x:c r="G678" s="26">
        <x:v>45334</x:v>
      </x:c>
      <x:c r="H678" s="24" t="s">
        <x:v>3235</x:v>
      </x:c>
      <x:c r="I678" s="28" t="s">
        <x:v>3236</x:v>
      </x:c>
      <x:c r="J678" s="29" t="s">
        <x:v>3237</x:v>
      </x:c>
    </x:row>
    <x:row r="679" ht="10.050000190734863" customHeight="1">
      <x:c r="A679" s="21" t="s">
        <x:v>3238</x:v>
      </x:c>
      <x:c r="B679" s="20" t="s">
        <x:v>3238</x:v>
      </x:c>
      <x:c r="C679" s="20" t="s">
        <x:v>102</x:v>
      </x:c>
      <x:c r="D679" s="24">
        <x:v>22</x:v>
      </x:c>
      <x:c r="E679" s="24" t="s">
        <x:v>103</x:v>
      </x:c>
      <x:c r="F679" s="20" t="s">
        <x:v>97</x:v>
      </x:c>
      <x:c r="G679" s="26">
        <x:v>42384</x:v>
      </x:c>
      <x:c r="H679" s="24" t="s">
        <x:v>3239</x:v>
      </x:c>
      <x:c r="I679" s="28" t="s">
        <x:v>3240</x:v>
      </x:c>
      <x:c r="J679" s="29" t="s">
        <x:v>3241</x:v>
      </x:c>
    </x:row>
    <x:row r="680" ht="10.050000190734863" customHeight="1">
      <x:c r="A680" s="21" t="s">
        <x:v>3242</x:v>
      </x:c>
      <x:c r="B680" s="20" t="s">
        <x:v>3242</x:v>
      </x:c>
      <x:c r="C680" s="20" t="s">
        <x:v>3243</x:v>
      </x:c>
      <x:c r="D680" s="24">
        <x:v>2</x:v>
      </x:c>
      <x:c r="E680" s="24" t="s">
        <x:v>257</x:v>
      </x:c>
      <x:c r="F680" s="20" t="s">
        <x:v>97</x:v>
      </x:c>
      <x:c r="G680" s="26">
        <x:v>42560</x:v>
      </x:c>
      <x:c r="H680" s="24" t="s">
        <x:v>3244</x:v>
      </x:c>
      <x:c r="I680" s="28" t="s">
        <x:v>3245</x:v>
      </x:c>
      <x:c r="J680" s="29" t="s">
        <x:v>3246</x:v>
      </x:c>
    </x:row>
    <x:row r="681" ht="10.050000190734863" customHeight="1">
      <x:c r="A681" s="21" t="s">
        <x:v>3247</x:v>
      </x:c>
      <x:c r="B681" s="20" t="s">
        <x:v>3247</x:v>
      </x:c>
      <x:c r="C681" s="20" t="s">
        <x:v>586</x:v>
      </x:c>
      <x:c r="D681" s="24">
        <x:v>1</x:v>
      </x:c>
      <x:c r="E681" s="24" t="s">
        <x:v>89</x:v>
      </x:c>
      <x:c r="F681" s="20" t="s">
        <x:v>152</x:v>
      </x:c>
      <x:c r="G681" s="26">
        <x:v>45544</x:v>
      </x:c>
      <x:c r="H681" s="24" t="s">
        <x:v>3248</x:v>
      </x:c>
      <x:c r="I681" s="28" t="s">
        <x:v>3249</x:v>
      </x:c>
      <x:c r="J681" s="29" t="s">
        <x:v>3250</x:v>
      </x:c>
    </x:row>
    <x:row r="682" ht="10.050000190734863" customHeight="1">
      <x:c r="A682" s="21" t="s">
        <x:v>3251</x:v>
      </x:c>
      <x:c r="B682" s="20" t="s">
        <x:v>3251</x:v>
      </x:c>
      <x:c r="C682" s="20" t="s">
        <x:v>3252</x:v>
      </x:c>
      <x:c r="D682" s="24">
        <x:v>8</x:v>
      </x:c>
      <x:c r="E682" s="24" t="s">
        <x:v>198</x:v>
      </x:c>
      <x:c r="F682" s="20" t="s">
        <x:v>90</x:v>
      </x:c>
      <x:c r="G682" s="26">
        <x:v>45446</x:v>
      </x:c>
      <x:c r="H682" s="24" t="s">
        <x:v>3253</x:v>
      </x:c>
      <x:c r="I682" s="28" t="s">
        <x:v>3254</x:v>
      </x:c>
      <x:c r="J682" s="29" t="s">
        <x:v>3255</x:v>
      </x:c>
    </x:row>
    <x:row r="683" ht="10.050000190734863" customHeight="1">
      <x:c r="A683" s="21" t="s">
        <x:v>3256</x:v>
      </x:c>
      <x:c r="B683" s="20" t="s">
        <x:v>3256</x:v>
      </x:c>
      <x:c r="C683" s="20" t="s">
        <x:v>1036</x:v>
      </x:c>
      <x:c r="D683" s="24">
        <x:v>20</x:v>
      </x:c>
      <x:c r="E683" s="24" t="s">
        <x:v>198</x:v>
      </x:c>
      <x:c r="F683" s="20" t="s">
        <x:v>90</x:v>
      </x:c>
      <x:c r="G683" s="26">
        <x:v>44317</x:v>
      </x:c>
      <x:c r="H683" s="24" t="s">
        <x:v>3257</x:v>
      </x:c>
      <x:c r="I683" s="28" t="s">
        <x:v>3258</x:v>
      </x:c>
      <x:c r="J683" s="29" t="s">
        <x:v>3259</x:v>
      </x:c>
    </x:row>
    <x:row r="684" ht="10.050000190734863" customHeight="1">
      <x:c r="A684" s="21" t="s">
        <x:v>3260</x:v>
      </x:c>
      <x:c r="B684" s="20" t="s">
        <x:v>3260</x:v>
      </x:c>
      <x:c r="C684" s="20" t="s">
        <x:v>1036</x:v>
      </x:c>
      <x:c r="D684" s="24">
        <x:v>21</x:v>
      </x:c>
      <x:c r="E684" s="24" t="s">
        <x:v>198</x:v>
      </x:c>
      <x:c r="F684" s="20" t="s">
        <x:v>90</x:v>
      </x:c>
      <x:c r="G684" s="26">
        <x:v>46114</x:v>
      </x:c>
      <x:c r="H684" s="24" t="s">
        <x:v>3261</x:v>
      </x:c>
      <x:c r="I684" s="28" t="s">
        <x:v>3262</x:v>
      </x:c>
      <x:c r="J684" s="29" t="s">
        <x:v>3263</x:v>
      </x:c>
    </x:row>
    <x:row r="685" ht="10.050000190734863" customHeight="1">
      <x:c r="A685" s="21" t="s">
        <x:v>3264</x:v>
      </x:c>
      <x:c r="B685" s="20" t="s">
        <x:v>3264</x:v>
      </x:c>
      <x:c r="C685" s="20" t="s">
        <x:v>3265</x:v>
      </x:c>
      <x:c r="D685" s="24">
        <x:v>9</x:v>
      </x:c>
      <x:c r="E685" s="24" t="s">
        <x:v>103</x:v>
      </x:c>
      <x:c r="F685" s="20" t="s">
        <x:v>97</x:v>
      </x:c>
      <x:c r="G685" s="26">
        <x:v>41452</x:v>
      </x:c>
      <x:c r="H685" s="24" t="s">
        <x:v>3266</x:v>
      </x:c>
      <x:c r="I685" s="28" t="s">
        <x:v>3267</x:v>
      </x:c>
      <x:c r="J685" s="29" t="s">
        <x:v>3268</x:v>
      </x:c>
    </x:row>
    <x:row r="686" ht="10.050000190734863" customHeight="1">
      <x:c r="A686" s="21" t="s">
        <x:v>3269</x:v>
      </x:c>
      <x:c r="B686" s="20" t="s">
        <x:v>3269</x:v>
      </x:c>
      <x:c r="C686" s="20" t="s">
        <x:v>3270</x:v>
      </x:c>
      <x:c r="D686" s="24">
        <x:v>6</x:v>
      </x:c>
      <x:c r="E686" s="24" t="s">
        <x:v>257</x:v>
      </x:c>
      <x:c r="F686" s="20" t="s">
        <x:v>97</x:v>
      </x:c>
      <x:c r="G686" s="26">
        <x:v>42228</x:v>
      </x:c>
      <x:c r="H686" s="24" t="s">
        <x:v>3271</x:v>
      </x:c>
      <x:c r="I686" s="28" t="s">
        <x:v>3272</x:v>
      </x:c>
      <x:c r="J686" s="29" t="s">
        <x:v>3273</x:v>
      </x:c>
    </x:row>
    <x:row r="687" ht="10.050000190734863" customHeight="1">
      <x:c r="A687" s="21" t="s">
        <x:v>3274</x:v>
      </x:c>
      <x:c r="B687" s="20" t="s">
        <x:v>3274</x:v>
      </x:c>
      <x:c r="C687" s="20" t="s">
        <x:v>3275</x:v>
      </x:c>
      <x:c r="D687" s="24">
        <x:v>1</x:v>
      </x:c>
      <x:c r="E687" s="24" t="s">
        <x:v>103</x:v>
      </x:c>
      <x:c r="F687" s="20" t="s">
        <x:v>97</x:v>
      </x:c>
      <x:c r="G687" s="26">
        <x:v>43409</x:v>
      </x:c>
      <x:c r="H687" s="24" t="s">
        <x:v>3276</x:v>
      </x:c>
      <x:c r="I687" s="28" t="s">
        <x:v>3277</x:v>
      </x:c>
      <x:c r="J687" s="29" t="s">
        <x:v>3278</x:v>
      </x:c>
    </x:row>
    <x:row r="688" ht="10.050000190734863" customHeight="1">
      <x:c r="A688" s="21" t="s">
        <x:v>3279</x:v>
      </x:c>
      <x:c r="B688" s="20" t="s">
        <x:v>3279</x:v>
      </x:c>
      <x:c r="C688" s="20" t="s">
        <x:v>3280</x:v>
      </x:c>
      <x:c r="D688" s="24">
        <x:v>6</x:v>
      </x:c>
      <x:c r="E688" s="24" t="s">
        <x:v>198</x:v>
      </x:c>
      <x:c r="F688" s="20" t="s">
        <x:v>90</x:v>
      </x:c>
      <x:c r="G688" s="26">
        <x:v>45747</x:v>
      </x:c>
      <x:c r="H688" s="24" t="s">
        <x:v>3281</x:v>
      </x:c>
      <x:c r="I688" s="28" t="s">
        <x:v>3282</x:v>
      </x:c>
      <x:c r="J688" s="29" t="s">
        <x:v>3283</x:v>
      </x:c>
    </x:row>
    <x:row r="689" ht="10.050000190734863" customHeight="1">
      <x:c r="A689" s="21" t="s">
        <x:v>3284</x:v>
      </x:c>
      <x:c r="B689" s="20" t="s">
        <x:v>3284</x:v>
      </x:c>
      <x:c r="C689" s="20" t="s">
        <x:v>3285</x:v>
      </x:c>
      <x:c r="D689" s="24">
        <x:v>1</x:v>
      </x:c>
      <x:c r="E689" s="24" t="s">
        <x:v>103</x:v>
      </x:c>
      <x:c r="F689" s="20" t="s">
        <x:v>97</x:v>
      </x:c>
      <x:c r="G689" s="26">
        <x:v>42166</x:v>
      </x:c>
      <x:c r="H689" s="24" t="s">
        <x:v>3286</x:v>
      </x:c>
      <x:c r="I689" s="28" t="s">
        <x:v>3287</x:v>
      </x:c>
      <x:c r="J689" s="29" t="s">
        <x:v>3288</x:v>
      </x:c>
    </x:row>
    <x:row r="690" ht="10.050000190734863" customHeight="1">
      <x:c r="A690" s="21" t="s">
        <x:v>3289</x:v>
      </x:c>
      <x:c r="B690" s="20" t="s">
        <x:v>3289</x:v>
      </x:c>
      <x:c r="C690" s="20" t="s">
        <x:v>3290</x:v>
      </x:c>
      <x:c r="D690" s="24">
        <x:v>6</x:v>
      </x:c>
      <x:c r="E690" s="24" t="s">
        <x:v>198</x:v>
      </x:c>
      <x:c r="F690" s="20" t="s">
        <x:v>90</x:v>
      </x:c>
      <x:c r="G690" s="26">
        <x:v>44664</x:v>
      </x:c>
      <x:c r="H690" s="24" t="s">
        <x:v>3291</x:v>
      </x:c>
      <x:c r="I690" s="28" t="s">
        <x:v>3292</x:v>
      </x:c>
      <x:c r="J690" s="29" t="s">
        <x:v>3293</x:v>
      </x:c>
    </x:row>
    <x:row r="691" ht="10.050000190734863" customHeight="1">
      <x:c r="A691" s="21" t="s">
        <x:v>3294</x:v>
      </x:c>
      <x:c r="B691" s="20" t="s">
        <x:v>3294</x:v>
      </x:c>
      <x:c r="C691" s="20" t="s">
        <x:v>3295</x:v>
      </x:c>
      <x:c r="D691" s="24">
        <x:v>6</x:v>
      </x:c>
      <x:c r="E691" s="24" t="s">
        <x:v>103</x:v>
      </x:c>
      <x:c r="F691" s="20" t="s">
        <x:v>97</x:v>
      </x:c>
      <x:c r="G691" s="26">
        <x:v>44554</x:v>
      </x:c>
      <x:c r="H691" s="24" t="s">
        <x:v>3296</x:v>
      </x:c>
      <x:c r="I691" s="28" t="s">
        <x:v>3297</x:v>
      </x:c>
      <x:c r="J691" s="29" t="s">
        <x:v>3298</x:v>
      </x:c>
    </x:row>
    <x:row r="692" ht="10.050000190734863" customHeight="1">
      <x:c r="A692" s="21" t="s">
        <x:v>3299</x:v>
      </x:c>
      <x:c r="B692" s="20" t="s">
        <x:v>3299</x:v>
      </x:c>
      <x:c r="C692" s="20" t="s">
        <x:v>379</x:v>
      </x:c>
      <x:c r="D692" s="24">
        <x:v>1</x:v>
      </x:c>
      <x:c r="E692" s="24" t="s">
        <x:v>125</x:v>
      </x:c>
      <x:c r="F692" s="20" t="s">
        <x:v>90</x:v>
      </x:c>
      <x:c r="G692" s="26">
        <x:v>45679</x:v>
      </x:c>
      <x:c r="H692" s="24" t="s">
        <x:v>3300</x:v>
      </x:c>
      <x:c r="I692" s="28" t="s">
        <x:v>3301</x:v>
      </x:c>
      <x:c r="J692" s="29" t="s">
        <x:v>3302</x:v>
      </x:c>
    </x:row>
    <x:row r="693" ht="10.050000190734863" customHeight="1">
      <x:c r="A693" s="21" t="s">
        <x:v>3303</x:v>
      </x:c>
      <x:c r="B693" s="20" t="s">
        <x:v>3303</x:v>
      </x:c>
      <x:c r="C693" s="20" t="s">
        <x:v>978</x:v>
      </x:c>
      <x:c r="D693" s="24">
        <x:v>11</x:v>
      </x:c>
      <x:c r="E693" s="24" t="s">
        <x:v>103</x:v>
      </x:c>
      <x:c r="F693" s="20" t="s">
        <x:v>97</x:v>
      </x:c>
      <x:c r="G693" s="26">
        <x:v>42221</x:v>
      </x:c>
      <x:c r="H693" s="24" t="s">
        <x:v>3304</x:v>
      </x:c>
      <x:c r="I693" s="28" t="s">
        <x:v>3305</x:v>
      </x:c>
      <x:c r="J693" s="29" t="s">
        <x:v>3306</x:v>
      </x:c>
    </x:row>
    <x:row r="694" ht="10.050000190734863" customHeight="1">
      <x:c r="A694" s="21" t="s">
        <x:v>3307</x:v>
      </x:c>
      <x:c r="B694" s="20" t="s">
        <x:v>3307</x:v>
      </x:c>
      <x:c r="C694" s="20" t="s">
        <x:v>3308</x:v>
      </x:c>
      <x:c r="D694" s="24">
        <x:v>25</x:v>
      </x:c>
      <x:c r="E694" s="24" t="s">
        <x:v>198</x:v>
      </x:c>
      <x:c r="F694" s="20" t="s">
        <x:v>90</x:v>
      </x:c>
      <x:c r="G694" s="26">
        <x:v>45147</x:v>
      </x:c>
      <x:c r="H694" s="24" t="s">
        <x:v>3309</x:v>
      </x:c>
      <x:c r="I694" s="28" t="s">
        <x:v>3310</x:v>
      </x:c>
      <x:c r="J694" s="29" t="s">
        <x:v>3311</x:v>
      </x:c>
    </x:row>
    <x:row r="695" ht="10.050000190734863" customHeight="1">
      <x:c r="A695" s="21" t="s">
        <x:v>3312</x:v>
      </x:c>
      <x:c r="B695" s="20" t="s">
        <x:v>3312</x:v>
      </x:c>
      <x:c r="C695" s="20" t="s">
        <x:v>3313</x:v>
      </x:c>
      <x:c r="D695" s="24">
        <x:v>10</x:v>
      </x:c>
      <x:c r="E695" s="24" t="s">
        <x:v>198</x:v>
      </x:c>
      <x:c r="F695" s="20" t="s">
        <x:v>90</x:v>
      </x:c>
      <x:c r="G695" s="26">
        <x:v>45785</x:v>
      </x:c>
      <x:c r="H695" s="24" t="s">
        <x:v>3314</x:v>
      </x:c>
      <x:c r="I695" s="28" t="s">
        <x:v>3315</x:v>
      </x:c>
      <x:c r="J695" s="29" t="s">
        <x:v>3316</x:v>
      </x:c>
    </x:row>
    <x:row r="696" ht="10.050000190734863" customHeight="1">
      <x:c r="A696" s="21" t="s">
        <x:v>3317</x:v>
      </x:c>
      <x:c r="B696" s="20" t="s">
        <x:v>3317</x:v>
      </x:c>
      <x:c r="C696" s="20" t="s">
        <x:v>680</x:v>
      </x:c>
      <x:c r="D696" s="24">
        <x:v>19</x:v>
      </x:c>
      <x:c r="E696" s="24" t="s">
        <x:v>114</x:v>
      </x:c>
      <x:c r="F696" s="20" t="s">
        <x:v>90</x:v>
      </x:c>
      <x:c r="G696" s="26">
        <x:v>44252</x:v>
      </x:c>
      <x:c r="H696" s="24" t="s">
        <x:v>3318</x:v>
      </x:c>
      <x:c r="I696" s="28" t="s">
        <x:v>3319</x:v>
      </x:c>
      <x:c r="J696" s="29" t="s">
        <x:v>3320</x:v>
      </x:c>
    </x:row>
    <x:row r="697" ht="10.050000190734863" customHeight="1">
      <x:c r="A697" s="21" t="s">
        <x:v>3321</x:v>
      </x:c>
      <x:c r="B697" s="20" t="s">
        <x:v>3321</x:v>
      </x:c>
      <x:c r="C697" s="20" t="s">
        <x:v>3322</x:v>
      </x:c>
      <x:c r="D697" s="24">
        <x:v>12</x:v>
      </x:c>
      <x:c r="E697" s="24" t="s">
        <x:v>103</x:v>
      </x:c>
      <x:c r="F697" s="20" t="s">
        <x:v>97</x:v>
      </x:c>
      <x:c r="G697" s="26">
        <x:v>42308</x:v>
      </x:c>
      <x:c r="H697" s="24" t="s">
        <x:v>3323</x:v>
      </x:c>
      <x:c r="I697" s="28" t="s">
        <x:v>3324</x:v>
      </x:c>
      <x:c r="J697" s="29" t="s">
        <x:v>3325</x:v>
      </x:c>
    </x:row>
    <x:row r="698" ht="10.050000190734863" customHeight="1">
      <x:c r="A698" s="21" t="s">
        <x:v>3326</x:v>
      </x:c>
      <x:c r="B698" s="20" t="s">
        <x:v>3326</x:v>
      </x:c>
      <x:c r="C698" s="20" t="s">
        <x:v>3327</x:v>
      </x:c>
      <x:c r="D698" s="24">
        <x:v>17</x:v>
      </x:c>
      <x:c r="E698" s="24" t="s">
        <x:v>114</x:v>
      </x:c>
      <x:c r="F698" s="20" t="s">
        <x:v>90</x:v>
      </x:c>
      <x:c r="G698" s="26">
        <x:v>44588</x:v>
      </x:c>
      <x:c r="H698" s="24" t="s">
        <x:v>3328</x:v>
      </x:c>
      <x:c r="I698" s="28" t="s">
        <x:v>3329</x:v>
      </x:c>
      <x:c r="J698" s="29" t="s">
        <x:v>3330</x:v>
      </x:c>
    </x:row>
    <x:row r="699" ht="10.050000190734863" customHeight="1">
      <x:c r="A699" s="21" t="s">
        <x:v>3331</x:v>
      </x:c>
      <x:c r="B699" s="20" t="s">
        <x:v>3331</x:v>
      </x:c>
      <x:c r="C699" s="20" t="s">
        <x:v>3327</x:v>
      </x:c>
      <x:c r="D699" s="24">
        <x:v>20</x:v>
      </x:c>
      <x:c r="E699" s="24" t="s">
        <x:v>114</x:v>
      </x:c>
      <x:c r="F699" s="20" t="s">
        <x:v>90</x:v>
      </x:c>
      <x:c r="G699" s="26">
        <x:v>45384</x:v>
      </x:c>
      <x:c r="H699" s="24" t="s">
        <x:v>3332</x:v>
      </x:c>
      <x:c r="I699" s="28" t="s">
        <x:v>3333</x:v>
      </x:c>
      <x:c r="J699" s="29" t="s">
        <x:v>3334</x:v>
      </x:c>
    </x:row>
    <x:row r="700" ht="10.050000190734863" customHeight="1">
      <x:c r="A700" s="21" t="s">
        <x:v>3335</x:v>
      </x:c>
      <x:c r="B700" s="20" t="s">
        <x:v>3335</x:v>
      </x:c>
      <x:c r="C700" s="20" t="s">
        <x:v>703</x:v>
      </x:c>
      <x:c r="D700" s="24">
        <x:v>15</x:v>
      </x:c>
      <x:c r="E700" s="24" t="s">
        <x:v>114</x:v>
      </x:c>
      <x:c r="F700" s="20" t="s">
        <x:v>90</x:v>
      </x:c>
      <x:c r="G700" s="26">
        <x:v>45240</x:v>
      </x:c>
      <x:c r="H700" s="24" t="s">
        <x:v>3336</x:v>
      </x:c>
      <x:c r="I700" s="28" t="s">
        <x:v>3337</x:v>
      </x:c>
      <x:c r="J700" s="29" t="s">
        <x:v>3338</x:v>
      </x:c>
    </x:row>
    <x:row r="701" ht="10.050000190734863" customHeight="1">
      <x:c r="A701" s="21" t="s">
        <x:v>3339</x:v>
      </x:c>
      <x:c r="B701" s="20" t="s">
        <x:v>3339</x:v>
      </x:c>
      <x:c r="C701" s="20" t="s">
        <x:v>703</x:v>
      </x:c>
      <x:c r="D701" s="24">
        <x:v>12</x:v>
      </x:c>
      <x:c r="E701" s="24" t="s">
        <x:v>114</x:v>
      </x:c>
      <x:c r="F701" s="20" t="s">
        <x:v>90</x:v>
      </x:c>
      <x:c r="G701" s="26">
        <x:v>45938</x:v>
      </x:c>
      <x:c r="H701" s="24" t="s">
        <x:v>3340</x:v>
      </x:c>
      <x:c r="I701" s="28" t="s">
        <x:v>3341</x:v>
      </x:c>
      <x:c r="J701" s="29" t="s">
        <x:v>3342</x:v>
      </x:c>
    </x:row>
    <x:row r="702" ht="10.050000190734863" customHeight="1">
      <x:c r="A702" s="21" t="s">
        <x:v>3343</x:v>
      </x:c>
      <x:c r="B702" s="20" t="s">
        <x:v>3343</x:v>
      </x:c>
      <x:c r="C702" s="20" t="s">
        <x:v>761</x:v>
      </x:c>
      <x:c r="D702" s="24">
        <x:v>11</x:v>
      </x:c>
      <x:c r="E702" s="24" t="s">
        <x:v>198</x:v>
      </x:c>
      <x:c r="F702" s="20" t="s">
        <x:v>90</x:v>
      </x:c>
      <x:c r="G702" s="26">
        <x:v>45446</x:v>
      </x:c>
      <x:c r="H702" s="24" t="s">
        <x:v>3344</x:v>
      </x:c>
      <x:c r="I702" s="28" t="s">
        <x:v>3345</x:v>
      </x:c>
      <x:c r="J702" s="29" t="s">
        <x:v>3346</x:v>
      </x:c>
    </x:row>
    <x:row r="703" ht="10.050000190734863" customHeight="1">
      <x:c r="A703" s="21" t="s">
        <x:v>3347</x:v>
      </x:c>
      <x:c r="B703" s="20" t="s">
        <x:v>3347</x:v>
      </x:c>
      <x:c r="C703" s="20" t="s">
        <x:v>3348</x:v>
      </x:c>
      <x:c r="D703" s="24">
        <x:v>69</x:v>
      </x:c>
      <x:c r="E703" s="24" t="s">
        <x:v>198</x:v>
      </x:c>
      <x:c r="F703" s="20" t="s">
        <x:v>90</x:v>
      </x:c>
      <x:c r="G703" s="26">
        <x:v>45315</x:v>
      </x:c>
      <x:c r="H703" s="24" t="s">
        <x:v>3349</x:v>
      </x:c>
      <x:c r="I703" s="28" t="s">
        <x:v>3350</x:v>
      </x:c>
      <x:c r="J703" s="29" t="s">
        <x:v>3351</x:v>
      </x:c>
    </x:row>
    <x:row r="704" ht="10.050000190734863" customHeight="1">
      <x:c r="A704" s="21" t="s">
        <x:v>3352</x:v>
      </x:c>
      <x:c r="B704" s="20" t="s">
        <x:v>3352</x:v>
      </x:c>
      <x:c r="C704" s="20" t="s">
        <x:v>102</x:v>
      </x:c>
      <x:c r="D704" s="24">
        <x:v>32</x:v>
      </x:c>
      <x:c r="E704" s="24" t="s">
        <x:v>96</x:v>
      </x:c>
      <x:c r="F704" s="20" t="s">
        <x:v>97</x:v>
      </x:c>
      <x:c r="G704" s="26">
        <x:v>41700</x:v>
      </x:c>
      <x:c r="H704" s="24" t="s">
        <x:v>3353</x:v>
      </x:c>
      <x:c r="I704" s="28" t="s">
        <x:v>3354</x:v>
      </x:c>
      <x:c r="J704" s="29" t="s">
        <x:v>3355</x:v>
      </x:c>
    </x:row>
    <x:row r="705" ht="10.050000190734863" customHeight="1">
      <x:c r="A705" s="21" t="s">
        <x:v>3356</x:v>
      </x:c>
      <x:c r="B705" s="20" t="s">
        <x:v>3356</x:v>
      </x:c>
      <x:c r="C705" s="20" t="s">
        <x:v>3357</x:v>
      </x:c>
      <x:c r="D705" s="24">
        <x:v>15</x:v>
      </x:c>
      <x:c r="E705" s="24" t="s">
        <x:v>89</x:v>
      </x:c>
      <x:c r="F705" s="20" t="s">
        <x:v>90</x:v>
      </x:c>
      <x:c r="G705" s="26">
        <x:v>44684</x:v>
      </x:c>
      <x:c r="H705" s="24" t="s">
        <x:v>3358</x:v>
      </x:c>
      <x:c r="I705" s="28" t="s">
        <x:v>3359</x:v>
      </x:c>
      <x:c r="J705" s="29" t="s">
        <x:v>3360</x:v>
      </x:c>
    </x:row>
    <x:row r="706" ht="10.050000190734863" customHeight="1">
      <x:c r="A706" s="21" t="s">
        <x:v>3361</x:v>
      </x:c>
      <x:c r="B706" s="20" t="s">
        <x:v>3361</x:v>
      </x:c>
      <x:c r="C706" s="20" t="s">
        <x:v>3357</x:v>
      </x:c>
      <x:c r="D706" s="24">
        <x:v>27</x:v>
      </x:c>
      <x:c r="E706" s="24" t="s">
        <x:v>198</x:v>
      </x:c>
      <x:c r="F706" s="20" t="s">
        <x:v>90</x:v>
      </x:c>
      <x:c r="G706" s="26">
        <x:v>45527</x:v>
      </x:c>
      <x:c r="H706" s="24" t="s">
        <x:v>3362</x:v>
      </x:c>
      <x:c r="I706" s="28" t="s">
        <x:v>3363</x:v>
      </x:c>
      <x:c r="J706" s="29" t="s">
        <x:v>3364</x:v>
      </x:c>
    </x:row>
    <x:row r="707" ht="10.050000190734863" customHeight="1">
      <x:c r="A707" s="21" t="s">
        <x:v>3365</x:v>
      </x:c>
      <x:c r="B707" s="20" t="s">
        <x:v>3365</x:v>
      </x:c>
      <x:c r="C707" s="20" t="s">
        <x:v>3366</x:v>
      </x:c>
      <x:c r="D707" s="24">
        <x:v>1</x:v>
      </x:c>
      <x:c r="E707" s="24" t="s">
        <x:v>103</x:v>
      </x:c>
      <x:c r="F707" s="20" t="s">
        <x:v>97</x:v>
      </x:c>
      <x:c r="G707" s="26">
        <x:v>44212</x:v>
      </x:c>
      <x:c r="H707" s="24" t="s">
        <x:v>3367</x:v>
      </x:c>
      <x:c r="I707" s="28" t="s">
        <x:v>3368</x:v>
      </x:c>
      <x:c r="J707" s="29" t="s">
        <x:v>3369</x:v>
      </x:c>
    </x:row>
    <x:row r="708" ht="10.050000190734863" customHeight="1">
      <x:c r="A708" s="21" t="s">
        <x:v>3370</x:v>
      </x:c>
      <x:c r="B708" s="20" t="s">
        <x:v>3370</x:v>
      </x:c>
      <x:c r="C708" s="20" t="s">
        <x:v>3327</x:v>
      </x:c>
      <x:c r="D708" s="24">
        <x:v>17</x:v>
      </x:c>
      <x:c r="E708" s="24" t="s">
        <x:v>198</x:v>
      </x:c>
      <x:c r="F708" s="20" t="s">
        <x:v>90</x:v>
      </x:c>
      <x:c r="G708" s="26">
        <x:v>44273</x:v>
      </x:c>
      <x:c r="H708" s="24" t="s">
        <x:v>3371</x:v>
      </x:c>
      <x:c r="I708" s="28" t="s">
        <x:v>3372</x:v>
      </x:c>
      <x:c r="J708" s="29" t="s">
        <x:v>3373</x:v>
      </x:c>
    </x:row>
    <x:row r="709" ht="10.050000190734863" customHeight="1">
      <x:c r="A709" s="21" t="s">
        <x:v>3374</x:v>
      </x:c>
      <x:c r="B709" s="20" t="s">
        <x:v>3374</x:v>
      </x:c>
      <x:c r="C709" s="20" t="s">
        <x:v>2567</x:v>
      </x:c>
      <x:c r="D709" s="24">
        <x:v>8</x:v>
      </x:c>
      <x:c r="E709" s="24" t="s">
        <x:v>114</x:v>
      </x:c>
      <x:c r="F709" s="20" t="s">
        <x:v>90</x:v>
      </x:c>
      <x:c r="G709" s="26">
        <x:v>44802</x:v>
      </x:c>
      <x:c r="H709" s="24" t="s">
        <x:v>3375</x:v>
      </x:c>
      <x:c r="I709" s="28" t="s">
        <x:v>3376</x:v>
      </x:c>
      <x:c r="J709" s="29" t="s">
        <x:v>3377</x:v>
      </x:c>
    </x:row>
    <x:row r="710" ht="10.050000190734863" customHeight="1">
      <x:c r="A710" s="21" t="s">
        <x:v>3378</x:v>
      </x:c>
      <x:c r="B710" s="20" t="s">
        <x:v>3378</x:v>
      </x:c>
      <x:c r="C710" s="20" t="s">
        <x:v>3379</x:v>
      </x:c>
      <x:c r="D710" s="24">
        <x:v>22</x:v>
      </x:c>
      <x:c r="E710" s="24" t="s">
        <x:v>198</x:v>
      </x:c>
      <x:c r="F710" s="20" t="s">
        <x:v>90</x:v>
      </x:c>
      <x:c r="G710" s="26">
        <x:v>43970</x:v>
      </x:c>
      <x:c r="H710" s="24" t="s">
        <x:v>3380</x:v>
      </x:c>
      <x:c r="I710" s="28" t="s">
        <x:v>3381</x:v>
      </x:c>
      <x:c r="J710" s="29" t="s">
        <x:v>3382</x:v>
      </x:c>
    </x:row>
    <x:row r="711" ht="10.050000190734863" customHeight="1">
      <x:c r="A711" s="21" t="s">
        <x:v>40</x:v>
      </x:c>
      <x:c r="B711" s="20" t="s">
        <x:v>40</x:v>
      </x:c>
      <x:c r="C711" s="20" t="s">
        <x:v>3383</x:v>
      </x:c>
      <x:c r="D711" s="24">
        <x:v>15</x:v>
      </x:c>
      <x:c r="E711" s="24" t="s">
        <x:v>198</x:v>
      </x:c>
      <x:c r="F711" s="20" t="s">
        <x:v>90</x:v>
      </x:c>
      <x:c r="G711" s="26">
        <x:v>44438</x:v>
      </x:c>
      <x:c r="H711" s="24" t="s">
        <x:v>3384</x:v>
      </x:c>
      <x:c r="I711" s="28" t="s">
        <x:v>3385</x:v>
      </x:c>
      <x:c r="J711" s="29" t="s">
        <x:v>3386</x:v>
      </x:c>
    </x:row>
    <x:row r="712" ht="10.050000190734863" customHeight="1">
      <x:c r="A712" s="21" t="s">
        <x:v>3387</x:v>
      </x:c>
      <x:c r="B712" s="20" t="s">
        <x:v>3387</x:v>
      </x:c>
      <x:c r="C712" s="20" t="s">
        <x:v>3388</x:v>
      </x:c>
      <x:c r="D712" s="24">
        <x:v>5</x:v>
      </x:c>
      <x:c r="E712" s="24" t="s">
        <x:v>89</x:v>
      </x:c>
      <x:c r="F712" s="20" t="s">
        <x:v>90</x:v>
      </x:c>
      <x:c r="G712" s="26">
        <x:v>44329</x:v>
      </x:c>
      <x:c r="H712" s="24" t="s">
        <x:v>3389</x:v>
      </x:c>
      <x:c r="I712" s="28" t="s">
        <x:v>3390</x:v>
      </x:c>
      <x:c r="J712" s="29" t="s">
        <x:v>3391</x:v>
      </x:c>
    </x:row>
    <x:row r="713" ht="10.050000190734863" customHeight="1">
      <x:c r="A713" s="21" t="s">
        <x:v>25</x:v>
      </x:c>
      <x:c r="B713" s="20" t="s">
        <x:v>25</x:v>
      </x:c>
      <x:c r="C713" s="20" t="s">
        <x:v>1549</x:v>
      </x:c>
      <x:c r="D713" s="24">
        <x:v>22</x:v>
      </x:c>
      <x:c r="E713" s="24" t="s">
        <x:v>198</x:v>
      </x:c>
      <x:c r="F713" s="20" t="s">
        <x:v>90</x:v>
      </x:c>
      <x:c r="G713" s="26">
        <x:v>43376</x:v>
      </x:c>
      <x:c r="H713" s="24" t="s">
        <x:v>3392</x:v>
      </x:c>
      <x:c r="I713" s="28" t="s">
        <x:v>3393</x:v>
      </x:c>
      <x:c r="J713" s="29" t="s">
        <x:v>3394</x:v>
      </x:c>
    </x:row>
    <x:row r="714" ht="10.050000190734863" customHeight="1">
      <x:c r="A714" s="21" t="s">
        <x:v>3395</x:v>
      </x:c>
      <x:c r="B714" s="20" t="s">
        <x:v>3395</x:v>
      </x:c>
      <x:c r="C714" s="20" t="s">
        <x:v>2737</x:v>
      </x:c>
      <x:c r="D714" s="24">
        <x:v>17</x:v>
      </x:c>
      <x:c r="E714" s="24" t="s">
        <x:v>198</x:v>
      </x:c>
      <x:c r="F714" s="20" t="s">
        <x:v>90</x:v>
      </x:c>
      <x:c r="G714" s="26">
        <x:v>46153</x:v>
      </x:c>
      <x:c r="H714" s="24" t="s">
        <x:v>3396</x:v>
      </x:c>
      <x:c r="I714" s="28" t="s">
        <x:v>3397</x:v>
      </x:c>
      <x:c r="J714" s="29" t="s">
        <x:v>3398</x:v>
      </x:c>
    </x:row>
    <x:row r="715" ht="10.050000190734863" customHeight="1">
      <x:c r="A715" s="21" t="s">
        <x:v>3399</x:v>
      </x:c>
      <x:c r="B715" s="20" t="s">
        <x:v>3399</x:v>
      </x:c>
      <x:c r="C715" s="20" t="s">
        <x:v>642</x:v>
      </x:c>
      <x:c r="D715" s="24">
        <x:v>41</x:v>
      </x:c>
      <x:c r="E715" s="24" t="s">
        <x:v>103</x:v>
      </x:c>
      <x:c r="F715" s="20" t="s">
        <x:v>97</x:v>
      </x:c>
      <x:c r="G715" s="26">
        <x:v>45806</x:v>
      </x:c>
      <x:c r="H715" s="24" t="s">
        <x:v>3400</x:v>
      </x:c>
      <x:c r="I715" s="28" t="s">
        <x:v>3401</x:v>
      </x:c>
      <x:c r="J715" s="29" t="s">
        <x:v>3402</x:v>
      </x:c>
    </x:row>
    <x:row r="716" ht="10.050000190734863" customHeight="1">
      <x:c r="A716" s="21" t="s">
        <x:v>3403</x:v>
      </x:c>
      <x:c r="B716" s="20" t="s">
        <x:v>3403</x:v>
      </x:c>
      <x:c r="C716" s="20" t="s">
        <x:v>3404</x:v>
      </x:c>
      <x:c r="D716" s="24">
        <x:v>1</x:v>
      </x:c>
      <x:c r="E716" s="24" t="s">
        <x:v>198</x:v>
      </x:c>
      <x:c r="F716" s="20" t="s">
        <x:v>126</x:v>
      </x:c>
      <x:c r="G716" s="26">
        <x:v>42141</x:v>
      </x:c>
      <x:c r="H716" s="24" t="s">
        <x:v>3405</x:v>
      </x:c>
      <x:c r="I716" s="28" t="s">
        <x:v>3406</x:v>
      </x:c>
      <x:c r="J716" s="29" t="s">
        <x:v>3407</x:v>
      </x:c>
    </x:row>
    <x:row r="717" ht="10.050000190734863" customHeight="1">
      <x:c r="A717" s="21" t="s">
        <x:v>3408</x:v>
      </x:c>
      <x:c r="B717" s="20" t="s">
        <x:v>3408</x:v>
      </x:c>
      <x:c r="C717" s="20" t="s">
        <x:v>3404</x:v>
      </x:c>
      <x:c r="D717" s="24">
        <x:v>1</x:v>
      </x:c>
      <x:c r="E717" s="24" t="s">
        <x:v>125</x:v>
      </x:c>
      <x:c r="F717" s="20" t="s">
        <x:v>126</x:v>
      </x:c>
      <x:c r="G717" s="26">
        <x:v>42080</x:v>
      </x:c>
      <x:c r="H717" s="24" t="s">
        <x:v>3409</x:v>
      </x:c>
      <x:c r="I717" s="28" t="s">
        <x:v>3410</x:v>
      </x:c>
      <x:c r="J717" s="29" t="s">
        <x:v>3411</x:v>
      </x:c>
    </x:row>
    <x:row r="718" ht="10.050000190734863" customHeight="1">
      <x:c r="A718" s="21" t="s">
        <x:v>3412</x:v>
      </x:c>
      <x:c r="B718" s="20" t="s">
        <x:v>3412</x:v>
      </x:c>
      <x:c r="C718" s="20" t="s">
        <x:v>3379</x:v>
      </x:c>
      <x:c r="D718" s="24">
        <x:v>14</x:v>
      </x:c>
      <x:c r="E718" s="24" t="s">
        <x:v>198</x:v>
      </x:c>
      <x:c r="F718" s="20" t="s">
        <x:v>90</x:v>
      </x:c>
      <x:c r="G718" s="26">
        <x:v>44334</x:v>
      </x:c>
      <x:c r="H718" s="24" t="s">
        <x:v>3413</x:v>
      </x:c>
      <x:c r="I718" s="28" t="s">
        <x:v>3414</x:v>
      </x:c>
      <x:c r="J718" s="29" t="s">
        <x:v>3415</x:v>
      </x:c>
    </x:row>
    <x:row r="719" ht="10.050000190734863" customHeight="1">
      <x:c r="A719" s="21" t="s">
        <x:v>3416</x:v>
      </x:c>
      <x:c r="B719" s="20" t="s">
        <x:v>3416</x:v>
      </x:c>
      <x:c r="C719" s="20" t="s">
        <x:v>3348</x:v>
      </x:c>
      <x:c r="D719" s="24">
        <x:v>10</x:v>
      </x:c>
      <x:c r="E719" s="24" t="s">
        <x:v>89</x:v>
      </x:c>
      <x:c r="F719" s="20" t="s">
        <x:v>610</x:v>
      </x:c>
      <x:c r="G719" s="26">
        <x:v>42999</x:v>
      </x:c>
      <x:c r="H719" s="24" t="s">
        <x:v>3417</x:v>
      </x:c>
      <x:c r="I719" s="28" t="s">
        <x:v>3418</x:v>
      </x:c>
      <x:c r="J719" s="29" t="s">
        <x:v>3419</x:v>
      </x:c>
    </x:row>
    <x:row r="720" ht="10.050000190734863" customHeight="1">
      <x:c r="A720" s="21" t="s">
        <x:v>3420</x:v>
      </x:c>
      <x:c r="B720" s="20" t="s">
        <x:v>3420</x:v>
      </x:c>
      <x:c r="C720" s="20" t="s">
        <x:v>3421</x:v>
      </x:c>
      <x:c r="D720" s="24">
        <x:v>8</x:v>
      </x:c>
      <x:c r="E720" s="24" t="s">
        <x:v>198</x:v>
      </x:c>
      <x:c r="F720" s="20" t="s">
        <x:v>90</x:v>
      </x:c>
      <x:c r="G720" s="26">
        <x:v>45397</x:v>
      </x:c>
      <x:c r="H720" s="24" t="s">
        <x:v>3422</x:v>
      </x:c>
      <x:c r="I720" s="28" t="s">
        <x:v>3423</x:v>
      </x:c>
      <x:c r="J720" s="29" t="s">
        <x:v>3424</x:v>
      </x:c>
    </x:row>
    <x:row r="721" ht="10.050000190734863" customHeight="1">
      <x:c r="A721" s="21" t="s">
        <x:v>3425</x:v>
      </x:c>
      <x:c r="B721" s="20" t="s">
        <x:v>3425</x:v>
      </x:c>
      <x:c r="C721" s="20" t="s">
        <x:v>3426</x:v>
      </x:c>
      <x:c r="D721" s="24">
        <x:v>14</x:v>
      </x:c>
      <x:c r="E721" s="24" t="s">
        <x:v>114</x:v>
      </x:c>
      <x:c r="F721" s="20" t="s">
        <x:v>90</x:v>
      </x:c>
      <x:c r="G721" s="26">
        <x:v>46180</x:v>
      </x:c>
      <x:c r="H721" s="24" t="s">
        <x:v>3427</x:v>
      </x:c>
      <x:c r="I721" s="28" t="s">
        <x:v>3428</x:v>
      </x:c>
      <x:c r="J721" s="29" t="s">
        <x:v>3429</x:v>
      </x:c>
    </x:row>
    <x:row r="722" ht="10.050000190734863" customHeight="1">
      <x:c r="A722" s="21" t="s">
        <x:v>3430</x:v>
      </x:c>
      <x:c r="B722" s="20" t="s">
        <x:v>3430</x:v>
      </x:c>
      <x:c r="C722" s="20" t="s">
        <x:v>3431</x:v>
      </x:c>
      <x:c r="D722" s="24">
        <x:v>43</x:v>
      </x:c>
      <x:c r="E722" s="24" t="s">
        <x:v>96</x:v>
      </x:c>
      <x:c r="F722" s="20" t="s">
        <x:v>97</x:v>
      </x:c>
      <x:c r="G722" s="26">
        <x:v>42255</x:v>
      </x:c>
      <x:c r="H722" s="24" t="s">
        <x:v>3432</x:v>
      </x:c>
      <x:c r="I722" s="28" t="s">
        <x:v>3433</x:v>
      </x:c>
      <x:c r="J722" s="29" t="s">
        <x:v>3434</x:v>
      </x:c>
    </x:row>
    <x:row r="723" ht="10.050000190734863" customHeight="1">
      <x:c r="A723" s="21" t="s">
        <x:v>3435</x:v>
      </x:c>
      <x:c r="B723" s="20" t="s">
        <x:v>3435</x:v>
      </x:c>
      <x:c r="C723" s="20" t="s">
        <x:v>3436</x:v>
      </x:c>
      <x:c r="D723" s="24">
        <x:v>35</x:v>
      </x:c>
      <x:c r="E723" s="24" t="s">
        <x:v>103</x:v>
      </x:c>
      <x:c r="F723" s="20" t="s">
        <x:v>97</x:v>
      </x:c>
      <x:c r="G723" s="26">
        <x:v>45411</x:v>
      </x:c>
      <x:c r="H723" s="24" t="s">
        <x:v>3437</x:v>
      </x:c>
      <x:c r="I723" s="28" t="s">
        <x:v>3438</x:v>
      </x:c>
      <x:c r="J723" s="29" t="s">
        <x:v>3439</x:v>
      </x:c>
    </x:row>
    <x:row r="724" ht="10.050000190734863" customHeight="1">
      <x:c r="A724" s="21" t="s">
        <x:v>3440</x:v>
      </x:c>
      <x:c r="B724" s="20" t="s">
        <x:v>3440</x:v>
      </x:c>
      <x:c r="C724" s="20" t="s">
        <x:v>282</x:v>
      </x:c>
      <x:c r="D724" s="24">
        <x:v>7</x:v>
      </x:c>
      <x:c r="E724" s="24" t="s">
        <x:v>198</x:v>
      </x:c>
      <x:c r="F724" s="20" t="s">
        <x:v>90</x:v>
      </x:c>
      <x:c r="G724" s="26">
        <x:v>45258</x:v>
      </x:c>
      <x:c r="H724" s="24" t="s">
        <x:v>3441</x:v>
      </x:c>
      <x:c r="I724" s="28" t="s">
        <x:v>3442</x:v>
      </x:c>
      <x:c r="J724" s="29" t="s">
        <x:v>3443</x:v>
      </x:c>
    </x:row>
    <x:row r="725" ht="10.050000190734863" customHeight="1">
      <x:c r="A725" s="21" t="s">
        <x:v>3444</x:v>
      </x:c>
      <x:c r="B725" s="20" t="s">
        <x:v>3444</x:v>
      </x:c>
      <x:c r="C725" s="20" t="s">
        <x:v>3445</x:v>
      </x:c>
      <x:c r="D725" s="24">
        <x:v>18</x:v>
      </x:c>
      <x:c r="E725" s="24" t="s">
        <x:v>103</x:v>
      </x:c>
      <x:c r="F725" s="20" t="s">
        <x:v>97</x:v>
      </x:c>
      <x:c r="G725" s="26">
        <x:v>42281</x:v>
      </x:c>
      <x:c r="H725" s="24" t="s">
        <x:v>3446</x:v>
      </x:c>
      <x:c r="I725" s="28" t="s">
        <x:v>3447</x:v>
      </x:c>
      <x:c r="J725" s="29" t="s">
        <x:v>3448</x:v>
      </x:c>
    </x:row>
    <x:row r="726" ht="10.050000190734863" customHeight="1">
      <x:c r="A726" s="21" t="s">
        <x:v>3449</x:v>
      </x:c>
      <x:c r="B726" s="20" t="s">
        <x:v>3449</x:v>
      </x:c>
      <x:c r="C726" s="20" t="s">
        <x:v>968</x:v>
      </x:c>
      <x:c r="D726" s="24">
        <x:v>17</x:v>
      </x:c>
      <x:c r="E726" s="24" t="s">
        <x:v>114</x:v>
      </x:c>
      <x:c r="F726" s="20" t="s">
        <x:v>90</x:v>
      </x:c>
      <x:c r="G726" s="26">
        <x:v>44067</x:v>
      </x:c>
      <x:c r="H726" s="24" t="s">
        <x:v>3450</x:v>
      </x:c>
      <x:c r="I726" s="28" t="s">
        <x:v>3451</x:v>
      </x:c>
      <x:c r="J726" s="29" t="s">
        <x:v>3452</x:v>
      </x:c>
    </x:row>
    <x:row r="727" ht="10.050000190734863" customHeight="1">
      <x:c r="A727" s="21" t="s">
        <x:v>3453</x:v>
      </x:c>
      <x:c r="B727" s="20" t="s">
        <x:v>3453</x:v>
      </x:c>
      <x:c r="C727" s="20" t="s">
        <x:v>968</x:v>
      </x:c>
      <x:c r="D727" s="24">
        <x:v>25</x:v>
      </x:c>
      <x:c r="E727" s="24" t="s">
        <x:v>125</x:v>
      </x:c>
      <x:c r="F727" s="20" t="s">
        <x:v>90</x:v>
      </x:c>
      <x:c r="G727" s="26">
        <x:v>45653</x:v>
      </x:c>
      <x:c r="H727" s="24" t="s">
        <x:v>3454</x:v>
      </x:c>
      <x:c r="I727" s="28" t="s">
        <x:v>3455</x:v>
      </x:c>
      <x:c r="J727" s="29" t="s">
        <x:v>3456</x:v>
      </x:c>
    </x:row>
    <x:row r="728" ht="10.050000190734863" customHeight="1">
      <x:c r="A728" s="21" t="s">
        <x:v>3457</x:v>
      </x:c>
      <x:c r="B728" s="20" t="s">
        <x:v>3457</x:v>
      </x:c>
      <x:c r="C728" s="20" t="s">
        <x:v>968</x:v>
      </x:c>
      <x:c r="D728" s="24">
        <x:v>24</x:v>
      </x:c>
      <x:c r="E728" s="24" t="s">
        <x:v>198</x:v>
      </x:c>
      <x:c r="F728" s="20" t="s">
        <x:v>90</x:v>
      </x:c>
      <x:c r="G728" s="26">
        <x:v>43679</x:v>
      </x:c>
      <x:c r="H728" s="24" t="s">
        <x:v>3458</x:v>
      </x:c>
      <x:c r="I728" s="28" t="s">
        <x:v>3459</x:v>
      </x:c>
      <x:c r="J728" s="29" t="s">
        <x:v>3460</x:v>
      </x:c>
    </x:row>
    <x:row r="729" ht="10.050000190734863" customHeight="1">
      <x:c r="A729" s="21" t="s">
        <x:v>3461</x:v>
      </x:c>
      <x:c r="B729" s="20" t="s">
        <x:v>3461</x:v>
      </x:c>
      <x:c r="C729" s="20" t="s">
        <x:v>3462</x:v>
      </x:c>
      <x:c r="D729" s="24">
        <x:v>11</x:v>
      </x:c>
      <x:c r="E729" s="24" t="s">
        <x:v>103</x:v>
      </x:c>
      <x:c r="F729" s="20" t="s">
        <x:v>97</x:v>
      </x:c>
      <x:c r="G729" s="26">
        <x:v>41451</x:v>
      </x:c>
      <x:c r="H729" s="24" t="s">
        <x:v>3463</x:v>
      </x:c>
      <x:c r="I729" s="28" t="s">
        <x:v>3464</x:v>
      </x:c>
      <x:c r="J729" s="29" t="s">
        <x:v>3465</x:v>
      </x:c>
    </x:row>
    <x:row r="730" ht="10.050000190734863" customHeight="1">
      <x:c r="A730" s="21" t="s">
        <x:v>3466</x:v>
      </x:c>
      <x:c r="B730" s="20" t="s">
        <x:v>3466</x:v>
      </x:c>
      <x:c r="C730" s="20" t="s">
        <x:v>3467</x:v>
      </x:c>
      <x:c r="D730" s="24">
        <x:v>20</x:v>
      </x:c>
      <x:c r="E730" s="24" t="s">
        <x:v>89</x:v>
      </x:c>
      <x:c r="F730" s="20" t="s">
        <x:v>90</x:v>
      </x:c>
      <x:c r="G730" s="26">
        <x:v>45604</x:v>
      </x:c>
      <x:c r="H730" s="24" t="s">
        <x:v>3468</x:v>
      </x:c>
      <x:c r="I730" s="28" t="s">
        <x:v>3469</x:v>
      </x:c>
      <x:c r="J730" s="29" t="s">
        <x:v>3470</x:v>
      </x:c>
    </x:row>
    <x:row r="731" ht="10.050000190734863" customHeight="1">
      <x:c r="A731" s="21" t="s">
        <x:v>3471</x:v>
      </x:c>
      <x:c r="B731" s="20" t="s">
        <x:v>3471</x:v>
      </x:c>
      <x:c r="C731" s="20" t="s">
        <x:v>2737</x:v>
      </x:c>
      <x:c r="D731" s="24">
        <x:v>62</x:v>
      </x:c>
      <x:c r="E731" s="24" t="s">
        <x:v>96</x:v>
      </x:c>
      <x:c r="F731" s="20" t="s">
        <x:v>90</x:v>
      </x:c>
      <x:c r="G731" s="26">
        <x:v>45767</x:v>
      </x:c>
      <x:c r="H731" s="24" t="s">
        <x:v>3472</x:v>
      </x:c>
      <x:c r="I731" s="28" t="s">
        <x:v>3473</x:v>
      </x:c>
      <x:c r="J731" s="29" t="s">
        <x:v>3474</x:v>
      </x:c>
    </x:row>
    <x:row r="732" ht="10.050000190734863" customHeight="1">
      <x:c r="A732" s="21" t="s">
        <x:v>3475</x:v>
      </x:c>
      <x:c r="B732" s="20" t="s">
        <x:v>3475</x:v>
      </x:c>
      <x:c r="C732" s="20" t="s">
        <x:v>3476</x:v>
      </x:c>
      <x:c r="D732" s="24">
        <x:v>5</x:v>
      </x:c>
      <x:c r="E732" s="24" t="s">
        <x:v>89</x:v>
      </x:c>
      <x:c r="F732" s="20" t="s">
        <x:v>90</x:v>
      </x:c>
      <x:c r="G732" s="26">
        <x:v>45680</x:v>
      </x:c>
      <x:c r="H732" s="24" t="s">
        <x:v>3477</x:v>
      </x:c>
      <x:c r="I732" s="28" t="s">
        <x:v>3478</x:v>
      </x:c>
      <x:c r="J732" s="29" t="s">
        <x:v>3479</x:v>
      </x:c>
    </x:row>
    <x:row r="733" ht="10.050000190734863" customHeight="1">
      <x:c r="A733" s="21" t="s">
        <x:v>3480</x:v>
      </x:c>
      <x:c r="B733" s="20" t="s">
        <x:v>3480</x:v>
      </x:c>
      <x:c r="C733" s="20" t="s">
        <x:v>3481</x:v>
      </x:c>
      <x:c r="D733" s="24">
        <x:v>6</x:v>
      </x:c>
      <x:c r="E733" s="24" t="s">
        <x:v>103</x:v>
      </x:c>
      <x:c r="F733" s="20" t="s">
        <x:v>97</x:v>
      </x:c>
      <x:c r="G733" s="26">
        <x:v>45020</x:v>
      </x:c>
      <x:c r="H733" s="24" t="s">
        <x:v>3482</x:v>
      </x:c>
      <x:c r="I733" s="28" t="s">
        <x:v>3483</x:v>
      </x:c>
      <x:c r="J733" s="29" t="s">
        <x:v>3484</x:v>
      </x:c>
    </x:row>
    <x:row r="734" ht="10.050000190734863" customHeight="1">
      <x:c r="A734" s="21" t="s">
        <x:v>3485</x:v>
      </x:c>
      <x:c r="B734" s="20" t="s">
        <x:v>3485</x:v>
      </x:c>
      <x:c r="C734" s="20" t="s">
        <x:v>3486</x:v>
      </x:c>
      <x:c r="D734" s="24">
        <x:v>4</x:v>
      </x:c>
      <x:c r="E734" s="24" t="s">
        <x:v>96</x:v>
      </x:c>
      <x:c r="F734" s="20" t="s">
        <x:v>97</x:v>
      </x:c>
      <x:c r="G734" s="26">
        <x:v>45095</x:v>
      </x:c>
      <x:c r="H734" s="24" t="s">
        <x:v>3487</x:v>
      </x:c>
      <x:c r="I734" s="28" t="s">
        <x:v>3488</x:v>
      </x:c>
      <x:c r="J734" s="29" t="s">
        <x:v>3489</x:v>
      </x:c>
    </x:row>
    <x:row r="735" ht="10.050000190734863" customHeight="1">
      <x:c r="A735" s="21" t="s">
        <x:v>3490</x:v>
      </x:c>
      <x:c r="B735" s="20" t="s">
        <x:v>3490</x:v>
      </x:c>
      <x:c r="C735" s="20" t="s">
        <x:v>968</x:v>
      </x:c>
      <x:c r="D735" s="24">
        <x:v>15</x:v>
      </x:c>
      <x:c r="E735" s="24" t="s">
        <x:v>125</x:v>
      </x:c>
      <x:c r="F735" s="20" t="s">
        <x:v>90</x:v>
      </x:c>
      <x:c r="G735" s="26">
        <x:v>45998</x:v>
      </x:c>
      <x:c r="H735" s="24" t="s">
        <x:v>3491</x:v>
      </x:c>
      <x:c r="I735" s="28" t="s">
        <x:v>3492</x:v>
      </x:c>
      <x:c r="J735" s="29" t="s">
        <x:v>3493</x:v>
      </x:c>
    </x:row>
    <x:row r="736" ht="10.050000190734863" customHeight="1">
      <x:c r="A736" s="21" t="s">
        <x:v>3494</x:v>
      </x:c>
      <x:c r="B736" s="20" t="s">
        <x:v>3494</x:v>
      </x:c>
      <x:c r="C736" s="20" t="s">
        <x:v>3495</x:v>
      </x:c>
      <x:c r="D736" s="24">
        <x:v>4</x:v>
      </x:c>
      <x:c r="E736" s="24" t="s">
        <x:v>96</x:v>
      </x:c>
      <x:c r="F736" s="20" t="s">
        <x:v>97</x:v>
      </x:c>
      <x:c r="G736" s="26">
        <x:v>45616</x:v>
      </x:c>
      <x:c r="H736" s="24" t="s">
        <x:v>3496</x:v>
      </x:c>
      <x:c r="I736" s="28" t="s">
        <x:v>3497</x:v>
      </x:c>
      <x:c r="J736" s="29" t="s">
        <x:v>3498</x:v>
      </x:c>
    </x:row>
    <x:row r="737" ht="10.050000190734863" customHeight="1">
      <x:c r="A737" s="21" t="s">
        <x:v>3499</x:v>
      </x:c>
      <x:c r="B737" s="20" t="s">
        <x:v>3499</x:v>
      </x:c>
      <x:c r="C737" s="20" t="s">
        <x:v>1674</x:v>
      </x:c>
      <x:c r="D737" s="24">
        <x:v>7</x:v>
      </x:c>
      <x:c r="E737" s="24" t="s">
        <x:v>89</x:v>
      </x:c>
      <x:c r="F737" s="20" t="s">
        <x:v>90</x:v>
      </x:c>
      <x:c r="G737" s="26">
        <x:v>44655</x:v>
      </x:c>
      <x:c r="H737" s="24" t="s">
        <x:v>3500</x:v>
      </x:c>
      <x:c r="I737" s="28" t="s">
        <x:v>3501</x:v>
      </x:c>
      <x:c r="J737" s="29" t="s">
        <x:v>3502</x:v>
      </x:c>
    </x:row>
    <x:row r="738" ht="10.050000190734863" customHeight="1">
      <x:c r="A738" s="21" t="s">
        <x:v>3503</x:v>
      </x:c>
      <x:c r="B738" s="20" t="s">
        <x:v>3503</x:v>
      </x:c>
      <x:c r="C738" s="20" t="s">
        <x:v>3504</x:v>
      </x:c>
      <x:c r="D738" s="24">
        <x:v>8</x:v>
      </x:c>
      <x:c r="E738" s="24" t="s">
        <x:v>198</x:v>
      </x:c>
      <x:c r="F738" s="20" t="s">
        <x:v>90</x:v>
      </x:c>
      <x:c r="G738" s="26">
        <x:v>45587</x:v>
      </x:c>
      <x:c r="H738" s="24" t="s">
        <x:v>3505</x:v>
      </x:c>
      <x:c r="I738" s="28" t="s">
        <x:v>3506</x:v>
      </x:c>
      <x:c r="J738" s="29" t="s">
        <x:v>3507</x:v>
      </x:c>
    </x:row>
    <x:row r="739" ht="10.050000190734863" customHeight="1">
      <x:c r="A739" s="21" t="s">
        <x:v>3508</x:v>
      </x:c>
      <x:c r="B739" s="20" t="s">
        <x:v>3508</x:v>
      </x:c>
      <x:c r="C739" s="20" t="s">
        <x:v>3509</x:v>
      </x:c>
      <x:c r="D739" s="24">
        <x:v>35</x:v>
      </x:c>
      <x:c r="E739" s="24" t="s">
        <x:v>103</x:v>
      </x:c>
      <x:c r="F739" s="20" t="s">
        <x:v>97</x:v>
      </x:c>
      <x:c r="G739" s="26">
        <x:v>43675</x:v>
      </x:c>
      <x:c r="H739" s="24" t="s">
        <x:v>3510</x:v>
      </x:c>
      <x:c r="I739" s="28" t="s">
        <x:v>3511</x:v>
      </x:c>
      <x:c r="J739" s="29" t="s">
        <x:v>3512</x:v>
      </x:c>
    </x:row>
    <x:row r="740" ht="10.050000190734863" customHeight="1">
      <x:c r="A740" s="21" t="s">
        <x:v>3513</x:v>
      </x:c>
      <x:c r="B740" s="20" t="s">
        <x:v>3513</x:v>
      </x:c>
      <x:c r="C740" s="20" t="s">
        <x:v>3514</x:v>
      </x:c>
      <x:c r="D740" s="24">
        <x:v>125</x:v>
      </x:c>
      <x:c r="E740" s="24" t="s">
        <x:v>198</x:v>
      </x:c>
      <x:c r="F740" s="20" t="s">
        <x:v>97</x:v>
      </x:c>
      <x:c r="G740" s="26">
        <x:v>42684</x:v>
      </x:c>
      <x:c r="H740" s="24" t="s">
        <x:v>3515</x:v>
      </x:c>
      <x:c r="I740" s="28" t="s">
        <x:v>3516</x:v>
      </x:c>
      <x:c r="J740" s="29" t="s">
        <x:v>3517</x:v>
      </x:c>
    </x:row>
    <x:row r="741" ht="10.050000190734863" customHeight="1">
      <x:c r="A741" s="21" t="s">
        <x:v>3518</x:v>
      </x:c>
      <x:c r="B741" s="20" t="s">
        <x:v>3518</x:v>
      </x:c>
      <x:c r="C741" s="20" t="s">
        <x:v>2170</x:v>
      </x:c>
      <x:c r="D741" s="24">
        <x:v>3</x:v>
      </x:c>
      <x:c r="E741" s="24" t="s">
        <x:v>198</x:v>
      </x:c>
      <x:c r="F741" s="20" t="s">
        <x:v>90</x:v>
      </x:c>
      <x:c r="G741" s="26">
        <x:v>45618</x:v>
      </x:c>
      <x:c r="H741" s="24" t="s">
        <x:v>3519</x:v>
      </x:c>
      <x:c r="I741" s="28" t="s">
        <x:v>3520</x:v>
      </x:c>
      <x:c r="J741" s="29" t="s">
        <x:v>3521</x:v>
      </x:c>
    </x:row>
    <x:row r="742" ht="10.050000190734863" customHeight="1">
      <x:c r="A742" s="21" t="s">
        <x:v>3522</x:v>
      </x:c>
      <x:c r="B742" s="20" t="s">
        <x:v>3522</x:v>
      </x:c>
      <x:c r="C742" s="20" t="s">
        <x:v>2189</x:v>
      </x:c>
      <x:c r="D742" s="24">
        <x:v>4</x:v>
      </x:c>
      <x:c r="E742" s="24" t="s">
        <x:v>96</x:v>
      </x:c>
      <x:c r="F742" s="20" t="s">
        <x:v>97</x:v>
      </x:c>
      <x:c r="G742" s="26">
        <x:v>42530</x:v>
      </x:c>
      <x:c r="H742" s="24" t="s">
        <x:v>3523</x:v>
      </x:c>
      <x:c r="I742" s="28" t="s">
        <x:v>3524</x:v>
      </x:c>
      <x:c r="J742" s="29" t="s">
        <x:v>3525</x:v>
      </x:c>
    </x:row>
    <x:row r="743" ht="10.050000190734863" customHeight="1">
      <x:c r="A743" s="21" t="s">
        <x:v>3526</x:v>
      </x:c>
      <x:c r="B743" s="20" t="s">
        <x:v>3526</x:v>
      </x:c>
      <x:c r="C743" s="20" t="s">
        <x:v>246</x:v>
      </x:c>
      <x:c r="D743" s="24">
        <x:v>25</x:v>
      </x:c>
      <x:c r="E743" s="24" t="s">
        <x:v>114</x:v>
      </x:c>
      <x:c r="F743" s="20" t="s">
        <x:v>90</x:v>
      </x:c>
      <x:c r="G743" s="26">
        <x:v>46215</x:v>
      </x:c>
      <x:c r="H743" s="24" t="s">
        <x:v>3527</x:v>
      </x:c>
      <x:c r="I743" s="28" t="s">
        <x:v>3528</x:v>
      </x:c>
      <x:c r="J743" s="29" t="s">
        <x:v>3529</x:v>
      </x:c>
    </x:row>
    <x:row r="744" ht="10.050000190734863" customHeight="1">
      <x:c r="A744" s="21" t="s">
        <x:v>3530</x:v>
      </x:c>
      <x:c r="B744" s="20" t="s">
        <x:v>3530</x:v>
      </x:c>
      <x:c r="C744" s="20" t="s">
        <x:v>136</x:v>
      </x:c>
      <x:c r="D744" s="24">
        <x:v>12</x:v>
      </x:c>
      <x:c r="E744" s="24" t="s">
        <x:v>114</x:v>
      </x:c>
      <x:c r="F744" s="20" t="s">
        <x:v>90</x:v>
      </x:c>
      <x:c r="G744" s="26">
        <x:v>46222</x:v>
      </x:c>
      <x:c r="H744" s="24" t="s">
        <x:v>3531</x:v>
      </x:c>
      <x:c r="I744" s="28" t="s">
        <x:v>3532</x:v>
      </x:c>
      <x:c r="J744" s="29" t="s">
        <x:v>3533</x:v>
      </x:c>
    </x:row>
    <x:row r="745" ht="10.050000190734863" customHeight="1">
      <x:c r="A745" s="21" t="s">
        <x:v>3534</x:v>
      </x:c>
      <x:c r="B745" s="20" t="s">
        <x:v>3534</x:v>
      </x:c>
      <x:c r="C745" s="20" t="s">
        <x:v>3535</x:v>
      </x:c>
      <x:c r="D745" s="24">
        <x:v>130</x:v>
      </x:c>
      <x:c r="E745" s="24" t="s">
        <x:v>89</x:v>
      </x:c>
      <x:c r="F745" s="20" t="s">
        <x:v>97</x:v>
      </x:c>
      <x:c r="G745" s="26">
        <x:v>43578</x:v>
      </x:c>
      <x:c r="H745" s="24" t="s">
        <x:v>3536</x:v>
      </x:c>
      <x:c r="I745" s="28" t="s">
        <x:v>3537</x:v>
      </x:c>
      <x:c r="J745" s="29" t="s">
        <x:v>3538</x:v>
      </x:c>
    </x:row>
    <x:row r="746" ht="10.050000190734863" customHeight="1">
      <x:c r="A746" s="21" t="s">
        <x:v>3539</x:v>
      </x:c>
      <x:c r="B746" s="20" t="s">
        <x:v>3539</x:v>
      </x:c>
      <x:c r="C746" s="20" t="s">
        <x:v>307</x:v>
      </x:c>
      <x:c r="D746" s="24">
        <x:v>17</x:v>
      </x:c>
      <x:c r="E746" s="24" t="s">
        <x:v>96</x:v>
      </x:c>
      <x:c r="F746" s="20" t="s">
        <x:v>97</x:v>
      </x:c>
      <x:c r="G746" s="26">
        <x:v>44434</x:v>
      </x:c>
      <x:c r="H746" s="24" t="s">
        <x:v>3540</x:v>
      </x:c>
      <x:c r="I746" s="28" t="s">
        <x:v>3541</x:v>
      </x:c>
      <x:c r="J746" s="29" t="s">
        <x:v>3542</x:v>
      </x:c>
    </x:row>
    <x:row r="747" ht="10.050000190734863" customHeight="1">
      <x:c r="A747" s="21" t="s">
        <x:v>3543</x:v>
      </x:c>
      <x:c r="B747" s="20" t="s">
        <x:v>3543</x:v>
      </x:c>
      <x:c r="C747" s="20" t="s">
        <x:v>3544</x:v>
      </x:c>
      <x:c r="D747" s="24">
        <x:v>8</x:v>
      </x:c>
      <x:c r="E747" s="24" t="s">
        <x:v>103</x:v>
      </x:c>
      <x:c r="F747" s="20" t="s">
        <x:v>97</x:v>
      </x:c>
      <x:c r="G747" s="26">
        <x:v>42896</x:v>
      </x:c>
      <x:c r="H747" s="24" t="s">
        <x:v>3545</x:v>
      </x:c>
      <x:c r="I747" s="28" t="s">
        <x:v>3546</x:v>
      </x:c>
      <x:c r="J747" s="29" t="s">
        <x:v>3547</x:v>
      </x:c>
    </x:row>
    <x:row r="748" ht="10.050000190734863" customHeight="1">
      <x:c r="A748" s="21" t="s">
        <x:v>3548</x:v>
      </x:c>
      <x:c r="B748" s="20" t="s">
        <x:v>3548</x:v>
      </x:c>
      <x:c r="C748" s="20" t="s">
        <x:v>3549</x:v>
      </x:c>
      <x:c r="D748" s="24">
        <x:v>11</x:v>
      </x:c>
      <x:c r="E748" s="24" t="s">
        <x:v>114</x:v>
      </x:c>
      <x:c r="F748" s="20" t="s">
        <x:v>90</x:v>
      </x:c>
      <x:c r="G748" s="26">
        <x:v>44376</x:v>
      </x:c>
      <x:c r="H748" s="24" t="s">
        <x:v>3550</x:v>
      </x:c>
      <x:c r="I748" s="28" t="s">
        <x:v>3551</x:v>
      </x:c>
      <x:c r="J748" s="29" t="s">
        <x:v>3552</x:v>
      </x:c>
    </x:row>
    <x:row r="749" ht="10.050000190734863" customHeight="1">
      <x:c r="A749" s="21" t="s">
        <x:v>3553</x:v>
      </x:c>
      <x:c r="B749" s="20" t="s">
        <x:v>3553</x:v>
      </x:c>
      <x:c r="C749" s="20" t="s">
        <x:v>3554</x:v>
      </x:c>
      <x:c r="D749" s="24">
        <x:v>7</x:v>
      </x:c>
      <x:c r="E749" s="24" t="s">
        <x:v>96</x:v>
      </x:c>
      <x:c r="F749" s="20" t="s">
        <x:v>97</x:v>
      </x:c>
      <x:c r="G749" s="26">
        <x:v>42217</x:v>
      </x:c>
      <x:c r="H749" s="24" t="s">
        <x:v>3555</x:v>
      </x:c>
      <x:c r="I749" s="28" t="s">
        <x:v>3556</x:v>
      </x:c>
      <x:c r="J749" s="29" t="s">
        <x:v>3557</x:v>
      </x:c>
    </x:row>
    <x:row r="750" ht="10.050000190734863" customHeight="1">
      <x:c r="A750" s="21" t="s">
        <x:v>3558</x:v>
      </x:c>
      <x:c r="B750" s="20" t="s">
        <x:v>3558</x:v>
      </x:c>
      <x:c r="C750" s="20" t="s">
        <x:v>680</x:v>
      </x:c>
      <x:c r="D750" s="24">
        <x:v>10</x:v>
      </x:c>
      <x:c r="E750" s="24" t="s">
        <x:v>114</x:v>
      </x:c>
      <x:c r="F750" s="20" t="s">
        <x:v>90</x:v>
      </x:c>
      <x:c r="G750" s="26">
        <x:v>44768</x:v>
      </x:c>
      <x:c r="H750" s="24" t="s">
        <x:v>3559</x:v>
      </x:c>
      <x:c r="I750" s="28" t="s">
        <x:v>3560</x:v>
      </x:c>
      <x:c r="J750" s="29" t="s">
        <x:v>3561</x:v>
      </x:c>
    </x:row>
    <x:row r="751" ht="10.050000190734863" customHeight="1">
      <x:c r="A751" s="21" t="s">
        <x:v>3562</x:v>
      </x:c>
      <x:c r="B751" s="20" t="s">
        <x:v>3562</x:v>
      </x:c>
      <x:c r="C751" s="20" t="s">
        <x:v>3563</x:v>
      </x:c>
      <x:c r="D751" s="24">
        <x:v>11</x:v>
      </x:c>
      <x:c r="E751" s="24" t="s">
        <x:v>103</x:v>
      </x:c>
      <x:c r="F751" s="20" t="s">
        <x:v>97</x:v>
      </x:c>
      <x:c r="G751" s="26">
        <x:v>41645</x:v>
      </x:c>
      <x:c r="H751" s="24" t="s">
        <x:v>3564</x:v>
      </x:c>
      <x:c r="I751" s="28" t="s">
        <x:v>3565</x:v>
      </x:c>
      <x:c r="J751" s="29" t="s">
        <x:v>3566</x:v>
      </x:c>
    </x:row>
    <x:row r="752" ht="10.050000190734863" customHeight="1">
      <x:c r="A752" s="21" t="s">
        <x:v>3567</x:v>
      </x:c>
      <x:c r="B752" s="20" t="s">
        <x:v>3567</x:v>
      </x:c>
      <x:c r="C752" s="20" t="s">
        <x:v>3568</x:v>
      </x:c>
      <x:c r="D752" s="24">
        <x:v>6</x:v>
      </x:c>
      <x:c r="E752" s="24" t="s">
        <x:v>257</x:v>
      </x:c>
      <x:c r="F752" s="20" t="s">
        <x:v>97</x:v>
      </x:c>
      <x:c r="G752" s="26">
        <x:v>41525</x:v>
      </x:c>
      <x:c r="H752" s="24" t="s">
        <x:v>3569</x:v>
      </x:c>
      <x:c r="I752" s="28" t="s">
        <x:v>3570</x:v>
      </x:c>
      <x:c r="J752" s="29" t="s">
        <x:v>3571</x:v>
      </x:c>
    </x:row>
    <x:row r="753" ht="10.050000190734863" customHeight="1">
      <x:c r="A753" s="21" t="s">
        <x:v>3572</x:v>
      </x:c>
      <x:c r="B753" s="20" t="s">
        <x:v>3572</x:v>
      </x:c>
      <x:c r="C753" s="20" t="s">
        <x:v>3509</x:v>
      </x:c>
      <x:c r="D753" s="24">
        <x:v>12</x:v>
      </x:c>
      <x:c r="E753" s="24" t="s">
        <x:v>114</x:v>
      </x:c>
      <x:c r="F753" s="20" t="s">
        <x:v>152</x:v>
      </x:c>
      <x:c r="G753" s="26">
        <x:v>46074</x:v>
      </x:c>
      <x:c r="H753" s="24" t="s">
        <x:v>3573</x:v>
      </x:c>
      <x:c r="I753" s="28" t="s">
        <x:v>3574</x:v>
      </x:c>
      <x:c r="J753" s="29" t="s">
        <x:v>3575</x:v>
      </x:c>
    </x:row>
    <x:row r="754" ht="10.050000190734863" customHeight="1">
      <x:c r="A754" s="21" t="s">
        <x:v>3576</x:v>
      </x:c>
      <x:c r="B754" s="20" t="s">
        <x:v>3576</x:v>
      </x:c>
      <x:c r="C754" s="20" t="s">
        <x:v>409</x:v>
      </x:c>
      <x:c r="D754" s="24">
        <x:v>6</x:v>
      </x:c>
      <x:c r="E754" s="24" t="s">
        <x:v>89</x:v>
      </x:c>
      <x:c r="F754" s="20" t="s">
        <x:v>90</x:v>
      </x:c>
      <x:c r="G754" s="26">
        <x:v>45057</x:v>
      </x:c>
      <x:c r="H754" s="24" t="s">
        <x:v>3577</x:v>
      </x:c>
      <x:c r="I754" s="28" t="s">
        <x:v>3578</x:v>
      </x:c>
      <x:c r="J754" s="29" t="s">
        <x:v>3579</x:v>
      </x:c>
    </x:row>
    <x:row r="755" ht="10.050000190734863" customHeight="1">
      <x:c r="A755" s="21" t="s">
        <x:v>3580</x:v>
      </x:c>
      <x:c r="B755" s="20" t="s">
        <x:v>3580</x:v>
      </x:c>
      <x:c r="C755" s="20" t="s">
        <x:v>3581</x:v>
      </x:c>
      <x:c r="D755" s="24">
        <x:v>99</x:v>
      </x:c>
      <x:c r="E755" s="24" t="s">
        <x:v>96</x:v>
      </x:c>
      <x:c r="F755" s="20" t="s">
        <x:v>97</x:v>
      </x:c>
      <x:c r="G755" s="26">
        <x:v>44331</x:v>
      </x:c>
      <x:c r="H755" s="24" t="s">
        <x:v>3582</x:v>
      </x:c>
      <x:c r="I755" s="28" t="s">
        <x:v>3583</x:v>
      </x:c>
      <x:c r="J755" s="29" t="s">
        <x:v>3584</x:v>
      </x:c>
    </x:row>
    <x:row r="756" ht="10.050000190734863" customHeight="1">
      <x:c r="A756" s="21" t="s">
        <x:v>3585</x:v>
      </x:c>
      <x:c r="B756" s="20" t="s">
        <x:v>3585</x:v>
      </x:c>
      <x:c r="C756" s="20" t="s">
        <x:v>3586</x:v>
      </x:c>
      <x:c r="D756" s="24">
        <x:v>25</x:v>
      </x:c>
      <x:c r="E756" s="24" t="s">
        <x:v>96</x:v>
      </x:c>
      <x:c r="F756" s="20" t="s">
        <x:v>97</x:v>
      </x:c>
      <x:c r="G756" s="26">
        <x:v>42014</x:v>
      </x:c>
      <x:c r="H756" s="24" t="s">
        <x:v>3587</x:v>
      </x:c>
      <x:c r="I756" s="28" t="s">
        <x:v>3588</x:v>
      </x:c>
      <x:c r="J756" s="29" t="s">
        <x:v>3589</x:v>
      </x:c>
    </x:row>
    <x:row r="757" ht="10.050000190734863" customHeight="1">
      <x:c r="A757" s="21" t="s">
        <x:v>3590</x:v>
      </x:c>
      <x:c r="B757" s="20" t="s">
        <x:v>3590</x:v>
      </x:c>
      <x:c r="C757" s="20" t="s">
        <x:v>3591</x:v>
      </x:c>
      <x:c r="D757" s="24">
        <x:v>11</x:v>
      </x:c>
      <x:c r="E757" s="24" t="s">
        <x:v>103</x:v>
      </x:c>
      <x:c r="F757" s="20" t="s">
        <x:v>97</x:v>
      </x:c>
      <x:c r="G757" s="26">
        <x:v>42322</x:v>
      </x:c>
      <x:c r="H757" s="24" t="s">
        <x:v>3592</x:v>
      </x:c>
      <x:c r="I757" s="28" t="s">
        <x:v>3593</x:v>
      </x:c>
      <x:c r="J757" s="29" t="s">
        <x:v>3594</x:v>
      </x:c>
    </x:row>
    <x:row r="758" ht="10.050000190734863" customHeight="1">
      <x:c r="A758" s="21" t="s">
        <x:v>3595</x:v>
      </x:c>
      <x:c r="B758" s="20" t="s">
        <x:v>3595</x:v>
      </x:c>
      <x:c r="C758" s="20" t="s">
        <x:v>3596</x:v>
      </x:c>
      <x:c r="D758" s="24">
        <x:v>3</x:v>
      </x:c>
      <x:c r="E758" s="24" t="s">
        <x:v>96</x:v>
      </x:c>
      <x:c r="F758" s="20" t="s">
        <x:v>97</x:v>
      </x:c>
      <x:c r="G758" s="26">
        <x:v>44557</x:v>
      </x:c>
      <x:c r="H758" s="24" t="s">
        <x:v>3597</x:v>
      </x:c>
      <x:c r="I758" s="28" t="s">
        <x:v>3598</x:v>
      </x:c>
      <x:c r="J758" s="29" t="s">
        <x:v>3599</x:v>
      </x:c>
    </x:row>
    <x:row r="759" ht="10.050000190734863" customHeight="1">
      <x:c r="A759" s="21" t="s">
        <x:v>3600</x:v>
      </x:c>
      <x:c r="B759" s="20" t="s">
        <x:v>3600</x:v>
      </x:c>
      <x:c r="C759" s="20" t="s">
        <x:v>3601</x:v>
      </x:c>
      <x:c r="D759" s="24">
        <x:v>1</x:v>
      </x:c>
      <x:c r="E759" s="24" t="s">
        <x:v>198</x:v>
      </x:c>
      <x:c r="F759" s="20" t="s">
        <x:v>90</x:v>
      </x:c>
      <x:c r="G759" s="26">
        <x:v>41724</x:v>
      </x:c>
      <x:c r="H759" s="24" t="s">
        <x:v>3602</x:v>
      </x:c>
      <x:c r="I759" s="28" t="s">
        <x:v>3603</x:v>
      </x:c>
      <x:c r="J759" s="29" t="s">
        <x:v>3604</x:v>
      </x:c>
    </x:row>
    <x:row r="760" ht="10.050000190734863" customHeight="1">
      <x:c r="A760" s="21" t="s">
        <x:v>3605</x:v>
      </x:c>
      <x:c r="B760" s="20" t="s">
        <x:v>3605</x:v>
      </x:c>
      <x:c r="C760" s="20" t="s">
        <x:v>3606</x:v>
      </x:c>
      <x:c r="D760" s="24">
        <x:v>13</x:v>
      </x:c>
      <x:c r="E760" s="24" t="s">
        <x:v>96</x:v>
      </x:c>
      <x:c r="F760" s="20" t="s">
        <x:v>97</x:v>
      </x:c>
      <x:c r="G760" s="26">
        <x:v>42059</x:v>
      </x:c>
      <x:c r="H760" s="24" t="s">
        <x:v>3607</x:v>
      </x:c>
      <x:c r="I760" s="28" t="s">
        <x:v>3608</x:v>
      </x:c>
      <x:c r="J760" s="29" t="s">
        <x:v>3609</x:v>
      </x:c>
    </x:row>
    <x:row r="761" ht="10.050000190734863" customHeight="1">
      <x:c r="A761" s="21" t="s">
        <x:v>3610</x:v>
      </x:c>
      <x:c r="B761" s="20" t="s">
        <x:v>3610</x:v>
      </x:c>
      <x:c r="C761" s="20" t="s">
        <x:v>3611</x:v>
      </x:c>
      <x:c r="D761" s="24">
        <x:v>10</x:v>
      </x:c>
      <x:c r="E761" s="24" t="s">
        <x:v>198</x:v>
      </x:c>
      <x:c r="F761" s="20" t="s">
        <x:v>90</x:v>
      </x:c>
      <x:c r="G761" s="26">
        <x:v>45799</x:v>
      </x:c>
      <x:c r="H761" s="24" t="s">
        <x:v>3612</x:v>
      </x:c>
      <x:c r="I761" s="28" t="s">
        <x:v>3613</x:v>
      </x:c>
      <x:c r="J761" s="29" t="s">
        <x:v>3614</x:v>
      </x:c>
    </x:row>
    <x:row r="762" ht="10.050000190734863" customHeight="1">
      <x:c r="A762" s="21" t="s">
        <x:v>90</x:v>
      </x:c>
      <x:c r="B762" s="20" t="s">
        <x:v>90</x:v>
      </x:c>
      <x:c r="C762" s="20" t="s">
        <x:v>3012</x:v>
      </x:c>
      <x:c r="D762" s="24">
        <x:v>5</x:v>
      </x:c>
      <x:c r="E762" s="24" t="s">
        <x:v>114</x:v>
      </x:c>
      <x:c r="F762" s="20" t="s">
        <x:v>90</x:v>
      </x:c>
      <x:c r="G762" s="26">
        <x:v>45523</x:v>
      </x:c>
      <x:c r="H762" s="24" t="s">
        <x:v>3615</x:v>
      </x:c>
      <x:c r="I762" s="28" t="s">
        <x:v>3616</x:v>
      </x:c>
      <x:c r="J762" s="29" t="s">
        <x:v>3617</x:v>
      </x:c>
    </x:row>
    <x:row r="763" ht="10.050000190734863" customHeight="1">
      <x:c r="A763" s="21" t="s">
        <x:v>3618</x:v>
      </x:c>
      <x:c r="B763" s="20" t="s">
        <x:v>3618</x:v>
      </x:c>
      <x:c r="C763" s="20" t="s">
        <x:v>3012</x:v>
      </x:c>
      <x:c r="D763" s="24">
        <x:v>5</x:v>
      </x:c>
      <x:c r="E763" s="24" t="s">
        <x:v>114</x:v>
      </x:c>
      <x:c r="F763" s="20" t="s">
        <x:v>90</x:v>
      </x:c>
      <x:c r="G763" s="26">
        <x:v>45561</x:v>
      </x:c>
      <x:c r="H763" s="24" t="s">
        <x:v>3619</x:v>
      </x:c>
      <x:c r="I763" s="28" t="s">
        <x:v>3620</x:v>
      </x:c>
      <x:c r="J763" s="29" t="s">
        <x:v>3621</x:v>
      </x:c>
    </x:row>
    <x:row r="764" ht="10.050000190734863" customHeight="1">
      <x:c r="A764" s="21" t="s">
        <x:v>3622</x:v>
      </x:c>
      <x:c r="B764" s="20" t="s">
        <x:v>3622</x:v>
      </x:c>
      <x:c r="C764" s="20" t="s">
        <x:v>3623</x:v>
      </x:c>
      <x:c r="D764" s="24">
        <x:v>10</x:v>
      </x:c>
      <x:c r="E764" s="24" t="s">
        <x:v>114</x:v>
      </x:c>
      <x:c r="F764" s="20" t="s">
        <x:v>90</x:v>
      </x:c>
      <x:c r="G764" s="26">
        <x:v>44523</x:v>
      </x:c>
      <x:c r="H764" s="24" t="s">
        <x:v>3624</x:v>
      </x:c>
      <x:c r="I764" s="28" t="s">
        <x:v>3625</x:v>
      </x:c>
      <x:c r="J764" s="29" t="s">
        <x:v>3626</x:v>
      </x:c>
    </x:row>
    <x:row r="765" ht="10.050000190734863" customHeight="1">
      <x:c r="A765" s="21" t="s">
        <x:v>3627</x:v>
      </x:c>
      <x:c r="B765" s="20" t="s">
        <x:v>3627</x:v>
      </x:c>
      <x:c r="C765" s="20" t="s">
        <x:v>3628</x:v>
      </x:c>
      <x:c r="D765" s="24">
        <x:v>8</x:v>
      </x:c>
      <x:c r="E765" s="24" t="s">
        <x:v>198</x:v>
      </x:c>
      <x:c r="F765" s="20" t="s">
        <x:v>90</x:v>
      </x:c>
      <x:c r="G765" s="26">
        <x:v>45550</x:v>
      </x:c>
      <x:c r="H765" s="24" t="s">
        <x:v>3629</x:v>
      </x:c>
      <x:c r="I765" s="28" t="s">
        <x:v>3630</x:v>
      </x:c>
      <x:c r="J765" s="29" t="s">
        <x:v>3631</x:v>
      </x:c>
    </x:row>
    <x:row r="766" ht="10.050000190734863" customHeight="1">
      <x:c r="A766" s="21" t="s">
        <x:v>3632</x:v>
      </x:c>
      <x:c r="B766" s="20" t="s">
        <x:v>3632</x:v>
      </x:c>
      <x:c r="C766" s="20" t="s">
        <x:v>3633</x:v>
      </x:c>
      <x:c r="D766" s="24">
        <x:v>12</x:v>
      </x:c>
      <x:c r="E766" s="24" t="s">
        <x:v>103</x:v>
      </x:c>
      <x:c r="F766" s="20" t="s">
        <x:v>90</x:v>
      </x:c>
      <x:c r="G766" s="26">
        <x:v>46222</x:v>
      </x:c>
      <x:c r="H766" s="24" t="s">
        <x:v>3634</x:v>
      </x:c>
      <x:c r="I766" s="28" t="s">
        <x:v>3635</x:v>
      </x:c>
      <x:c r="J766" s="29" t="s">
        <x:v>3636</x:v>
      </x:c>
    </x:row>
    <x:row r="767" ht="10.050000190734863" customHeight="1">
      <x:c r="A767" s="21" t="s">
        <x:v>3637</x:v>
      </x:c>
      <x:c r="B767" s="20" t="s">
        <x:v>3637</x:v>
      </x:c>
      <x:c r="C767" s="20" t="s">
        <x:v>3638</x:v>
      </x:c>
      <x:c r="D767" s="24">
        <x:v>36</x:v>
      </x:c>
      <x:c r="E767" s="24" t="s">
        <x:v>96</x:v>
      </x:c>
      <x:c r="F767" s="20" t="s">
        <x:v>90</x:v>
      </x:c>
      <x:c r="G767" s="26">
        <x:v>45777</x:v>
      </x:c>
      <x:c r="H767" s="24" t="s">
        <x:v>3639</x:v>
      </x:c>
      <x:c r="I767" s="28" t="s">
        <x:v>3640</x:v>
      </x:c>
      <x:c r="J767" s="29" t="s">
        <x:v>3641</x:v>
      </x:c>
    </x:row>
    <x:row r="768" ht="10.050000190734863" customHeight="1">
      <x:c r="A768" s="21" t="s">
        <x:v>3642</x:v>
      </x:c>
      <x:c r="B768" s="20" t="s">
        <x:v>3642</x:v>
      </x:c>
      <x:c r="C768" s="20" t="s">
        <x:v>885</x:v>
      </x:c>
      <x:c r="D768" s="24">
        <x:v>5</x:v>
      </x:c>
      <x:c r="E768" s="24" t="s">
        <x:v>114</x:v>
      </x:c>
      <x:c r="F768" s="20" t="s">
        <x:v>90</x:v>
      </x:c>
      <x:c r="G768" s="26">
        <x:v>44777</x:v>
      </x:c>
      <x:c r="H768" s="24" t="s">
        <x:v>3643</x:v>
      </x:c>
      <x:c r="I768" s="28" t="s">
        <x:v>3644</x:v>
      </x:c>
      <x:c r="J768" s="29" t="s">
        <x:v>3645</x:v>
      </x:c>
    </x:row>
    <x:row r="769" ht="10.050000190734863" customHeight="1">
      <x:c r="A769" s="21" t="s">
        <x:v>3646</x:v>
      </x:c>
      <x:c r="B769" s="20" t="s">
        <x:v>3646</x:v>
      </x:c>
      <x:c r="C769" s="20" t="s">
        <x:v>885</x:v>
      </x:c>
      <x:c r="D769" s="24">
        <x:v>7</x:v>
      </x:c>
      <x:c r="E769" s="24" t="s">
        <x:v>198</x:v>
      </x:c>
      <x:c r="F769" s="20" t="s">
        <x:v>90</x:v>
      </x:c>
      <x:c r="G769" s="26">
        <x:v>45600</x:v>
      </x:c>
      <x:c r="H769" s="24" t="s">
        <x:v>3647</x:v>
      </x:c>
      <x:c r="I769" s="28" t="s">
        <x:v>3648</x:v>
      </x:c>
      <x:c r="J769" s="29" t="s">
        <x:v>3649</x:v>
      </x:c>
    </x:row>
    <x:row r="770" ht="10.050000190734863" customHeight="1">
      <x:c r="A770" s="21" t="s">
        <x:v>3650</x:v>
      </x:c>
      <x:c r="B770" s="20" t="s">
        <x:v>3650</x:v>
      </x:c>
      <x:c r="C770" s="20" t="s">
        <x:v>3651</x:v>
      </x:c>
      <x:c r="D770" s="24">
        <x:v>4</x:v>
      </x:c>
      <x:c r="E770" s="24" t="s">
        <x:v>198</x:v>
      </x:c>
      <x:c r="F770" s="20" t="s">
        <x:v>90</x:v>
      </x:c>
      <x:c r="G770" s="26">
        <x:v>44221</x:v>
      </x:c>
      <x:c r="H770" s="24" t="s">
        <x:v>3652</x:v>
      </x:c>
      <x:c r="I770" s="28" t="s">
        <x:v>3653</x:v>
      </x:c>
      <x:c r="J770" s="29" t="s">
        <x:v>3654</x:v>
      </x:c>
    </x:row>
    <x:row r="771" ht="10.050000190734863" customHeight="1">
      <x:c r="A771" s="21" t="s">
        <x:v>3655</x:v>
      </x:c>
      <x:c r="B771" s="20" t="s">
        <x:v>3655</x:v>
      </x:c>
      <x:c r="C771" s="20" t="s">
        <x:v>3656</x:v>
      </x:c>
      <x:c r="D771" s="24">
        <x:v>12</x:v>
      </x:c>
      <x:c r="E771" s="24" t="s">
        <x:v>198</x:v>
      </x:c>
      <x:c r="F771" s="20" t="s">
        <x:v>90</x:v>
      </x:c>
      <x:c r="G771" s="26">
        <x:v>43775</x:v>
      </x:c>
      <x:c r="H771" s="24" t="s">
        <x:v>3657</x:v>
      </x:c>
      <x:c r="I771" s="28" t="s">
        <x:v>3658</x:v>
      </x:c>
      <x:c r="J771" s="29" t="s">
        <x:v>3659</x:v>
      </x:c>
    </x:row>
    <x:row r="772" ht="10.050000190734863" customHeight="1">
      <x:c r="A772" s="21" t="s">
        <x:v>3660</x:v>
      </x:c>
      <x:c r="B772" s="20" t="s">
        <x:v>3660</x:v>
      </x:c>
      <x:c r="C772" s="20" t="s">
        <x:v>3661</x:v>
      </x:c>
      <x:c r="D772" s="24">
        <x:v>10</x:v>
      </x:c>
      <x:c r="E772" s="24" t="s">
        <x:v>96</x:v>
      </x:c>
      <x:c r="F772" s="20" t="s">
        <x:v>90</x:v>
      </x:c>
      <x:c r="G772" s="26">
        <x:v>44679</x:v>
      </x:c>
      <x:c r="H772" s="24" t="s">
        <x:v>3662</x:v>
      </x:c>
      <x:c r="I772" s="28" t="s">
        <x:v>3663</x:v>
      </x:c>
      <x:c r="J772" s="29" t="s">
        <x:v>3664</x:v>
      </x:c>
    </x:row>
    <x:row r="773" ht="10.050000190734863" customHeight="1">
      <x:c r="A773" s="21" t="s">
        <x:v>3665</x:v>
      </x:c>
      <x:c r="B773" s="20" t="s">
        <x:v>3665</x:v>
      </x:c>
      <x:c r="C773" s="20" t="s">
        <x:v>3666</x:v>
      </x:c>
      <x:c r="D773" s="24">
        <x:v>10</x:v>
      </x:c>
      <x:c r="E773" s="24" t="s">
        <x:v>96</x:v>
      </x:c>
      <x:c r="F773" s="20" t="s">
        <x:v>90</x:v>
      </x:c>
      <x:c r="G773" s="26">
        <x:v>44108</x:v>
      </x:c>
      <x:c r="H773" s="24" t="s">
        <x:v>3667</x:v>
      </x:c>
      <x:c r="I773" s="28" t="s">
        <x:v>3668</x:v>
      </x:c>
      <x:c r="J773" s="29" t="s">
        <x:v>3669</x:v>
      </x:c>
    </x:row>
    <x:row r="774" ht="10.050000190734863" customHeight="1">
      <x:c r="A774" s="21" t="s">
        <x:v>3670</x:v>
      </x:c>
      <x:c r="B774" s="20" t="s">
        <x:v>3670</x:v>
      </x:c>
      <x:c r="C774" s="20" t="s">
        <x:v>1861</x:v>
      </x:c>
      <x:c r="D774" s="24">
        <x:v>1</x:v>
      </x:c>
      <x:c r="E774" s="24" t="s">
        <x:v>198</x:v>
      </x:c>
      <x:c r="F774" s="20" t="s">
        <x:v>90</x:v>
      </x:c>
      <x:c r="G774" s="26">
        <x:v>44973</x:v>
      </x:c>
      <x:c r="H774" s="24" t="s">
        <x:v>3671</x:v>
      </x:c>
      <x:c r="I774" s="28" t="s">
        <x:v>3672</x:v>
      </x:c>
      <x:c r="J774" s="29" t="s">
        <x:v>3673</x:v>
      </x:c>
    </x:row>
    <x:row r="775" ht="10.050000190734863" customHeight="1">
      <x:c r="A775" s="21" t="s">
        <x:v>3674</x:v>
      </x:c>
      <x:c r="B775" s="20" t="s">
        <x:v>3674</x:v>
      </x:c>
      <x:c r="C775" s="20" t="s">
        <x:v>3675</x:v>
      </x:c>
      <x:c r="D775" s="24">
        <x:v>11</x:v>
      </x:c>
      <x:c r="E775" s="24" t="s">
        <x:v>198</x:v>
      </x:c>
      <x:c r="F775" s="20" t="s">
        <x:v>90</x:v>
      </x:c>
      <x:c r="G775" s="26">
        <x:v>42965</x:v>
      </x:c>
      <x:c r="H775" s="24" t="s">
        <x:v>3676</x:v>
      </x:c>
      <x:c r="I775" s="28" t="s">
        <x:v>3677</x:v>
      </x:c>
      <x:c r="J775" s="29" t="s">
        <x:v>3678</x:v>
      </x:c>
    </x:row>
    <x:row r="776" ht="10.050000190734863" customHeight="1">
      <x:c r="A776" s="21" t="s">
        <x:v>3679</x:v>
      </x:c>
      <x:c r="B776" s="20" t="s">
        <x:v>3679</x:v>
      </x:c>
      <x:c r="C776" s="20" t="s">
        <x:v>3675</x:v>
      </x:c>
      <x:c r="D776" s="24">
        <x:v>9</x:v>
      </x:c>
      <x:c r="E776" s="24" t="s">
        <x:v>114</x:v>
      </x:c>
      <x:c r="F776" s="20" t="s">
        <x:v>90</x:v>
      </x:c>
      <x:c r="G776" s="26">
        <x:v>42965</x:v>
      </x:c>
      <x:c r="H776" s="24" t="s">
        <x:v>3680</x:v>
      </x:c>
      <x:c r="I776" s="28" t="s">
        <x:v>3681</x:v>
      </x:c>
      <x:c r="J776" s="29" t="s">
        <x:v>3682</x:v>
      </x:c>
    </x:row>
    <x:row r="777" ht="10.050000190734863" customHeight="1">
      <x:c r="A777" s="21" t="s">
        <x:v>3683</x:v>
      </x:c>
      <x:c r="B777" s="20" t="s">
        <x:v>3683</x:v>
      </x:c>
      <x:c r="C777" s="20" t="s">
        <x:v>3675</x:v>
      </x:c>
      <x:c r="D777" s="24">
        <x:v>12</x:v>
      </x:c>
      <x:c r="E777" s="24" t="s">
        <x:v>125</x:v>
      </x:c>
      <x:c r="F777" s="20" t="s">
        <x:v>90</x:v>
      </x:c>
      <x:c r="G777" s="26">
        <x:v>42965</x:v>
      </x:c>
      <x:c r="H777" s="24" t="s">
        <x:v>3684</x:v>
      </x:c>
      <x:c r="I777" s="28" t="s">
        <x:v>3685</x:v>
      </x:c>
      <x:c r="J777" s="29" t="s">
        <x:v>3686</x:v>
      </x:c>
    </x:row>
    <x:row r="778" ht="10.050000190734863" customHeight="1">
      <x:c r="A778" s="21" t="s">
        <x:v>3687</x:v>
      </x:c>
      <x:c r="B778" s="20" t="s">
        <x:v>3687</x:v>
      </x:c>
      <x:c r="C778" s="20" t="s">
        <x:v>2562</x:v>
      </x:c>
      <x:c r="D778" s="24">
        <x:v>10</x:v>
      </x:c>
      <x:c r="E778" s="24" t="s">
        <x:v>114</x:v>
      </x:c>
      <x:c r="F778" s="20" t="s">
        <x:v>90</x:v>
      </x:c>
      <x:c r="G778" s="26">
        <x:v>46094</x:v>
      </x:c>
      <x:c r="H778" s="24" t="s">
        <x:v>3688</x:v>
      </x:c>
      <x:c r="I778" s="28" t="s">
        <x:v>3689</x:v>
      </x:c>
      <x:c r="J778" s="29" t="s">
        <x:v>3690</x:v>
      </x:c>
    </x:row>
    <x:row r="779" ht="10.050000190734863" customHeight="1">
      <x:c r="A779" s="21" t="s">
        <x:v>3691</x:v>
      </x:c>
      <x:c r="B779" s="20" t="s">
        <x:v>3691</x:v>
      </x:c>
      <x:c r="C779" s="20" t="s">
        <x:v>3692</x:v>
      </x:c>
      <x:c r="D779" s="24">
        <x:v>22</x:v>
      </x:c>
      <x:c r="E779" s="24" t="s">
        <x:v>198</x:v>
      </x:c>
      <x:c r="F779" s="20" t="s">
        <x:v>90</x:v>
      </x:c>
      <x:c r="G779" s="26">
        <x:v>43569</x:v>
      </x:c>
      <x:c r="H779" s="24" t="s">
        <x:v>3693</x:v>
      </x:c>
      <x:c r="I779" s="28" t="s">
        <x:v>3694</x:v>
      </x:c>
      <x:c r="J779" s="29" t="s">
        <x:v>3695</x:v>
      </x:c>
    </x:row>
    <x:row r="780" ht="10.050000190734863" customHeight="1">
      <x:c r="A780" s="21" t="s">
        <x:v>3696</x:v>
      </x:c>
      <x:c r="B780" s="20" t="s">
        <x:v>3696</x:v>
      </x:c>
      <x:c r="C780" s="20" t="s">
        <x:v>3697</x:v>
      </x:c>
      <x:c r="D780" s="24">
        <x:v>25</x:v>
      </x:c>
      <x:c r="E780" s="24" t="s">
        <x:v>103</x:v>
      </x:c>
      <x:c r="F780" s="20" t="s">
        <x:v>97</x:v>
      </x:c>
      <x:c r="G780" s="26">
        <x:v>42239</x:v>
      </x:c>
      <x:c r="H780" s="24" t="s">
        <x:v>3698</x:v>
      </x:c>
      <x:c r="I780" s="28" t="s">
        <x:v>3699</x:v>
      </x:c>
      <x:c r="J780" s="29" t="s">
        <x:v>3700</x:v>
      </x:c>
    </x:row>
    <x:row r="781" ht="10.050000190734863" customHeight="1">
      <x:c r="A781" s="21" t="s">
        <x:v>3701</x:v>
      </x:c>
      <x:c r="B781" s="20" t="s">
        <x:v>3701</x:v>
      </x:c>
      <x:c r="C781" s="20" t="s">
        <x:v>543</x:v>
      </x:c>
      <x:c r="D781" s="24">
        <x:v>82</x:v>
      </x:c>
      <x:c r="E781" s="24" t="s">
        <x:v>103</x:v>
      </x:c>
      <x:c r="F781" s="20" t="s">
        <x:v>97</x:v>
      </x:c>
      <x:c r="G781" s="26">
        <x:v>42284</x:v>
      </x:c>
      <x:c r="H781" s="24" t="s">
        <x:v>3702</x:v>
      </x:c>
      <x:c r="I781" s="28" t="s">
        <x:v>3703</x:v>
      </x:c>
      <x:c r="J781" s="29" t="s">
        <x:v>3704</x:v>
      </x:c>
    </x:row>
    <x:row r="782" ht="10.050000190734863" customHeight="1">
      <x:c r="A782" s="21" t="s">
        <x:v>3705</x:v>
      </x:c>
      <x:c r="B782" s="20" t="s">
        <x:v>3705</x:v>
      </x:c>
      <x:c r="C782" s="20" t="s">
        <x:v>3706</x:v>
      </x:c>
      <x:c r="D782" s="24">
        <x:v>10</x:v>
      </x:c>
      <x:c r="E782" s="24" t="s">
        <x:v>103</x:v>
      </x:c>
      <x:c r="F782" s="20" t="s">
        <x:v>97</x:v>
      </x:c>
      <x:c r="G782" s="26">
        <x:v>42349</x:v>
      </x:c>
      <x:c r="H782" s="24" t="s">
        <x:v>3707</x:v>
      </x:c>
      <x:c r="I782" s="28" t="s">
        <x:v>3708</x:v>
      </x:c>
      <x:c r="J782" s="29" t="s">
        <x:v>3709</x:v>
      </x:c>
    </x:row>
    <x:row r="783" ht="10.050000190734863" customHeight="1">
      <x:c r="A783" s="21" t="s">
        <x:v>3710</x:v>
      </x:c>
      <x:c r="B783" s="20" t="s">
        <x:v>3710</x:v>
      </x:c>
      <x:c r="C783" s="20" t="s">
        <x:v>3711</x:v>
      </x:c>
      <x:c r="D783" s="24">
        <x:v>28</x:v>
      </x:c>
      <x:c r="E783" s="24" t="s">
        <x:v>89</x:v>
      </x:c>
      <x:c r="F783" s="20" t="s">
        <x:v>90</x:v>
      </x:c>
      <x:c r="G783" s="26">
        <x:v>45233</x:v>
      </x:c>
      <x:c r="H783" s="24" t="s">
        <x:v>3712</x:v>
      </x:c>
      <x:c r="I783" s="28" t="s">
        <x:v>3713</x:v>
      </x:c>
      <x:c r="J783" s="29" t="s">
        <x:v>3714</x:v>
      </x:c>
    </x:row>
    <x:row r="784" ht="10.050000190734863" customHeight="1">
      <x:c r="A784" s="21" t="s">
        <x:v>3715</x:v>
      </x:c>
      <x:c r="B784" s="20" t="s">
        <x:v>3715</x:v>
      </x:c>
      <x:c r="C784" s="20" t="s">
        <x:v>3716</x:v>
      </x:c>
      <x:c r="D784" s="24">
        <x:v>42</x:v>
      </x:c>
      <x:c r="E784" s="24" t="s">
        <x:v>96</x:v>
      </x:c>
      <x:c r="F784" s="20" t="s">
        <x:v>97</x:v>
      </x:c>
      <x:c r="G784" s="26">
        <x:v>41517</x:v>
      </x:c>
      <x:c r="H784" s="24" t="s">
        <x:v>3717</x:v>
      </x:c>
      <x:c r="I784" s="28" t="s">
        <x:v>3718</x:v>
      </x:c>
      <x:c r="J784" s="29" t="s">
        <x:v>3719</x:v>
      </x:c>
    </x:row>
    <x:row r="785" ht="10.050000190734863" customHeight="1">
      <x:c r="A785" s="21" t="s">
        <x:v>3720</x:v>
      </x:c>
      <x:c r="B785" s="20" t="s">
        <x:v>3720</x:v>
      </x:c>
      <x:c r="C785" s="20" t="s">
        <x:v>2396</x:v>
      </x:c>
      <x:c r="D785" s="24">
        <x:v>13</x:v>
      </x:c>
      <x:c r="E785" s="24" t="s">
        <x:v>198</x:v>
      </x:c>
      <x:c r="F785" s="20" t="s">
        <x:v>90</x:v>
      </x:c>
      <x:c r="G785" s="26">
        <x:v>46123</x:v>
      </x:c>
      <x:c r="H785" s="24" t="s">
        <x:v>3721</x:v>
      </x:c>
      <x:c r="I785" s="28" t="s">
        <x:v>3722</x:v>
      </x:c>
      <x:c r="J785" s="29" t="s">
        <x:v>3723</x:v>
      </x:c>
    </x:row>
    <x:row r="786" ht="10.050000190734863" customHeight="1">
      <x:c r="A786" s="21" t="s">
        <x:v>3724</x:v>
      </x:c>
      <x:c r="B786" s="20" t="s">
        <x:v>3724</x:v>
      </x:c>
      <x:c r="C786" s="20" t="s">
        <x:v>2262</x:v>
      </x:c>
      <x:c r="D786" s="24">
        <x:v>35</x:v>
      </x:c>
      <x:c r="E786" s="24" t="s">
        <x:v>103</x:v>
      </x:c>
      <x:c r="F786" s="20" t="s">
        <x:v>97</x:v>
      </x:c>
      <x:c r="G786" s="26">
        <x:v>42057</x:v>
      </x:c>
      <x:c r="H786" s="24" t="s">
        <x:v>3725</x:v>
      </x:c>
      <x:c r="I786" s="28" t="s">
        <x:v>3726</x:v>
      </x:c>
      <x:c r="J786" s="29" t="s">
        <x:v>3727</x:v>
      </x:c>
    </x:row>
    <x:row r="787" ht="10.050000190734863" customHeight="1">
      <x:c r="A787" s="21" t="s">
        <x:v>3728</x:v>
      </x:c>
      <x:c r="B787" s="20" t="s">
        <x:v>3728</x:v>
      </x:c>
      <x:c r="C787" s="20" t="s">
        <x:v>3729</x:v>
      </x:c>
      <x:c r="D787" s="24">
        <x:v>13</x:v>
      </x:c>
      <x:c r="E787" s="24" t="s">
        <x:v>198</x:v>
      </x:c>
      <x:c r="F787" s="20" t="s">
        <x:v>90</x:v>
      </x:c>
      <x:c r="G787" s="26">
        <x:v>44022</x:v>
      </x:c>
      <x:c r="H787" s="24" t="s">
        <x:v>3730</x:v>
      </x:c>
      <x:c r="I787" s="28" t="s">
        <x:v>3731</x:v>
      </x:c>
      <x:c r="J787" s="29" t="s">
        <x:v>3732</x:v>
      </x:c>
    </x:row>
    <x:row r="788" ht="10.050000190734863" customHeight="1">
      <x:c r="A788" s="21" t="s">
        <x:v>3733</x:v>
      </x:c>
      <x:c r="B788" s="20" t="s">
        <x:v>3733</x:v>
      </x:c>
      <x:c r="C788" s="20" t="s">
        <x:v>629</x:v>
      </x:c>
      <x:c r="D788" s="24">
        <x:v>12</x:v>
      </x:c>
      <x:c r="E788" s="24" t="s">
        <x:v>89</x:v>
      </x:c>
      <x:c r="F788" s="20" t="s">
        <x:v>90</x:v>
      </x:c>
      <x:c r="G788" s="26">
        <x:v>44925</x:v>
      </x:c>
      <x:c r="H788" s="24" t="s">
        <x:v>3734</x:v>
      </x:c>
      <x:c r="I788" s="28" t="s">
        <x:v>3735</x:v>
      </x:c>
      <x:c r="J788" s="29" t="s">
        <x:v>3736</x:v>
      </x:c>
    </x:row>
    <x:row r="789" ht="10.050000190734863" customHeight="1">
      <x:c r="A789" s="21" t="s">
        <x:v>3737</x:v>
      </x:c>
      <x:c r="B789" s="20" t="s">
        <x:v>3737</x:v>
      </x:c>
      <x:c r="C789" s="20" t="s">
        <x:v>3738</x:v>
      </x:c>
      <x:c r="D789" s="24">
        <x:v>15</x:v>
      </x:c>
      <x:c r="E789" s="24" t="s">
        <x:v>198</x:v>
      </x:c>
      <x:c r="F789" s="20" t="s">
        <x:v>90</x:v>
      </x:c>
      <x:c r="G789" s="26">
        <x:v>45335</x:v>
      </x:c>
      <x:c r="H789" s="24" t="s">
        <x:v>3739</x:v>
      </x:c>
      <x:c r="I789" s="28" t="s">
        <x:v>3740</x:v>
      </x:c>
      <x:c r="J789" s="29" t="s">
        <x:v>3741</x:v>
      </x:c>
    </x:row>
    <x:row r="790" ht="10.050000190734863" customHeight="1">
      <x:c r="A790" s="21" t="s">
        <x:v>3742</x:v>
      </x:c>
      <x:c r="B790" s="20" t="s">
        <x:v>3742</x:v>
      </x:c>
      <x:c r="C790" s="20" t="s">
        <x:v>399</x:v>
      </x:c>
      <x:c r="D790" s="24">
        <x:v>5</x:v>
      </x:c>
      <x:c r="E790" s="24" t="s">
        <x:v>89</x:v>
      </x:c>
      <x:c r="F790" s="20" t="s">
        <x:v>97</x:v>
      </x:c>
      <x:c r="G790" s="26">
        <x:v>43800</x:v>
      </x:c>
      <x:c r="H790" s="24" t="s">
        <x:v>3743</x:v>
      </x:c>
      <x:c r="I790" s="28" t="s">
        <x:v>3744</x:v>
      </x:c>
      <x:c r="J790" s="29" t="s">
        <x:v>3745</x:v>
      </x:c>
    </x:row>
    <x:row r="791" ht="10.050000190734863" customHeight="1">
      <x:c r="A791" s="21" t="s">
        <x:v>3746</x:v>
      </x:c>
      <x:c r="B791" s="20" t="s">
        <x:v>3746</x:v>
      </x:c>
      <x:c r="C791" s="20" t="s">
        <x:v>3747</x:v>
      </x:c>
      <x:c r="D791" s="24">
        <x:v>4</x:v>
      </x:c>
      <x:c r="E791" s="24" t="s">
        <x:v>125</x:v>
      </x:c>
      <x:c r="F791" s="20" t="s">
        <x:v>90</x:v>
      </x:c>
      <x:c r="G791" s="26">
        <x:v>45551</x:v>
      </x:c>
      <x:c r="H791" s="24" t="s">
        <x:v>3748</x:v>
      </x:c>
      <x:c r="I791" s="28" t="s">
        <x:v>3749</x:v>
      </x:c>
      <x:c r="J791" s="29" t="s">
        <x:v>3750</x:v>
      </x:c>
    </x:row>
    <x:row r="792" ht="10.050000190734863" customHeight="1">
      <x:c r="A792" s="21" t="s">
        <x:v>3751</x:v>
      </x:c>
      <x:c r="B792" s="20" t="s">
        <x:v>3751</x:v>
      </x:c>
      <x:c r="C792" s="20" t="s">
        <x:v>3752</x:v>
      </x:c>
      <x:c r="D792" s="24">
        <x:v>1</x:v>
      </x:c>
      <x:c r="E792" s="24" t="s">
        <x:v>103</x:v>
      </x:c>
      <x:c r="F792" s="20" t="s">
        <x:v>97</x:v>
      </x:c>
      <x:c r="G792" s="26">
        <x:v>42003</x:v>
      </x:c>
      <x:c r="H792" s="24" t="s">
        <x:v>3753</x:v>
      </x:c>
      <x:c r="I792" s="28" t="s">
        <x:v>3754</x:v>
      </x:c>
      <x:c r="J792" s="29" t="s">
        <x:v>3755</x:v>
      </x:c>
    </x:row>
    <x:row r="793" ht="10.050000190734863" customHeight="1">
      <x:c r="A793" s="21" t="s">
        <x:v>3756</x:v>
      </x:c>
      <x:c r="B793" s="20" t="s">
        <x:v>3756</x:v>
      </x:c>
      <x:c r="C793" s="20" t="s">
        <x:v>3757</x:v>
      </x:c>
      <x:c r="D793" s="24">
        <x:v>11</x:v>
      </x:c>
      <x:c r="E793" s="24" t="s">
        <x:v>89</x:v>
      </x:c>
      <x:c r="F793" s="20" t="s">
        <x:v>90</x:v>
      </x:c>
      <x:c r="G793" s="26">
        <x:v>44214</x:v>
      </x:c>
      <x:c r="H793" s="24" t="s">
        <x:v>3758</x:v>
      </x:c>
      <x:c r="I793" s="28" t="s">
        <x:v>3759</x:v>
      </x:c>
      <x:c r="J793" s="29" t="s">
        <x:v>3760</x:v>
      </x:c>
    </x:row>
    <x:row r="794" ht="10.050000190734863" customHeight="1">
      <x:c r="A794" s="21" t="s">
        <x:v>3761</x:v>
      </x:c>
      <x:c r="B794" s="20" t="s">
        <x:v>3761</x:v>
      </x:c>
      <x:c r="C794" s="20" t="s">
        <x:v>718</x:v>
      </x:c>
      <x:c r="D794" s="24">
        <x:v>6</x:v>
      </x:c>
      <x:c r="E794" s="24" t="s">
        <x:v>96</x:v>
      </x:c>
      <x:c r="F794" s="20" t="s">
        <x:v>97</x:v>
      </x:c>
      <x:c r="G794" s="26">
        <x:v>42176</x:v>
      </x:c>
      <x:c r="H794" s="24" t="s">
        <x:v>3762</x:v>
      </x:c>
      <x:c r="I794" s="28" t="s">
        <x:v>3763</x:v>
      </x:c>
      <x:c r="J794" s="29" t="s">
        <x:v>3764</x:v>
      </x:c>
    </x:row>
    <x:row r="795" ht="10.050000190734863" customHeight="1">
      <x:c r="A795" s="21" t="s">
        <x:v>3765</x:v>
      </x:c>
      <x:c r="B795" s="20" t="s">
        <x:v>3765</x:v>
      </x:c>
      <x:c r="C795" s="20" t="s">
        <x:v>718</x:v>
      </x:c>
      <x:c r="D795" s="24">
        <x:v>6</x:v>
      </x:c>
      <x:c r="E795" s="24" t="s">
        <x:v>103</x:v>
      </x:c>
      <x:c r="F795" s="20" t="s">
        <x:v>97</x:v>
      </x:c>
      <x:c r="G795" s="26">
        <x:v>41566</x:v>
      </x:c>
      <x:c r="H795" s="24" t="s">
        <x:v>3766</x:v>
      </x:c>
      <x:c r="I795" s="28" t="s">
        <x:v>3767</x:v>
      </x:c>
      <x:c r="J795" s="29" t="s">
        <x:v>3768</x:v>
      </x:c>
    </x:row>
    <x:row r="796" ht="10.050000190734863" customHeight="1">
      <x:c r="A796" s="21" t="s">
        <x:v>3769</x:v>
      </x:c>
      <x:c r="B796" s="20" t="s">
        <x:v>3769</x:v>
      </x:c>
      <x:c r="C796" s="20" t="s">
        <x:v>718</x:v>
      </x:c>
      <x:c r="D796" s="24">
        <x:v>32</x:v>
      </x:c>
      <x:c r="E796" s="24" t="s">
        <x:v>103</x:v>
      </x:c>
      <x:c r="F796" s="20" t="s">
        <x:v>97</x:v>
      </x:c>
      <x:c r="G796" s="26">
        <x:v>42176</x:v>
      </x:c>
      <x:c r="H796" s="24" t="s">
        <x:v>3770</x:v>
      </x:c>
      <x:c r="I796" s="28" t="s">
        <x:v>3771</x:v>
      </x:c>
      <x:c r="J796" s="29" t="s">
        <x:v>3772</x:v>
      </x:c>
    </x:row>
    <x:row r="797" ht="10.050000190734863" customHeight="1">
      <x:c r="A797" s="21" t="s">
        <x:v>3773</x:v>
      </x:c>
      <x:c r="B797" s="20" t="s">
        <x:v>3773</x:v>
      </x:c>
      <x:c r="C797" s="20" t="s">
        <x:v>718</x:v>
      </x:c>
      <x:c r="D797" s="24">
        <x:v>13</x:v>
      </x:c>
      <x:c r="E797" s="24" t="s">
        <x:v>96</x:v>
      </x:c>
      <x:c r="F797" s="20" t="s">
        <x:v>97</x:v>
      </x:c>
      <x:c r="G797" s="26">
        <x:v>42176</x:v>
      </x:c>
      <x:c r="H797" s="24" t="s">
        <x:v>3774</x:v>
      </x:c>
      <x:c r="I797" s="28" t="s">
        <x:v>3775</x:v>
      </x:c>
      <x:c r="J797" s="29" t="s">
        <x:v>3776</x:v>
      </x:c>
    </x:row>
    <x:row r="798" ht="10.050000190734863" customHeight="1">
      <x:c r="A798" s="21" t="s">
        <x:v>3777</x:v>
      </x:c>
      <x:c r="B798" s="20" t="s">
        <x:v>3777</x:v>
      </x:c>
      <x:c r="C798" s="20" t="s">
        <x:v>718</x:v>
      </x:c>
      <x:c r="D798" s="24">
        <x:v>11</x:v>
      </x:c>
      <x:c r="E798" s="24" t="s">
        <x:v>257</x:v>
      </x:c>
      <x:c r="F798" s="20" t="s">
        <x:v>97</x:v>
      </x:c>
      <x:c r="G798" s="26">
        <x:v>41557</x:v>
      </x:c>
      <x:c r="H798" s="24" t="s">
        <x:v>3778</x:v>
      </x:c>
      <x:c r="I798" s="28" t="s">
        <x:v>3779</x:v>
      </x:c>
      <x:c r="J798" s="29" t="s">
        <x:v>3780</x:v>
      </x:c>
    </x:row>
    <x:row r="799" ht="10.050000190734863" customHeight="1">
      <x:c r="A799" s="21" t="s">
        <x:v>3781</x:v>
      </x:c>
      <x:c r="B799" s="20" t="s">
        <x:v>3781</x:v>
      </x:c>
      <x:c r="C799" s="20" t="s">
        <x:v>3782</x:v>
      </x:c>
      <x:c r="D799" s="24">
        <x:v>27</x:v>
      </x:c>
      <x:c r="E799" s="24" t="s">
        <x:v>198</x:v>
      </x:c>
      <x:c r="F799" s="20" t="s">
        <x:v>90</x:v>
      </x:c>
      <x:c r="G799" s="26">
        <x:v>44291</x:v>
      </x:c>
      <x:c r="H799" s="24" t="s">
        <x:v>3783</x:v>
      </x:c>
      <x:c r="I799" s="28" t="s">
        <x:v>3784</x:v>
      </x:c>
      <x:c r="J799" s="29" t="s">
        <x:v>3785</x:v>
      </x:c>
    </x:row>
    <x:row r="800" ht="10.050000190734863" customHeight="1">
      <x:c r="A800" s="21" t="s">
        <x:v>3786</x:v>
      </x:c>
      <x:c r="B800" s="20" t="s">
        <x:v>3786</x:v>
      </x:c>
      <x:c r="C800" s="20" t="s">
        <x:v>708</x:v>
      </x:c>
      <x:c r="D800" s="24">
        <x:v>25</x:v>
      </x:c>
      <x:c r="E800" s="24" t="s">
        <x:v>125</x:v>
      </x:c>
      <x:c r="F800" s="20" t="s">
        <x:v>90</x:v>
      </x:c>
      <x:c r="G800" s="26">
        <x:v>44956</x:v>
      </x:c>
      <x:c r="H800" s="24" t="s">
        <x:v>3787</x:v>
      </x:c>
      <x:c r="I800" s="28" t="s">
        <x:v>3788</x:v>
      </x:c>
      <x:c r="J800" s="29" t="s">
        <x:v>3789</x:v>
      </x:c>
    </x:row>
    <x:row r="801" ht="10.050000190734863" customHeight="1">
      <x:c r="A801" s="21" t="s">
        <x:v>3790</x:v>
      </x:c>
      <x:c r="B801" s="20" t="s">
        <x:v>3790</x:v>
      </x:c>
      <x:c r="C801" s="20" t="s">
        <x:v>3791</x:v>
      </x:c>
      <x:c r="D801" s="24">
        <x:v>10</x:v>
      </x:c>
      <x:c r="E801" s="24" t="s">
        <x:v>198</x:v>
      </x:c>
      <x:c r="F801" s="20" t="s">
        <x:v>90</x:v>
      </x:c>
      <x:c r="G801" s="26">
        <x:v>44361</x:v>
      </x:c>
      <x:c r="H801" s="24" t="s">
        <x:v>3792</x:v>
      </x:c>
      <x:c r="I801" s="28" t="s">
        <x:v>3793</x:v>
      </x:c>
      <x:c r="J801" s="29" t="s">
        <x:v>3794</x:v>
      </x:c>
    </x:row>
    <x:row r="802" ht="10.050000190734863" customHeight="1">
      <x:c r="A802" s="21" t="s">
        <x:v>3795</x:v>
      </x:c>
      <x:c r="B802" s="20" t="s">
        <x:v>3795</x:v>
      </x:c>
      <x:c r="C802" s="20" t="s">
        <x:v>983</x:v>
      </x:c>
      <x:c r="D802" s="24">
        <x:v>16</x:v>
      </x:c>
      <x:c r="E802" s="24" t="s">
        <x:v>89</x:v>
      </x:c>
      <x:c r="F802" s="20" t="s">
        <x:v>97</x:v>
      </x:c>
      <x:c r="G802" s="26">
        <x:v>45730</x:v>
      </x:c>
      <x:c r="H802" s="24" t="s">
        <x:v>3796</x:v>
      </x:c>
      <x:c r="I802" s="28" t="s">
        <x:v>3797</x:v>
      </x:c>
      <x:c r="J802" s="29" t="s">
        <x:v>3798</x:v>
      </x:c>
    </x:row>
    <x:row r="803" ht="10.050000190734863" customHeight="1">
      <x:c r="A803" s="21" t="s">
        <x:v>3799</x:v>
      </x:c>
      <x:c r="B803" s="20" t="s">
        <x:v>3799</x:v>
      </x:c>
      <x:c r="C803" s="20" t="s">
        <x:v>3800</x:v>
      </x:c>
      <x:c r="D803" s="24">
        <x:v>29</x:v>
      </x:c>
      <x:c r="E803" s="24" t="s">
        <x:v>198</x:v>
      </x:c>
      <x:c r="F803" s="20" t="s">
        <x:v>90</x:v>
      </x:c>
      <x:c r="G803" s="26">
        <x:v>43446</x:v>
      </x:c>
      <x:c r="H803" s="24" t="s">
        <x:v>3801</x:v>
      </x:c>
      <x:c r="I803" s="28" t="s">
        <x:v>3802</x:v>
      </x:c>
      <x:c r="J803" s="29" t="s">
        <x:v>3803</x:v>
      </x:c>
    </x:row>
    <x:row r="804" ht="10.050000190734863" customHeight="1">
      <x:c r="A804" s="21" t="s">
        <x:v>3804</x:v>
      </x:c>
      <x:c r="B804" s="20" t="s">
        <x:v>3804</x:v>
      </x:c>
      <x:c r="C804" s="20" t="s">
        <x:v>409</x:v>
      </x:c>
      <x:c r="D804" s="24">
        <x:v>9</x:v>
      </x:c>
      <x:c r="E804" s="24" t="s">
        <x:v>198</x:v>
      </x:c>
      <x:c r="F804" s="20" t="s">
        <x:v>90</x:v>
      </x:c>
      <x:c r="G804" s="26">
        <x:v>44007</x:v>
      </x:c>
      <x:c r="H804" s="24" t="s">
        <x:v>3805</x:v>
      </x:c>
      <x:c r="I804" s="28" t="s">
        <x:v>3806</x:v>
      </x:c>
      <x:c r="J804" s="29" t="s">
        <x:v>3807</x:v>
      </x:c>
    </x:row>
    <x:row r="805" ht="10.050000190734863" customHeight="1">
      <x:c r="A805" s="21" t="s">
        <x:v>3808</x:v>
      </x:c>
      <x:c r="B805" s="20" t="s">
        <x:v>3808</x:v>
      </x:c>
      <x:c r="C805" s="20" t="s">
        <x:v>3809</x:v>
      </x:c>
      <x:c r="D805" s="24">
        <x:v>19</x:v>
      </x:c>
      <x:c r="E805" s="24" t="s">
        <x:v>103</x:v>
      </x:c>
      <x:c r="F805" s="20" t="s">
        <x:v>97</x:v>
      </x:c>
      <x:c r="G805" s="26">
        <x:v>42238</x:v>
      </x:c>
      <x:c r="H805" s="24" t="s">
        <x:v>3810</x:v>
      </x:c>
      <x:c r="I805" s="28" t="s">
        <x:v>3811</x:v>
      </x:c>
      <x:c r="J805" s="29" t="s">
        <x:v>3812</x:v>
      </x:c>
    </x:row>
    <x:row r="806" ht="10.050000190734863" customHeight="1">
      <x:c r="A806" s="21" t="s">
        <x:v>3813</x:v>
      </x:c>
      <x:c r="B806" s="20" t="s">
        <x:v>3813</x:v>
      </x:c>
      <x:c r="C806" s="20" t="s">
        <x:v>3814</x:v>
      </x:c>
      <x:c r="D806" s="24">
        <x:v>13</x:v>
      </x:c>
      <x:c r="E806" s="24" t="s">
        <x:v>89</x:v>
      </x:c>
      <x:c r="F806" s="20" t="s">
        <x:v>90</x:v>
      </x:c>
      <x:c r="G806" s="26">
        <x:v>45849</x:v>
      </x:c>
      <x:c r="H806" s="24" t="s">
        <x:v>3815</x:v>
      </x:c>
      <x:c r="I806" s="28" t="s">
        <x:v>3816</x:v>
      </x:c>
      <x:c r="J806" s="29" t="s">
        <x:v>3817</x:v>
      </x:c>
    </x:row>
    <x:row r="807" ht="10.050000190734863" customHeight="1">
      <x:c r="A807" s="21" t="s">
        <x:v>3818</x:v>
      </x:c>
      <x:c r="B807" s="20" t="s">
        <x:v>3818</x:v>
      </x:c>
      <x:c r="C807" s="20" t="s">
        <x:v>3819</x:v>
      </x:c>
      <x:c r="D807" s="24">
        <x:v>17</x:v>
      </x:c>
      <x:c r="E807" s="24" t="s">
        <x:v>89</x:v>
      </x:c>
      <x:c r="F807" s="20" t="s">
        <x:v>90</x:v>
      </x:c>
      <x:c r="G807" s="26">
        <x:v>42784</x:v>
      </x:c>
      <x:c r="H807" s="24" t="s">
        <x:v>3820</x:v>
      </x:c>
      <x:c r="I807" s="28" t="s">
        <x:v>3821</x:v>
      </x:c>
      <x:c r="J807" s="29" t="s">
        <x:v>3822</x:v>
      </x:c>
    </x:row>
    <x:row r="808" ht="10.050000190734863" customHeight="1">
      <x:c r="A808" s="21" t="s">
        <x:v>3823</x:v>
      </x:c>
      <x:c r="B808" s="20" t="s">
        <x:v>3823</x:v>
      </x:c>
      <x:c r="C808" s="20" t="s">
        <x:v>3819</x:v>
      </x:c>
      <x:c r="D808" s="24">
        <x:v>21</x:v>
      </x:c>
      <x:c r="E808" s="24" t="s">
        <x:v>198</x:v>
      </x:c>
      <x:c r="F808" s="20" t="s">
        <x:v>90</x:v>
      </x:c>
      <x:c r="G808" s="26">
        <x:v>43368</x:v>
      </x:c>
      <x:c r="H808" s="24" t="s">
        <x:v>3824</x:v>
      </x:c>
      <x:c r="I808" s="28" t="s">
        <x:v>3825</x:v>
      </x:c>
      <x:c r="J808" s="29" t="s">
        <x:v>3826</x:v>
      </x:c>
    </x:row>
    <x:row r="809" ht="10.050000190734863" customHeight="1">
      <x:c r="A809" s="21" t="s">
        <x:v>3827</x:v>
      </x:c>
      <x:c r="B809" s="20" t="s">
        <x:v>3827</x:v>
      </x:c>
      <x:c r="C809" s="20" t="s">
        <x:v>3828</x:v>
      </x:c>
      <x:c r="D809" s="24">
        <x:v>9</x:v>
      </x:c>
      <x:c r="E809" s="24" t="s">
        <x:v>89</x:v>
      </x:c>
      <x:c r="F809" s="20" t="s">
        <x:v>90</x:v>
      </x:c>
      <x:c r="G809" s="26">
        <x:v>45031</x:v>
      </x:c>
      <x:c r="H809" s="24" t="s">
        <x:v>3829</x:v>
      </x:c>
      <x:c r="I809" s="28" t="s">
        <x:v>3830</x:v>
      </x:c>
      <x:c r="J809" s="29" t="s">
        <x:v>3831</x:v>
      </x:c>
    </x:row>
    <x:row r="810" ht="10.050000190734863" customHeight="1">
      <x:c r="A810" s="21" t="s">
        <x:v>3832</x:v>
      </x:c>
      <x:c r="B810" s="20" t="s">
        <x:v>3832</x:v>
      </x:c>
      <x:c r="C810" s="20" t="s">
        <x:v>2099</x:v>
      </x:c>
      <x:c r="D810" s="24">
        <x:v>6</x:v>
      </x:c>
      <x:c r="E810" s="24" t="s">
        <x:v>198</x:v>
      </x:c>
      <x:c r="F810" s="20" t="s">
        <x:v>90</x:v>
      </x:c>
      <x:c r="G810" s="26">
        <x:v>43797</x:v>
      </x:c>
      <x:c r="H810" s="24" t="s">
        <x:v>3833</x:v>
      </x:c>
      <x:c r="I810" s="28" t="s">
        <x:v>3834</x:v>
      </x:c>
      <x:c r="J810" s="29" t="s">
        <x:v>3835</x:v>
      </x:c>
    </x:row>
    <x:row r="811" ht="10.050000190734863" customHeight="1">
      <x:c r="A811" s="21" t="s">
        <x:v>3836</x:v>
      </x:c>
      <x:c r="B811" s="20" t="s">
        <x:v>3836</x:v>
      </x:c>
      <x:c r="C811" s="20" t="s">
        <x:v>131</x:v>
      </x:c>
      <x:c r="D811" s="24">
        <x:v>14</x:v>
      </x:c>
      <x:c r="E811" s="24" t="s">
        <x:v>96</x:v>
      </x:c>
      <x:c r="F811" s="20" t="s">
        <x:v>97</x:v>
      </x:c>
      <x:c r="G811" s="26">
        <x:v>43705</x:v>
      </x:c>
      <x:c r="H811" s="24" t="s">
        <x:v>3837</x:v>
      </x:c>
      <x:c r="I811" s="28" t="s">
        <x:v>3838</x:v>
      </x:c>
      <x:c r="J811" s="29" t="s">
        <x:v>3839</x:v>
      </x:c>
    </x:row>
    <x:row r="812" ht="10.050000190734863" customHeight="1">
      <x:c r="A812" s="21" t="s">
        <x:v>3840</x:v>
      </x:c>
      <x:c r="B812" s="20" t="s">
        <x:v>3840</x:v>
      </x:c>
      <x:c r="C812" s="20" t="s">
        <x:v>3841</x:v>
      </x:c>
      <x:c r="D812" s="24">
        <x:v>1</x:v>
      </x:c>
      <x:c r="E812" s="24" t="s">
        <x:v>89</x:v>
      </x:c>
      <x:c r="F812" s="20" t="s">
        <x:v>97</x:v>
      </x:c>
      <x:c r="G812" s="26">
        <x:v>44781</x:v>
      </x:c>
      <x:c r="H812" s="24" t="s">
        <x:v>3842</x:v>
      </x:c>
      <x:c r="I812" s="28" t="s">
        <x:v>3843</x:v>
      </x:c>
      <x:c r="J812" s="29" t="s">
        <x:v>3844</x:v>
      </x:c>
    </x:row>
    <x:row r="813" ht="10.050000190734863" customHeight="1">
      <x:c r="A813" s="21" t="s">
        <x:v>3845</x:v>
      </x:c>
      <x:c r="B813" s="20" t="s">
        <x:v>3845</x:v>
      </x:c>
      <x:c r="C813" s="20" t="s">
        <x:v>3846</x:v>
      </x:c>
      <x:c r="D813" s="24">
        <x:v>5</x:v>
      </x:c>
      <x:c r="E813" s="24" t="s">
        <x:v>198</x:v>
      </x:c>
      <x:c r="F813" s="20" t="s">
        <x:v>90</x:v>
      </x:c>
      <x:c r="G813" s="26">
        <x:v>45788</x:v>
      </x:c>
      <x:c r="H813" s="24" t="s">
        <x:v>3847</x:v>
      </x:c>
      <x:c r="I813" s="28" t="s">
        <x:v>3848</x:v>
      </x:c>
      <x:c r="J813" s="29" t="s">
        <x:v>3849</x:v>
      </x:c>
    </x:row>
    <x:row r="814" ht="10.050000190734863" customHeight="1">
      <x:c r="A814" s="21" t="s">
        <x:v>3850</x:v>
      </x:c>
      <x:c r="B814" s="20" t="s">
        <x:v>3850</x:v>
      </x:c>
      <x:c r="C814" s="20" t="s">
        <x:v>3851</x:v>
      </x:c>
      <x:c r="D814" s="24">
        <x:v>6</x:v>
      </x:c>
      <x:c r="E814" s="24" t="s">
        <x:v>257</x:v>
      </x:c>
      <x:c r="F814" s="20" t="s">
        <x:v>97</x:v>
      </x:c>
      <x:c r="G814" s="26">
        <x:v>42285</x:v>
      </x:c>
      <x:c r="H814" s="24" t="s">
        <x:v>3852</x:v>
      </x:c>
      <x:c r="I814" s="28" t="s">
        <x:v>3853</x:v>
      </x:c>
      <x:c r="J814" s="29" t="s">
        <x:v>3854</x:v>
      </x:c>
    </x:row>
    <x:row r="815" ht="10.050000190734863" customHeight="1">
      <x:c r="A815" s="21" t="s">
        <x:v>3855</x:v>
      </x:c>
      <x:c r="B815" s="20" t="s">
        <x:v>3855</x:v>
      </x:c>
      <x:c r="C815" s="20" t="s">
        <x:v>1594</x:v>
      </x:c>
      <x:c r="D815" s="24">
        <x:v>29</x:v>
      </x:c>
      <x:c r="E815" s="24" t="s">
        <x:v>198</x:v>
      </x:c>
      <x:c r="F815" s="20" t="s">
        <x:v>610</x:v>
      </x:c>
      <x:c r="G815" s="26">
        <x:v>42939</x:v>
      </x:c>
      <x:c r="H815" s="24" t="s">
        <x:v>3856</x:v>
      </x:c>
      <x:c r="I815" s="28" t="s">
        <x:v>3857</x:v>
      </x:c>
      <x:c r="J815" s="29" t="s">
        <x:v>3858</x:v>
      </x:c>
    </x:row>
    <x:row r="816" ht="10.050000190734863" customHeight="1">
      <x:c r="A816" s="21" t="s">
        <x:v>3859</x:v>
      </x:c>
      <x:c r="B816" s="20" t="s">
        <x:v>3859</x:v>
      </x:c>
      <x:c r="C816" s="20" t="s">
        <x:v>1594</x:v>
      </x:c>
      <x:c r="D816" s="24">
        <x:v>29</x:v>
      </x:c>
      <x:c r="E816" s="24" t="s">
        <x:v>114</x:v>
      </x:c>
      <x:c r="F816" s="20" t="s">
        <x:v>610</x:v>
      </x:c>
      <x:c r="G816" s="26">
        <x:v>44106</x:v>
      </x:c>
      <x:c r="H816" s="24" t="s">
        <x:v>3860</x:v>
      </x:c>
      <x:c r="I816" s="28" t="s">
        <x:v>3861</x:v>
      </x:c>
      <x:c r="J816" s="29" t="s">
        <x:v>3862</x:v>
      </x:c>
    </x:row>
    <x:row r="817" ht="10.050000190734863" customHeight="1">
      <x:c r="A817" s="21" t="s">
        <x:v>3863</x:v>
      </x:c>
      <x:c r="B817" s="20" t="s">
        <x:v>3863</x:v>
      </x:c>
      <x:c r="C817" s="20" t="s">
        <x:v>3864</x:v>
      </x:c>
      <x:c r="D817" s="24">
        <x:v>4</x:v>
      </x:c>
      <x:c r="E817" s="24" t="s">
        <x:v>257</x:v>
      </x:c>
      <x:c r="F817" s="20" t="s">
        <x:v>97</x:v>
      </x:c>
      <x:c r="G817" s="26">
        <x:v>41814</x:v>
      </x:c>
      <x:c r="H817" s="24" t="s">
        <x:v>3865</x:v>
      </x:c>
      <x:c r="I817" s="28" t="s">
        <x:v>3866</x:v>
      </x:c>
      <x:c r="J817" s="29" t="s">
        <x:v>3867</x:v>
      </x:c>
    </x:row>
    <x:row r="818" ht="10.050000190734863" customHeight="1">
      <x:c r="A818" s="21" t="s">
        <x:v>3868</x:v>
      </x:c>
      <x:c r="B818" s="20" t="s">
        <x:v>3868</x:v>
      </x:c>
      <x:c r="C818" s="20" t="s">
        <x:v>1544</x:v>
      </x:c>
      <x:c r="D818" s="24">
        <x:v>5</x:v>
      </x:c>
      <x:c r="E818" s="24" t="s">
        <x:v>103</x:v>
      </x:c>
      <x:c r="F818" s="20" t="s">
        <x:v>97</x:v>
      </x:c>
      <x:c r="G818" s="26">
        <x:v>42217</x:v>
      </x:c>
      <x:c r="H818" s="24" t="s">
        <x:v>3869</x:v>
      </x:c>
      <x:c r="I818" s="28" t="s">
        <x:v>3870</x:v>
      </x:c>
      <x:c r="J818" s="29" t="s">
        <x:v>3871</x:v>
      </x:c>
    </x:row>
    <x:row r="819" ht="10.050000190734863" customHeight="1">
      <x:c r="A819" s="21" t="s">
        <x:v>3872</x:v>
      </x:c>
      <x:c r="B819" s="20" t="s">
        <x:v>3872</x:v>
      </x:c>
      <x:c r="C819" s="20" t="s">
        <x:v>3873</x:v>
      </x:c>
      <x:c r="D819" s="24">
        <x:v>16</x:v>
      </x:c>
      <x:c r="E819" s="24" t="s">
        <x:v>198</x:v>
      </x:c>
      <x:c r="F819" s="20" t="s">
        <x:v>90</x:v>
      </x:c>
      <x:c r="G819" s="26">
        <x:v>44103</x:v>
      </x:c>
      <x:c r="H819" s="24" t="s">
        <x:v>3874</x:v>
      </x:c>
      <x:c r="I819" s="28" t="s">
        <x:v>3875</x:v>
      </x:c>
      <x:c r="J819" s="29" t="s">
        <x:v>3876</x:v>
      </x:c>
    </x:row>
    <x:row r="820" ht="10.050000190734863" customHeight="1">
      <x:c r="A820" s="21" t="s">
        <x:v>3877</x:v>
      </x:c>
      <x:c r="B820" s="20" t="s">
        <x:v>3877</x:v>
      </x:c>
      <x:c r="C820" s="20" t="s">
        <x:v>1861</x:v>
      </x:c>
      <x:c r="D820" s="24">
        <x:v>65</x:v>
      </x:c>
      <x:c r="E820" s="24" t="s">
        <x:v>198</x:v>
      </x:c>
      <x:c r="F820" s="20" t="s">
        <x:v>152</x:v>
      </x:c>
      <x:c r="G820" s="26">
        <x:v>44248</x:v>
      </x:c>
      <x:c r="H820" s="24" t="s">
        <x:v>3878</x:v>
      </x:c>
      <x:c r="I820" s="28" t="s">
        <x:v>3879</x:v>
      </x:c>
      <x:c r="J820" s="29" t="s">
        <x:v>3880</x:v>
      </x:c>
    </x:row>
    <x:row r="821" ht="10.050000190734863" customHeight="1">
      <x:c r="A821" s="21" t="s">
        <x:v>3881</x:v>
      </x:c>
      <x:c r="B821" s="20" t="s">
        <x:v>3881</x:v>
      </x:c>
      <x:c r="C821" s="20" t="s">
        <x:v>3882</x:v>
      </x:c>
      <x:c r="D821" s="24">
        <x:v>3</x:v>
      </x:c>
      <x:c r="E821" s="24" t="s">
        <x:v>257</x:v>
      </x:c>
      <x:c r="F821" s="20" t="s">
        <x:v>97</x:v>
      </x:c>
      <x:c r="G821" s="26">
        <x:v>45162</x:v>
      </x:c>
      <x:c r="H821" s="24" t="s">
        <x:v>3883</x:v>
      </x:c>
      <x:c r="I821" s="28" t="s">
        <x:v>3884</x:v>
      </x:c>
      <x:c r="J821" s="29" t="s">
        <x:v>3885</x:v>
      </x:c>
    </x:row>
    <x:row r="822" ht="10.050000190734863" customHeight="1">
      <x:c r="A822" s="21" t="s">
        <x:v>3886</x:v>
      </x:c>
      <x:c r="B822" s="20" t="s">
        <x:v>3886</x:v>
      </x:c>
      <x:c r="C822" s="20" t="s">
        <x:v>3882</x:v>
      </x:c>
      <x:c r="D822" s="24">
        <x:v>13</x:v>
      </x:c>
      <x:c r="E822" s="24" t="s">
        <x:v>103</x:v>
      </x:c>
      <x:c r="F822" s="20" t="s">
        <x:v>97</x:v>
      </x:c>
      <x:c r="G822" s="26">
        <x:v>45210</x:v>
      </x:c>
      <x:c r="H822" s="24" t="s">
        <x:v>3887</x:v>
      </x:c>
      <x:c r="I822" s="28" t="s">
        <x:v>3888</x:v>
      </x:c>
      <x:c r="J822" s="29" t="s">
        <x:v>3889</x:v>
      </x:c>
    </x:row>
    <x:row r="823" ht="10.050000190734863" customHeight="1">
      <x:c r="A823" s="21" t="s">
        <x:v>3890</x:v>
      </x:c>
      <x:c r="B823" s="20" t="s">
        <x:v>3890</x:v>
      </x:c>
      <x:c r="C823" s="20" t="s">
        <x:v>3891</x:v>
      </x:c>
      <x:c r="D823" s="24">
        <x:v>9</x:v>
      </x:c>
      <x:c r="E823" s="24" t="s">
        <x:v>89</x:v>
      </x:c>
      <x:c r="F823" s="20" t="s">
        <x:v>90</x:v>
      </x:c>
      <x:c r="G823" s="26">
        <x:v>45831</x:v>
      </x:c>
      <x:c r="H823" s="24" t="s">
        <x:v>3892</x:v>
      </x:c>
      <x:c r="I823" s="28" t="s">
        <x:v>3893</x:v>
      </x:c>
      <x:c r="J823" s="29" t="s">
        <x:v>3894</x:v>
      </x:c>
    </x:row>
    <x:row r="824" ht="10.050000190734863" customHeight="1">
      <x:c r="A824" s="21" t="s">
        <x:v>3895</x:v>
      </x:c>
      <x:c r="B824" s="20" t="s">
        <x:v>3895</x:v>
      </x:c>
      <x:c r="C824" s="20" t="s">
        <x:v>3896</x:v>
      </x:c>
      <x:c r="D824" s="24">
        <x:v>8</x:v>
      </x:c>
      <x:c r="E824" s="24" t="s">
        <x:v>114</x:v>
      </x:c>
      <x:c r="F824" s="20" t="s">
        <x:v>90</x:v>
      </x:c>
      <x:c r="G824" s="26">
        <x:v>45416</x:v>
      </x:c>
      <x:c r="H824" s="24" t="s">
        <x:v>3897</x:v>
      </x:c>
      <x:c r="I824" s="28" t="s">
        <x:v>3898</x:v>
      </x:c>
      <x:c r="J824" s="29" t="s">
        <x:v>3899</x:v>
      </x:c>
    </x:row>
    <x:row r="825" ht="10.050000190734863" customHeight="1">
      <x:c r="A825" s="21" t="s">
        <x:v>3900</x:v>
      </x:c>
      <x:c r="B825" s="20" t="s">
        <x:v>3900</x:v>
      </x:c>
      <x:c r="C825" s="20" t="s">
        <x:v>3901</x:v>
      </x:c>
      <x:c r="D825" s="24">
        <x:v>6</x:v>
      </x:c>
      <x:c r="E825" s="24" t="s">
        <x:v>257</x:v>
      </x:c>
      <x:c r="F825" s="20" t="s">
        <x:v>97</x:v>
      </x:c>
      <x:c r="G825" s="26">
        <x:v>42841</x:v>
      </x:c>
      <x:c r="H825" s="24" t="s">
        <x:v>3902</x:v>
      </x:c>
      <x:c r="I825" s="28" t="s">
        <x:v>3903</x:v>
      </x:c>
      <x:c r="J825" s="29" t="s">
        <x:v>3904</x:v>
      </x:c>
    </x:row>
    <x:row r="826" ht="10.050000190734863" customHeight="1">
      <x:c r="A826" s="21" t="s">
        <x:v>3905</x:v>
      </x:c>
      <x:c r="B826" s="20" t="s">
        <x:v>3905</x:v>
      </x:c>
      <x:c r="C826" s="20" t="s">
        <x:v>3357</x:v>
      </x:c>
      <x:c r="D826" s="24">
        <x:v>9</x:v>
      </x:c>
      <x:c r="E826" s="24" t="s">
        <x:v>198</x:v>
      </x:c>
      <x:c r="F826" s="20" t="s">
        <x:v>90</x:v>
      </x:c>
      <x:c r="G826" s="26">
        <x:v>46176</x:v>
      </x:c>
      <x:c r="H826" s="24" t="s">
        <x:v>3906</x:v>
      </x:c>
      <x:c r="I826" s="28" t="s">
        <x:v>3907</x:v>
      </x:c>
      <x:c r="J826" s="29" t="s">
        <x:v>3908</x:v>
      </x:c>
    </x:row>
    <x:row r="827" ht="10.050000190734863" customHeight="1">
      <x:c r="A827" s="21" t="s">
        <x:v>3909</x:v>
      </x:c>
      <x:c r="B827" s="20" t="s">
        <x:v>3909</x:v>
      </x:c>
      <x:c r="C827" s="20" t="s">
        <x:v>3910</x:v>
      </x:c>
      <x:c r="D827" s="24">
        <x:v>6</x:v>
      </x:c>
      <x:c r="E827" s="24" t="s">
        <x:v>198</x:v>
      </x:c>
      <x:c r="F827" s="20" t="s">
        <x:v>90</x:v>
      </x:c>
      <x:c r="G827" s="26">
        <x:v>45121</x:v>
      </x:c>
      <x:c r="H827" s="24" t="s">
        <x:v>3911</x:v>
      </x:c>
      <x:c r="I827" s="28" t="s">
        <x:v>3912</x:v>
      </x:c>
      <x:c r="J827" s="29" t="s">
        <x:v>3913</x:v>
      </x:c>
    </x:row>
    <x:row r="828" ht="10.050000190734863" customHeight="1">
      <x:c r="A828" s="21" t="s">
        <x:v>3914</x:v>
      </x:c>
      <x:c r="B828" s="20" t="s">
        <x:v>3914</x:v>
      </x:c>
      <x:c r="C828" s="20" t="s">
        <x:v>3915</x:v>
      </x:c>
      <x:c r="D828" s="24">
        <x:v>5</x:v>
      </x:c>
      <x:c r="E828" s="24" t="s">
        <x:v>114</x:v>
      </x:c>
      <x:c r="F828" s="20" t="s">
        <x:v>90</x:v>
      </x:c>
      <x:c r="G828" s="26">
        <x:v>45606</x:v>
      </x:c>
      <x:c r="H828" s="24" t="s">
        <x:v>3916</x:v>
      </x:c>
      <x:c r="I828" s="28" t="s">
        <x:v>3917</x:v>
      </x:c>
      <x:c r="J828" s="29" t="s">
        <x:v>3918</x:v>
      </x:c>
    </x:row>
    <x:row r="829" ht="10.050000190734863" customHeight="1">
      <x:c r="A829" s="21" t="s">
        <x:v>3919</x:v>
      </x:c>
      <x:c r="B829" s="20" t="s">
        <x:v>3919</x:v>
      </x:c>
      <x:c r="C829" s="20" t="s">
        <x:v>1135</x:v>
      </x:c>
      <x:c r="D829" s="24">
        <x:v>1</x:v>
      </x:c>
      <x:c r="E829" s="24" t="s">
        <x:v>114</x:v>
      </x:c>
      <x:c r="F829" s="20" t="s">
        <x:v>90</x:v>
      </x:c>
      <x:c r="G829" s="26">
        <x:v>45408</x:v>
      </x:c>
      <x:c r="H829" s="24" t="s">
        <x:v>3920</x:v>
      </x:c>
      <x:c r="I829" s="28" t="s">
        <x:v>3921</x:v>
      </x:c>
      <x:c r="J829" s="29" t="s">
        <x:v>3922</x:v>
      </x:c>
    </x:row>
    <x:row r="830" ht="10.050000190734863" customHeight="1">
      <x:c r="A830" s="21" t="s">
        <x:v>3923</x:v>
      </x:c>
      <x:c r="B830" s="20" t="s">
        <x:v>3923</x:v>
      </x:c>
      <x:c r="C830" s="20" t="s">
        <x:v>3924</x:v>
      </x:c>
      <x:c r="D830" s="24">
        <x:v>24</x:v>
      </x:c>
      <x:c r="E830" s="24" t="s">
        <x:v>103</x:v>
      </x:c>
      <x:c r="F830" s="20" t="s">
        <x:v>97</x:v>
      </x:c>
      <x:c r="G830" s="26">
        <x:v>45704</x:v>
      </x:c>
      <x:c r="H830" s="24" t="s">
        <x:v>3925</x:v>
      </x:c>
      <x:c r="I830" s="28" t="s">
        <x:v>3926</x:v>
      </x:c>
      <x:c r="J830" s="29" t="s">
        <x:v>3927</x:v>
      </x:c>
    </x:row>
    <x:row r="831" ht="10.050000190734863" customHeight="1">
      <x:c r="A831" s="21" t="s">
        <x:v>3928</x:v>
      </x:c>
      <x:c r="B831" s="20" t="s">
        <x:v>3928</x:v>
      </x:c>
      <x:c r="C831" s="20" t="s">
        <x:v>3924</x:v>
      </x:c>
      <x:c r="D831" s="24">
        <x:v>12</x:v>
      </x:c>
      <x:c r="E831" s="24" t="s">
        <x:v>96</x:v>
      </x:c>
      <x:c r="F831" s="20" t="s">
        <x:v>97</x:v>
      </x:c>
      <x:c r="G831" s="26">
        <x:v>44833</x:v>
      </x:c>
      <x:c r="H831" s="24" t="s">
        <x:v>3929</x:v>
      </x:c>
      <x:c r="I831" s="28" t="s">
        <x:v>3930</x:v>
      </x:c>
      <x:c r="J831" s="29" t="s">
        <x:v>3931</x:v>
      </x:c>
    </x:row>
    <x:row r="832" ht="10.050000190734863" customHeight="1">
      <x:c r="A832" s="21" t="s">
        <x:v>3932</x:v>
      </x:c>
      <x:c r="B832" s="20" t="s">
        <x:v>3932</x:v>
      </x:c>
      <x:c r="C832" s="20" t="s">
        <x:v>3933</x:v>
      </x:c>
      <x:c r="D832" s="24">
        <x:v>1</x:v>
      </x:c>
      <x:c r="E832" s="24" t="s">
        <x:v>103</x:v>
      </x:c>
      <x:c r="F832" s="20" t="s">
        <x:v>97</x:v>
      </x:c>
      <x:c r="G832" s="26">
        <x:v>45567</x:v>
      </x:c>
      <x:c r="H832" s="24" t="s">
        <x:v>3934</x:v>
      </x:c>
      <x:c r="I832" s="28" t="s">
        <x:v>3935</x:v>
      </x:c>
      <x:c r="J832" s="29" t="s">
        <x:v>3936</x:v>
      </x:c>
    </x:row>
    <x:row r="833" ht="10.050000190734863" customHeight="1">
      <x:c r="A833" s="21" t="s">
        <x:v>3937</x:v>
      </x:c>
      <x:c r="B833" s="20" t="s">
        <x:v>3937</x:v>
      </x:c>
      <x:c r="C833" s="20" t="s">
        <x:v>95</x:v>
      </x:c>
      <x:c r="D833" s="24">
        <x:v>91</x:v>
      </x:c>
      <x:c r="E833" s="24" t="s">
        <x:v>96</x:v>
      </x:c>
      <x:c r="F833" s="20" t="s">
        <x:v>97</x:v>
      </x:c>
      <x:c r="G833" s="26">
        <x:v>44583</x:v>
      </x:c>
      <x:c r="H833" s="24" t="s">
        <x:v>3938</x:v>
      </x:c>
      <x:c r="I833" s="28" t="s">
        <x:v>3939</x:v>
      </x:c>
      <x:c r="J833" s="29" t="s">
        <x:v>3940</x:v>
      </x:c>
    </x:row>
    <x:row r="834" ht="10.050000190734863" customHeight="1">
      <x:c r="A834" s="21" t="s">
        <x:v>3941</x:v>
      </x:c>
      <x:c r="B834" s="20" t="s">
        <x:v>3941</x:v>
      </x:c>
      <x:c r="C834" s="20" t="s">
        <x:v>95</x:v>
      </x:c>
      <x:c r="D834" s="24">
        <x:v>59</x:v>
      </x:c>
      <x:c r="E834" s="24" t="s">
        <x:v>96</x:v>
      </x:c>
      <x:c r="F834" s="20" t="s">
        <x:v>97</x:v>
      </x:c>
      <x:c r="G834" s="26">
        <x:v>44543</x:v>
      </x:c>
      <x:c r="H834" s="24" t="s">
        <x:v>3942</x:v>
      </x:c>
      <x:c r="I834" s="28" t="s">
        <x:v>3943</x:v>
      </x:c>
      <x:c r="J834" s="29" t="s">
        <x:v>3944</x:v>
      </x:c>
    </x:row>
    <x:row r="835" ht="10.050000190734863" customHeight="1">
      <x:c r="A835" s="21" t="s">
        <x:v>3945</x:v>
      </x:c>
      <x:c r="B835" s="20" t="s">
        <x:v>3945</x:v>
      </x:c>
      <x:c r="C835" s="20" t="s">
        <x:v>3357</x:v>
      </x:c>
      <x:c r="D835" s="24">
        <x:v>8</x:v>
      </x:c>
      <x:c r="E835" s="24" t="s">
        <x:v>89</x:v>
      </x:c>
      <x:c r="F835" s="20" t="s">
        <x:v>90</x:v>
      </x:c>
      <x:c r="G835" s="26">
        <x:v>45699</x:v>
      </x:c>
      <x:c r="H835" s="24" t="s">
        <x:v>3946</x:v>
      </x:c>
      <x:c r="I835" s="28" t="s">
        <x:v>3947</x:v>
      </x:c>
      <x:c r="J835" s="29" t="s">
        <x:v>3948</x:v>
      </x:c>
    </x:row>
    <x:row r="836" ht="10.050000190734863" customHeight="1">
      <x:c r="A836" s="21" t="s">
        <x:v>3949</x:v>
      </x:c>
      <x:c r="B836" s="20" t="s">
        <x:v>3949</x:v>
      </x:c>
      <x:c r="C836" s="20" t="s">
        <x:v>1995</x:v>
      </x:c>
      <x:c r="D836" s="24">
        <x:v>6</x:v>
      </x:c>
      <x:c r="E836" s="24" t="s">
        <x:v>114</x:v>
      </x:c>
      <x:c r="F836" s="20" t="s">
        <x:v>90</x:v>
      </x:c>
      <x:c r="G836" s="26">
        <x:v>44633</x:v>
      </x:c>
      <x:c r="H836" s="24" t="s">
        <x:v>3950</x:v>
      </x:c>
      <x:c r="I836" s="28" t="s">
        <x:v>3951</x:v>
      </x:c>
      <x:c r="J836" s="29" t="s">
        <x:v>3952</x:v>
      </x:c>
    </x:row>
    <x:row r="837" ht="10.050000190734863" customHeight="1">
      <x:c r="A837" s="21" t="s">
        <x:v>3953</x:v>
      </x:c>
      <x:c r="B837" s="20" t="s">
        <x:v>3953</x:v>
      </x:c>
      <x:c r="C837" s="20" t="s">
        <x:v>3954</x:v>
      </x:c>
      <x:c r="D837" s="24">
        <x:v>12</x:v>
      </x:c>
      <x:c r="E837" s="24" t="s">
        <x:v>198</x:v>
      </x:c>
      <x:c r="F837" s="20" t="s">
        <x:v>90</x:v>
      </x:c>
      <x:c r="G837" s="26">
        <x:v>45866</x:v>
      </x:c>
      <x:c r="H837" s="24" t="s">
        <x:v>3955</x:v>
      </x:c>
      <x:c r="I837" s="28" t="s">
        <x:v>3956</x:v>
      </x:c>
      <x:c r="J837" s="29" t="s">
        <x:v>3957</x:v>
      </x:c>
    </x:row>
    <x:row r="838" ht="10.050000190734863" customHeight="1">
      <x:c r="A838" s="21" t="s">
        <x:v>16</x:v>
      </x:c>
      <x:c r="B838" s="20" t="s">
        <x:v>16</x:v>
      </x:c>
      <x:c r="C838" s="20" t="s">
        <x:v>3958</x:v>
      </x:c>
      <x:c r="D838" s="24">
        <x:v>68</x:v>
      </x:c>
      <x:c r="E838" s="24" t="s">
        <x:v>89</x:v>
      </x:c>
      <x:c r="F838" s="20" t="s">
        <x:v>90</x:v>
      </x:c>
      <x:c r="G838" s="26">
        <x:v>46159</x:v>
      </x:c>
      <x:c r="H838" s="24" t="s">
        <x:v>3959</x:v>
      </x:c>
      <x:c r="I838" s="28" t="s">
        <x:v>3960</x:v>
      </x:c>
      <x:c r="J838" s="29" t="s">
        <x:v>3961</x:v>
      </x:c>
    </x:row>
    <x:row r="839" ht="10.050000190734863" customHeight="1">
      <x:c r="A839" s="21" t="s">
        <x:v>3962</x:v>
      </x:c>
      <x:c r="B839" s="20" t="s">
        <x:v>3962</x:v>
      </x:c>
      <x:c r="C839" s="20" t="s">
        <x:v>1407</x:v>
      </x:c>
      <x:c r="D839" s="24">
        <x:v>5</x:v>
      </x:c>
      <x:c r="E839" s="24" t="s">
        <x:v>96</x:v>
      </x:c>
      <x:c r="F839" s="20" t="s">
        <x:v>90</x:v>
      </x:c>
      <x:c r="G839" s="26">
        <x:v>45833</x:v>
      </x:c>
      <x:c r="H839" s="24" t="s">
        <x:v>3963</x:v>
      </x:c>
      <x:c r="I839" s="28" t="s">
        <x:v>3964</x:v>
      </x:c>
      <x:c r="J839" s="29" t="s">
        <x:v>3965</x:v>
      </x:c>
    </x:row>
    <x:row r="840" ht="10.050000190734863" customHeight="1">
      <x:c r="A840" s="21" t="s">
        <x:v>3966</x:v>
      </x:c>
      <x:c r="B840" s="20" t="s">
        <x:v>3966</x:v>
      </x:c>
      <x:c r="C840" s="20" t="s">
        <x:v>3967</x:v>
      </x:c>
      <x:c r="D840" s="24">
        <x:v>64</x:v>
      </x:c>
      <x:c r="E840" s="24" t="s">
        <x:v>198</x:v>
      </x:c>
      <x:c r="F840" s="20" t="s">
        <x:v>90</x:v>
      </x:c>
      <x:c r="G840" s="26">
        <x:v>45600</x:v>
      </x:c>
      <x:c r="H840" s="24" t="s">
        <x:v>3968</x:v>
      </x:c>
      <x:c r="I840" s="28" t="s">
        <x:v>3969</x:v>
      </x:c>
      <x:c r="J840" s="29" t="s">
        <x:v>3970</x:v>
      </x:c>
    </x:row>
    <x:row r="841" ht="10.050000190734863" customHeight="1">
      <x:c r="A841" s="21" t="s">
        <x:v>3971</x:v>
      </x:c>
      <x:c r="B841" s="20" t="s">
        <x:v>3971</x:v>
      </x:c>
      <x:c r="C841" s="20" t="s">
        <x:v>3972</x:v>
      </x:c>
      <x:c r="D841" s="24">
        <x:v>16</x:v>
      </x:c>
      <x:c r="E841" s="24" t="s">
        <x:v>103</x:v>
      </x:c>
      <x:c r="F841" s="20" t="s">
        <x:v>97</x:v>
      </x:c>
      <x:c r="G841" s="26">
        <x:v>41560</x:v>
      </x:c>
      <x:c r="H841" s="24" t="s">
        <x:v>3973</x:v>
      </x:c>
      <x:c r="I841" s="28" t="s">
        <x:v>3974</x:v>
      </x:c>
      <x:c r="J841" s="29" t="s">
        <x:v>3975</x:v>
      </x:c>
    </x:row>
    <x:row r="842" ht="10.050000190734863" customHeight="1">
      <x:c r="A842" s="21" t="s">
        <x:v>3976</x:v>
      </x:c>
      <x:c r="B842" s="20" t="s">
        <x:v>3976</x:v>
      </x:c>
      <x:c r="C842" s="20" t="s">
        <x:v>3977</x:v>
      </x:c>
      <x:c r="D842" s="24">
        <x:v>25</x:v>
      </x:c>
      <x:c r="E842" s="24" t="s">
        <x:v>89</x:v>
      </x:c>
      <x:c r="F842" s="20" t="s">
        <x:v>90</x:v>
      </x:c>
      <x:c r="G842" s="26">
        <x:v>43131</x:v>
      </x:c>
      <x:c r="H842" s="24" t="s">
        <x:v>3978</x:v>
      </x:c>
      <x:c r="I842" s="28" t="s">
        <x:v>3979</x:v>
      </x:c>
      <x:c r="J842" s="29" t="s">
        <x:v>3980</x:v>
      </x:c>
    </x:row>
    <x:row r="843" ht="10.050000190734863" customHeight="1">
      <x:c r="A843" s="21" t="s">
        <x:v>3981</x:v>
      </x:c>
      <x:c r="B843" s="20" t="s">
        <x:v>3981</x:v>
      </x:c>
      <x:c r="C843" s="20" t="s">
        <x:v>3982</x:v>
      </x:c>
      <x:c r="D843" s="24">
        <x:v>7</x:v>
      </x:c>
      <x:c r="E843" s="24" t="s">
        <x:v>198</x:v>
      </x:c>
      <x:c r="F843" s="20" t="s">
        <x:v>90</x:v>
      </x:c>
      <x:c r="G843" s="26">
        <x:v>44753</x:v>
      </x:c>
      <x:c r="H843" s="24" t="s">
        <x:v>3983</x:v>
      </x:c>
      <x:c r="I843" s="28" t="s">
        <x:v>3984</x:v>
      </x:c>
      <x:c r="J843" s="29" t="s">
        <x:v>3985</x:v>
      </x:c>
    </x:row>
    <x:row r="844" ht="10.050000190734863" customHeight="1">
      <x:c r="A844" s="21" t="s">
        <x:v>3986</x:v>
      </x:c>
      <x:c r="B844" s="20" t="s">
        <x:v>3986</x:v>
      </x:c>
      <x:c r="C844" s="20" t="s">
        <x:v>3987</x:v>
      </x:c>
      <x:c r="D844" s="24">
        <x:v>47</x:v>
      </x:c>
      <x:c r="E844" s="24" t="s">
        <x:v>89</x:v>
      </x:c>
      <x:c r="F844" s="20" t="s">
        <x:v>97</x:v>
      </x:c>
      <x:c r="G844" s="26">
        <x:v>41823</x:v>
      </x:c>
      <x:c r="H844" s="24" t="s">
        <x:v>3988</x:v>
      </x:c>
      <x:c r="I844" s="28" t="s">
        <x:v>3989</x:v>
      </x:c>
      <x:c r="J844" s="29" t="s">
        <x:v>3990</x:v>
      </x:c>
    </x:row>
    <x:row r="845" ht="10.050000190734863" customHeight="1">
      <x:c r="A845" s="21" t="s">
        <x:v>3991</x:v>
      </x:c>
      <x:c r="B845" s="20" t="s">
        <x:v>3991</x:v>
      </x:c>
      <x:c r="C845" s="20" t="s">
        <x:v>262</x:v>
      </x:c>
      <x:c r="D845" s="24">
        <x:v>7</x:v>
      </x:c>
      <x:c r="E845" s="24" t="s">
        <x:v>96</x:v>
      </x:c>
      <x:c r="F845" s="20" t="s">
        <x:v>97</x:v>
      </x:c>
      <x:c r="G845" s="26">
        <x:v>43977</x:v>
      </x:c>
      <x:c r="H845" s="24" t="s">
        <x:v>3992</x:v>
      </x:c>
      <x:c r="I845" s="28" t="s">
        <x:v>3993</x:v>
      </x:c>
      <x:c r="J845" s="29" t="s">
        <x:v>3994</x:v>
      </x:c>
    </x:row>
    <x:row r="846" ht="10.050000190734863" customHeight="1">
      <x:c r="A846" s="21" t="s">
        <x:v>3995</x:v>
      </x:c>
      <x:c r="B846" s="20" t="s">
        <x:v>3995</x:v>
      </x:c>
      <x:c r="C846" s="20" t="s">
        <x:v>3170</x:v>
      </x:c>
      <x:c r="D846" s="24">
        <x:v>27</x:v>
      </x:c>
      <x:c r="E846" s="24" t="s">
        <x:v>198</x:v>
      </x:c>
      <x:c r="F846" s="20" t="s">
        <x:v>90</x:v>
      </x:c>
      <x:c r="G846" s="26">
        <x:v>43971</x:v>
      </x:c>
      <x:c r="H846" s="24" t="s">
        <x:v>3996</x:v>
      </x:c>
      <x:c r="I846" s="28" t="s">
        <x:v>3997</x:v>
      </x:c>
      <x:c r="J846" s="29" t="s">
        <x:v>3998</x:v>
      </x:c>
    </x:row>
    <x:row r="847" ht="10.050000190734863" customHeight="1">
      <x:c r="A847" s="21" t="s">
        <x:v>3999</x:v>
      </x:c>
      <x:c r="B847" s="20" t="s">
        <x:v>3999</x:v>
      </x:c>
      <x:c r="C847" s="20" t="s">
        <x:v>3170</x:v>
      </x:c>
      <x:c r="D847" s="24">
        <x:v>34</x:v>
      </x:c>
      <x:c r="E847" s="24" t="s">
        <x:v>114</x:v>
      </x:c>
      <x:c r="F847" s="20" t="s">
        <x:v>90</x:v>
      </x:c>
      <x:c r="G847" s="26">
        <x:v>44853</x:v>
      </x:c>
      <x:c r="H847" s="24" t="s">
        <x:v>4000</x:v>
      </x:c>
      <x:c r="I847" s="28" t="s">
        <x:v>4001</x:v>
      </x:c>
      <x:c r="J847" s="29" t="s">
        <x:v>4002</x:v>
      </x:c>
    </x:row>
    <x:row r="848" ht="10.050000190734863" customHeight="1">
      <x:c r="A848" s="21" t="s">
        <x:v>4003</x:v>
      </x:c>
      <x:c r="B848" s="20" t="s">
        <x:v>4003</x:v>
      </x:c>
      <x:c r="C848" s="20" t="s">
        <x:v>2609</x:v>
      </x:c>
      <x:c r="D848" s="24">
        <x:v>34</x:v>
      </x:c>
      <x:c r="E848" s="24" t="s">
        <x:v>114</x:v>
      </x:c>
      <x:c r="F848" s="20" t="s">
        <x:v>90</x:v>
      </x:c>
      <x:c r="G848" s="26">
        <x:v>46196</x:v>
      </x:c>
      <x:c r="H848" s="24" t="s">
        <x:v>4004</x:v>
      </x:c>
      <x:c r="I848" s="28" t="s">
        <x:v>4005</x:v>
      </x:c>
      <x:c r="J848" s="29" t="s">
        <x:v>4006</x:v>
      </x:c>
    </x:row>
    <x:row r="849" ht="10.050000190734863" customHeight="1">
      <x:c r="A849" s="21" t="s">
        <x:v>4007</x:v>
      </x:c>
      <x:c r="B849" s="20" t="s">
        <x:v>4007</x:v>
      </x:c>
      <x:c r="C849" s="20" t="s">
        <x:v>4008</x:v>
      </x:c>
      <x:c r="D849" s="24">
        <x:v>8</x:v>
      </x:c>
      <x:c r="E849" s="24" t="s">
        <x:v>114</x:v>
      </x:c>
      <x:c r="F849" s="20" t="s">
        <x:v>90</x:v>
      </x:c>
      <x:c r="G849" s="26">
        <x:v>44102</x:v>
      </x:c>
      <x:c r="H849" s="24" t="s">
        <x:v>4009</x:v>
      </x:c>
      <x:c r="I849" s="28" t="s">
        <x:v>4010</x:v>
      </x:c>
      <x:c r="J849" s="29" t="s">
        <x:v>4011</x:v>
      </x:c>
    </x:row>
    <x:row r="850" ht="10.050000190734863" customHeight="1">
      <x:c r="A850" s="21" t="s">
        <x:v>4012</x:v>
      </x:c>
      <x:c r="B850" s="20" t="s">
        <x:v>4012</x:v>
      </x:c>
      <x:c r="C850" s="20" t="s">
        <x:v>1135</x:v>
      </x:c>
      <x:c r="D850" s="24">
        <x:v>1</x:v>
      </x:c>
      <x:c r="E850" s="24" t="s">
        <x:v>114</x:v>
      </x:c>
      <x:c r="F850" s="20" t="s">
        <x:v>610</x:v>
      </x:c>
      <x:c r="G850" s="26">
        <x:v>45406</x:v>
      </x:c>
      <x:c r="H850" s="24" t="s">
        <x:v>4013</x:v>
      </x:c>
      <x:c r="I850" s="28" t="s">
        <x:v>4014</x:v>
      </x:c>
      <x:c r="J850" s="29" t="s">
        <x:v>4015</x:v>
      </x:c>
    </x:row>
    <x:row r="851" ht="10.050000190734863" customHeight="1">
      <x:c r="A851" s="21" t="s">
        <x:v>4016</x:v>
      </x:c>
      <x:c r="B851" s="20" t="s">
        <x:v>4016</x:v>
      </x:c>
      <x:c r="C851" s="20" t="s">
        <x:v>4017</x:v>
      </x:c>
      <x:c r="D851" s="24">
        <x:v>15</x:v>
      </x:c>
      <x:c r="E851" s="24" t="s">
        <x:v>257</x:v>
      </x:c>
      <x:c r="F851" s="20" t="s">
        <x:v>97</x:v>
      </x:c>
      <x:c r="G851" s="26">
        <x:v>46055</x:v>
      </x:c>
      <x:c r="H851" s="24" t="s">
        <x:v>4018</x:v>
      </x:c>
      <x:c r="I851" s="28" t="s">
        <x:v>4019</x:v>
      </x:c>
      <x:c r="J851" s="29" t="s">
        <x:v>4020</x:v>
      </x:c>
    </x:row>
    <x:row r="852" ht="10.050000190734863" customHeight="1">
      <x:c r="A852" s="21" t="s">
        <x:v>4021</x:v>
      </x:c>
      <x:c r="B852" s="20" t="s">
        <x:v>4021</x:v>
      </x:c>
      <x:c r="C852" s="20" t="s">
        <x:v>958</x:v>
      </x:c>
      <x:c r="D852" s="24">
        <x:v>8</x:v>
      </x:c>
      <x:c r="E852" s="24" t="s">
        <x:v>89</x:v>
      </x:c>
      <x:c r="F852" s="20" t="s">
        <x:v>97</x:v>
      </x:c>
      <x:c r="G852" s="26">
        <x:v>43940</x:v>
      </x:c>
      <x:c r="H852" s="24" t="s">
        <x:v>4022</x:v>
      </x:c>
      <x:c r="I852" s="28" t="s">
        <x:v>4023</x:v>
      </x:c>
      <x:c r="J852" s="29" t="s">
        <x:v>4024</x:v>
      </x:c>
    </x:row>
    <x:row r="853" ht="10.050000190734863" customHeight="1">
      <x:c r="A853" s="21" t="s">
        <x:v>4025</x:v>
      </x:c>
      <x:c r="B853" s="20" t="s">
        <x:v>4025</x:v>
      </x:c>
      <x:c r="C853" s="20" t="s">
        <x:v>4026</x:v>
      </x:c>
      <x:c r="D853" s="24">
        <x:v>1</x:v>
      </x:c>
      <x:c r="E853" s="24" t="s">
        <x:v>89</x:v>
      </x:c>
      <x:c r="F853" s="20" t="s">
        <x:v>610</x:v>
      </x:c>
      <x:c r="G853" s="26">
        <x:v>41817</x:v>
      </x:c>
      <x:c r="H853" s="24" t="s">
        <x:v>4027</x:v>
      </x:c>
      <x:c r="I853" s="28" t="s">
        <x:v>4028</x:v>
      </x:c>
      <x:c r="J853" s="29" t="s">
        <x:v>4029</x:v>
      </x:c>
    </x:row>
    <x:row r="854" ht="10.050000190734863" customHeight="1">
      <x:c r="A854" s="21" t="s">
        <x:v>4030</x:v>
      </x:c>
      <x:c r="B854" s="20" t="s">
        <x:v>4030</x:v>
      </x:c>
      <x:c r="C854" s="20" t="s">
        <x:v>3322</x:v>
      </x:c>
      <x:c r="D854" s="24">
        <x:v>51</x:v>
      </x:c>
      <x:c r="E854" s="24" t="s">
        <x:v>103</x:v>
      </x:c>
      <x:c r="F854" s="20" t="s">
        <x:v>97</x:v>
      </x:c>
      <x:c r="G854" s="26">
        <x:v>42315</x:v>
      </x:c>
      <x:c r="H854" s="24" t="s">
        <x:v>4031</x:v>
      </x:c>
      <x:c r="I854" s="28" t="s">
        <x:v>4032</x:v>
      </x:c>
      <x:c r="J854" s="29" t="s">
        <x:v>4033</x:v>
      </x:c>
    </x:row>
    <x:row r="855" ht="10.050000190734863" customHeight="1">
      <x:c r="A855" s="21" t="s">
        <x:v>4034</x:v>
      </x:c>
      <x:c r="B855" s="20" t="s">
        <x:v>4034</x:v>
      </x:c>
      <x:c r="C855" s="20" t="s">
        <x:v>4035</x:v>
      </x:c>
      <x:c r="D855" s="24">
        <x:v>4</x:v>
      </x:c>
      <x:c r="E855" s="24" t="s">
        <x:v>96</x:v>
      </x:c>
      <x:c r="F855" s="20" t="s">
        <x:v>90</x:v>
      </x:c>
      <x:c r="G855" s="26">
        <x:v>43486</x:v>
      </x:c>
      <x:c r="H855" s="24" t="s">
        <x:v>4036</x:v>
      </x:c>
      <x:c r="I855" s="28" t="s">
        <x:v>4037</x:v>
      </x:c>
      <x:c r="J855" s="29" t="s">
        <x:v>4038</x:v>
      </x:c>
    </x:row>
    <x:row r="856" ht="10.050000190734863" customHeight="1">
      <x:c r="A856" s="21" t="s">
        <x:v>4039</x:v>
      </x:c>
      <x:c r="B856" s="20" t="s">
        <x:v>4039</x:v>
      </x:c>
      <x:c r="C856" s="20" t="s">
        <x:v>4040</x:v>
      </x:c>
      <x:c r="D856" s="24">
        <x:v>10</x:v>
      </x:c>
      <x:c r="E856" s="24" t="s">
        <x:v>257</x:v>
      </x:c>
      <x:c r="F856" s="20" t="s">
        <x:v>97</x:v>
      </x:c>
      <x:c r="G856" s="26">
        <x:v>42039</x:v>
      </x:c>
      <x:c r="H856" s="24" t="s">
        <x:v>4041</x:v>
      </x:c>
      <x:c r="I856" s="28" t="s">
        <x:v>4042</x:v>
      </x:c>
      <x:c r="J856" s="29" t="s">
        <x:v>4043</x:v>
      </x:c>
    </x:row>
    <x:row r="857" ht="10.050000190734863" customHeight="1">
      <x:c r="A857" s="21" t="s">
        <x:v>4044</x:v>
      </x:c>
      <x:c r="B857" s="20" t="s">
        <x:v>4044</x:v>
      </x:c>
      <x:c r="C857" s="20" t="s">
        <x:v>119</x:v>
      </x:c>
      <x:c r="D857" s="24">
        <x:v>15</x:v>
      </x:c>
      <x:c r="E857" s="24" t="s">
        <x:v>89</x:v>
      </x:c>
      <x:c r="F857" s="20" t="s">
        <x:v>90</x:v>
      </x:c>
      <x:c r="G857" s="26">
        <x:v>44966</x:v>
      </x:c>
      <x:c r="H857" s="24" t="s">
        <x:v>4045</x:v>
      </x:c>
      <x:c r="I857" s="28" t="s">
        <x:v>4046</x:v>
      </x:c>
      <x:c r="J857" s="29" t="s">
        <x:v>4047</x:v>
      </x:c>
    </x:row>
    <x:row r="858" ht="10.050000190734863" customHeight="1">
      <x:c r="A858" s="21" t="s">
        <x:v>4048</x:v>
      </x:c>
      <x:c r="B858" s="20" t="s">
        <x:v>4048</x:v>
      </x:c>
      <x:c r="C858" s="20" t="s">
        <x:v>1702</x:v>
      </x:c>
      <x:c r="D858" s="24">
        <x:v>9</x:v>
      </x:c>
      <x:c r="E858" s="24" t="s">
        <x:v>198</x:v>
      </x:c>
      <x:c r="F858" s="20" t="s">
        <x:v>90</x:v>
      </x:c>
      <x:c r="G858" s="26">
        <x:v>45550</x:v>
      </x:c>
      <x:c r="H858" s="24" t="s">
        <x:v>4049</x:v>
      </x:c>
      <x:c r="I858" s="28" t="s">
        <x:v>4050</x:v>
      </x:c>
      <x:c r="J858" s="29" t="s">
        <x:v>4051</x:v>
      </x:c>
    </x:row>
    <x:row r="859" ht="10.050000190734863" customHeight="1">
      <x:c r="A859" s="21" t="s">
        <x:v>4052</x:v>
      </x:c>
      <x:c r="B859" s="20" t="s">
        <x:v>4052</x:v>
      </x:c>
      <x:c r="C859" s="20" t="s">
        <x:v>2306</x:v>
      </x:c>
      <x:c r="D859" s="24">
        <x:v>1</x:v>
      </x:c>
      <x:c r="E859" s="24" t="s">
        <x:v>114</x:v>
      </x:c>
      <x:c r="F859" s="20" t="s">
        <x:v>126</x:v>
      </x:c>
      <x:c r="G859" s="26">
        <x:v>44127</x:v>
      </x:c>
      <x:c r="H859" s="24" t="s">
        <x:v>4053</x:v>
      </x:c>
      <x:c r="I859" s="28" t="s">
        <x:v>4054</x:v>
      </x:c>
      <x:c r="J859" s="29" t="s">
        <x:v>4055</x:v>
      </x:c>
    </x:row>
    <x:row r="860" ht="10.050000190734863" customHeight="1">
      <x:c r="A860" s="21" t="s">
        <x:v>4056</x:v>
      </x:c>
      <x:c r="B860" s="20" t="s">
        <x:v>4056</x:v>
      </x:c>
      <x:c r="C860" s="20" t="s">
        <x:v>4057</x:v>
      </x:c>
      <x:c r="D860" s="24">
        <x:v>23</x:v>
      </x:c>
      <x:c r="E860" s="24" t="s">
        <x:v>89</x:v>
      </x:c>
      <x:c r="F860" s="20" t="s">
        <x:v>90</x:v>
      </x:c>
      <x:c r="G860" s="26">
        <x:v>44104</x:v>
      </x:c>
      <x:c r="H860" s="24" t="s">
        <x:v>4058</x:v>
      </x:c>
      <x:c r="I860" s="28" t="s">
        <x:v>4059</x:v>
      </x:c>
      <x:c r="J860" s="29" t="s">
        <x:v>4060</x:v>
      </x:c>
    </x:row>
    <x:row r="861" ht="10.050000190734863" customHeight="1">
      <x:c r="A861" s="21" t="s">
        <x:v>4061</x:v>
      </x:c>
      <x:c r="B861" s="20" t="s">
        <x:v>4061</x:v>
      </x:c>
      <x:c r="C861" s="20" t="s">
        <x:v>4062</x:v>
      </x:c>
      <x:c r="D861" s="24">
        <x:v>1</x:v>
      </x:c>
      <x:c r="E861" s="24" t="s">
        <x:v>125</x:v>
      </x:c>
      <x:c r="F861" s="20" t="s">
        <x:v>90</x:v>
      </x:c>
      <x:c r="G861" s="26">
        <x:v>45403</x:v>
      </x:c>
      <x:c r="H861" s="24" t="s">
        <x:v>4063</x:v>
      </x:c>
      <x:c r="I861" s="28" t="s">
        <x:v>4064</x:v>
      </x:c>
      <x:c r="J861" s="29" t="s">
        <x:v>4065</x:v>
      </x:c>
    </x:row>
    <x:row r="862" ht="10.050000190734863" customHeight="1">
      <x:c r="A862" s="21" t="s">
        <x:v>42</x:v>
      </x:c>
      <x:c r="B862" s="20" t="s">
        <x:v>42</x:v>
      </x:c>
      <x:c r="C862" s="20" t="s">
        <x:v>1618</x:v>
      </x:c>
      <x:c r="D862" s="24">
        <x:v>23</x:v>
      </x:c>
      <x:c r="E862" s="24" t="s">
        <x:v>198</x:v>
      </x:c>
      <x:c r="F862" s="20" t="s">
        <x:v>90</x:v>
      </x:c>
      <x:c r="G862" s="26">
        <x:v>43300</x:v>
      </x:c>
      <x:c r="H862" s="24" t="s">
        <x:v>4066</x:v>
      </x:c>
      <x:c r="I862" s="28" t="s">
        <x:v>4067</x:v>
      </x:c>
      <x:c r="J862" s="29" t="s">
        <x:v>4068</x:v>
      </x:c>
    </x:row>
    <x:row r="863" ht="10.050000190734863" customHeight="1">
      <x:c r="A863" s="21" t="s">
        <x:v>4069</x:v>
      </x:c>
      <x:c r="B863" s="20" t="s">
        <x:v>4069</x:v>
      </x:c>
      <x:c r="C863" s="20" t="s">
        <x:v>4070</x:v>
      </x:c>
      <x:c r="D863" s="24">
        <x:v>16</x:v>
      </x:c>
      <x:c r="E863" s="24" t="s">
        <x:v>257</x:v>
      </x:c>
      <x:c r="F863" s="20" t="s">
        <x:v>97</x:v>
      </x:c>
      <x:c r="G863" s="26">
        <x:v>42243</x:v>
      </x:c>
      <x:c r="H863" s="24" t="s">
        <x:v>4071</x:v>
      </x:c>
      <x:c r="I863" s="28" t="s">
        <x:v>4072</x:v>
      </x:c>
      <x:c r="J863" s="29" t="s">
        <x:v>4073</x:v>
      </x:c>
    </x:row>
    <x:row r="864" ht="10.050000190734863" customHeight="1">
      <x:c r="A864" s="21" t="s">
        <x:v>4074</x:v>
      </x:c>
      <x:c r="B864" s="20" t="s">
        <x:v>4074</x:v>
      </x:c>
      <x:c r="C864" s="20" t="s">
        <x:v>4075</x:v>
      </x:c>
      <x:c r="D864" s="24">
        <x:v>13</x:v>
      </x:c>
      <x:c r="E864" s="24" t="s">
        <x:v>257</x:v>
      </x:c>
      <x:c r="F864" s="20" t="s">
        <x:v>97</x:v>
      </x:c>
      <x:c r="G864" s="26">
        <x:v>42233</x:v>
      </x:c>
      <x:c r="H864" s="24" t="s">
        <x:v>4076</x:v>
      </x:c>
      <x:c r="I864" s="28" t="s">
        <x:v>4077</x:v>
      </x:c>
      <x:c r="J864" s="29" t="s">
        <x:v>4078</x:v>
      </x:c>
    </x:row>
    <x:row r="865" ht="10.050000190734863" customHeight="1">
      <x:c r="A865" s="21" t="s">
        <x:v>4079</x:v>
      </x:c>
      <x:c r="B865" s="20" t="s">
        <x:v>4079</x:v>
      </x:c>
      <x:c r="C865" s="20" t="s">
        <x:v>4080</x:v>
      </x:c>
      <x:c r="D865" s="24">
        <x:v>9</x:v>
      </x:c>
      <x:c r="E865" s="24" t="s">
        <x:v>103</x:v>
      </x:c>
      <x:c r="F865" s="20" t="s">
        <x:v>97</x:v>
      </x:c>
      <x:c r="G865" s="26">
        <x:v>41694</x:v>
      </x:c>
      <x:c r="H865" s="24" t="s">
        <x:v>4081</x:v>
      </x:c>
      <x:c r="I865" s="28" t="s">
        <x:v>4082</x:v>
      </x:c>
      <x:c r="J865" s="29" t="s">
        <x:v>4083</x:v>
      </x:c>
    </x:row>
    <x:row r="866" ht="10.050000190734863" customHeight="1">
      <x:c r="A866" s="21" t="s">
        <x:v>4084</x:v>
      </x:c>
      <x:c r="B866" s="20" t="s">
        <x:v>4084</x:v>
      </x:c>
      <x:c r="C866" s="20" t="s">
        <x:v>1248</x:v>
      </x:c>
      <x:c r="D866" s="24">
        <x:v>111</x:v>
      </x:c>
      <x:c r="E866" s="24" t="s">
        <x:v>96</x:v>
      </x:c>
      <x:c r="F866" s="20" t="s">
        <x:v>97</x:v>
      </x:c>
      <x:c r="G866" s="26">
        <x:v>43316</x:v>
      </x:c>
      <x:c r="H866" s="24" t="s">
        <x:v>4085</x:v>
      </x:c>
      <x:c r="I866" s="28" t="s">
        <x:v>4086</x:v>
      </x:c>
      <x:c r="J866" s="29" t="s">
        <x:v>4087</x:v>
      </x:c>
    </x:row>
    <x:row r="867" ht="10.050000190734863" customHeight="1">
      <x:c r="A867" s="21" t="s">
        <x:v>4088</x:v>
      </x:c>
      <x:c r="B867" s="20" t="s">
        <x:v>4088</x:v>
      </x:c>
      <x:c r="C867" s="20" t="s">
        <x:v>4089</x:v>
      </x:c>
      <x:c r="D867" s="24">
        <x:v>5</x:v>
      </x:c>
      <x:c r="E867" s="24" t="s">
        <x:v>257</x:v>
      </x:c>
      <x:c r="F867" s="20" t="s">
        <x:v>97</x:v>
      </x:c>
      <x:c r="G867" s="26">
        <x:v>42238</x:v>
      </x:c>
      <x:c r="H867" s="24" t="s">
        <x:v>4090</x:v>
      </x:c>
      <x:c r="I867" s="28" t="s">
        <x:v>4091</x:v>
      </x:c>
      <x:c r="J867" s="29" t="s">
        <x:v>4092</x:v>
      </x:c>
    </x:row>
    <x:row r="868" ht="10.050000190734863" customHeight="1">
      <x:c r="A868" s="21" t="s">
        <x:v>4093</x:v>
      </x:c>
      <x:c r="B868" s="20" t="s">
        <x:v>4093</x:v>
      </x:c>
      <x:c r="C868" s="20" t="s">
        <x:v>4094</x:v>
      </x:c>
      <x:c r="D868" s="24">
        <x:v>21</x:v>
      </x:c>
      <x:c r="E868" s="24" t="s">
        <x:v>103</x:v>
      </x:c>
      <x:c r="F868" s="20" t="s">
        <x:v>97</x:v>
      </x:c>
      <x:c r="G868" s="26">
        <x:v>41837</x:v>
      </x:c>
      <x:c r="H868" s="24" t="s">
        <x:v>4095</x:v>
      </x:c>
      <x:c r="I868" s="28" t="s">
        <x:v>4096</x:v>
      </x:c>
      <x:c r="J868" s="29" t="s">
        <x:v>4097</x:v>
      </x:c>
    </x:row>
    <x:row r="869" ht="10.050000190734863" customHeight="1">
      <x:c r="A869" s="21" t="s">
        <x:v>4098</x:v>
      </x:c>
      <x:c r="B869" s="20" t="s">
        <x:v>4098</x:v>
      </x:c>
      <x:c r="C869" s="20" t="s">
        <x:v>4099</x:v>
      </x:c>
      <x:c r="D869" s="24">
        <x:v>3</x:v>
      </x:c>
      <x:c r="E869" s="24" t="s">
        <x:v>257</x:v>
      </x:c>
      <x:c r="F869" s="20" t="s">
        <x:v>97</x:v>
      </x:c>
      <x:c r="G869" s="26">
        <x:v>42163</x:v>
      </x:c>
      <x:c r="H869" s="24" t="s">
        <x:v>4100</x:v>
      </x:c>
      <x:c r="I869" s="28" t="s">
        <x:v>4101</x:v>
      </x:c>
      <x:c r="J869" s="29" t="s">
        <x:v>4102</x:v>
      </x:c>
    </x:row>
    <x:row r="870" ht="10.050000190734863" customHeight="1">
      <x:c r="A870" s="21" t="s">
        <x:v>4103</x:v>
      </x:c>
      <x:c r="B870" s="20" t="s">
        <x:v>4103</x:v>
      </x:c>
      <x:c r="C870" s="20" t="s">
        <x:v>4104</x:v>
      </x:c>
      <x:c r="D870" s="24">
        <x:v>80</x:v>
      </x:c>
      <x:c r="E870" s="24" t="s">
        <x:v>89</x:v>
      </x:c>
      <x:c r="F870" s="20" t="s">
        <x:v>97</x:v>
      </x:c>
      <x:c r="G870" s="26">
        <x:v>46048</x:v>
      </x:c>
      <x:c r="H870" s="24" t="s">
        <x:v>4105</x:v>
      </x:c>
      <x:c r="I870" s="28" t="s">
        <x:v>4106</x:v>
      </x:c>
      <x:c r="J870" s="29" t="s">
        <x:v>4107</x:v>
      </x:c>
    </x:row>
    <x:row r="871" ht="10.050000190734863" customHeight="1">
      <x:c r="A871" s="21" t="s">
        <x:v>4108</x:v>
      </x:c>
      <x:c r="B871" s="20" t="s">
        <x:v>4108</x:v>
      </x:c>
      <x:c r="C871" s="20" t="s">
        <x:v>4109</x:v>
      </x:c>
      <x:c r="D871" s="24">
        <x:v>6</x:v>
      </x:c>
      <x:c r="E871" s="24" t="s">
        <x:v>198</x:v>
      </x:c>
      <x:c r="F871" s="20" t="s">
        <x:v>90</x:v>
      </x:c>
      <x:c r="G871" s="26">
        <x:v>44308</x:v>
      </x:c>
      <x:c r="H871" s="24" t="s">
        <x:v>4110</x:v>
      </x:c>
      <x:c r="I871" s="28" t="s">
        <x:v>4111</x:v>
      </x:c>
      <x:c r="J871" s="29" t="s">
        <x:v>4112</x:v>
      </x:c>
    </x:row>
    <x:row r="872" ht="10.050000190734863" customHeight="1">
      <x:c r="A872" s="21" t="s">
        <x:v>4113</x:v>
      </x:c>
      <x:c r="B872" s="20" t="s">
        <x:v>4113</x:v>
      </x:c>
      <x:c r="C872" s="20" t="s">
        <x:v>2033</x:v>
      </x:c>
      <x:c r="D872" s="24">
        <x:v>47</x:v>
      </x:c>
      <x:c r="E872" s="24" t="s">
        <x:v>96</x:v>
      </x:c>
      <x:c r="F872" s="20" t="s">
        <x:v>97</x:v>
      </x:c>
      <x:c r="G872" s="26">
        <x:v>42902</x:v>
      </x:c>
      <x:c r="H872" s="24" t="s">
        <x:v>4114</x:v>
      </x:c>
      <x:c r="I872" s="28" t="s">
        <x:v>4115</x:v>
      </x:c>
      <x:c r="J872" s="29" t="s">
        <x:v>4116</x:v>
      </x:c>
    </x:row>
    <x:row r="873" ht="10.050000190734863" customHeight="1">
      <x:c r="A873" s="21" t="s">
        <x:v>4117</x:v>
      </x:c>
      <x:c r="B873" s="20" t="s">
        <x:v>4117</x:v>
      </x:c>
      <x:c r="C873" s="20" t="s">
        <x:v>491</x:v>
      </x:c>
      <x:c r="D873" s="24">
        <x:v>18</x:v>
      </x:c>
      <x:c r="E873" s="24" t="s">
        <x:v>96</x:v>
      </x:c>
      <x:c r="F873" s="20" t="s">
        <x:v>90</x:v>
      </x:c>
      <x:c r="G873" s="26">
        <x:v>45847</x:v>
      </x:c>
      <x:c r="H873" s="24" t="s">
        <x:v>4118</x:v>
      </x:c>
      <x:c r="I873" s="28" t="s">
        <x:v>4119</x:v>
      </x:c>
      <x:c r="J873" s="29" t="s">
        <x:v>4120</x:v>
      </x:c>
    </x:row>
    <x:row r="874" ht="10.050000190734863" customHeight="1">
      <x:c r="A874" s="21" t="s">
        <x:v>19</x:v>
      </x:c>
      <x:c r="B874" s="20" t="s">
        <x:v>19</x:v>
      </x:c>
      <x:c r="C874" s="20" t="s">
        <x:v>2723</x:v>
      </x:c>
      <x:c r="D874" s="24">
        <x:v>17</x:v>
      </x:c>
      <x:c r="E874" s="24" t="s">
        <x:v>96</x:v>
      </x:c>
      <x:c r="F874" s="20" t="s">
        <x:v>90</x:v>
      </x:c>
      <x:c r="G874" s="26">
        <x:v>44690</x:v>
      </x:c>
      <x:c r="H874" s="24" t="s">
        <x:v>4121</x:v>
      </x:c>
      <x:c r="I874" s="28" t="s">
        <x:v>4122</x:v>
      </x:c>
      <x:c r="J874" s="29" t="s">
        <x:v>4123</x:v>
      </x:c>
    </x:row>
    <x:row r="875" ht="10.050000190734863" customHeight="1">
      <x:c r="A875" s="21" t="s">
        <x:v>4124</x:v>
      </x:c>
      <x:c r="B875" s="20" t="s">
        <x:v>4124</x:v>
      </x:c>
      <x:c r="C875" s="20" t="s">
        <x:v>491</x:v>
      </x:c>
      <x:c r="D875" s="24">
        <x:v>6</x:v>
      </x:c>
      <x:c r="E875" s="24" t="s">
        <x:v>89</x:v>
      </x:c>
      <x:c r="F875" s="20" t="s">
        <x:v>90</x:v>
      </x:c>
      <x:c r="G875" s="26">
        <x:v>44869</x:v>
      </x:c>
      <x:c r="H875" s="24" t="s">
        <x:v>4125</x:v>
      </x:c>
      <x:c r="I875" s="28" t="s">
        <x:v>4126</x:v>
      </x:c>
      <x:c r="J875" s="29" t="s">
        <x:v>4127</x:v>
      </x:c>
    </x:row>
    <x:row r="876" ht="10.050000190734863" customHeight="1">
      <x:c r="A876" s="21" t="s">
        <x:v>4128</x:v>
      </x:c>
      <x:c r="B876" s="20" t="s">
        <x:v>4128</x:v>
      </x:c>
      <x:c r="C876" s="20" t="s">
        <x:v>1214</x:v>
      </x:c>
      <x:c r="D876" s="24">
        <x:v>56</x:v>
      </x:c>
      <x:c r="E876" s="24" t="s">
        <x:v>96</x:v>
      </x:c>
      <x:c r="F876" s="20" t="s">
        <x:v>97</x:v>
      </x:c>
      <x:c r="G876" s="26">
        <x:v>43844</x:v>
      </x:c>
      <x:c r="H876" s="24" t="s">
        <x:v>4129</x:v>
      </x:c>
      <x:c r="I876" s="28" t="s">
        <x:v>4130</x:v>
      </x:c>
      <x:c r="J876" s="29" t="s">
        <x:v>4131</x:v>
      </x:c>
    </x:row>
    <x:row r="877" ht="10.050000190734863" customHeight="1">
      <x:c r="A877" s="21" t="s">
        <x:v>4132</x:v>
      </x:c>
      <x:c r="B877" s="20" t="s">
        <x:v>4132</x:v>
      </x:c>
      <x:c r="C877" s="20" t="s">
        <x:v>865</x:v>
      </x:c>
      <x:c r="D877" s="24">
        <x:v>5</x:v>
      </x:c>
      <x:c r="E877" s="24" t="s">
        <x:v>257</x:v>
      </x:c>
      <x:c r="F877" s="20" t="s">
        <x:v>97</x:v>
      </x:c>
      <x:c r="G877" s="26">
        <x:v>44730</x:v>
      </x:c>
      <x:c r="H877" s="24" t="s">
        <x:v>4133</x:v>
      </x:c>
      <x:c r="I877" s="28" t="s">
        <x:v>4134</x:v>
      </x:c>
      <x:c r="J877" s="29" t="s">
        <x:v>4135</x:v>
      </x:c>
    </x:row>
    <x:row r="878" ht="10.050000190734863" customHeight="1">
      <x:c r="A878" s="21" t="s">
        <x:v>4136</x:v>
      </x:c>
      <x:c r="B878" s="20" t="s">
        <x:v>4136</x:v>
      </x:c>
      <x:c r="C878" s="20" t="s">
        <x:v>2437</x:v>
      </x:c>
      <x:c r="D878" s="24">
        <x:v>93</x:v>
      </x:c>
      <x:c r="E878" s="24" t="s">
        <x:v>103</x:v>
      </x:c>
      <x:c r="F878" s="20" t="s">
        <x:v>97</x:v>
      </x:c>
      <x:c r="G878" s="26">
        <x:v>42727</x:v>
      </x:c>
      <x:c r="H878" s="24" t="s">
        <x:v>4137</x:v>
      </x:c>
      <x:c r="I878" s="28" t="s">
        <x:v>4138</x:v>
      </x:c>
      <x:c r="J878" s="29" t="s">
        <x:v>4139</x:v>
      </x:c>
    </x:row>
    <x:row r="879" ht="10.050000190734863" customHeight="1">
      <x:c r="A879" s="21" t="s">
        <x:v>4140</x:v>
      </x:c>
      <x:c r="B879" s="20" t="s">
        <x:v>4140</x:v>
      </x:c>
      <x:c r="C879" s="20" t="s">
        <x:v>4141</x:v>
      </x:c>
      <x:c r="D879" s="24">
        <x:v>10</x:v>
      </x:c>
      <x:c r="E879" s="24" t="s">
        <x:v>103</x:v>
      </x:c>
      <x:c r="F879" s="20" t="s">
        <x:v>97</x:v>
      </x:c>
      <x:c r="G879" s="26">
        <x:v>45704</x:v>
      </x:c>
      <x:c r="H879" s="24" t="s">
        <x:v>4142</x:v>
      </x:c>
      <x:c r="I879" s="28" t="s">
        <x:v>4143</x:v>
      </x:c>
      <x:c r="J879" s="29" t="s">
        <x:v>4144</x:v>
      </x:c>
    </x:row>
    <x:row r="880" ht="10.050000190734863" customHeight="1">
      <x:c r="A880" s="21" t="s">
        <x:v>4145</x:v>
      </x:c>
      <x:c r="B880" s="20" t="s">
        <x:v>4145</x:v>
      </x:c>
      <x:c r="C880" s="20" t="s">
        <x:v>4146</x:v>
      </x:c>
      <x:c r="D880" s="24">
        <x:v>8</x:v>
      </x:c>
      <x:c r="E880" s="24" t="s">
        <x:v>257</x:v>
      </x:c>
      <x:c r="F880" s="20" t="s">
        <x:v>97</x:v>
      </x:c>
      <x:c r="G880" s="26">
        <x:v>42271</x:v>
      </x:c>
      <x:c r="H880" s="24" t="s">
        <x:v>4147</x:v>
      </x:c>
      <x:c r="I880" s="28" t="s">
        <x:v>4148</x:v>
      </x:c>
      <x:c r="J880" s="29" t="s">
        <x:v>4149</x:v>
      </x:c>
    </x:row>
    <x:row r="881" ht="10.050000190734863" customHeight="1">
      <x:c r="A881" s="21" t="s">
        <x:v>4150</x:v>
      </x:c>
      <x:c r="B881" s="20" t="s">
        <x:v>4150</x:v>
      </x:c>
      <x:c r="C881" s="20" t="s">
        <x:v>3379</x:v>
      </x:c>
      <x:c r="D881" s="24">
        <x:v>13</x:v>
      </x:c>
      <x:c r="E881" s="24" t="s">
        <x:v>198</x:v>
      </x:c>
      <x:c r="F881" s="20" t="s">
        <x:v>90</x:v>
      </x:c>
      <x:c r="G881" s="26">
        <x:v>43692</x:v>
      </x:c>
      <x:c r="H881" s="24" t="s">
        <x:v>4151</x:v>
      </x:c>
      <x:c r="I881" s="28" t="s">
        <x:v>4152</x:v>
      </x:c>
      <x:c r="J881" s="29" t="s">
        <x:v>4153</x:v>
      </x:c>
    </x:row>
    <x:row r="882" ht="10.050000190734863" customHeight="1">
      <x:c r="A882" s="21" t="s">
        <x:v>4154</x:v>
      </x:c>
      <x:c r="B882" s="20" t="s">
        <x:v>4154</x:v>
      </x:c>
      <x:c r="C882" s="20" t="s">
        <x:v>4155</x:v>
      </x:c>
      <x:c r="D882" s="24">
        <x:v>10</x:v>
      </x:c>
      <x:c r="E882" s="24" t="s">
        <x:v>257</x:v>
      </x:c>
      <x:c r="F882" s="20" t="s">
        <x:v>97</x:v>
      </x:c>
      <x:c r="G882" s="26">
        <x:v>42312</x:v>
      </x:c>
      <x:c r="H882" s="24" t="s">
        <x:v>4156</x:v>
      </x:c>
      <x:c r="I882" s="28" t="s">
        <x:v>4157</x:v>
      </x:c>
      <x:c r="J882" s="29" t="s">
        <x:v>4158</x:v>
      </x:c>
    </x:row>
    <x:row r="883" ht="10.050000190734863" customHeight="1">
      <x:c r="A883" s="21" t="s">
        <x:v>4159</x:v>
      </x:c>
      <x:c r="B883" s="20" t="s">
        <x:v>4159</x:v>
      </x:c>
      <x:c r="C883" s="20" t="s">
        <x:v>4160</x:v>
      </x:c>
      <x:c r="D883" s="24">
        <x:v>65</x:v>
      </x:c>
      <x:c r="E883" s="24" t="s">
        <x:v>96</x:v>
      </x:c>
      <x:c r="F883" s="20" t="s">
        <x:v>97</x:v>
      </x:c>
      <x:c r="G883" s="26">
        <x:v>44222</x:v>
      </x:c>
      <x:c r="H883" s="24" t="s">
        <x:v>4161</x:v>
      </x:c>
      <x:c r="I883" s="28" t="s">
        <x:v>4162</x:v>
      </x:c>
      <x:c r="J883" s="29" t="s">
        <x:v>4163</x:v>
      </x:c>
    </x:row>
    <x:row r="884" ht="10.050000190734863" customHeight="1">
      <x:c r="A884" s="21" t="s">
        <x:v>4164</x:v>
      </x:c>
      <x:c r="B884" s="20" t="s">
        <x:v>4164</x:v>
      </x:c>
      <x:c r="C884" s="20" t="s">
        <x:v>4165</x:v>
      </x:c>
      <x:c r="D884" s="24">
        <x:v>97</x:v>
      </x:c>
      <x:c r="E884" s="24" t="s">
        <x:v>198</x:v>
      </x:c>
      <x:c r="F884" s="20" t="s">
        <x:v>97</x:v>
      </x:c>
      <x:c r="G884" s="26">
        <x:v>44392</x:v>
      </x:c>
      <x:c r="H884" s="24" t="s">
        <x:v>4166</x:v>
      </x:c>
      <x:c r="I884" s="28" t="s">
        <x:v>4167</x:v>
      </x:c>
      <x:c r="J884" s="29" t="s">
        <x:v>4168</x:v>
      </x:c>
    </x:row>
    <x:row r="885" ht="10.050000190734863" customHeight="1">
      <x:c r="A885" s="21" t="s">
        <x:v>4169</x:v>
      </x:c>
      <x:c r="B885" s="20" t="s">
        <x:v>4169</x:v>
      </x:c>
      <x:c r="C885" s="20" t="s">
        <x:v>4165</x:v>
      </x:c>
      <x:c r="D885" s="24">
        <x:v>30</x:v>
      </x:c>
      <x:c r="E885" s="24" t="s">
        <x:v>103</x:v>
      </x:c>
      <x:c r="F885" s="20" t="s">
        <x:v>97</x:v>
      </x:c>
      <x:c r="G885" s="26">
        <x:v>41497</x:v>
      </x:c>
      <x:c r="H885" s="24" t="s">
        <x:v>4170</x:v>
      </x:c>
      <x:c r="I885" s="28" t="s">
        <x:v>4171</x:v>
      </x:c>
      <x:c r="J885" s="29" t="s">
        <x:v>4172</x:v>
      </x:c>
    </x:row>
    <x:row r="886" ht="10.050000190734863" customHeight="1">
      <x:c r="A886" s="21" t="s">
        <x:v>4173</x:v>
      </x:c>
      <x:c r="B886" s="20" t="s">
        <x:v>4173</x:v>
      </x:c>
      <x:c r="C886" s="20" t="s">
        <x:v>4165</x:v>
      </x:c>
      <x:c r="D886" s="24">
        <x:v>87</x:v>
      </x:c>
      <x:c r="E886" s="24" t="s">
        <x:v>89</x:v>
      </x:c>
      <x:c r="F886" s="20" t="s">
        <x:v>97</x:v>
      </x:c>
      <x:c r="G886" s="26">
        <x:v>45219</x:v>
      </x:c>
      <x:c r="H886" s="24" t="s">
        <x:v>4174</x:v>
      </x:c>
      <x:c r="I886" s="28" t="s">
        <x:v>4175</x:v>
      </x:c>
      <x:c r="J886" s="29" t="s">
        <x:v>4176</x:v>
      </x:c>
    </x:row>
    <x:row r="887" ht="10.050000190734863" customHeight="1">
      <x:c r="A887" s="21" t="s">
        <x:v>4177</x:v>
      </x:c>
      <x:c r="B887" s="20" t="s">
        <x:v>4177</x:v>
      </x:c>
      <x:c r="C887" s="20" t="s">
        <x:v>4165</x:v>
      </x:c>
      <x:c r="D887" s="24">
        <x:v>9</x:v>
      </x:c>
      <x:c r="E887" s="24" t="s">
        <x:v>114</x:v>
      </x:c>
      <x:c r="F887" s="20" t="s">
        <x:v>97</x:v>
      </x:c>
      <x:c r="G887" s="26">
        <x:v>44392</x:v>
      </x:c>
      <x:c r="H887" s="24" t="s">
        <x:v>4178</x:v>
      </x:c>
      <x:c r="I887" s="28" t="s">
        <x:v>4179</x:v>
      </x:c>
      <x:c r="J887" s="29" t="s">
        <x:v>4180</x:v>
      </x:c>
    </x:row>
    <x:row r="888" ht="10.050000190734863" customHeight="1">
      <x:c r="A888" s="21" t="s">
        <x:v>4181</x:v>
      </x:c>
      <x:c r="B888" s="20" t="s">
        <x:v>4181</x:v>
      </x:c>
      <x:c r="C888" s="20" t="s">
        <x:v>4182</x:v>
      </x:c>
      <x:c r="D888" s="24">
        <x:v>7</x:v>
      </x:c>
      <x:c r="E888" s="24" t="s">
        <x:v>103</x:v>
      </x:c>
      <x:c r="F888" s="20" t="s">
        <x:v>97</x:v>
      </x:c>
      <x:c r="G888" s="26">
        <x:v>41509</x:v>
      </x:c>
      <x:c r="H888" s="24" t="s">
        <x:v>4183</x:v>
      </x:c>
      <x:c r="I888" s="28" t="s">
        <x:v>4184</x:v>
      </x:c>
      <x:c r="J888" s="29" t="s">
        <x:v>4185</x:v>
      </x:c>
    </x:row>
    <x:row r="889" ht="10.050000190734863" customHeight="1">
      <x:c r="A889" s="21" t="s">
        <x:v>4186</x:v>
      </x:c>
      <x:c r="B889" s="20" t="s">
        <x:v>4186</x:v>
      </x:c>
      <x:c r="C889" s="20" t="s">
        <x:v>4187</x:v>
      </x:c>
      <x:c r="D889" s="24">
        <x:v>6</x:v>
      </x:c>
      <x:c r="E889" s="24" t="s">
        <x:v>103</x:v>
      </x:c>
      <x:c r="F889" s="20" t="s">
        <x:v>97</x:v>
      </x:c>
      <x:c r="G889" s="26">
        <x:v>42267</x:v>
      </x:c>
      <x:c r="H889" s="24" t="s">
        <x:v>4188</x:v>
      </x:c>
      <x:c r="I889" s="28" t="s">
        <x:v>4189</x:v>
      </x:c>
      <x:c r="J889" s="29" t="s">
        <x:v>4190</x:v>
      </x:c>
    </x:row>
    <x:row r="890" ht="10.050000190734863" customHeight="1">
      <x:c r="A890" s="21" t="s">
        <x:v>4191</x:v>
      </x:c>
      <x:c r="B890" s="20" t="s">
        <x:v>4191</x:v>
      </x:c>
      <x:c r="C890" s="20" t="s">
        <x:v>4192</x:v>
      </x:c>
      <x:c r="D890" s="24">
        <x:v>15</x:v>
      </x:c>
      <x:c r="E890" s="24" t="s">
        <x:v>257</x:v>
      </x:c>
      <x:c r="F890" s="20" t="s">
        <x:v>97</x:v>
      </x:c>
      <x:c r="G890" s="26">
        <x:v>42291</x:v>
      </x:c>
      <x:c r="H890" s="24" t="s">
        <x:v>4193</x:v>
      </x:c>
      <x:c r="I890" s="28" t="s">
        <x:v>4194</x:v>
      </x:c>
      <x:c r="J890" s="29" t="s">
        <x:v>4195</x:v>
      </x:c>
    </x:row>
    <x:row r="891" ht="10.050000190734863" customHeight="1">
      <x:c r="A891" s="21" t="s">
        <x:v>4196</x:v>
      </x:c>
      <x:c r="B891" s="20" t="s">
        <x:v>4196</x:v>
      </x:c>
      <x:c r="C891" s="20" t="s">
        <x:v>4197</x:v>
      </x:c>
      <x:c r="D891" s="24">
        <x:v>4</x:v>
      </x:c>
      <x:c r="E891" s="24" t="s">
        <x:v>198</x:v>
      </x:c>
      <x:c r="F891" s="20" t="s">
        <x:v>90</x:v>
      </x:c>
      <x:c r="G891" s="26">
        <x:v>43065</x:v>
      </x:c>
      <x:c r="H891" s="24" t="s">
        <x:v>4198</x:v>
      </x:c>
      <x:c r="I891" s="28" t="s">
        <x:v>4199</x:v>
      </x:c>
      <x:c r="J891" s="29" t="s">
        <x:v>4200</x:v>
      </x:c>
    </x:row>
    <x:row r="892" ht="10.050000190734863" customHeight="1">
      <x:c r="A892" s="21" t="s">
        <x:v>4201</x:v>
      </x:c>
      <x:c r="B892" s="20" t="s">
        <x:v>4201</x:v>
      </x:c>
      <x:c r="C892" s="20" t="s">
        <x:v>4197</x:v>
      </x:c>
      <x:c r="D892" s="24">
        <x:v>9</x:v>
      </x:c>
      <x:c r="E892" s="24" t="s">
        <x:v>198</x:v>
      </x:c>
      <x:c r="F892" s="20" t="s">
        <x:v>90</x:v>
      </x:c>
      <x:c r="G892" s="26">
        <x:v>44833</x:v>
      </x:c>
      <x:c r="H892" s="24" t="s">
        <x:v>4202</x:v>
      </x:c>
      <x:c r="I892" s="28" t="s">
        <x:v>4203</x:v>
      </x:c>
      <x:c r="J892" s="29" t="s">
        <x:v>4204</x:v>
      </x:c>
    </x:row>
    <x:row r="893" ht="10.050000190734863" customHeight="1">
      <x:c r="A893" s="21" t="s">
        <x:v>4205</x:v>
      </x:c>
      <x:c r="B893" s="20" t="s">
        <x:v>4205</x:v>
      </x:c>
      <x:c r="C893" s="20" t="s">
        <x:v>4197</x:v>
      </x:c>
      <x:c r="D893" s="24">
        <x:v>8</x:v>
      </x:c>
      <x:c r="E893" s="24" t="s">
        <x:v>198</x:v>
      </x:c>
      <x:c r="F893" s="20" t="s">
        <x:v>90</x:v>
      </x:c>
      <x:c r="G893" s="26">
        <x:v>44850</x:v>
      </x:c>
      <x:c r="H893" s="24" t="s">
        <x:v>4206</x:v>
      </x:c>
      <x:c r="I893" s="28" t="s">
        <x:v>4207</x:v>
      </x:c>
      <x:c r="J893" s="29" t="s">
        <x:v>4208</x:v>
      </x:c>
    </x:row>
    <x:row r="894" ht="10.050000190734863" customHeight="1">
      <x:c r="A894" s="21" t="s">
        <x:v>4209</x:v>
      </x:c>
      <x:c r="B894" s="20" t="s">
        <x:v>4209</x:v>
      </x:c>
      <x:c r="C894" s="20" t="s">
        <x:v>4210</x:v>
      </x:c>
      <x:c r="D894" s="24">
        <x:v>108</x:v>
      </x:c>
      <x:c r="E894" s="24" t="s">
        <x:v>103</x:v>
      </x:c>
      <x:c r="F894" s="20" t="s">
        <x:v>97</x:v>
      </x:c>
      <x:c r="G894" s="26">
        <x:v>42924</x:v>
      </x:c>
      <x:c r="H894" s="24" t="s">
        <x:v>4211</x:v>
      </x:c>
      <x:c r="I894" s="28" t="s">
        <x:v>4212</x:v>
      </x:c>
      <x:c r="J894" s="29" t="s">
        <x:v>4213</x:v>
      </x:c>
    </x:row>
    <x:row r="895" ht="10.050000190734863" customHeight="1">
      <x:c r="A895" s="21" t="s">
        <x:v>4214</x:v>
      </x:c>
      <x:c r="B895" s="20" t="s">
        <x:v>4214</x:v>
      </x:c>
      <x:c r="C895" s="20" t="s">
        <x:v>4210</x:v>
      </x:c>
      <x:c r="D895" s="24">
        <x:v>103</x:v>
      </x:c>
      <x:c r="E895" s="24" t="s">
        <x:v>96</x:v>
      </x:c>
      <x:c r="F895" s="20" t="s">
        <x:v>97</x:v>
      </x:c>
      <x:c r="G895" s="26">
        <x:v>43281</x:v>
      </x:c>
      <x:c r="H895" s="24" t="s">
        <x:v>4215</x:v>
      </x:c>
      <x:c r="I895" s="28" t="s">
        <x:v>4216</x:v>
      </x:c>
      <x:c r="J895" s="29" t="s">
        <x:v>4217</x:v>
      </x:c>
    </x:row>
    <x:row r="896" ht="10.050000190734863" customHeight="1">
      <x:c r="A896" s="21" t="s">
        <x:v>4218</x:v>
      </x:c>
      <x:c r="B896" s="20" t="s">
        <x:v>4218</x:v>
      </x:c>
      <x:c r="C896" s="20" t="s">
        <x:v>4210</x:v>
      </x:c>
      <x:c r="D896" s="24">
        <x:v>108</x:v>
      </x:c>
      <x:c r="E896" s="24" t="s">
        <x:v>96</x:v>
      </x:c>
      <x:c r="F896" s="20" t="s">
        <x:v>97</x:v>
      </x:c>
      <x:c r="G896" s="26">
        <x:v>43882</x:v>
      </x:c>
      <x:c r="H896" s="24" t="s">
        <x:v>4219</x:v>
      </x:c>
      <x:c r="I896" s="28" t="s">
        <x:v>4220</x:v>
      </x:c>
      <x:c r="J896" s="29" t="s">
        <x:v>4221</x:v>
      </x:c>
    </x:row>
    <x:row r="897" ht="10.050000190734863" customHeight="1">
      <x:c r="A897" s="21" t="s">
        <x:v>4222</x:v>
      </x:c>
      <x:c r="B897" s="20" t="s">
        <x:v>4222</x:v>
      </x:c>
      <x:c r="C897" s="20" t="s">
        <x:v>4210</x:v>
      </x:c>
      <x:c r="D897" s="24">
        <x:v>105</x:v>
      </x:c>
      <x:c r="E897" s="24" t="s">
        <x:v>96</x:v>
      </x:c>
      <x:c r="F897" s="20" t="s">
        <x:v>97</x:v>
      </x:c>
      <x:c r="G897" s="26">
        <x:v>44760</x:v>
      </x:c>
      <x:c r="H897" s="24" t="s">
        <x:v>4223</x:v>
      </x:c>
      <x:c r="I897" s="28" t="s">
        <x:v>4224</x:v>
      </x:c>
      <x:c r="J897" s="29" t="s">
        <x:v>4225</x:v>
      </x:c>
    </x:row>
    <x:row r="898" ht="10.050000190734863" customHeight="1">
      <x:c r="A898" s="21" t="s">
        <x:v>4226</x:v>
      </x:c>
      <x:c r="B898" s="20" t="s">
        <x:v>4226</x:v>
      </x:c>
      <x:c r="C898" s="20" t="s">
        <x:v>4210</x:v>
      </x:c>
      <x:c r="D898" s="24">
        <x:v>112</x:v>
      </x:c>
      <x:c r="E898" s="24" t="s">
        <x:v>96</x:v>
      </x:c>
      <x:c r="F898" s="20" t="s">
        <x:v>97</x:v>
      </x:c>
      <x:c r="G898" s="26">
        <x:v>45222</x:v>
      </x:c>
      <x:c r="H898" s="24" t="s">
        <x:v>4227</x:v>
      </x:c>
      <x:c r="I898" s="28" t="s">
        <x:v>4228</x:v>
      </x:c>
      <x:c r="J898" s="29" t="s">
        <x:v>4229</x:v>
      </x:c>
    </x:row>
    <x:row r="899" ht="10.050000190734863" customHeight="1">
      <x:c r="A899" s="21" t="s">
        <x:v>4230</x:v>
      </x:c>
      <x:c r="B899" s="20" t="s">
        <x:v>4230</x:v>
      </x:c>
      <x:c r="C899" s="20" t="s">
        <x:v>4210</x:v>
      </x:c>
      <x:c r="D899" s="24">
        <x:v>103</x:v>
      </x:c>
      <x:c r="E899" s="24" t="s">
        <x:v>96</x:v>
      </x:c>
      <x:c r="F899" s="20" t="s">
        <x:v>97</x:v>
      </x:c>
      <x:c r="G899" s="26">
        <x:v>45739</x:v>
      </x:c>
      <x:c r="H899" s="24" t="s">
        <x:v>4231</x:v>
      </x:c>
      <x:c r="I899" s="28" t="s">
        <x:v>4232</x:v>
      </x:c>
      <x:c r="J899" s="29" t="s">
        <x:v>4233</x:v>
      </x:c>
    </x:row>
    <x:row r="900" ht="10.050000190734863" customHeight="1">
      <x:c r="A900" s="21" t="s">
        <x:v>4234</x:v>
      </x:c>
      <x:c r="B900" s="20" t="s">
        <x:v>4234</x:v>
      </x:c>
      <x:c r="C900" s="20" t="s">
        <x:v>4235</x:v>
      </x:c>
      <x:c r="D900" s="24">
        <x:v>18</x:v>
      </x:c>
      <x:c r="E900" s="24" t="s">
        <x:v>96</x:v>
      </x:c>
      <x:c r="F900" s="20" t="s">
        <x:v>97</x:v>
      </x:c>
      <x:c r="G900" s="26">
        <x:v>45349</x:v>
      </x:c>
      <x:c r="H900" s="24" t="s">
        <x:v>4236</x:v>
      </x:c>
      <x:c r="I900" s="28" t="s">
        <x:v>4237</x:v>
      </x:c>
      <x:c r="J900" s="29" t="s">
        <x:v>4238</x:v>
      </x:c>
    </x:row>
    <x:row r="901" ht="10.050000190734863" customHeight="1">
      <x:c r="A901" s="21" t="s">
        <x:v>4239</x:v>
      </x:c>
      <x:c r="B901" s="20" t="s">
        <x:v>4239</x:v>
      </x:c>
      <x:c r="C901" s="20" t="s">
        <x:v>4240</x:v>
      </x:c>
      <x:c r="D901" s="24">
        <x:v>7</x:v>
      </x:c>
      <x:c r="E901" s="24" t="s">
        <x:v>103</x:v>
      </x:c>
      <x:c r="F901" s="20" t="s">
        <x:v>97</x:v>
      </x:c>
      <x:c r="G901" s="26">
        <x:v>42503</x:v>
      </x:c>
      <x:c r="H901" s="24" t="s">
        <x:v>4241</x:v>
      </x:c>
      <x:c r="I901" s="28" t="s">
        <x:v>4242</x:v>
      </x:c>
      <x:c r="J901" s="29" t="s">
        <x:v>4243</x:v>
      </x:c>
    </x:row>
    <x:row r="902" ht="10.050000190734863" customHeight="1">
      <x:c r="A902" s="21" t="s">
        <x:v>4244</x:v>
      </x:c>
      <x:c r="B902" s="20" t="s">
        <x:v>4244</x:v>
      </x:c>
      <x:c r="C902" s="20" t="s">
        <x:v>4245</x:v>
      </x:c>
      <x:c r="D902" s="24">
        <x:v>12</x:v>
      </x:c>
      <x:c r="E902" s="24" t="s">
        <x:v>103</x:v>
      </x:c>
      <x:c r="F902" s="20" t="s">
        <x:v>97</x:v>
      </x:c>
      <x:c r="G902" s="26">
        <x:v>44021</x:v>
      </x:c>
      <x:c r="H902" s="24" t="s">
        <x:v>4246</x:v>
      </x:c>
      <x:c r="I902" s="28" t="s">
        <x:v>4247</x:v>
      </x:c>
      <x:c r="J902" s="29" t="s">
        <x:v>4248</x:v>
      </x:c>
    </x:row>
    <x:row r="903" ht="10.050000190734863" customHeight="1">
      <x:c r="A903" s="21" t="s">
        <x:v>4249</x:v>
      </x:c>
      <x:c r="B903" s="20" t="s">
        <x:v>4249</x:v>
      </x:c>
      <x:c r="C903" s="20" t="s">
        <x:v>4250</x:v>
      </x:c>
      <x:c r="D903" s="24">
        <x:v>11</x:v>
      </x:c>
      <x:c r="E903" s="24" t="s">
        <x:v>257</x:v>
      </x:c>
      <x:c r="F903" s="20" t="s">
        <x:v>97</x:v>
      </x:c>
      <x:c r="G903" s="26">
        <x:v>42224</x:v>
      </x:c>
      <x:c r="H903" s="24" t="s">
        <x:v>4251</x:v>
      </x:c>
      <x:c r="I903" s="28" t="s">
        <x:v>4252</x:v>
      </x:c>
      <x:c r="J903" s="29" t="s">
        <x:v>4253</x:v>
      </x:c>
    </x:row>
    <x:row r="904" ht="10.050000190734863" customHeight="1">
      <x:c r="A904" s="21" t="s">
        <x:v>4254</x:v>
      </x:c>
      <x:c r="B904" s="20" t="s">
        <x:v>4254</x:v>
      </x:c>
      <x:c r="C904" s="20" t="s">
        <x:v>4255</x:v>
      </x:c>
      <x:c r="D904" s="24">
        <x:v>50</x:v>
      </x:c>
      <x:c r="E904" s="24" t="s">
        <x:v>103</x:v>
      </x:c>
      <x:c r="F904" s="20" t="s">
        <x:v>97</x:v>
      </x:c>
      <x:c r="G904" s="26">
        <x:v>42298</x:v>
      </x:c>
      <x:c r="H904" s="24" t="s">
        <x:v>4256</x:v>
      </x:c>
      <x:c r="I904" s="28" t="s">
        <x:v>4257</x:v>
      </x:c>
      <x:c r="J904" s="29" t="s">
        <x:v>4258</x:v>
      </x:c>
    </x:row>
    <x:row r="905" ht="10.050000190734863" customHeight="1">
      <x:c r="A905" s="21" t="s">
        <x:v>74</x:v>
      </x:c>
      <x:c r="B905" s="20" t="s">
        <x:v>74</x:v>
      </x:c>
      <x:c r="C905" s="20" t="s">
        <x:v>4259</x:v>
      </x:c>
      <x:c r="D905" s="24">
        <x:v>16</x:v>
      </x:c>
      <x:c r="E905" s="24" t="s">
        <x:v>198</x:v>
      </x:c>
      <x:c r="F905" s="20" t="s">
        <x:v>90</x:v>
      </x:c>
      <x:c r="G905" s="26">
        <x:v>44539</x:v>
      </x:c>
      <x:c r="H905" s="24" t="s">
        <x:v>4260</x:v>
      </x:c>
      <x:c r="I905" s="28" t="s">
        <x:v>4261</x:v>
      </x:c>
      <x:c r="J905" s="29" t="s">
        <x:v>4262</x:v>
      </x:c>
    </x:row>
    <x:row r="906" ht="10.050000190734863" customHeight="1">
      <x:c r="A906" s="21" t="s">
        <x:v>4263</x:v>
      </x:c>
      <x:c r="B906" s="20" t="s">
        <x:v>4263</x:v>
      </x:c>
      <x:c r="C906" s="20" t="s">
        <x:v>346</x:v>
      </x:c>
      <x:c r="D906" s="24">
        <x:v>27</x:v>
      </x:c>
      <x:c r="E906" s="24" t="s">
        <x:v>103</x:v>
      </x:c>
      <x:c r="F906" s="20" t="s">
        <x:v>97</x:v>
      </x:c>
      <x:c r="G906" s="26">
        <x:v>41762</x:v>
      </x:c>
      <x:c r="H906" s="24" t="s">
        <x:v>4264</x:v>
      </x:c>
      <x:c r="I906" s="28" t="s">
        <x:v>4265</x:v>
      </x:c>
      <x:c r="J906" s="29" t="s">
        <x:v>4266</x:v>
      </x:c>
    </x:row>
    <x:row r="907" ht="10.050000190734863" customHeight="1">
      <x:c r="A907" s="21" t="s">
        <x:v>4267</x:v>
      </x:c>
      <x:c r="B907" s="20" t="s">
        <x:v>4267</x:v>
      </x:c>
      <x:c r="C907" s="20" t="s">
        <x:v>346</x:v>
      </x:c>
      <x:c r="D907" s="24">
        <x:v>4</x:v>
      </x:c>
      <x:c r="E907" s="24" t="s">
        <x:v>257</x:v>
      </x:c>
      <x:c r="F907" s="20" t="s">
        <x:v>97</x:v>
      </x:c>
      <x:c r="G907" s="26">
        <x:v>41528</x:v>
      </x:c>
      <x:c r="H907" s="24" t="s">
        <x:v>4268</x:v>
      </x:c>
      <x:c r="I907" s="28" t="s">
        <x:v>4269</x:v>
      </x:c>
      <x:c r="J907" s="29" t="s">
        <x:v>4270</x:v>
      </x:c>
    </x:row>
    <x:row r="908" ht="10.050000190734863" customHeight="1">
      <x:c r="A908" s="21" t="s">
        <x:v>4271</x:v>
      </x:c>
      <x:c r="B908" s="20" t="s">
        <x:v>4271</x:v>
      </x:c>
      <x:c r="C908" s="20" t="s">
        <x:v>4272</x:v>
      </x:c>
      <x:c r="D908" s="24">
        <x:v>7</x:v>
      </x:c>
      <x:c r="E908" s="24" t="s">
        <x:v>103</x:v>
      </x:c>
      <x:c r="F908" s="20" t="s">
        <x:v>97</x:v>
      </x:c>
      <x:c r="G908" s="26">
        <x:v>42205</x:v>
      </x:c>
      <x:c r="H908" s="24" t="s">
        <x:v>4273</x:v>
      </x:c>
      <x:c r="I908" s="28" t="s">
        <x:v>4274</x:v>
      </x:c>
      <x:c r="J908" s="29" t="s">
        <x:v>4275</x:v>
      </x:c>
    </x:row>
    <x:row r="909" ht="10.050000190734863" customHeight="1">
      <x:c r="A909" s="21" t="s">
        <x:v>4276</x:v>
      </x:c>
      <x:c r="B909" s="20" t="s">
        <x:v>4276</x:v>
      </x:c>
      <x:c r="C909" s="20" t="s">
        <x:v>4277</x:v>
      </x:c>
      <x:c r="D909" s="24">
        <x:v>10</x:v>
      </x:c>
      <x:c r="E909" s="24" t="s">
        <x:v>96</x:v>
      </x:c>
      <x:c r="F909" s="20" t="s">
        <x:v>97</x:v>
      </x:c>
      <x:c r="G909" s="26">
        <x:v>42163</x:v>
      </x:c>
      <x:c r="H909" s="24" t="s">
        <x:v>4278</x:v>
      </x:c>
      <x:c r="I909" s="28" t="s">
        <x:v>4279</x:v>
      </x:c>
      <x:c r="J909" s="29" t="s">
        <x:v>4280</x:v>
      </x:c>
    </x:row>
    <x:row r="910" ht="10.050000190734863" customHeight="1">
      <x:c r="A910" s="21" t="s">
        <x:v>4281</x:v>
      </x:c>
      <x:c r="B910" s="20" t="s">
        <x:v>4281</x:v>
      </x:c>
      <x:c r="C910" s="20" t="s">
        <x:v>4282</x:v>
      </x:c>
      <x:c r="D910" s="24">
        <x:v>59</x:v>
      </x:c>
      <x:c r="E910" s="24" t="s">
        <x:v>89</x:v>
      </x:c>
      <x:c r="F910" s="20" t="s">
        <x:v>90</x:v>
      </x:c>
      <x:c r="G910" s="26">
        <x:v>45011</x:v>
      </x:c>
      <x:c r="H910" s="24" t="s">
        <x:v>4283</x:v>
      </x:c>
      <x:c r="I910" s="28" t="s">
        <x:v>4284</x:v>
      </x:c>
      <x:c r="J910" s="29" t="s">
        <x:v>4285</x:v>
      </x:c>
    </x:row>
    <x:row r="911" ht="10.050000190734863" customHeight="1">
      <x:c r="A911" s="21" t="s">
        <x:v>4286</x:v>
      </x:c>
      <x:c r="B911" s="20" t="s">
        <x:v>4286</x:v>
      </x:c>
      <x:c r="C911" s="20" t="s">
        <x:v>4287</x:v>
      </x:c>
      <x:c r="D911" s="24">
        <x:v>20</x:v>
      </x:c>
      <x:c r="E911" s="24" t="s">
        <x:v>114</x:v>
      </x:c>
      <x:c r="F911" s="20" t="s">
        <x:v>90</x:v>
      </x:c>
      <x:c r="G911" s="26">
        <x:v>44634</x:v>
      </x:c>
      <x:c r="H911" s="24" t="s">
        <x:v>4288</x:v>
      </x:c>
      <x:c r="I911" s="28" t="s">
        <x:v>4289</x:v>
      </x:c>
      <x:c r="J911" s="29" t="s">
        <x:v>4290</x:v>
      </x:c>
    </x:row>
    <x:row r="912" ht="10.050000190734863" customHeight="1">
      <x:c r="A912" s="21" t="s">
        <x:v>4291</x:v>
      </x:c>
      <x:c r="B912" s="20" t="s">
        <x:v>4291</x:v>
      </x:c>
      <x:c r="C912" s="20" t="s">
        <x:v>1861</x:v>
      </x:c>
      <x:c r="D912" s="24">
        <x:v>21</x:v>
      </x:c>
      <x:c r="E912" s="24" t="s">
        <x:v>198</x:v>
      </x:c>
      <x:c r="F912" s="20" t="s">
        <x:v>90</x:v>
      </x:c>
      <x:c r="G912" s="26">
        <x:v>44072</x:v>
      </x:c>
      <x:c r="H912" s="24" t="s">
        <x:v>4292</x:v>
      </x:c>
      <x:c r="I912" s="28" t="s">
        <x:v>4293</x:v>
      </x:c>
      <x:c r="J912" s="29" t="s">
        <x:v>4294</x:v>
      </x:c>
    </x:row>
    <x:row r="913" ht="10.050000190734863" customHeight="1">
      <x:c r="A913" s="21" t="s">
        <x:v>4295</x:v>
      </x:c>
      <x:c r="B913" s="20" t="s">
        <x:v>4295</x:v>
      </x:c>
      <x:c r="C913" s="20" t="s">
        <x:v>1502</x:v>
      </x:c>
      <x:c r="D913" s="24">
        <x:v>16</x:v>
      </x:c>
      <x:c r="E913" s="24" t="s">
        <x:v>89</x:v>
      </x:c>
      <x:c r="F913" s="20" t="s">
        <x:v>90</x:v>
      </x:c>
      <x:c r="G913" s="26">
        <x:v>45791</x:v>
      </x:c>
      <x:c r="H913" s="24" t="s">
        <x:v>4296</x:v>
      </x:c>
      <x:c r="I913" s="28" t="s">
        <x:v>4297</x:v>
      </x:c>
      <x:c r="J913" s="29" t="s">
        <x:v>4298</x:v>
      </x:c>
    </x:row>
    <x:row r="914" ht="10.050000190734863" customHeight="1">
      <x:c r="A914" s="21" t="s">
        <x:v>4299</x:v>
      </x:c>
      <x:c r="B914" s="20" t="s">
        <x:v>4299</x:v>
      </x:c>
      <x:c r="C914" s="20" t="s">
        <x:v>4300</x:v>
      </x:c>
      <x:c r="D914" s="24">
        <x:v>70</x:v>
      </x:c>
      <x:c r="E914" s="24" t="s">
        <x:v>96</x:v>
      </x:c>
      <x:c r="F914" s="20" t="s">
        <x:v>97</x:v>
      </x:c>
      <x:c r="G914" s="26">
        <x:v>44497</x:v>
      </x:c>
      <x:c r="H914" s="24" t="s">
        <x:v>4301</x:v>
      </x:c>
      <x:c r="I914" s="28" t="s">
        <x:v>4302</x:v>
      </x:c>
      <x:c r="J914" s="29" t="s">
        <x:v>4303</x:v>
      </x:c>
    </x:row>
    <x:row r="915" ht="10.050000190734863" customHeight="1">
      <x:c r="A915" s="21" t="s">
        <x:v>4304</x:v>
      </x:c>
      <x:c r="B915" s="20" t="s">
        <x:v>4304</x:v>
      </x:c>
      <x:c r="C915" s="20" t="s">
        <x:v>4305</x:v>
      </x:c>
      <x:c r="D915" s="24">
        <x:v>17</x:v>
      </x:c>
      <x:c r="E915" s="24" t="s">
        <x:v>89</x:v>
      </x:c>
      <x:c r="F915" s="20" t="s">
        <x:v>90</x:v>
      </x:c>
      <x:c r="G915" s="26">
        <x:v>44278</x:v>
      </x:c>
      <x:c r="H915" s="24" t="s">
        <x:v>4306</x:v>
      </x:c>
      <x:c r="I915" s="28" t="s">
        <x:v>4307</x:v>
      </x:c>
      <x:c r="J915" s="29" t="s">
        <x:v>4308</x:v>
      </x:c>
    </x:row>
    <x:row r="916" ht="10.050000190734863" customHeight="1">
      <x:c r="A916" s="21" t="s">
        <x:v>4309</x:v>
      </x:c>
      <x:c r="B916" s="20" t="s">
        <x:v>4309</x:v>
      </x:c>
      <x:c r="C916" s="20" t="s">
        <x:v>4310</x:v>
      </x:c>
      <x:c r="D916" s="24">
        <x:v>13</x:v>
      </x:c>
      <x:c r="E916" s="24" t="s">
        <x:v>89</x:v>
      </x:c>
      <x:c r="F916" s="20" t="s">
        <x:v>90</x:v>
      </x:c>
      <x:c r="G916" s="26">
        <x:v>45479</x:v>
      </x:c>
      <x:c r="H916" s="24" t="s">
        <x:v>4311</x:v>
      </x:c>
      <x:c r="I916" s="28" t="s">
        <x:v>4312</x:v>
      </x:c>
      <x:c r="J916" s="29" t="s">
        <x:v>4313</x:v>
      </x:c>
    </x:row>
    <x:row r="917" ht="10.050000190734863" customHeight="1">
      <x:c r="A917" s="21" t="s">
        <x:v>4314</x:v>
      </x:c>
      <x:c r="B917" s="20" t="s">
        <x:v>4314</x:v>
      </x:c>
      <x:c r="C917" s="20" t="s">
        <x:v>4315</x:v>
      </x:c>
      <x:c r="D917" s="24">
        <x:v>8</x:v>
      </x:c>
      <x:c r="E917" s="24" t="s">
        <x:v>257</x:v>
      </x:c>
      <x:c r="F917" s="20" t="s">
        <x:v>97</x:v>
      </x:c>
      <x:c r="G917" s="26">
        <x:v>42279</x:v>
      </x:c>
      <x:c r="H917" s="24" t="s">
        <x:v>4316</x:v>
      </x:c>
      <x:c r="I917" s="28" t="s">
        <x:v>4317</x:v>
      </x:c>
      <x:c r="J917" s="29" t="s">
        <x:v>4318</x:v>
      </x:c>
    </x:row>
    <x:row r="918" ht="10.050000190734863" customHeight="1">
      <x:c r="A918" s="21" t="s">
        <x:v>4319</x:v>
      </x:c>
      <x:c r="B918" s="20" t="s">
        <x:v>4320</x:v>
      </x:c>
      <x:c r="C918" s="20" t="s">
        <x:v>4321</x:v>
      </x:c>
      <x:c r="D918" s="24">
        <x:v>7</x:v>
      </x:c>
      <x:c r="E918" s="24" t="s">
        <x:v>257</x:v>
      </x:c>
      <x:c r="F918" s="20" t="s">
        <x:v>97</x:v>
      </x:c>
      <x:c r="G918" s="26">
        <x:v>41714</x:v>
      </x:c>
      <x:c r="H918" s="24" t="s">
        <x:v>4322</x:v>
      </x:c>
      <x:c r="I918" s="28" t="s">
        <x:v>4323</x:v>
      </x:c>
      <x:c r="J918" s="29" t="s">
        <x:v>4324</x:v>
      </x:c>
    </x:row>
    <x:row r="919" ht="10.050000190734863" customHeight="1">
      <x:c r="A919" s="21" t="s">
        <x:v>4325</x:v>
      </x:c>
      <x:c r="B919" s="20" t="s">
        <x:v>4326</x:v>
      </x:c>
      <x:c r="C919" s="20" t="s">
        <x:v>4327</x:v>
      </x:c>
      <x:c r="D919" s="24">
        <x:v>5</x:v>
      </x:c>
      <x:c r="E919" s="24" t="s">
        <x:v>257</x:v>
      </x:c>
      <x:c r="F919" s="20" t="s">
        <x:v>97</x:v>
      </x:c>
      <x:c r="G919" s="26">
        <x:v>42237</x:v>
      </x:c>
      <x:c r="H919" s="24" t="s">
        <x:v>4328</x:v>
      </x:c>
      <x:c r="I919" s="28" t="s">
        <x:v>4329</x:v>
      </x:c>
      <x:c r="J919" s="29" t="s">
        <x:v>4330</x:v>
      </x:c>
    </x:row>
    <x:row r="920" ht="10.050000190734863" customHeight="1">
      <x:c r="A920" s="21" t="s">
        <x:v>4331</x:v>
      </x:c>
      <x:c r="B920" s="20" t="s">
        <x:v>4331</x:v>
      </x:c>
      <x:c r="C920" s="20" t="s">
        <x:v>4332</x:v>
      </x:c>
      <x:c r="D920" s="24">
        <x:v>21</x:v>
      </x:c>
      <x:c r="E920" s="24" t="s">
        <x:v>103</x:v>
      </x:c>
      <x:c r="F920" s="20" t="s">
        <x:v>97</x:v>
      </x:c>
      <x:c r="G920" s="26">
        <x:v>45648</x:v>
      </x:c>
      <x:c r="H920" s="24" t="s">
        <x:v>4333</x:v>
      </x:c>
      <x:c r="I920" s="28" t="s">
        <x:v>4334</x:v>
      </x:c>
      <x:c r="J920" s="29" t="s">
        <x:v>4335</x:v>
      </x:c>
    </x:row>
    <x:row r="921" ht="10.050000190734863" customHeight="1">
      <x:c r="A921" s="21" t="s">
        <x:v>4336</x:v>
      </x:c>
      <x:c r="B921" s="20" t="s">
        <x:v>4336</x:v>
      </x:c>
      <x:c r="C921" s="20" t="s">
        <x:v>4337</x:v>
      </x:c>
      <x:c r="D921" s="24">
        <x:v>26</x:v>
      </x:c>
      <x:c r="E921" s="24" t="s">
        <x:v>103</x:v>
      </x:c>
      <x:c r="F921" s="20" t="s">
        <x:v>97</x:v>
      </x:c>
      <x:c r="G921" s="26">
        <x:v>41821</x:v>
      </x:c>
      <x:c r="H921" s="24" t="s">
        <x:v>4338</x:v>
      </x:c>
      <x:c r="I921" s="28" t="s">
        <x:v>4339</x:v>
      </x:c>
      <x:c r="J921" s="29" t="s">
        <x:v>4340</x:v>
      </x:c>
    </x:row>
    <x:row r="922" ht="10.050000190734863" customHeight="1">
      <x:c r="A922" s="21" t="s">
        <x:v>4341</x:v>
      </x:c>
      <x:c r="B922" s="20" t="s">
        <x:v>4341</x:v>
      </x:c>
      <x:c r="C922" s="20" t="s">
        <x:v>4342</x:v>
      </x:c>
      <x:c r="D922" s="24">
        <x:v>7</x:v>
      </x:c>
      <x:c r="E922" s="24" t="s">
        <x:v>103</x:v>
      </x:c>
      <x:c r="F922" s="20" t="s">
        <x:v>97</x:v>
      </x:c>
      <x:c r="G922" s="26">
        <x:v>44676</x:v>
      </x:c>
      <x:c r="H922" s="24" t="s">
        <x:v>4343</x:v>
      </x:c>
      <x:c r="I922" s="28" t="s">
        <x:v>4344</x:v>
      </x:c>
      <x:c r="J922" s="29" t="s">
        <x:v>4345</x:v>
      </x:c>
    </x:row>
    <x:row r="923" ht="10.050000190734863" customHeight="1">
      <x:c r="A923" s="21" t="s">
        <x:v>4346</x:v>
      </x:c>
      <x:c r="B923" s="20" t="s">
        <x:v>4346</x:v>
      </x:c>
      <x:c r="C923" s="20" t="s">
        <x:v>4347</x:v>
      </x:c>
      <x:c r="D923" s="24">
        <x:v>6</x:v>
      </x:c>
      <x:c r="E923" s="24" t="s">
        <x:v>257</x:v>
      </x:c>
      <x:c r="F923" s="20" t="s">
        <x:v>97</x:v>
      </x:c>
      <x:c r="G923" s="26">
        <x:v>42108</x:v>
      </x:c>
      <x:c r="H923" s="24" t="s">
        <x:v>4348</x:v>
      </x:c>
      <x:c r="I923" s="28" t="s">
        <x:v>4349</x:v>
      </x:c>
      <x:c r="J923" s="29" t="s">
        <x:v>4350</x:v>
      </x:c>
    </x:row>
    <x:row r="924" ht="10.050000190734863" customHeight="1">
      <x:c r="A924" s="21" t="s">
        <x:v>4351</x:v>
      </x:c>
      <x:c r="B924" s="20" t="s">
        <x:v>4351</x:v>
      </x:c>
      <x:c r="C924" s="20" t="s">
        <x:v>4352</x:v>
      </x:c>
      <x:c r="D924" s="24">
        <x:v>5</x:v>
      </x:c>
      <x:c r="E924" s="24" t="s">
        <x:v>257</x:v>
      </x:c>
      <x:c r="F924" s="20" t="s">
        <x:v>97</x:v>
      </x:c>
      <x:c r="G924" s="26">
        <x:v>42229</x:v>
      </x:c>
      <x:c r="H924" s="24" t="s">
        <x:v>4353</x:v>
      </x:c>
      <x:c r="I924" s="28" t="s">
        <x:v>4354</x:v>
      </x:c>
      <x:c r="J924" s="29" t="s">
        <x:v>4355</x:v>
      </x:c>
    </x:row>
    <x:row r="925" ht="10.050000190734863" customHeight="1">
      <x:c r="A925" s="21" t="s">
        <x:v>4356</x:v>
      </x:c>
      <x:c r="B925" s="20" t="s">
        <x:v>4356</x:v>
      </x:c>
      <x:c r="C925" s="20" t="s">
        <x:v>543</x:v>
      </x:c>
      <x:c r="D925" s="24">
        <x:v>86</x:v>
      </x:c>
      <x:c r="E925" s="24" t="s">
        <x:v>103</x:v>
      </x:c>
      <x:c r="F925" s="20" t="s">
        <x:v>97</x:v>
      </x:c>
      <x:c r="G925" s="26">
        <x:v>42939</x:v>
      </x:c>
      <x:c r="H925" s="24" t="s">
        <x:v>4357</x:v>
      </x:c>
      <x:c r="I925" s="28" t="s">
        <x:v>4358</x:v>
      </x:c>
      <x:c r="J925" s="29" t="s">
        <x:v>4359</x:v>
      </x:c>
    </x:row>
    <x:row r="926" ht="10.050000190734863" customHeight="1">
      <x:c r="A926" s="21" t="s">
        <x:v>4360</x:v>
      </x:c>
      <x:c r="B926" s="20" t="s">
        <x:v>4360</x:v>
      </x:c>
      <x:c r="C926" s="20" t="s">
        <x:v>1856</x:v>
      </x:c>
      <x:c r="D926" s="24">
        <x:v>16</x:v>
      </x:c>
      <x:c r="E926" s="24" t="s">
        <x:v>96</x:v>
      </x:c>
      <x:c r="F926" s="20" t="s">
        <x:v>97</x:v>
      </x:c>
      <x:c r="G926" s="26">
        <x:v>43373</x:v>
      </x:c>
      <x:c r="H926" s="24" t="s">
        <x:v>4361</x:v>
      </x:c>
      <x:c r="I926" s="28" t="s">
        <x:v>4362</x:v>
      </x:c>
      <x:c r="J926" s="29" t="s">
        <x:v>4363</x:v>
      </x:c>
    </x:row>
    <x:row r="927" ht="10.050000190734863" customHeight="1">
      <x:c r="A927" s="21" t="s">
        <x:v>4364</x:v>
      </x:c>
      <x:c r="B927" s="20" t="s">
        <x:v>4364</x:v>
      </x:c>
      <x:c r="C927" s="20" t="s">
        <x:v>543</x:v>
      </x:c>
      <x:c r="D927" s="24">
        <x:v>44</x:v>
      </x:c>
      <x:c r="E927" s="24" t="s">
        <x:v>103</x:v>
      </x:c>
      <x:c r="F927" s="20" t="s">
        <x:v>97</x:v>
      </x:c>
      <x:c r="G927" s="26">
        <x:v>42334</x:v>
      </x:c>
      <x:c r="H927" s="24" t="s">
        <x:v>4365</x:v>
      </x:c>
      <x:c r="I927" s="28" t="s">
        <x:v>4366</x:v>
      </x:c>
      <x:c r="J927" s="29" t="s">
        <x:v>4367</x:v>
      </x:c>
    </x:row>
    <x:row r="928" ht="10.050000190734863" customHeight="1">
      <x:c r="A928" s="21" t="s">
        <x:v>4368</x:v>
      </x:c>
      <x:c r="B928" s="20" t="s">
        <x:v>4368</x:v>
      </x:c>
      <x:c r="C928" s="20" t="s">
        <x:v>4369</x:v>
      </x:c>
      <x:c r="D928" s="24">
        <x:v>28</x:v>
      </x:c>
      <x:c r="E928" s="24" t="s">
        <x:v>103</x:v>
      </x:c>
      <x:c r="F928" s="20" t="s">
        <x:v>97</x:v>
      </x:c>
      <x:c r="G928" s="26">
        <x:v>42217</x:v>
      </x:c>
      <x:c r="H928" s="24" t="s">
        <x:v>4370</x:v>
      </x:c>
      <x:c r="I928" s="28" t="s">
        <x:v>4371</x:v>
      </x:c>
      <x:c r="J928" s="29" t="s">
        <x:v>4372</x:v>
      </x:c>
    </x:row>
    <x:row r="929" ht="10.050000190734863" customHeight="1">
      <x:c r="A929" s="21" t="s">
        <x:v>4373</x:v>
      </x:c>
      <x:c r="B929" s="20" t="s">
        <x:v>4373</x:v>
      </x:c>
      <x:c r="C929" s="20" t="s">
        <x:v>4374</x:v>
      </x:c>
      <x:c r="D929" s="24">
        <x:v>8</x:v>
      </x:c>
      <x:c r="E929" s="24" t="s">
        <x:v>257</x:v>
      </x:c>
      <x:c r="F929" s="20" t="s">
        <x:v>97</x:v>
      </x:c>
      <x:c r="G929" s="26">
        <x:v>41528</x:v>
      </x:c>
      <x:c r="H929" s="24" t="s">
        <x:v>4375</x:v>
      </x:c>
      <x:c r="I929" s="28" t="s">
        <x:v>4376</x:v>
      </x:c>
      <x:c r="J929" s="29" t="s">
        <x:v>4377</x:v>
      </x:c>
    </x:row>
    <x:row r="930" ht="10.050000190734863" customHeight="1">
      <x:c r="A930" s="21" t="s">
        <x:v>4378</x:v>
      </x:c>
      <x:c r="B930" s="20" t="s">
        <x:v>4378</x:v>
      </x:c>
      <x:c r="C930" s="20" t="s">
        <x:v>4379</x:v>
      </x:c>
      <x:c r="D930" s="24">
        <x:v>6</x:v>
      </x:c>
      <x:c r="E930" s="24" t="s">
        <x:v>96</x:v>
      </x:c>
      <x:c r="F930" s="20" t="s">
        <x:v>97</x:v>
      </x:c>
      <x:c r="G930" s="26">
        <x:v>42217</x:v>
      </x:c>
      <x:c r="H930" s="24" t="s">
        <x:v>4380</x:v>
      </x:c>
      <x:c r="I930" s="28" t="s">
        <x:v>4381</x:v>
      </x:c>
      <x:c r="J930" s="29" t="s">
        <x:v>4382</x:v>
      </x:c>
    </x:row>
    <x:row r="931" ht="10.050000190734863" customHeight="1">
      <x:c r="A931" s="21" t="s">
        <x:v>4383</x:v>
      </x:c>
      <x:c r="B931" s="20" t="s">
        <x:v>4383</x:v>
      </x:c>
      <x:c r="C931" s="20" t="s">
        <x:v>3295</x:v>
      </x:c>
      <x:c r="D931" s="24">
        <x:v>35</x:v>
      </x:c>
      <x:c r="E931" s="24" t="s">
        <x:v>103</x:v>
      </x:c>
      <x:c r="F931" s="20" t="s">
        <x:v>97</x:v>
      </x:c>
      <x:c r="G931" s="26">
        <x:v>45349</x:v>
      </x:c>
      <x:c r="H931" s="24" t="s">
        <x:v>4384</x:v>
      </x:c>
      <x:c r="I931" s="28" t="s">
        <x:v>4385</x:v>
      </x:c>
      <x:c r="J931" s="29" t="s">
        <x:v>4386</x:v>
      </x:c>
    </x:row>
    <x:row r="932" ht="10.050000190734863" customHeight="1">
      <x:c r="A932" s="21" t="s">
        <x:v>4387</x:v>
      </x:c>
      <x:c r="B932" s="20" t="s">
        <x:v>4387</x:v>
      </x:c>
      <x:c r="C932" s="20" t="s">
        <x:v>4332</x:v>
      </x:c>
      <x:c r="D932" s="24">
        <x:v>1</x:v>
      </x:c>
      <x:c r="E932" s="24" t="s">
        <x:v>103</x:v>
      </x:c>
      <x:c r="F932" s="20" t="s">
        <x:v>97</x:v>
      </x:c>
      <x:c r="G932" s="26">
        <x:v>44565</x:v>
      </x:c>
      <x:c r="H932" s="24" t="s">
        <x:v>4388</x:v>
      </x:c>
      <x:c r="I932" s="28" t="s">
        <x:v>4389</x:v>
      </x:c>
      <x:c r="J932" s="29" t="s">
        <x:v>4390</x:v>
      </x:c>
    </x:row>
    <x:row r="933" ht="10.050000190734863" customHeight="1">
      <x:c r="A933" s="21" t="s">
        <x:v>4391</x:v>
      </x:c>
      <x:c r="B933" s="20" t="s">
        <x:v>4391</x:v>
      </x:c>
      <x:c r="C933" s="20" t="s">
        <x:v>4392</x:v>
      </x:c>
      <x:c r="D933" s="24">
        <x:v>1</x:v>
      </x:c>
      <x:c r="E933" s="24" t="s">
        <x:v>89</x:v>
      </x:c>
      <x:c r="F933" s="20" t="s">
        <x:v>90</x:v>
      </x:c>
      <x:c r="G933" s="26">
        <x:v>44492</x:v>
      </x:c>
      <x:c r="H933" s="24" t="s">
        <x:v>4393</x:v>
      </x:c>
      <x:c r="I933" s="28" t="s">
        <x:v>4394</x:v>
      </x:c>
      <x:c r="J933" s="29" t="s">
        <x:v>4395</x:v>
      </x:c>
    </x:row>
    <x:row r="934" ht="10.050000190734863" customHeight="1">
      <x:c r="A934" s="21" t="s">
        <x:v>4396</x:v>
      </x:c>
      <x:c r="B934" s="20" t="s">
        <x:v>4397</x:v>
      </x:c>
      <x:c r="C934" s="20" t="s">
        <x:v>4398</x:v>
      </x:c>
      <x:c r="D934" s="24">
        <x:v>12</x:v>
      </x:c>
      <x:c r="E934" s="24" t="s">
        <x:v>103</x:v>
      </x:c>
      <x:c r="F934" s="20" t="s">
        <x:v>97</x:v>
      </x:c>
      <x:c r="G934" s="26">
        <x:v>44012</x:v>
      </x:c>
      <x:c r="H934" s="24" t="s">
        <x:v>4399</x:v>
      </x:c>
      <x:c r="I934" s="28" t="s">
        <x:v>4400</x:v>
      </x:c>
      <x:c r="J934" s="29" t="s">
        <x:v>4401</x:v>
      </x:c>
    </x:row>
    <x:row r="935" ht="10.050000190734863" customHeight="1">
      <x:c r="A935" s="21" t="s">
        <x:v>4402</x:v>
      </x:c>
      <x:c r="B935" s="20" t="s">
        <x:v>4397</x:v>
      </x:c>
      <x:c r="C935" s="20" t="s">
        <x:v>4398</x:v>
      </x:c>
      <x:c r="D935" s="24">
        <x:v>33</x:v>
      </x:c>
      <x:c r="E935" s="24" t="s">
        <x:v>103</x:v>
      </x:c>
      <x:c r="F935" s="20" t="s">
        <x:v>97</x:v>
      </x:c>
      <x:c r="G935" s="26">
        <x:v>45109</x:v>
      </x:c>
      <x:c r="H935" s="24" t="s">
        <x:v>4403</x:v>
      </x:c>
      <x:c r="I935" s="28" t="s">
        <x:v>4404</x:v>
      </x:c>
      <x:c r="J935" s="29" t="s">
        <x:v>4405</x:v>
      </x:c>
    </x:row>
    <x:row r="936" ht="10.050000190734863" customHeight="1">
      <x:c r="A936" s="21" t="s">
        <x:v>4406</x:v>
      </x:c>
      <x:c r="B936" s="20" t="s">
        <x:v>4397</x:v>
      </x:c>
      <x:c r="C936" s="20" t="s">
        <x:v>4398</x:v>
      </x:c>
      <x:c r="D936" s="24">
        <x:v>40</x:v>
      </x:c>
      <x:c r="E936" s="24" t="s">
        <x:v>96</x:v>
      </x:c>
      <x:c r="F936" s="20" t="s">
        <x:v>97</x:v>
      </x:c>
      <x:c r="G936" s="26">
        <x:v>45851</x:v>
      </x:c>
      <x:c r="H936" s="24" t="s">
        <x:v>4407</x:v>
      </x:c>
      <x:c r="I936" s="28" t="s">
        <x:v>4408</x:v>
      </x:c>
      <x:c r="J936" s="29" t="s">
        <x:v>4409</x:v>
      </x:c>
    </x:row>
    <x:row r="937" ht="10.050000190734863" customHeight="1">
      <x:c r="A937" s="21" t="s">
        <x:v>4410</x:v>
      </x:c>
      <x:c r="B937" s="20" t="s">
        <x:v>4410</x:v>
      </x:c>
      <x:c r="C937" s="20" t="s">
        <x:v>4411</x:v>
      </x:c>
      <x:c r="D937" s="24">
        <x:v>6</x:v>
      </x:c>
      <x:c r="E937" s="24" t="s">
        <x:v>103</x:v>
      </x:c>
      <x:c r="F937" s="20" t="s">
        <x:v>97</x:v>
      </x:c>
      <x:c r="G937" s="26">
        <x:v>42338</x:v>
      </x:c>
      <x:c r="H937" s="24" t="s">
        <x:v>4412</x:v>
      </x:c>
      <x:c r="I937" s="28" t="s">
        <x:v>4413</x:v>
      </x:c>
      <x:c r="J937" s="29" t="s">
        <x:v>4414</x:v>
      </x:c>
    </x:row>
    <x:row r="938" ht="10.050000190734863" customHeight="1">
      <x:c r="A938" s="21" t="s">
        <x:v>4415</x:v>
      </x:c>
      <x:c r="B938" s="20" t="s">
        <x:v>4415</x:v>
      </x:c>
      <x:c r="C938" s="20" t="s">
        <x:v>4416</x:v>
      </x:c>
      <x:c r="D938" s="24">
        <x:v>8</x:v>
      </x:c>
      <x:c r="E938" s="24" t="s">
        <x:v>103</x:v>
      </x:c>
      <x:c r="F938" s="20" t="s">
        <x:v>97</x:v>
      </x:c>
      <x:c r="G938" s="26">
        <x:v>42872</x:v>
      </x:c>
      <x:c r="H938" s="24" t="s">
        <x:v>4417</x:v>
      </x:c>
      <x:c r="I938" s="28" t="s">
        <x:v>4418</x:v>
      </x:c>
      <x:c r="J938" s="29" t="s">
        <x:v>4419</x:v>
      </x:c>
    </x:row>
    <x:row r="939" ht="10.050000190734863" customHeight="1">
      <x:c r="A939" s="21" t="s">
        <x:v>4420</x:v>
      </x:c>
      <x:c r="B939" s="20" t="s">
        <x:v>4420</x:v>
      </x:c>
      <x:c r="C939" s="20" t="s">
        <x:v>1544</x:v>
      </x:c>
      <x:c r="D939" s="24">
        <x:v>6</x:v>
      </x:c>
      <x:c r="E939" s="24" t="s">
        <x:v>103</x:v>
      </x:c>
      <x:c r="F939" s="20" t="s">
        <x:v>97</x:v>
      </x:c>
      <x:c r="G939" s="26">
        <x:v>42214</x:v>
      </x:c>
      <x:c r="H939" s="24" t="s">
        <x:v>4421</x:v>
      </x:c>
      <x:c r="I939" s="28" t="s">
        <x:v>4422</x:v>
      </x:c>
      <x:c r="J939" s="29" t="s">
        <x:v>4423</x:v>
      </x:c>
    </x:row>
    <x:row r="940" ht="10.050000190734863" customHeight="1">
      <x:c r="A940" s="21" t="s">
        <x:v>4424</x:v>
      </x:c>
      <x:c r="B940" s="20" t="s">
        <x:v>4424</x:v>
      </x:c>
      <x:c r="C940" s="20" t="s">
        <x:v>4425</x:v>
      </x:c>
      <x:c r="D940" s="24">
        <x:v>3</x:v>
      </x:c>
      <x:c r="E940" s="24" t="s">
        <x:v>103</x:v>
      </x:c>
      <x:c r="F940" s="20" t="s">
        <x:v>97</x:v>
      </x:c>
      <x:c r="G940" s="26">
        <x:v>42153</x:v>
      </x:c>
      <x:c r="H940" s="24" t="s">
        <x:v>4426</x:v>
      </x:c>
      <x:c r="I940" s="28" t="s">
        <x:v>4427</x:v>
      </x:c>
      <x:c r="J940" s="29" t="s">
        <x:v>4428</x:v>
      </x:c>
    </x:row>
    <x:row r="941" ht="10.050000190734863" customHeight="1">
      <x:c r="A941" s="21" t="s">
        <x:v>4429</x:v>
      </x:c>
      <x:c r="B941" s="20" t="s">
        <x:v>4429</x:v>
      </x:c>
      <x:c r="C941" s="20" t="s">
        <x:v>1282</x:v>
      </x:c>
      <x:c r="D941" s="24">
        <x:v>8</x:v>
      </x:c>
      <x:c r="E941" s="24" t="s">
        <x:v>96</x:v>
      </x:c>
      <x:c r="F941" s="20" t="s">
        <x:v>97</x:v>
      </x:c>
      <x:c r="G941" s="26">
        <x:v>45725</x:v>
      </x:c>
      <x:c r="H941" s="24" t="s">
        <x:v>4430</x:v>
      </x:c>
      <x:c r="I941" s="28" t="s">
        <x:v>4431</x:v>
      </x:c>
      <x:c r="J941" s="29" t="s">
        <x:v>4432</x:v>
      </x:c>
    </x:row>
    <x:row r="942" ht="10.050000190734863" customHeight="1">
      <x:c r="A942" s="21" t="s">
        <x:v>4433</x:v>
      </x:c>
      <x:c r="B942" s="20" t="s">
        <x:v>4433</x:v>
      </x:c>
      <x:c r="C942" s="20" t="s">
        <x:v>4434</x:v>
      </x:c>
      <x:c r="D942" s="24">
        <x:v>5</x:v>
      </x:c>
      <x:c r="E942" s="24" t="s">
        <x:v>103</x:v>
      </x:c>
      <x:c r="F942" s="20" t="s">
        <x:v>97</x:v>
      </x:c>
      <x:c r="G942" s="26">
        <x:v>42236</x:v>
      </x:c>
      <x:c r="H942" s="24" t="s">
        <x:v>4435</x:v>
      </x:c>
      <x:c r="I942" s="28" t="s">
        <x:v>4436</x:v>
      </x:c>
      <x:c r="J942" s="29" t="s">
        <x:v>4437</x:v>
      </x:c>
    </x:row>
    <x:row r="943" ht="10.050000190734863" customHeight="1">
      <x:c r="A943" s="21" t="s">
        <x:v>4438</x:v>
      </x:c>
      <x:c r="B943" s="20" t="s">
        <x:v>4438</x:v>
      </x:c>
      <x:c r="C943" s="20" t="s">
        <x:v>1282</x:v>
      </x:c>
      <x:c r="D943" s="24">
        <x:v>7</x:v>
      </x:c>
      <x:c r="E943" s="24" t="s">
        <x:v>96</x:v>
      </x:c>
      <x:c r="F943" s="20" t="s">
        <x:v>97</x:v>
      </x:c>
      <x:c r="G943" s="26">
        <x:v>46075</x:v>
      </x:c>
      <x:c r="H943" s="24" t="s">
        <x:v>4439</x:v>
      </x:c>
      <x:c r="I943" s="28" t="s">
        <x:v>4440</x:v>
      </x:c>
      <x:c r="J943" s="29" t="s">
        <x:v>4441</x:v>
      </x:c>
    </x:row>
    <x:row r="944" ht="10.050000190734863" customHeight="1">
      <x:c r="A944" s="21" t="s">
        <x:v>4442</x:v>
      </x:c>
      <x:c r="B944" s="20" t="s">
        <x:v>4442</x:v>
      </x:c>
      <x:c r="C944" s="20" t="s">
        <x:v>4443</x:v>
      </x:c>
      <x:c r="D944" s="24">
        <x:v>11</x:v>
      </x:c>
      <x:c r="E944" s="24" t="s">
        <x:v>257</x:v>
      </x:c>
      <x:c r="F944" s="20" t="s">
        <x:v>97</x:v>
      </x:c>
      <x:c r="G944" s="26">
        <x:v>42091</x:v>
      </x:c>
      <x:c r="H944" s="24" t="s">
        <x:v>4444</x:v>
      </x:c>
      <x:c r="I944" s="28" t="s">
        <x:v>4445</x:v>
      </x:c>
      <x:c r="J944" s="29" t="s">
        <x:v>4446</x:v>
      </x:c>
    </x:row>
    <x:row r="945" ht="10.050000190734863" customHeight="1">
      <x:c r="A945" s="21" t="s">
        <x:v>4447</x:v>
      </x:c>
      <x:c r="B945" s="20" t="s">
        <x:v>4447</x:v>
      </x:c>
      <x:c r="C945" s="20" t="s">
        <x:v>4448</x:v>
      </x:c>
      <x:c r="D945" s="24">
        <x:v>18</x:v>
      </x:c>
      <x:c r="E945" s="24" t="s">
        <x:v>89</x:v>
      </x:c>
      <x:c r="F945" s="20" t="s">
        <x:v>90</x:v>
      </x:c>
      <x:c r="G945" s="26">
        <x:v>43957</x:v>
      </x:c>
      <x:c r="H945" s="24" t="s">
        <x:v>4449</x:v>
      </x:c>
      <x:c r="I945" s="28" t="s">
        <x:v>4450</x:v>
      </x:c>
      <x:c r="J945" s="29" t="s">
        <x:v>4451</x:v>
      </x:c>
    </x:row>
    <x:row r="946" ht="10.050000190734863" customHeight="1">
      <x:c r="A946" s="21" t="s">
        <x:v>4452</x:v>
      </x:c>
      <x:c r="B946" s="20" t="s">
        <x:v>4452</x:v>
      </x:c>
      <x:c r="C946" s="20" t="s">
        <x:v>4453</x:v>
      </x:c>
      <x:c r="D946" s="24">
        <x:v>8</x:v>
      </x:c>
      <x:c r="E946" s="24" t="s">
        <x:v>103</x:v>
      </x:c>
      <x:c r="F946" s="20" t="s">
        <x:v>97</x:v>
      </x:c>
      <x:c r="G946" s="26">
        <x:v>42315</x:v>
      </x:c>
      <x:c r="H946" s="24" t="s">
        <x:v>4454</x:v>
      </x:c>
      <x:c r="I946" s="28" t="s">
        <x:v>4455</x:v>
      </x:c>
      <x:c r="J946" s="29" t="s">
        <x:v>4456</x:v>
      </x:c>
    </x:row>
    <x:row r="947" ht="10.050000190734863" customHeight="1">
      <x:c r="A947" s="21" t="s">
        <x:v>4457</x:v>
      </x:c>
      <x:c r="B947" s="20" t="s">
        <x:v>4457</x:v>
      </x:c>
      <x:c r="C947" s="20" t="s">
        <x:v>4458</x:v>
      </x:c>
      <x:c r="D947" s="24">
        <x:v>12</x:v>
      </x:c>
      <x:c r="E947" s="24" t="s">
        <x:v>103</x:v>
      </x:c>
      <x:c r="F947" s="20" t="s">
        <x:v>97</x:v>
      </x:c>
      <x:c r="G947" s="26">
        <x:v>42224</x:v>
      </x:c>
      <x:c r="H947" s="24" t="s">
        <x:v>4459</x:v>
      </x:c>
      <x:c r="I947" s="28" t="s">
        <x:v>4460</x:v>
      </x:c>
      <x:c r="J947" s="29" t="s">
        <x:v>4461</x:v>
      </x:c>
    </x:row>
    <x:row r="948" ht="10.050000190734863" customHeight="1">
      <x:c r="A948" s="21" t="s">
        <x:v>4462</x:v>
      </x:c>
      <x:c r="B948" s="20" t="s">
        <x:v>4462</x:v>
      </x:c>
      <x:c r="C948" s="20" t="s">
        <x:v>4463</x:v>
      </x:c>
      <x:c r="D948" s="24">
        <x:v>10</x:v>
      </x:c>
      <x:c r="E948" s="24" t="s">
        <x:v>103</x:v>
      </x:c>
      <x:c r="F948" s="20" t="s">
        <x:v>97</x:v>
      </x:c>
      <x:c r="G948" s="26">
        <x:v>41569</x:v>
      </x:c>
      <x:c r="H948" s="24" t="s">
        <x:v>4464</x:v>
      </x:c>
      <x:c r="I948" s="28" t="s">
        <x:v>4465</x:v>
      </x:c>
      <x:c r="J948" s="29" t="s">
        <x:v>4466</x:v>
      </x:c>
    </x:row>
    <x:row r="949" ht="10.050000190734863" customHeight="1">
      <x:c r="A949" s="21" t="s">
        <x:v>4467</x:v>
      </x:c>
      <x:c r="B949" s="20" t="s">
        <x:v>4467</x:v>
      </x:c>
      <x:c r="C949" s="20" t="s">
        <x:v>4468</x:v>
      </x:c>
      <x:c r="D949" s="24">
        <x:v>7</x:v>
      </x:c>
      <x:c r="E949" s="24" t="s">
        <x:v>103</x:v>
      </x:c>
      <x:c r="F949" s="20" t="s">
        <x:v>97</x:v>
      </x:c>
      <x:c r="G949" s="26">
        <x:v>41998</x:v>
      </x:c>
      <x:c r="H949" s="24" t="s">
        <x:v>4469</x:v>
      </x:c>
      <x:c r="I949" s="28" t="s">
        <x:v>4470</x:v>
      </x:c>
      <x:c r="J949" s="29" t="s">
        <x:v>4471</x:v>
      </x:c>
    </x:row>
    <x:row r="950" ht="10.050000190734863" customHeight="1">
      <x:c r="A950" s="21" t="s">
        <x:v>4472</x:v>
      </x:c>
      <x:c r="B950" s="20" t="s">
        <x:v>4472</x:v>
      </x:c>
      <x:c r="C950" s="20" t="s">
        <x:v>4473</x:v>
      </x:c>
      <x:c r="D950" s="24">
        <x:v>4</x:v>
      </x:c>
      <x:c r="E950" s="24" t="s">
        <x:v>96</x:v>
      </x:c>
      <x:c r="F950" s="20" t="s">
        <x:v>97</x:v>
      </x:c>
      <x:c r="G950" s="26">
        <x:v>42163</x:v>
      </x:c>
      <x:c r="H950" s="24" t="s">
        <x:v>4474</x:v>
      </x:c>
      <x:c r="I950" s="28" t="s">
        <x:v>4475</x:v>
      </x:c>
      <x:c r="J950" s="29" t="s">
        <x:v>4476</x:v>
      </x:c>
    </x:row>
    <x:row r="951" ht="10.050000190734863" customHeight="1">
      <x:c r="A951" s="21" t="s">
        <x:v>4477</x:v>
      </x:c>
      <x:c r="B951" s="20" t="s">
        <x:v>4477</x:v>
      </x:c>
      <x:c r="C951" s="20" t="s">
        <x:v>4478</x:v>
      </x:c>
      <x:c r="D951" s="24">
        <x:v>6</x:v>
      </x:c>
      <x:c r="E951" s="24" t="s">
        <x:v>257</x:v>
      </x:c>
      <x:c r="F951" s="20" t="s">
        <x:v>97</x:v>
      </x:c>
      <x:c r="G951" s="26">
        <x:v>42264</x:v>
      </x:c>
      <x:c r="H951" s="24" t="s">
        <x:v>4479</x:v>
      </x:c>
      <x:c r="I951" s="28" t="s">
        <x:v>4480</x:v>
      </x:c>
      <x:c r="J951" s="29" t="s">
        <x:v>4481</x:v>
      </x:c>
    </x:row>
    <x:row r="952" ht="10.050000190734863" customHeight="1">
      <x:c r="A952" s="21" t="s">
        <x:v>4482</x:v>
      </x:c>
      <x:c r="B952" s="20" t="s">
        <x:v>4482</x:v>
      </x:c>
      <x:c r="C952" s="20" t="s">
        <x:v>4337</x:v>
      </x:c>
      <x:c r="D952" s="24">
        <x:v>7</x:v>
      </x:c>
      <x:c r="E952" s="24" t="s">
        <x:v>103</x:v>
      </x:c>
      <x:c r="F952" s="20" t="s">
        <x:v>97</x:v>
      </x:c>
      <x:c r="G952" s="26">
        <x:v>43435</x:v>
      </x:c>
      <x:c r="H952" s="24" t="s">
        <x:v>4483</x:v>
      </x:c>
      <x:c r="I952" s="28" t="s">
        <x:v>4484</x:v>
      </x:c>
      <x:c r="J952" s="29" t="s">
        <x:v>4485</x:v>
      </x:c>
    </x:row>
    <x:row r="953" ht="10.050000190734863" customHeight="1">
      <x:c r="A953" s="21" t="s">
        <x:v>4486</x:v>
      </x:c>
      <x:c r="B953" s="20" t="s">
        <x:v>4486</x:v>
      </x:c>
      <x:c r="C953" s="20" t="s">
        <x:v>4487</x:v>
      </x:c>
      <x:c r="D953" s="24">
        <x:v>5</x:v>
      </x:c>
      <x:c r="E953" s="24" t="s">
        <x:v>96</x:v>
      </x:c>
      <x:c r="F953" s="20" t="s">
        <x:v>97</x:v>
      </x:c>
      <x:c r="G953" s="26">
        <x:v>42208</x:v>
      </x:c>
      <x:c r="H953" s="24" t="s">
        <x:v>4488</x:v>
      </x:c>
      <x:c r="I953" s="28" t="s">
        <x:v>4489</x:v>
      </x:c>
      <x:c r="J953" s="29" t="s">
        <x:v>4490</x:v>
      </x:c>
    </x:row>
    <x:row r="954" ht="10.050000190734863" customHeight="1">
      <x:c r="A954" s="21" t="s">
        <x:v>4491</x:v>
      </x:c>
      <x:c r="B954" s="20" t="s">
        <x:v>4491</x:v>
      </x:c>
      <x:c r="C954" s="20" t="s">
        <x:v>4492</x:v>
      </x:c>
      <x:c r="D954" s="24">
        <x:v>3</x:v>
      </x:c>
      <x:c r="E954" s="24" t="s">
        <x:v>103</x:v>
      </x:c>
      <x:c r="F954" s="20" t="s">
        <x:v>97</x:v>
      </x:c>
      <x:c r="G954" s="26">
        <x:v>42135</x:v>
      </x:c>
      <x:c r="H954" s="24" t="s">
        <x:v>4493</x:v>
      </x:c>
      <x:c r="I954" s="28" t="s">
        <x:v>4494</x:v>
      </x:c>
      <x:c r="J954" s="29" t="s">
        <x:v>4495</x:v>
      </x:c>
    </x:row>
    <x:row r="955" ht="10.050000190734863" customHeight="1">
      <x:c r="A955" s="21" t="s">
        <x:v>4496</x:v>
      </x:c>
      <x:c r="B955" s="20" t="s">
        <x:v>4496</x:v>
      </x:c>
      <x:c r="C955" s="20" t="s">
        <x:v>2282</x:v>
      </x:c>
      <x:c r="D955" s="24">
        <x:v>8</x:v>
      </x:c>
      <x:c r="E955" s="24" t="s">
        <x:v>103</x:v>
      </x:c>
      <x:c r="F955" s="20" t="s">
        <x:v>97</x:v>
      </x:c>
      <x:c r="G955" s="26">
        <x:v>43548</x:v>
      </x:c>
      <x:c r="H955" s="24" t="s">
        <x:v>4497</x:v>
      </x:c>
      <x:c r="I955" s="28" t="s">
        <x:v>4498</x:v>
      </x:c>
      <x:c r="J955" s="29" t="s">
        <x:v>4499</x:v>
      </x:c>
    </x:row>
    <x:row r="956" ht="10.050000190734863" customHeight="1">
      <x:c r="A956" s="21" t="s">
        <x:v>4500</x:v>
      </x:c>
      <x:c r="B956" s="20" t="s">
        <x:v>4500</x:v>
      </x:c>
      <x:c r="C956" s="20" t="s">
        <x:v>2282</x:v>
      </x:c>
      <x:c r="D956" s="24">
        <x:v>32</x:v>
      </x:c>
      <x:c r="E956" s="24" t="s">
        <x:v>103</x:v>
      </x:c>
      <x:c r="F956" s="20" t="s">
        <x:v>97</x:v>
      </x:c>
      <x:c r="G956" s="26">
        <x:v>43747</x:v>
      </x:c>
      <x:c r="H956" s="24" t="s">
        <x:v>4501</x:v>
      </x:c>
      <x:c r="I956" s="28" t="s">
        <x:v>4502</x:v>
      </x:c>
      <x:c r="J956" s="29" t="s">
        <x:v>4503</x:v>
      </x:c>
    </x:row>
    <x:row r="957" ht="10.050000190734863" customHeight="1">
      <x:c r="A957" s="21" t="s">
        <x:v>4504</x:v>
      </x:c>
      <x:c r="B957" s="20" t="s">
        <x:v>4504</x:v>
      </x:c>
      <x:c r="C957" s="20" t="s">
        <x:v>4505</x:v>
      </x:c>
      <x:c r="D957" s="24">
        <x:v>7</x:v>
      </x:c>
      <x:c r="E957" s="24" t="s">
        <x:v>103</x:v>
      </x:c>
      <x:c r="F957" s="20" t="s">
        <x:v>97</x:v>
      </x:c>
      <x:c r="G957" s="26">
        <x:v>42338</x:v>
      </x:c>
      <x:c r="H957" s="24" t="s">
        <x:v>4506</x:v>
      </x:c>
      <x:c r="I957" s="28" t="s">
        <x:v>4507</x:v>
      </x:c>
      <x:c r="J957" s="29" t="s">
        <x:v>4508</x:v>
      </x:c>
    </x:row>
    <x:row r="958" ht="10.050000190734863" customHeight="1">
      <x:c r="A958" s="21" t="s">
        <x:v>4509</x:v>
      </x:c>
      <x:c r="B958" s="20" t="s">
        <x:v>4509</x:v>
      </x:c>
      <x:c r="C958" s="20" t="s">
        <x:v>4510</x:v>
      </x:c>
      <x:c r="D958" s="24">
        <x:v>17</x:v>
      </x:c>
      <x:c r="E958" s="24" t="s">
        <x:v>103</x:v>
      </x:c>
      <x:c r="F958" s="20" t="s">
        <x:v>97</x:v>
      </x:c>
      <x:c r="G958" s="26">
        <x:v>42252</x:v>
      </x:c>
      <x:c r="H958" s="24" t="s">
        <x:v>4511</x:v>
      </x:c>
      <x:c r="I958" s="28" t="s">
        <x:v>4512</x:v>
      </x:c>
      <x:c r="J958" s="29" t="s">
        <x:v>4513</x:v>
      </x:c>
    </x:row>
    <x:row r="959" ht="10.050000190734863" customHeight="1">
      <x:c r="A959" s="21" t="s">
        <x:v>4514</x:v>
      </x:c>
      <x:c r="B959" s="20" t="s">
        <x:v>4514</x:v>
      </x:c>
      <x:c r="C959" s="20" t="s">
        <x:v>4510</x:v>
      </x:c>
      <x:c r="D959" s="24">
        <x:v>6</x:v>
      </x:c>
      <x:c r="E959" s="24" t="s">
        <x:v>257</x:v>
      </x:c>
      <x:c r="F959" s="20" t="s">
        <x:v>97</x:v>
      </x:c>
      <x:c r="G959" s="26">
        <x:v>42293</x:v>
      </x:c>
      <x:c r="H959" s="24" t="s">
        <x:v>4515</x:v>
      </x:c>
      <x:c r="I959" s="28" t="s">
        <x:v>4516</x:v>
      </x:c>
      <x:c r="J959" s="29" t="s">
        <x:v>4517</x:v>
      </x:c>
    </x:row>
    <x:row r="960" ht="10.050000190734863" customHeight="1">
      <x:c r="A960" s="21" t="s">
        <x:v>4518</x:v>
      </x:c>
      <x:c r="B960" s="20" t="s">
        <x:v>4518</x:v>
      </x:c>
      <x:c r="C960" s="20" t="s">
        <x:v>4519</x:v>
      </x:c>
      <x:c r="D960" s="24">
        <x:v>60</x:v>
      </x:c>
      <x:c r="E960" s="24" t="s">
        <x:v>257</x:v>
      </x:c>
      <x:c r="F960" s="20" t="s">
        <x:v>97</x:v>
      </x:c>
      <x:c r="G960" s="26">
        <x:v>42286</x:v>
      </x:c>
      <x:c r="H960" s="24" t="s">
        <x:v>4520</x:v>
      </x:c>
      <x:c r="I960" s="28" t="s">
        <x:v>4521</x:v>
      </x:c>
      <x:c r="J960" s="29" t="s">
        <x:v>4522</x:v>
      </x:c>
    </x:row>
    <x:row r="961" ht="10.050000190734863" customHeight="1">
      <x:c r="A961" s="21" t="s">
        <x:v>4523</x:v>
      </x:c>
      <x:c r="B961" s="20" t="s">
        <x:v>4523</x:v>
      </x:c>
      <x:c r="C961" s="20" t="s">
        <x:v>2170</x:v>
      </x:c>
      <x:c r="D961" s="24">
        <x:v>11</x:v>
      </x:c>
      <x:c r="E961" s="24" t="s">
        <x:v>96</x:v>
      </x:c>
      <x:c r="F961" s="20" t="s">
        <x:v>97</x:v>
      </x:c>
      <x:c r="G961" s="26">
        <x:v>42231</x:v>
      </x:c>
      <x:c r="H961" s="24" t="s">
        <x:v>4524</x:v>
      </x:c>
      <x:c r="I961" s="28" t="s">
        <x:v>4525</x:v>
      </x:c>
      <x:c r="J961" s="29" t="s">
        <x:v>4526</x:v>
      </x:c>
    </x:row>
    <x:row r="962" ht="10.050000190734863" customHeight="1">
      <x:c r="A962" s="21" t="s">
        <x:v>4527</x:v>
      </x:c>
      <x:c r="B962" s="20" t="s">
        <x:v>4527</x:v>
      </x:c>
      <x:c r="C962" s="20" t="s">
        <x:v>4528</x:v>
      </x:c>
      <x:c r="D962" s="24">
        <x:v>3</x:v>
      </x:c>
      <x:c r="E962" s="24" t="s">
        <x:v>89</x:v>
      </x:c>
      <x:c r="F962" s="20" t="s">
        <x:v>90</x:v>
      </x:c>
      <x:c r="G962" s="26">
        <x:v>44584</x:v>
      </x:c>
      <x:c r="H962" s="24" t="s">
        <x:v>4529</x:v>
      </x:c>
      <x:c r="I962" s="28" t="s">
        <x:v>4530</x:v>
      </x:c>
      <x:c r="J962" s="29" t="s">
        <x:v>4531</x:v>
      </x:c>
    </x:row>
    <x:row r="963" ht="10.050000190734863" customHeight="1">
      <x:c r="A963" s="21" t="s">
        <x:v>4532</x:v>
      </x:c>
      <x:c r="B963" s="20" t="s">
        <x:v>4532</x:v>
      </x:c>
      <x:c r="C963" s="20" t="s">
        <x:v>4533</x:v>
      </x:c>
      <x:c r="D963" s="24">
        <x:v>12</x:v>
      </x:c>
      <x:c r="E963" s="24" t="s">
        <x:v>103</x:v>
      </x:c>
      <x:c r="F963" s="20" t="s">
        <x:v>97</x:v>
      </x:c>
      <x:c r="G963" s="26">
        <x:v>46035</x:v>
      </x:c>
      <x:c r="H963" s="24" t="s">
        <x:v>4534</x:v>
      </x:c>
      <x:c r="I963" s="28" t="s">
        <x:v>4535</x:v>
      </x:c>
      <x:c r="J963" s="29" t="s">
        <x:v>4536</x:v>
      </x:c>
    </x:row>
    <x:row r="964" ht="10.050000190734863" customHeight="1">
      <x:c r="A964" s="21" t="s">
        <x:v>4537</x:v>
      </x:c>
      <x:c r="B964" s="20" t="s">
        <x:v>4537</x:v>
      </x:c>
      <x:c r="C964" s="20" t="s">
        <x:v>2496</x:v>
      </x:c>
      <x:c r="D964" s="24">
        <x:v>7</x:v>
      </x:c>
      <x:c r="E964" s="24" t="s">
        <x:v>96</x:v>
      </x:c>
      <x:c r="F964" s="20" t="s">
        <x:v>97</x:v>
      </x:c>
      <x:c r="G964" s="26">
        <x:v>42003</x:v>
      </x:c>
      <x:c r="H964" s="24" t="s">
        <x:v>4538</x:v>
      </x:c>
      <x:c r="I964" s="28" t="s">
        <x:v>4539</x:v>
      </x:c>
      <x:c r="J964" s="29" t="s">
        <x:v>4540</x:v>
      </x:c>
    </x:row>
    <x:row r="965" ht="10.050000190734863" customHeight="1">
      <x:c r="A965" s="21" t="s">
        <x:v>4541</x:v>
      </x:c>
      <x:c r="B965" s="20" t="s">
        <x:v>4541</x:v>
      </x:c>
      <x:c r="C965" s="20" t="s">
        <x:v>4542</x:v>
      </x:c>
      <x:c r="D965" s="24">
        <x:v>16</x:v>
      </x:c>
      <x:c r="E965" s="24" t="s">
        <x:v>96</x:v>
      </x:c>
      <x:c r="F965" s="20" t="s">
        <x:v>97</x:v>
      </x:c>
      <x:c r="G965" s="26">
        <x:v>42255</x:v>
      </x:c>
      <x:c r="H965" s="24" t="s">
        <x:v>4543</x:v>
      </x:c>
      <x:c r="I965" s="28" t="s">
        <x:v>4544</x:v>
      </x:c>
      <x:c r="J965" s="29" t="s">
        <x:v>4545</x:v>
      </x:c>
    </x:row>
    <x:row r="966" ht="10.050000190734863" customHeight="1">
      <x:c r="A966" s="21" t="s">
        <x:v>4546</x:v>
      </x:c>
      <x:c r="B966" s="20" t="s">
        <x:v>4546</x:v>
      </x:c>
      <x:c r="C966" s="20" t="s">
        <x:v>167</x:v>
      </x:c>
      <x:c r="D966" s="24">
        <x:v>86</x:v>
      </x:c>
      <x:c r="E966" s="24" t="s">
        <x:v>96</x:v>
      </x:c>
      <x:c r="F966" s="20" t="s">
        <x:v>97</x:v>
      </x:c>
      <x:c r="G966" s="26">
        <x:v>44255</x:v>
      </x:c>
      <x:c r="H966" s="24" t="s">
        <x:v>4547</x:v>
      </x:c>
      <x:c r="I966" s="28" t="s">
        <x:v>4548</x:v>
      </x:c>
      <x:c r="J966" s="29" t="s">
        <x:v>4549</x:v>
      </x:c>
    </x:row>
    <x:row r="967" ht="10.050000190734863" customHeight="1">
      <x:c r="A967" s="21" t="s">
        <x:v>4550</x:v>
      </x:c>
      <x:c r="B967" s="20" t="s">
        <x:v>4550</x:v>
      </x:c>
      <x:c r="C967" s="20" t="s">
        <x:v>167</x:v>
      </x:c>
      <x:c r="D967" s="24">
        <x:v>95</x:v>
      </x:c>
      <x:c r="E967" s="24" t="s">
        <x:v>96</x:v>
      </x:c>
      <x:c r="F967" s="20" t="s">
        <x:v>97</x:v>
      </x:c>
      <x:c r="G967" s="26">
        <x:v>44395</x:v>
      </x:c>
      <x:c r="H967" s="24" t="s">
        <x:v>4551</x:v>
      </x:c>
      <x:c r="I967" s="28" t="s">
        <x:v>4552</x:v>
      </x:c>
      <x:c r="J967" s="29" t="s">
        <x:v>4553</x:v>
      </x:c>
    </x:row>
    <x:row r="968" ht="10.050000190734863" customHeight="1">
      <x:c r="A968" s="21" t="s">
        <x:v>4554</x:v>
      </x:c>
      <x:c r="B968" s="20" t="s">
        <x:v>4554</x:v>
      </x:c>
      <x:c r="C968" s="20" t="s">
        <x:v>167</x:v>
      </x:c>
      <x:c r="D968" s="24">
        <x:v>95</x:v>
      </x:c>
      <x:c r="E968" s="24" t="s">
        <x:v>96</x:v>
      </x:c>
      <x:c r="F968" s="20" t="s">
        <x:v>97</x:v>
      </x:c>
      <x:c r="G968" s="26">
        <x:v>42349</x:v>
      </x:c>
      <x:c r="H968" s="24" t="s">
        <x:v>4555</x:v>
      </x:c>
      <x:c r="I968" s="28" t="s">
        <x:v>4556</x:v>
      </x:c>
      <x:c r="J968" s="29" t="s">
        <x:v>4557</x:v>
      </x:c>
    </x:row>
    <x:row r="969" ht="10.050000190734863" customHeight="1">
      <x:c r="A969" s="21" t="s">
        <x:v>4558</x:v>
      </x:c>
      <x:c r="B969" s="20" t="s">
        <x:v>4558</x:v>
      </x:c>
      <x:c r="C969" s="20" t="s">
        <x:v>4559</x:v>
      </x:c>
      <x:c r="D969" s="24">
        <x:v>18</x:v>
      </x:c>
      <x:c r="E969" s="24" t="s">
        <x:v>103</x:v>
      </x:c>
      <x:c r="F969" s="20" t="s">
        <x:v>97</x:v>
      </x:c>
      <x:c r="G969" s="26">
        <x:v>45848</x:v>
      </x:c>
      <x:c r="H969" s="24" t="s">
        <x:v>4560</x:v>
      </x:c>
      <x:c r="I969" s="28" t="s">
        <x:v>4561</x:v>
      </x:c>
      <x:c r="J969" s="29" t="s">
        <x:v>4562</x:v>
      </x:c>
    </x:row>
    <x:row r="970" ht="10.050000190734863" customHeight="1">
      <x:c r="A970" s="21" t="s">
        <x:v>4563</x:v>
      </x:c>
      <x:c r="B970" s="20" t="s">
        <x:v>4563</x:v>
      </x:c>
      <x:c r="C970" s="20" t="s">
        <x:v>4564</x:v>
      </x:c>
      <x:c r="D970" s="24">
        <x:v>5</x:v>
      </x:c>
      <x:c r="E970" s="24" t="s">
        <x:v>103</x:v>
      </x:c>
      <x:c r="F970" s="20" t="s">
        <x:v>97</x:v>
      </x:c>
      <x:c r="G970" s="26">
        <x:v>43454</x:v>
      </x:c>
      <x:c r="H970" s="24" t="s">
        <x:v>4565</x:v>
      </x:c>
      <x:c r="I970" s="28" t="s">
        <x:v>4566</x:v>
      </x:c>
      <x:c r="J970" s="29" t="s">
        <x:v>4567</x:v>
      </x:c>
    </x:row>
    <x:row r="971" ht="10.050000190734863" customHeight="1">
      <x:c r="A971" s="21" t="s">
        <x:v>4568</x:v>
      </x:c>
      <x:c r="B971" s="20" t="s">
        <x:v>4568</x:v>
      </x:c>
      <x:c r="C971" s="20" t="s">
        <x:v>4569</x:v>
      </x:c>
      <x:c r="D971" s="24">
        <x:v>11</x:v>
      </x:c>
      <x:c r="E971" s="24" t="s">
        <x:v>89</x:v>
      </x:c>
      <x:c r="F971" s="20" t="s">
        <x:v>97</x:v>
      </x:c>
      <x:c r="G971" s="26">
        <x:v>44891</x:v>
      </x:c>
      <x:c r="H971" s="24" t="s">
        <x:v>4570</x:v>
      </x:c>
      <x:c r="I971" s="28" t="s">
        <x:v>4571</x:v>
      </x:c>
      <x:c r="J971" s="29" t="s">
        <x:v>4572</x:v>
      </x:c>
    </x:row>
    <x:row r="972" ht="10.050000190734863" customHeight="1">
      <x:c r="A972" s="21" t="s">
        <x:v>4573</x:v>
      </x:c>
      <x:c r="B972" s="20" t="s">
        <x:v>4573</x:v>
      </x:c>
      <x:c r="C972" s="20" t="s">
        <x:v>4574</x:v>
      </x:c>
      <x:c r="D972" s="24">
        <x:v>5</x:v>
      </x:c>
      <x:c r="E972" s="24" t="s">
        <x:v>103</x:v>
      </x:c>
      <x:c r="F972" s="20" t="s">
        <x:v>97</x:v>
      </x:c>
      <x:c r="G972" s="26">
        <x:v>42255</x:v>
      </x:c>
      <x:c r="H972" s="24" t="s">
        <x:v>4575</x:v>
      </x:c>
      <x:c r="I972" s="28" t="s">
        <x:v>4576</x:v>
      </x:c>
      <x:c r="J972" s="29" t="s">
        <x:v>4577</x:v>
      </x:c>
    </x:row>
    <x:row r="973" ht="10.050000190734863" customHeight="1">
      <x:c r="A973" s="21" t="s">
        <x:v>4578</x:v>
      </x:c>
      <x:c r="B973" s="20" t="s">
        <x:v>4578</x:v>
      </x:c>
      <x:c r="C973" s="20" t="s">
        <x:v>4579</x:v>
      </x:c>
      <x:c r="D973" s="24">
        <x:v>56</x:v>
      </x:c>
      <x:c r="E973" s="24" t="s">
        <x:v>96</x:v>
      </x:c>
      <x:c r="F973" s="20" t="s">
        <x:v>97</x:v>
      </x:c>
      <x:c r="G973" s="26">
        <x:v>45828</x:v>
      </x:c>
      <x:c r="H973" s="24" t="s">
        <x:v>4580</x:v>
      </x:c>
      <x:c r="I973" s="28" t="s">
        <x:v>4581</x:v>
      </x:c>
      <x:c r="J973" s="29" t="s">
        <x:v>4582</x:v>
      </x:c>
    </x:row>
    <x:row r="974" ht="10.050000190734863" customHeight="1">
      <x:c r="A974" s="21" t="s">
        <x:v>4583</x:v>
      </x:c>
      <x:c r="B974" s="20" t="s">
        <x:v>4583</x:v>
      </x:c>
      <x:c r="C974" s="20" t="s">
        <x:v>4584</x:v>
      </x:c>
      <x:c r="D974" s="24">
        <x:v>13</x:v>
      </x:c>
      <x:c r="E974" s="24" t="s">
        <x:v>103</x:v>
      </x:c>
      <x:c r="F974" s="20" t="s">
        <x:v>97</x:v>
      </x:c>
      <x:c r="G974" s="26">
        <x:v>44826</x:v>
      </x:c>
      <x:c r="H974" s="24" t="s">
        <x:v>4585</x:v>
      </x:c>
      <x:c r="I974" s="28" t="s">
        <x:v>4586</x:v>
      </x:c>
      <x:c r="J974" s="29" t="s">
        <x:v>4587</x:v>
      </x:c>
    </x:row>
    <x:row r="975" ht="10.050000190734863" customHeight="1">
      <x:c r="A975" s="21" t="s">
        <x:v>4588</x:v>
      </x:c>
      <x:c r="B975" s="20" t="s">
        <x:v>4588</x:v>
      </x:c>
      <x:c r="C975" s="20" t="s">
        <x:v>4589</x:v>
      </x:c>
      <x:c r="D975" s="24">
        <x:v>10</x:v>
      </x:c>
      <x:c r="E975" s="24" t="s">
        <x:v>257</x:v>
      </x:c>
      <x:c r="F975" s="20" t="s">
        <x:v>97</x:v>
      </x:c>
      <x:c r="G975" s="26">
        <x:v>42268</x:v>
      </x:c>
      <x:c r="H975" s="24" t="s">
        <x:v>4590</x:v>
      </x:c>
      <x:c r="I975" s="28" t="s">
        <x:v>4591</x:v>
      </x:c>
      <x:c r="J975" s="29" t="s">
        <x:v>4592</x:v>
      </x:c>
    </x:row>
    <x:row r="976" ht="10.050000190734863" customHeight="1">
      <x:c r="A976" s="21" t="s">
        <x:v>4593</x:v>
      </x:c>
      <x:c r="B976" s="20" t="s">
        <x:v>4593</x:v>
      </x:c>
      <x:c r="C976" s="20" t="s">
        <x:v>4594</x:v>
      </x:c>
      <x:c r="D976" s="24">
        <x:v>6</x:v>
      </x:c>
      <x:c r="E976" s="24" t="s">
        <x:v>103</x:v>
      </x:c>
      <x:c r="F976" s="20" t="s">
        <x:v>97</x:v>
      </x:c>
      <x:c r="G976" s="26">
        <x:v>42314</x:v>
      </x:c>
      <x:c r="H976" s="24" t="s">
        <x:v>4595</x:v>
      </x:c>
      <x:c r="I976" s="28" t="s">
        <x:v>4596</x:v>
      </x:c>
      <x:c r="J976" s="29" t="s">
        <x:v>4597</x:v>
      </x:c>
    </x:row>
    <x:row r="977" ht="10.050000190734863" customHeight="1">
      <x:c r="A977" s="21" t="s">
        <x:v>4598</x:v>
      </x:c>
      <x:c r="B977" s="20" t="s">
        <x:v>4598</x:v>
      </x:c>
      <x:c r="C977" s="20" t="s">
        <x:v>4599</x:v>
      </x:c>
      <x:c r="D977" s="24">
        <x:v>5</x:v>
      </x:c>
      <x:c r="E977" s="24" t="s">
        <x:v>103</x:v>
      </x:c>
      <x:c r="F977" s="20" t="s">
        <x:v>97</x:v>
      </x:c>
      <x:c r="G977" s="26">
        <x:v>42288</x:v>
      </x:c>
      <x:c r="H977" s="24" t="s">
        <x:v>4600</x:v>
      </x:c>
      <x:c r="I977" s="28" t="s">
        <x:v>4601</x:v>
      </x:c>
      <x:c r="J977" s="29" t="s">
        <x:v>4602</x:v>
      </x:c>
    </x:row>
    <x:row r="978" ht="10.050000190734863" customHeight="1">
      <x:c r="A978" s="21" t="s">
        <x:v>4603</x:v>
      </x:c>
      <x:c r="B978" s="20" t="s">
        <x:v>4603</x:v>
      </x:c>
      <x:c r="C978" s="20" t="s">
        <x:v>3012</x:v>
      </x:c>
      <x:c r="D978" s="24">
        <x:v>7</x:v>
      </x:c>
      <x:c r="E978" s="24" t="s">
        <x:v>257</x:v>
      </x:c>
      <x:c r="F978" s="20" t="s">
        <x:v>97</x:v>
      </x:c>
      <x:c r="G978" s="26">
        <x:v>42482</x:v>
      </x:c>
      <x:c r="H978" s="24" t="s">
        <x:v>4604</x:v>
      </x:c>
      <x:c r="I978" s="28" t="s">
        <x:v>4605</x:v>
      </x:c>
      <x:c r="J978" s="29" t="s">
        <x:v>4606</x:v>
      </x:c>
    </x:row>
    <x:row r="979" ht="10.050000190734863" customHeight="1">
      <x:c r="A979" s="21" t="s">
        <x:v>4607</x:v>
      </x:c>
      <x:c r="B979" s="20" t="s">
        <x:v>4607</x:v>
      </x:c>
      <x:c r="C979" s="20" t="s">
        <x:v>4608</x:v>
      </x:c>
      <x:c r="D979" s="24">
        <x:v>6</x:v>
      </x:c>
      <x:c r="E979" s="24" t="s">
        <x:v>257</x:v>
      </x:c>
      <x:c r="F979" s="20" t="s">
        <x:v>97</x:v>
      </x:c>
      <x:c r="G979" s="26">
        <x:v>42228</x:v>
      </x:c>
      <x:c r="H979" s="24" t="s">
        <x:v>4609</x:v>
      </x:c>
      <x:c r="I979" s="28" t="s">
        <x:v>4610</x:v>
      </x:c>
      <x:c r="J979" s="29" t="s">
        <x:v>4611</x:v>
      </x:c>
    </x:row>
    <x:row r="980" ht="10.050000190734863" customHeight="1">
      <x:c r="A980" s="21" t="s">
        <x:v>4612</x:v>
      </x:c>
      <x:c r="B980" s="20" t="s">
        <x:v>4612</x:v>
      </x:c>
      <x:c r="C980" s="20" t="s">
        <x:v>282</x:v>
      </x:c>
      <x:c r="D980" s="24">
        <x:v>9</x:v>
      </x:c>
      <x:c r="E980" s="24" t="s">
        <x:v>96</x:v>
      </x:c>
      <x:c r="F980" s="20" t="s">
        <x:v>97</x:v>
      </x:c>
      <x:c r="G980" s="26">
        <x:v>43909</x:v>
      </x:c>
      <x:c r="H980" s="24" t="s">
        <x:v>4613</x:v>
      </x:c>
      <x:c r="I980" s="28" t="s">
        <x:v>4614</x:v>
      </x:c>
      <x:c r="J980" s="29" t="s">
        <x:v>4615</x:v>
      </x:c>
    </x:row>
    <x:row r="981" ht="10.050000190734863" customHeight="1">
      <x:c r="A981" s="21" t="s">
        <x:v>4616</x:v>
      </x:c>
      <x:c r="B981" s="20" t="s">
        <x:v>4616</x:v>
      </x:c>
      <x:c r="C981" s="20" t="s">
        <x:v>4617</x:v>
      </x:c>
      <x:c r="D981" s="24">
        <x:v>20</x:v>
      </x:c>
      <x:c r="E981" s="24" t="s">
        <x:v>114</x:v>
      </x:c>
      <x:c r="F981" s="20" t="s">
        <x:v>610</x:v>
      </x:c>
      <x:c r="G981" s="26">
        <x:v>45510</x:v>
      </x:c>
      <x:c r="H981" s="24" t="s">
        <x:v>4618</x:v>
      </x:c>
      <x:c r="I981" s="28" t="s">
        <x:v>4619</x:v>
      </x:c>
      <x:c r="J981" s="29" t="s">
        <x:v>4620</x:v>
      </x:c>
    </x:row>
    <x:row r="982" ht="10.050000190734863" customHeight="1">
      <x:c r="A982" s="21" t="s">
        <x:v>4621</x:v>
      </x:c>
      <x:c r="B982" s="20" t="s">
        <x:v>4621</x:v>
      </x:c>
      <x:c r="C982" s="20" t="s">
        <x:v>1641</x:v>
      </x:c>
      <x:c r="D982" s="24">
        <x:v>85</x:v>
      </x:c>
      <x:c r="E982" s="24" t="s">
        <x:v>96</x:v>
      </x:c>
      <x:c r="F982" s="20" t="s">
        <x:v>97</x:v>
      </x:c>
      <x:c r="G982" s="26">
        <x:v>42285</x:v>
      </x:c>
      <x:c r="H982" s="24" t="s">
        <x:v>4622</x:v>
      </x:c>
      <x:c r="I982" s="28" t="s">
        <x:v>4623</x:v>
      </x:c>
      <x:c r="J982" s="29" t="s">
        <x:v>4624</x:v>
      </x:c>
    </x:row>
    <x:row r="983" ht="10.050000190734863" customHeight="1">
      <x:c r="A983" s="21" t="s">
        <x:v>4625</x:v>
      </x:c>
      <x:c r="B983" s="20" t="s">
        <x:v>4625</x:v>
      </x:c>
      <x:c r="C983" s="20" t="s">
        <x:v>1282</x:v>
      </x:c>
      <x:c r="D983" s="24">
        <x:v>32</x:v>
      </x:c>
      <x:c r="E983" s="24" t="s">
        <x:v>89</x:v>
      </x:c>
      <x:c r="F983" s="20" t="s">
        <x:v>97</x:v>
      </x:c>
      <x:c r="G983" s="26">
        <x:v>44102</x:v>
      </x:c>
      <x:c r="H983" s="24" t="s">
        <x:v>4626</x:v>
      </x:c>
      <x:c r="I983" s="28" t="s">
        <x:v>4627</x:v>
      </x:c>
      <x:c r="J983" s="29" t="s">
        <x:v>4628</x:v>
      </x:c>
    </x:row>
    <x:row r="984" ht="10.050000190734863" customHeight="1">
      <x:c r="A984" s="21" t="s">
        <x:v>4629</x:v>
      </x:c>
      <x:c r="B984" s="20" t="s">
        <x:v>4629</x:v>
      </x:c>
      <x:c r="C984" s="20" t="s">
        <x:v>1282</x:v>
      </x:c>
      <x:c r="D984" s="24">
        <x:v>13</x:v>
      </x:c>
      <x:c r="E984" s="24" t="s">
        <x:v>96</x:v>
      </x:c>
      <x:c r="F984" s="20" t="s">
        <x:v>97</x:v>
      </x:c>
      <x:c r="G984" s="26">
        <x:v>44193</x:v>
      </x:c>
      <x:c r="H984" s="24" t="s">
        <x:v>4630</x:v>
      </x:c>
      <x:c r="I984" s="28" t="s">
        <x:v>4631</x:v>
      </x:c>
      <x:c r="J984" s="29" t="s">
        <x:v>4632</x:v>
      </x:c>
    </x:row>
    <x:row r="985" ht="10.050000190734863" customHeight="1">
      <x:c r="A985" s="21" t="s">
        <x:v>4633</x:v>
      </x:c>
      <x:c r="B985" s="20" t="s">
        <x:v>4633</x:v>
      </x:c>
      <x:c r="C985" s="20" t="s">
        <x:v>1282</x:v>
      </x:c>
      <x:c r="D985" s="24">
        <x:v>42</x:v>
      </x:c>
      <x:c r="E985" s="24" t="s">
        <x:v>89</x:v>
      </x:c>
      <x:c r="F985" s="20" t="s">
        <x:v>97</x:v>
      </x:c>
      <x:c r="G985" s="26">
        <x:v>44452</x:v>
      </x:c>
      <x:c r="H985" s="24" t="s">
        <x:v>4634</x:v>
      </x:c>
      <x:c r="I985" s="28" t="s">
        <x:v>4635</x:v>
      </x:c>
      <x:c r="J985" s="29" t="s">
        <x:v>4636</x:v>
      </x:c>
    </x:row>
    <x:row r="986" ht="10.050000190734863" customHeight="1">
      <x:c r="A986" s="21" t="s">
        <x:v>4637</x:v>
      </x:c>
      <x:c r="B986" s="20" t="s">
        <x:v>4637</x:v>
      </x:c>
      <x:c r="C986" s="20" t="s">
        <x:v>1282</x:v>
      </x:c>
      <x:c r="D986" s="24">
        <x:v>50</x:v>
      </x:c>
      <x:c r="E986" s="24" t="s">
        <x:v>89</x:v>
      </x:c>
      <x:c r="F986" s="20" t="s">
        <x:v>97</x:v>
      </x:c>
      <x:c r="G986" s="26">
        <x:v>45320</x:v>
      </x:c>
      <x:c r="H986" s="24" t="s">
        <x:v>4638</x:v>
      </x:c>
      <x:c r="I986" s="28" t="s">
        <x:v>4639</x:v>
      </x:c>
      <x:c r="J986" s="29" t="s">
        <x:v>4640</x:v>
      </x:c>
    </x:row>
    <x:row r="987" ht="10.050000190734863" customHeight="1">
      <x:c r="A987" s="21" t="s">
        <x:v>4641</x:v>
      </x:c>
      <x:c r="B987" s="20" t="s">
        <x:v>4641</x:v>
      </x:c>
      <x:c r="C987" s="20" t="s">
        <x:v>1282</x:v>
      </x:c>
      <x:c r="D987" s="24">
        <x:v>4</x:v>
      </x:c>
      <x:c r="E987" s="24" t="s">
        <x:v>96</x:v>
      </x:c>
      <x:c r="F987" s="20" t="s">
        <x:v>97</x:v>
      </x:c>
      <x:c r="G987" s="26">
        <x:v>45540</x:v>
      </x:c>
      <x:c r="H987" s="24" t="s">
        <x:v>4642</x:v>
      </x:c>
      <x:c r="I987" s="28" t="s">
        <x:v>4643</x:v>
      </x:c>
      <x:c r="J987" s="29" t="s">
        <x:v>4644</x:v>
      </x:c>
    </x:row>
    <x:row r="988" ht="10.050000190734863" customHeight="1">
      <x:c r="A988" s="21" t="s">
        <x:v>4645</x:v>
      </x:c>
      <x:c r="B988" s="20" t="s">
        <x:v>4645</x:v>
      </x:c>
      <x:c r="C988" s="20" t="s">
        <x:v>4646</x:v>
      </x:c>
      <x:c r="D988" s="24">
        <x:v>5</x:v>
      </x:c>
      <x:c r="E988" s="24" t="s">
        <x:v>89</x:v>
      </x:c>
      <x:c r="F988" s="20" t="s">
        <x:v>97</x:v>
      </x:c>
      <x:c r="G988" s="26">
        <x:v>42629</x:v>
      </x:c>
      <x:c r="H988" s="24" t="s">
        <x:v>4647</x:v>
      </x:c>
      <x:c r="I988" s="28" t="s">
        <x:v>4648</x:v>
      </x:c>
      <x:c r="J988" s="29" t="s">
        <x:v>4649</x:v>
      </x:c>
    </x:row>
    <x:row r="989" ht="10.050000190734863" customHeight="1">
      <x:c r="A989" s="21" t="s">
        <x:v>4650</x:v>
      </x:c>
      <x:c r="B989" s="20" t="s">
        <x:v>4650</x:v>
      </x:c>
      <x:c r="C989" s="20" t="s">
        <x:v>4398</x:v>
      </x:c>
      <x:c r="D989" s="24">
        <x:v>11</x:v>
      </x:c>
      <x:c r="E989" s="24" t="s">
        <x:v>103</x:v>
      </x:c>
      <x:c r="F989" s="20" t="s">
        <x:v>97</x:v>
      </x:c>
      <x:c r="G989" s="26">
        <x:v>43907</x:v>
      </x:c>
      <x:c r="H989" s="24" t="s">
        <x:v>4651</x:v>
      </x:c>
      <x:c r="I989" s="28" t="s">
        <x:v>4652</x:v>
      </x:c>
      <x:c r="J989" s="29" t="s">
        <x:v>4653</x:v>
      </x:c>
    </x:row>
    <x:row r="990" ht="10.050000190734863" customHeight="1">
      <x:c r="A990" s="21" t="s">
        <x:v>4654</x:v>
      </x:c>
      <x:c r="B990" s="20" t="s">
        <x:v>4654</x:v>
      </x:c>
      <x:c r="C990" s="20" t="s">
        <x:v>4655</x:v>
      </x:c>
      <x:c r="D990" s="24">
        <x:v>26</x:v>
      </x:c>
      <x:c r="E990" s="24" t="s">
        <x:v>103</x:v>
      </x:c>
      <x:c r="F990" s="20" t="s">
        <x:v>97</x:v>
      </x:c>
      <x:c r="G990" s="26">
        <x:v>42339</x:v>
      </x:c>
      <x:c r="H990" s="24" t="s">
        <x:v>4656</x:v>
      </x:c>
      <x:c r="I990" s="28" t="s">
        <x:v>4657</x:v>
      </x:c>
      <x:c r="J990" s="29" t="s">
        <x:v>4658</x:v>
      </x:c>
    </x:row>
    <x:row r="991" ht="10.050000190734863" customHeight="1">
      <x:c r="A991" s="21" t="s">
        <x:v>4659</x:v>
      </x:c>
      <x:c r="B991" s="20" t="s">
        <x:v>4659</x:v>
      </x:c>
      <x:c r="C991" s="20" t="s">
        <x:v>4660</x:v>
      </x:c>
      <x:c r="D991" s="24">
        <x:v>8</x:v>
      </x:c>
      <x:c r="E991" s="24" t="s">
        <x:v>103</x:v>
      </x:c>
      <x:c r="F991" s="20" t="s">
        <x:v>97</x:v>
      </x:c>
      <x:c r="G991" s="26">
        <x:v>41450</x:v>
      </x:c>
      <x:c r="H991" s="24" t="s">
        <x:v>4661</x:v>
      </x:c>
      <x:c r="I991" s="28" t="s">
        <x:v>4662</x:v>
      </x:c>
      <x:c r="J991" s="29" t="s">
        <x:v>4663</x:v>
      </x:c>
    </x:row>
    <x:row r="992" ht="10.050000190734863" customHeight="1">
      <x:c r="A992" s="21" t="s">
        <x:v>4664</x:v>
      </x:c>
      <x:c r="B992" s="20" t="s">
        <x:v>4664</x:v>
      </x:c>
      <x:c r="C992" s="20" t="s">
        <x:v>4665</x:v>
      </x:c>
      <x:c r="D992" s="24">
        <x:v>8</x:v>
      </x:c>
      <x:c r="E992" s="24" t="s">
        <x:v>96</x:v>
      </x:c>
      <x:c r="F992" s="20" t="s">
        <x:v>97</x:v>
      </x:c>
      <x:c r="G992" s="26">
        <x:v>42691</x:v>
      </x:c>
      <x:c r="H992" s="24" t="s">
        <x:v>4666</x:v>
      </x:c>
      <x:c r="I992" s="28" t="s">
        <x:v>4667</x:v>
      </x:c>
      <x:c r="J992" s="29" t="s">
        <x:v>4668</x:v>
      </x:c>
    </x:row>
    <x:row r="993" ht="10.050000190734863" customHeight="1">
      <x:c r="A993" s="21" t="s">
        <x:v>4669</x:v>
      </x:c>
      <x:c r="B993" s="20" t="s">
        <x:v>4669</x:v>
      </x:c>
      <x:c r="C993" s="20" t="s">
        <x:v>4670</x:v>
      </x:c>
      <x:c r="D993" s="24">
        <x:v>96</x:v>
      </x:c>
      <x:c r="E993" s="24" t="s">
        <x:v>103</x:v>
      </x:c>
      <x:c r="F993" s="20" t="s">
        <x:v>97</x:v>
      </x:c>
      <x:c r="G993" s="26">
        <x:v>42010</x:v>
      </x:c>
      <x:c r="H993" s="24" t="s">
        <x:v>4671</x:v>
      </x:c>
      <x:c r="I993" s="28" t="s">
        <x:v>4672</x:v>
      </x:c>
      <x:c r="J993" s="29" t="s">
        <x:v>4673</x:v>
      </x:c>
    </x:row>
    <x:row r="994" ht="10.050000190734863" customHeight="1">
      <x:c r="A994" s="21" t="s">
        <x:v>4674</x:v>
      </x:c>
      <x:c r="B994" s="20" t="s">
        <x:v>4674</x:v>
      </x:c>
      <x:c r="C994" s="20" t="s">
        <x:v>4574</x:v>
      </x:c>
      <x:c r="D994" s="24">
        <x:v>52</x:v>
      </x:c>
      <x:c r="E994" s="24" t="s">
        <x:v>103</x:v>
      </x:c>
      <x:c r="F994" s="20" t="s">
        <x:v>97</x:v>
      </x:c>
      <x:c r="G994" s="26">
        <x:v>45351</x:v>
      </x:c>
      <x:c r="H994" s="24" t="s">
        <x:v>4675</x:v>
      </x:c>
      <x:c r="I994" s="28" t="s">
        <x:v>4676</x:v>
      </x:c>
      <x:c r="J994" s="29" t="s">
        <x:v>4677</x:v>
      </x:c>
    </x:row>
    <x:row r="995" ht="10.050000190734863" customHeight="1">
      <x:c r="A995" s="21" t="s">
        <x:v>4678</x:v>
      </x:c>
      <x:c r="B995" s="20" t="s">
        <x:v>4678</x:v>
      </x:c>
      <x:c r="C995" s="20" t="s">
        <x:v>4679</x:v>
      </x:c>
      <x:c r="D995" s="24">
        <x:v>3</x:v>
      </x:c>
      <x:c r="E995" s="24" t="s">
        <x:v>257</x:v>
      </x:c>
      <x:c r="F995" s="20" t="s">
        <x:v>97</x:v>
      </x:c>
      <x:c r="G995" s="26">
        <x:v>42135</x:v>
      </x:c>
      <x:c r="H995" s="24" t="s">
        <x:v>4680</x:v>
      </x:c>
      <x:c r="I995" s="28" t="s">
        <x:v>4681</x:v>
      </x:c>
      <x:c r="J995" s="29" t="s">
        <x:v>4682</x:v>
      </x:c>
    </x:row>
    <x:row r="996" ht="10.050000190734863" customHeight="1">
      <x:c r="A996" s="21" t="s">
        <x:v>4683</x:v>
      </x:c>
      <x:c r="B996" s="20" t="s">
        <x:v>4683</x:v>
      </x:c>
      <x:c r="C996" s="20" t="s">
        <x:v>543</x:v>
      </x:c>
      <x:c r="D996" s="24">
        <x:v>90</x:v>
      </x:c>
      <x:c r="E996" s="24" t="s">
        <x:v>103</x:v>
      </x:c>
      <x:c r="F996" s="20" t="s">
        <x:v>97</x:v>
      </x:c>
      <x:c r="G996" s="26">
        <x:v>42939</x:v>
      </x:c>
      <x:c r="H996" s="24" t="s">
        <x:v>4684</x:v>
      </x:c>
      <x:c r="I996" s="28" t="s">
        <x:v>4685</x:v>
      </x:c>
      <x:c r="J996" s="29" t="s">
        <x:v>4686</x:v>
      </x:c>
    </x:row>
    <x:row r="997" ht="10.050000190734863" customHeight="1">
      <x:c r="A997" s="21" t="s">
        <x:v>4687</x:v>
      </x:c>
      <x:c r="B997" s="20" t="s">
        <x:v>4687</x:v>
      </x:c>
      <x:c r="C997" s="20" t="s">
        <x:v>2234</x:v>
      </x:c>
      <x:c r="D997" s="24">
        <x:v>13</x:v>
      </x:c>
      <x:c r="E997" s="24" t="s">
        <x:v>257</x:v>
      </x:c>
      <x:c r="F997" s="20" t="s">
        <x:v>97</x:v>
      </x:c>
      <x:c r="G997" s="26">
        <x:v>42306</x:v>
      </x:c>
      <x:c r="H997" s="24" t="s">
        <x:v>4688</x:v>
      </x:c>
      <x:c r="I997" s="28" t="s">
        <x:v>4689</x:v>
      </x:c>
      <x:c r="J997" s="29" t="s">
        <x:v>4690</x:v>
      </x:c>
    </x:row>
    <x:row r="998" ht="10.050000190734863" customHeight="1">
      <x:c r="A998" s="21" t="s">
        <x:v>4691</x:v>
      </x:c>
      <x:c r="B998" s="20" t="s">
        <x:v>4691</x:v>
      </x:c>
      <x:c r="C998" s="20" t="s">
        <x:v>4692</x:v>
      </x:c>
      <x:c r="D998" s="24">
        <x:v>9</x:v>
      </x:c>
      <x:c r="E998" s="24" t="s">
        <x:v>89</x:v>
      </x:c>
      <x:c r="F998" s="20" t="s">
        <x:v>610</x:v>
      </x:c>
      <x:c r="G998" s="26">
        <x:v>42960</x:v>
      </x:c>
      <x:c r="H998" s="24" t="s">
        <x:v>4693</x:v>
      </x:c>
      <x:c r="I998" s="28" t="s">
        <x:v>4694</x:v>
      </x:c>
      <x:c r="J998" s="29" t="s">
        <x:v>4695</x:v>
      </x:c>
    </x:row>
    <x:row r="999" ht="10.050000190734863" customHeight="1">
      <x:c r="A999" s="21" t="s">
        <x:v>4696</x:v>
      </x:c>
      <x:c r="B999" s="20" t="s">
        <x:v>4696</x:v>
      </x:c>
      <x:c r="C999" s="20" t="s">
        <x:v>4697</x:v>
      </x:c>
      <x:c r="D999" s="24">
        <x:v>4</x:v>
      </x:c>
      <x:c r="E999" s="24" t="s">
        <x:v>257</x:v>
      </x:c>
      <x:c r="F999" s="20" t="s">
        <x:v>97</x:v>
      </x:c>
      <x:c r="G999" s="26">
        <x:v>42125</x:v>
      </x:c>
      <x:c r="H999" s="24" t="s">
        <x:v>4698</x:v>
      </x:c>
      <x:c r="I999" s="28" t="s">
        <x:v>4699</x:v>
      </x:c>
      <x:c r="J999" s="29" t="s">
        <x:v>4700</x:v>
      </x:c>
    </x:row>
    <x:row r="1000" ht="10.050000190734863" customHeight="1">
      <x:c r="A1000" s="21" t="s">
        <x:v>4701</x:v>
      </x:c>
      <x:c r="B1000" s="20" t="s">
        <x:v>4701</x:v>
      </x:c>
      <x:c r="C1000" s="20" t="s">
        <x:v>1821</x:v>
      </x:c>
      <x:c r="D1000" s="24">
        <x:v>12</x:v>
      </x:c>
      <x:c r="E1000" s="24" t="s">
        <x:v>125</x:v>
      </x:c>
      <x:c r="F1000" s="20" t="s">
        <x:v>90</x:v>
      </x:c>
      <x:c r="G1000" s="26">
        <x:v>42722</x:v>
      </x:c>
      <x:c r="H1000" s="24" t="s">
        <x:v>4702</x:v>
      </x:c>
      <x:c r="I1000" s="28" t="s">
        <x:v>4703</x:v>
      </x:c>
      <x:c r="J1000" s="29" t="s">
        <x:v>4704</x:v>
      </x:c>
    </x:row>
    <x:row r="1001" ht="10.050000190734863" customHeight="1">
      <x:c r="A1001" s="21" t="s">
        <x:v>4705</x:v>
      </x:c>
      <x:c r="B1001" s="20" t="s">
        <x:v>4705</x:v>
      </x:c>
      <x:c r="C1001" s="20" t="s">
        <x:v>4706</x:v>
      </x:c>
      <x:c r="D1001" s="24">
        <x:v>18</x:v>
      </x:c>
      <x:c r="E1001" s="24" t="s">
        <x:v>198</x:v>
      </x:c>
      <x:c r="F1001" s="20" t="s">
        <x:v>90</x:v>
      </x:c>
      <x:c r="G1001" s="26">
        <x:v>44880</x:v>
      </x:c>
      <x:c r="H1001" s="24" t="s">
        <x:v>4707</x:v>
      </x:c>
      <x:c r="I1001" s="28" t="s">
        <x:v>4708</x:v>
      </x:c>
      <x:c r="J1001" s="29" t="s">
        <x:v>4709</x:v>
      </x:c>
    </x:row>
    <x:row r="1002" ht="10.050000190734863" customHeight="1">
      <x:c r="A1002" s="21" t="s">
        <x:v>4710</x:v>
      </x:c>
      <x:c r="B1002" s="20" t="s">
        <x:v>4710</x:v>
      </x:c>
      <x:c r="C1002" s="20" t="s">
        <x:v>680</x:v>
      </x:c>
      <x:c r="D1002" s="24">
        <x:v>6</x:v>
      </x:c>
      <x:c r="E1002" s="24" t="s">
        <x:v>114</x:v>
      </x:c>
      <x:c r="F1002" s="20" t="s">
        <x:v>90</x:v>
      </x:c>
      <x:c r="G1002" s="26">
        <x:v>44620</x:v>
      </x:c>
      <x:c r="H1002" s="24" t="s">
        <x:v>4711</x:v>
      </x:c>
      <x:c r="I1002" s="28" t="s">
        <x:v>4712</x:v>
      </x:c>
      <x:c r="J1002" s="29" t="s">
        <x:v>4713</x:v>
      </x:c>
    </x:row>
    <x:row r="1003" ht="10.050000190734863" customHeight="1">
      <x:c r="A1003" s="21" t="s">
        <x:v>4714</x:v>
      </x:c>
      <x:c r="B1003" s="20" t="s">
        <x:v>4714</x:v>
      </x:c>
      <x:c r="C1003" s="20" t="s">
        <x:v>3379</x:v>
      </x:c>
      <x:c r="D1003" s="24">
        <x:v>4</x:v>
      </x:c>
      <x:c r="E1003" s="24" t="s">
        <x:v>198</x:v>
      </x:c>
      <x:c r="F1003" s="20" t="s">
        <x:v>90</x:v>
      </x:c>
      <x:c r="G1003" s="26">
        <x:v>43459</x:v>
      </x:c>
      <x:c r="H1003" s="24" t="s">
        <x:v>4715</x:v>
      </x:c>
      <x:c r="I1003" s="28" t="s">
        <x:v>4716</x:v>
      </x:c>
      <x:c r="J1003" s="29" t="s">
        <x:v>4717</x:v>
      </x:c>
    </x:row>
    <x:row r="1004" ht="10.050000190734863" customHeight="1">
      <x:c r="A1004" s="21" t="s">
        <x:v>4718</x:v>
      </x:c>
      <x:c r="B1004" s="20" t="s">
        <x:v>4718</x:v>
      </x:c>
      <x:c r="C1004" s="20" t="s">
        <x:v>351</x:v>
      </x:c>
      <x:c r="D1004" s="24">
        <x:v>20</x:v>
      </x:c>
      <x:c r="E1004" s="24" t="s">
        <x:v>198</x:v>
      </x:c>
      <x:c r="F1004" s="20" t="s">
        <x:v>90</x:v>
      </x:c>
      <x:c r="G1004" s="26">
        <x:v>43984</x:v>
      </x:c>
      <x:c r="H1004" s="24" t="s">
        <x:v>4719</x:v>
      </x:c>
      <x:c r="I1004" s="28" t="s">
        <x:v>4720</x:v>
      </x:c>
      <x:c r="J1004" s="29" t="s">
        <x:v>4721</x:v>
      </x:c>
    </x:row>
    <x:row r="1005" ht="10.050000190734863" customHeight="1">
      <x:c r="A1005" s="21" t="s">
        <x:v>4722</x:v>
      </x:c>
      <x:c r="B1005" s="20" t="s">
        <x:v>4722</x:v>
      </x:c>
      <x:c r="C1005" s="20" t="s">
        <x:v>1334</x:v>
      </x:c>
      <x:c r="D1005" s="24">
        <x:v>11</x:v>
      </x:c>
      <x:c r="E1005" s="24" t="s">
        <x:v>103</x:v>
      </x:c>
      <x:c r="F1005" s="20" t="s">
        <x:v>97</x:v>
      </x:c>
      <x:c r="G1005" s="26">
        <x:v>42062</x:v>
      </x:c>
      <x:c r="H1005" s="24" t="s">
        <x:v>4723</x:v>
      </x:c>
      <x:c r="I1005" s="28" t="s">
        <x:v>4724</x:v>
      </x:c>
      <x:c r="J1005" s="29" t="s">
        <x:v>4725</x:v>
      </x:c>
    </x:row>
    <x:row r="1006" ht="10.050000190734863" customHeight="1">
      <x:c r="A1006" s="21" t="s">
        <x:v>4726</x:v>
      </x:c>
      <x:c r="B1006" s="20" t="s">
        <x:v>4727</x:v>
      </x:c>
      <x:c r="C1006" s="20" t="s">
        <x:v>3165</x:v>
      </x:c>
      <x:c r="D1006" s="24">
        <x:v>10</x:v>
      </x:c>
      <x:c r="E1006" s="24" t="s">
        <x:v>198</x:v>
      </x:c>
      <x:c r="F1006" s="20" t="s">
        <x:v>90</x:v>
      </x:c>
      <x:c r="G1006" s="26">
        <x:v>43870</x:v>
      </x:c>
      <x:c r="H1006" s="24" t="s">
        <x:v>4728</x:v>
      </x:c>
      <x:c r="I1006" s="28" t="s">
        <x:v>4729</x:v>
      </x:c>
      <x:c r="J1006" s="29" t="s">
        <x:v>4730</x:v>
      </x:c>
    </x:row>
    <x:row r="1007" ht="10.050000190734863" customHeight="1">
      <x:c r="A1007" s="21" t="s">
        <x:v>4731</x:v>
      </x:c>
      <x:c r="B1007" s="20" t="s">
        <x:v>4727</x:v>
      </x:c>
      <x:c r="C1007" s="20" t="s">
        <x:v>4732</x:v>
      </x:c>
      <x:c r="D1007" s="24">
        <x:v>15</x:v>
      </x:c>
      <x:c r="E1007" s="24" t="s">
        <x:v>96</x:v>
      </x:c>
      <x:c r="F1007" s="20" t="s">
        <x:v>97</x:v>
      </x:c>
      <x:c r="G1007" s="26">
        <x:v>45144</x:v>
      </x:c>
      <x:c r="H1007" s="24" t="s">
        <x:v>4733</x:v>
      </x:c>
      <x:c r="I1007" s="28" t="s">
        <x:v>4734</x:v>
      </x:c>
      <x:c r="J1007" s="29" t="s">
        <x:v>4735</x:v>
      </x:c>
    </x:row>
    <x:row r="1008" ht="10.050000190734863" customHeight="1">
      <x:c r="A1008" s="21" t="s">
        <x:v>4736</x:v>
      </x:c>
      <x:c r="B1008" s="20" t="s">
        <x:v>4736</x:v>
      </x:c>
      <x:c r="C1008" s="20" t="s">
        <x:v>4737</x:v>
      </x:c>
      <x:c r="D1008" s="24">
        <x:v>8</x:v>
      </x:c>
      <x:c r="E1008" s="24" t="s">
        <x:v>96</x:v>
      </x:c>
      <x:c r="F1008" s="20" t="s">
        <x:v>97</x:v>
      </x:c>
      <x:c r="G1008" s="26">
        <x:v>43383</x:v>
      </x:c>
      <x:c r="H1008" s="24" t="s">
        <x:v>4738</x:v>
      </x:c>
      <x:c r="I1008" s="28" t="s">
        <x:v>4739</x:v>
      </x:c>
      <x:c r="J1008" s="29" t="s">
        <x:v>4740</x:v>
      </x:c>
    </x:row>
    <x:row r="1009" ht="10.050000190734863" customHeight="1">
      <x:c r="A1009" s="21" t="s">
        <x:v>4741</x:v>
      </x:c>
      <x:c r="B1009" s="20" t="s">
        <x:v>4741</x:v>
      </x:c>
      <x:c r="C1009" s="20" t="s">
        <x:v>2562</x:v>
      </x:c>
      <x:c r="D1009" s="24">
        <x:v>10</x:v>
      </x:c>
      <x:c r="E1009" s="24" t="s">
        <x:v>114</x:v>
      </x:c>
      <x:c r="F1009" s="20" t="s">
        <x:v>90</x:v>
      </x:c>
      <x:c r="G1009" s="26">
        <x:v>44386</x:v>
      </x:c>
      <x:c r="H1009" s="24" t="s">
        <x:v>4742</x:v>
      </x:c>
      <x:c r="I1009" s="28" t="s">
        <x:v>4743</x:v>
      </x:c>
      <x:c r="J1009" s="29" t="s">
        <x:v>4744</x:v>
      </x:c>
    </x:row>
    <x:row r="1010" ht="10.050000190734863" customHeight="1">
      <x:c r="A1010" s="21" t="s">
        <x:v>4745</x:v>
      </x:c>
      <x:c r="B1010" s="20" t="s">
        <x:v>4745</x:v>
      </x:c>
      <x:c r="C1010" s="20" t="s">
        <x:v>4746</x:v>
      </x:c>
      <x:c r="D1010" s="24">
        <x:v>4</x:v>
      </x:c>
      <x:c r="E1010" s="24" t="s">
        <x:v>89</x:v>
      </x:c>
      <x:c r="F1010" s="20" t="s">
        <x:v>90</x:v>
      </x:c>
      <x:c r="G1010" s="26">
        <x:v>45938</x:v>
      </x:c>
      <x:c r="H1010" s="24" t="s">
        <x:v>4747</x:v>
      </x:c>
      <x:c r="I1010" s="28" t="s">
        <x:v>4748</x:v>
      </x:c>
      <x:c r="J1010" s="29" t="s">
        <x:v>4749</x:v>
      </x:c>
    </x:row>
    <x:row r="1011" ht="10.050000190734863" customHeight="1">
      <x:c r="A1011" s="21" t="s">
        <x:v>4750</x:v>
      </x:c>
      <x:c r="B1011" s="20" t="s">
        <x:v>4750</x:v>
      </x:c>
      <x:c r="C1011" s="20" t="s">
        <x:v>4751</x:v>
      </x:c>
      <x:c r="D1011" s="24">
        <x:v>15</x:v>
      </x:c>
      <x:c r="E1011" s="24" t="s">
        <x:v>125</x:v>
      </x:c>
      <x:c r="F1011" s="20" t="s">
        <x:v>90</x:v>
      </x:c>
      <x:c r="G1011" s="26">
        <x:v>44952</x:v>
      </x:c>
      <x:c r="H1011" s="24" t="s">
        <x:v>4752</x:v>
      </x:c>
      <x:c r="I1011" s="28" t="s">
        <x:v>4753</x:v>
      </x:c>
      <x:c r="J1011" s="29" t="s">
        <x:v>4754</x:v>
      </x:c>
    </x:row>
    <x:row r="1012" ht="10.050000190734863" customHeight="1">
      <x:c r="A1012" s="21" t="s">
        <x:v>4755</x:v>
      </x:c>
      <x:c r="B1012" s="20" t="s">
        <x:v>4755</x:v>
      </x:c>
      <x:c r="C1012" s="20" t="s">
        <x:v>4751</x:v>
      </x:c>
      <x:c r="D1012" s="24">
        <x:v>15</x:v>
      </x:c>
      <x:c r="E1012" s="24" t="s">
        <x:v>198</x:v>
      </x:c>
      <x:c r="F1012" s="20" t="s">
        <x:v>90</x:v>
      </x:c>
      <x:c r="G1012" s="26">
        <x:v>44984</x:v>
      </x:c>
      <x:c r="H1012" s="24" t="s">
        <x:v>4756</x:v>
      </x:c>
      <x:c r="I1012" s="28" t="s">
        <x:v>4757</x:v>
      </x:c>
      <x:c r="J1012" s="29" t="s">
        <x:v>4758</x:v>
      </x:c>
    </x:row>
    <x:row r="1013" ht="10.050000190734863" customHeight="1">
      <x:c r="A1013" s="21" t="s">
        <x:v>4759</x:v>
      </x:c>
      <x:c r="B1013" s="20" t="s">
        <x:v>4759</x:v>
      </x:c>
      <x:c r="C1013" s="20" t="s">
        <x:v>4760</x:v>
      </x:c>
      <x:c r="D1013" s="24">
        <x:v>7</x:v>
      </x:c>
      <x:c r="E1013" s="24" t="s">
        <x:v>89</x:v>
      </x:c>
      <x:c r="F1013" s="20" t="s">
        <x:v>90</x:v>
      </x:c>
      <x:c r="G1013" s="26">
        <x:v>44243</x:v>
      </x:c>
      <x:c r="H1013" s="24" t="s">
        <x:v>4761</x:v>
      </x:c>
      <x:c r="I1013" s="28" t="s">
        <x:v>4762</x:v>
      </x:c>
      <x:c r="J1013" s="29" t="s">
        <x:v>4763</x:v>
      </x:c>
    </x:row>
    <x:row r="1014" ht="10.050000190734863" customHeight="1">
      <x:c r="A1014" s="21" t="s">
        <x:v>4764</x:v>
      </x:c>
      <x:c r="B1014" s="20" t="s">
        <x:v>4764</x:v>
      </x:c>
      <x:c r="C1014" s="20" t="s">
        <x:v>1821</x:v>
      </x:c>
      <x:c r="D1014" s="24">
        <x:v>9</x:v>
      </x:c>
      <x:c r="E1014" s="24" t="s">
        <x:v>89</x:v>
      </x:c>
      <x:c r="F1014" s="20" t="s">
        <x:v>610</x:v>
      </x:c>
      <x:c r="G1014" s="26">
        <x:v>41917</x:v>
      </x:c>
      <x:c r="H1014" s="24" t="s">
        <x:v>4765</x:v>
      </x:c>
      <x:c r="I1014" s="28" t="s">
        <x:v>4766</x:v>
      </x:c>
      <x:c r="J1014" s="29" t="s">
        <x:v>4767</x:v>
      </x:c>
    </x:row>
    <x:row r="1015" ht="10.050000190734863" customHeight="1">
      <x:c r="A1015" s="21" t="s">
        <x:v>4768</x:v>
      </x:c>
      <x:c r="B1015" s="20" t="s">
        <x:v>4768</x:v>
      </x:c>
      <x:c r="C1015" s="20" t="s">
        <x:v>1821</x:v>
      </x:c>
      <x:c r="D1015" s="24">
        <x:v>9</x:v>
      </x:c>
      <x:c r="E1015" s="24" t="s">
        <x:v>198</x:v>
      </x:c>
      <x:c r="F1015" s="20" t="s">
        <x:v>610</x:v>
      </x:c>
      <x:c r="G1015" s="26">
        <x:v>42557</x:v>
      </x:c>
      <x:c r="H1015" s="24" t="s">
        <x:v>4769</x:v>
      </x:c>
      <x:c r="I1015" s="28" t="s">
        <x:v>4770</x:v>
      </x:c>
      <x:c r="J1015" s="29" t="s">
        <x:v>4771</x:v>
      </x:c>
    </x:row>
    <x:row r="1016" ht="10.050000190734863" customHeight="1">
      <x:c r="A1016" s="21" t="s">
        <x:v>4772</x:v>
      </x:c>
      <x:c r="B1016" s="20" t="s">
        <x:v>4772</x:v>
      </x:c>
      <x:c r="C1016" s="20" t="s">
        <x:v>781</x:v>
      </x:c>
      <x:c r="D1016" s="24">
        <x:v>18</x:v>
      </x:c>
      <x:c r="E1016" s="24" t="s">
        <x:v>114</x:v>
      </x:c>
      <x:c r="F1016" s="20" t="s">
        <x:v>90</x:v>
      </x:c>
      <x:c r="G1016" s="26">
        <x:v>45705</x:v>
      </x:c>
      <x:c r="H1016" s="24" t="s">
        <x:v>4773</x:v>
      </x:c>
      <x:c r="I1016" s="28" t="s">
        <x:v>4774</x:v>
      </x:c>
      <x:c r="J1016" s="29" t="s">
        <x:v>4775</x:v>
      </x:c>
    </x:row>
    <x:row r="1017" ht="10.050000190734863" customHeight="1">
      <x:c r="A1017" s="21" t="s">
        <x:v>4776</x:v>
      </x:c>
      <x:c r="B1017" s="20" t="s">
        <x:v>4776</x:v>
      </x:c>
      <x:c r="C1017" s="20" t="s">
        <x:v>4777</x:v>
      </x:c>
      <x:c r="D1017" s="24">
        <x:v>2</x:v>
      </x:c>
      <x:c r="E1017" s="24" t="s">
        <x:v>96</x:v>
      </x:c>
      <x:c r="F1017" s="20" t="s">
        <x:v>610</x:v>
      </x:c>
      <x:c r="G1017" s="26">
        <x:v>44142</x:v>
      </x:c>
      <x:c r="H1017" s="24" t="s">
        <x:v>4778</x:v>
      </x:c>
      <x:c r="I1017" s="28" t="s">
        <x:v>4779</x:v>
      </x:c>
      <x:c r="J1017" s="29" t="s">
        <x:v>4780</x:v>
      </x:c>
    </x:row>
    <x:row r="1018" ht="10.050000190734863" customHeight="1">
      <x:c r="A1018" s="21" t="s">
        <x:v>4781</x:v>
      </x:c>
      <x:c r="B1018" s="20" t="s">
        <x:v>4781</x:v>
      </x:c>
      <x:c r="C1018" s="20" t="s">
        <x:v>4782</x:v>
      </x:c>
      <x:c r="D1018" s="24">
        <x:v>6</x:v>
      </x:c>
      <x:c r="E1018" s="24" t="s">
        <x:v>103</x:v>
      </x:c>
      <x:c r="F1018" s="20" t="s">
        <x:v>97</x:v>
      </x:c>
      <x:c r="G1018" s="26">
        <x:v>42256</x:v>
      </x:c>
      <x:c r="H1018" s="24" t="s">
        <x:v>4783</x:v>
      </x:c>
      <x:c r="I1018" s="28" t="s">
        <x:v>4784</x:v>
      </x:c>
      <x:c r="J1018" s="29" t="s">
        <x:v>4785</x:v>
      </x:c>
    </x:row>
    <x:row r="1019" ht="10.050000190734863" customHeight="1">
      <x:c r="A1019" s="21" t="s">
        <x:v>4786</x:v>
      </x:c>
      <x:c r="B1019" s="20" t="s">
        <x:v>4786</x:v>
      </x:c>
      <x:c r="C1019" s="20" t="s">
        <x:v>2202</x:v>
      </x:c>
      <x:c r="D1019" s="24">
        <x:v>2</x:v>
      </x:c>
      <x:c r="E1019" s="24" t="s">
        <x:v>89</x:v>
      </x:c>
      <x:c r="F1019" s="20" t="s">
        <x:v>90</x:v>
      </x:c>
      <x:c r="G1019" s="26">
        <x:v>44456</x:v>
      </x:c>
      <x:c r="H1019" s="24" t="s">
        <x:v>4787</x:v>
      </x:c>
      <x:c r="I1019" s="28" t="s">
        <x:v>4788</x:v>
      </x:c>
      <x:c r="J1019" s="29" t="s">
        <x:v>4789</x:v>
      </x:c>
    </x:row>
    <x:row r="1020" ht="10.050000190734863" customHeight="1">
      <x:c r="A1020" s="21" t="s">
        <x:v>4790</x:v>
      </x:c>
      <x:c r="B1020" s="20" t="s">
        <x:v>4790</x:v>
      </x:c>
      <x:c r="C1020" s="20" t="s">
        <x:v>4791</x:v>
      </x:c>
      <x:c r="D1020" s="24">
        <x:v>17</x:v>
      </x:c>
      <x:c r="E1020" s="24" t="s">
        <x:v>198</x:v>
      </x:c>
      <x:c r="F1020" s="20" t="s">
        <x:v>90</x:v>
      </x:c>
      <x:c r="G1020" s="26">
        <x:v>44753</x:v>
      </x:c>
      <x:c r="H1020" s="24" t="s">
        <x:v>4792</x:v>
      </x:c>
      <x:c r="I1020" s="28" t="s">
        <x:v>4793</x:v>
      </x:c>
      <x:c r="J1020" s="29" t="s">
        <x:v>4794</x:v>
      </x:c>
    </x:row>
    <x:row r="1021" ht="10.050000190734863" customHeight="1">
      <x:c r="A1021" s="21" t="s">
        <x:v>4795</x:v>
      </x:c>
      <x:c r="B1021" s="20" t="s">
        <x:v>4795</x:v>
      </x:c>
      <x:c r="C1021" s="20" t="s">
        <x:v>4791</x:v>
      </x:c>
      <x:c r="D1021" s="24">
        <x:v>16</x:v>
      </x:c>
      <x:c r="E1021" s="24" t="s">
        <x:v>198</x:v>
      </x:c>
      <x:c r="F1021" s="20" t="s">
        <x:v>90</x:v>
      </x:c>
      <x:c r="G1021" s="26">
        <x:v>45991</x:v>
      </x:c>
      <x:c r="H1021" s="24" t="s">
        <x:v>4796</x:v>
      </x:c>
      <x:c r="I1021" s="28" t="s">
        <x:v>4797</x:v>
      </x:c>
      <x:c r="J1021" s="29" t="s">
        <x:v>4798</x:v>
      </x:c>
    </x:row>
    <x:row r="1022" ht="10.050000190734863" customHeight="1">
      <x:c r="A1022" s="21" t="s">
        <x:v>4799</x:v>
      </x:c>
      <x:c r="B1022" s="20" t="s">
        <x:v>4799</x:v>
      </x:c>
      <x:c r="C1022" s="20" t="s">
        <x:v>1055</x:v>
      </x:c>
      <x:c r="D1022" s="24">
        <x:v>9</x:v>
      </x:c>
      <x:c r="E1022" s="24" t="s">
        <x:v>257</x:v>
      </x:c>
      <x:c r="F1022" s="20" t="s">
        <x:v>97</x:v>
      </x:c>
      <x:c r="G1022" s="26">
        <x:v>44018</x:v>
      </x:c>
      <x:c r="H1022" s="24" t="s">
        <x:v>4800</x:v>
      </x:c>
      <x:c r="I1022" s="28" t="s">
        <x:v>4801</x:v>
      </x:c>
      <x:c r="J1022" s="29" t="s">
        <x:v>4802</x:v>
      </x:c>
    </x:row>
    <x:row r="1023" ht="10.050000190734863" customHeight="1">
      <x:c r="A1023" s="21" t="s">
        <x:v>4803</x:v>
      </x:c>
      <x:c r="B1023" s="20" t="s">
        <x:v>4803</x:v>
      </x:c>
      <x:c r="C1023" s="20" t="s">
        <x:v>282</x:v>
      </x:c>
      <x:c r="D1023" s="24">
        <x:v>33</x:v>
      </x:c>
      <x:c r="E1023" s="24" t="s">
        <x:v>96</x:v>
      </x:c>
      <x:c r="F1023" s="20" t="s">
        <x:v>97</x:v>
      </x:c>
      <x:c r="G1023" s="26">
        <x:v>44923</x:v>
      </x:c>
      <x:c r="H1023" s="24" t="s">
        <x:v>4804</x:v>
      </x:c>
      <x:c r="I1023" s="28" t="s">
        <x:v>4805</x:v>
      </x:c>
      <x:c r="J1023" s="29" t="s">
        <x:v>4806</x:v>
      </x:c>
    </x:row>
    <x:row r="1024" ht="10.050000190734863" customHeight="1">
      <x:c r="A1024" s="21" t="s">
        <x:v>4807</x:v>
      </x:c>
      <x:c r="B1024" s="20" t="s">
        <x:v>4807</x:v>
      </x:c>
      <x:c r="C1024" s="20" t="s">
        <x:v>282</x:v>
      </x:c>
      <x:c r="D1024" s="24">
        <x:v>42</x:v>
      </x:c>
      <x:c r="E1024" s="24" t="s">
        <x:v>103</x:v>
      </x:c>
      <x:c r="F1024" s="20" t="s">
        <x:v>97</x:v>
      </x:c>
      <x:c r="G1024" s="26">
        <x:v>43690</x:v>
      </x:c>
      <x:c r="H1024" s="24" t="s">
        <x:v>4808</x:v>
      </x:c>
      <x:c r="I1024" s="28" t="s">
        <x:v>4809</x:v>
      </x:c>
      <x:c r="J1024" s="29" t="s">
        <x:v>4810</x:v>
      </x:c>
    </x:row>
    <x:row r="1025" ht="10.050000190734863" customHeight="1">
      <x:c r="A1025" s="21" t="s">
        <x:v>4811</x:v>
      </x:c>
      <x:c r="B1025" s="20" t="s">
        <x:v>4811</x:v>
      </x:c>
      <x:c r="C1025" s="20" t="s">
        <x:v>4812</x:v>
      </x:c>
      <x:c r="D1025" s="24">
        <x:v>12</x:v>
      </x:c>
      <x:c r="E1025" s="24" t="s">
        <x:v>257</x:v>
      </x:c>
      <x:c r="F1025" s="20" t="s">
        <x:v>97</x:v>
      </x:c>
      <x:c r="G1025" s="26">
        <x:v>41626</x:v>
      </x:c>
      <x:c r="H1025" s="24" t="s">
        <x:v>4813</x:v>
      </x:c>
      <x:c r="I1025" s="28" t="s">
        <x:v>4814</x:v>
      </x:c>
      <x:c r="J1025" s="29" t="s">
        <x:v>4815</x:v>
      </x:c>
    </x:row>
    <x:row r="1026" ht="10.050000190734863" customHeight="1">
      <x:c r="A1026" s="21" t="s">
        <x:v>4816</x:v>
      </x:c>
      <x:c r="B1026" s="20" t="s">
        <x:v>4816</x:v>
      </x:c>
      <x:c r="C1026" s="20" t="s">
        <x:v>282</x:v>
      </x:c>
      <x:c r="D1026" s="24">
        <x:v>13</x:v>
      </x:c>
      <x:c r="E1026" s="24" t="s">
        <x:v>103</x:v>
      </x:c>
      <x:c r="F1026" s="20" t="s">
        <x:v>97</x:v>
      </x:c>
      <x:c r="G1026" s="26">
        <x:v>43823</x:v>
      </x:c>
      <x:c r="H1026" s="24" t="s">
        <x:v>4817</x:v>
      </x:c>
      <x:c r="I1026" s="28" t="s">
        <x:v>4818</x:v>
      </x:c>
      <x:c r="J1026" s="29" t="s">
        <x:v>4819</x:v>
      </x:c>
    </x:row>
    <x:row r="1027" ht="10.050000190734863" customHeight="1">
      <x:c r="A1027" s="21" t="s">
        <x:v>4820</x:v>
      </x:c>
      <x:c r="B1027" s="20" t="s">
        <x:v>4820</x:v>
      </x:c>
      <x:c r="C1027" s="20" t="s">
        <x:v>1055</x:v>
      </x:c>
      <x:c r="D1027" s="24">
        <x:v>10</x:v>
      </x:c>
      <x:c r="E1027" s="24" t="s">
        <x:v>96</x:v>
      </x:c>
      <x:c r="F1027" s="20" t="s">
        <x:v>97</x:v>
      </x:c>
      <x:c r="G1027" s="26">
        <x:v>44537</x:v>
      </x:c>
      <x:c r="H1027" s="24" t="s">
        <x:v>4821</x:v>
      </x:c>
      <x:c r="I1027" s="28" t="s">
        <x:v>4822</x:v>
      </x:c>
      <x:c r="J1027" s="29" t="s">
        <x:v>4823</x:v>
      </x:c>
    </x:row>
    <x:row r="1028" ht="10.050000190734863" customHeight="1">
      <x:c r="A1028" s="21" t="s">
        <x:v>4824</x:v>
      </x:c>
      <x:c r="B1028" s="20" t="s">
        <x:v>4824</x:v>
      </x:c>
      <x:c r="C1028" s="20" t="s">
        <x:v>1055</x:v>
      </x:c>
      <x:c r="D1028" s="24">
        <x:v>17</x:v>
      </x:c>
      <x:c r="E1028" s="24" t="s">
        <x:v>103</x:v>
      </x:c>
      <x:c r="F1028" s="20" t="s">
        <x:v>97</x:v>
      </x:c>
      <x:c r="G1028" s="26">
        <x:v>45020</x:v>
      </x:c>
      <x:c r="H1028" s="24" t="s">
        <x:v>4825</x:v>
      </x:c>
      <x:c r="I1028" s="28" t="s">
        <x:v>4826</x:v>
      </x:c>
      <x:c r="J1028" s="29" t="s">
        <x:v>4827</x:v>
      </x:c>
    </x:row>
    <x:row r="1029" ht="10.050000190734863" customHeight="1">
      <x:c r="A1029" s="21" t="s">
        <x:v>4828</x:v>
      </x:c>
      <x:c r="B1029" s="20" t="s">
        <x:v>4828</x:v>
      </x:c>
      <x:c r="C1029" s="20" t="s">
        <x:v>1055</x:v>
      </x:c>
      <x:c r="D1029" s="24">
        <x:v>9</x:v>
      </x:c>
      <x:c r="E1029" s="24" t="s">
        <x:v>103</x:v>
      </x:c>
      <x:c r="F1029" s="20" t="s">
        <x:v>97</x:v>
      </x:c>
      <x:c r="G1029" s="26">
        <x:v>44610</x:v>
      </x:c>
      <x:c r="H1029" s="24" t="s">
        <x:v>4829</x:v>
      </x:c>
      <x:c r="I1029" s="28" t="s">
        <x:v>4830</x:v>
      </x:c>
      <x:c r="J1029" s="29" t="s">
        <x:v>4831</x:v>
      </x:c>
    </x:row>
    <x:row r="1030" ht="10.050000190734863" customHeight="1">
      <x:c r="A1030" s="21" t="s">
        <x:v>4832</x:v>
      </x:c>
      <x:c r="B1030" s="20" t="s">
        <x:v>4832</x:v>
      </x:c>
      <x:c r="C1030" s="20" t="s">
        <x:v>4833</x:v>
      </x:c>
      <x:c r="D1030" s="24">
        <x:v>16</x:v>
      </x:c>
      <x:c r="E1030" s="24" t="s">
        <x:v>103</x:v>
      </x:c>
      <x:c r="F1030" s="20" t="s">
        <x:v>97</x:v>
      </x:c>
      <x:c r="G1030" s="26">
        <x:v>44613</x:v>
      </x:c>
      <x:c r="H1030" s="24" t="s">
        <x:v>4834</x:v>
      </x:c>
      <x:c r="I1030" s="28" t="s">
        <x:v>4835</x:v>
      </x:c>
      <x:c r="J1030" s="29" t="s">
        <x:v>4836</x:v>
      </x:c>
    </x:row>
    <x:row r="1031" ht="10.050000190734863" customHeight="1">
      <x:c r="A1031" s="21" t="s">
        <x:v>4837</x:v>
      </x:c>
      <x:c r="B1031" s="20" t="s">
        <x:v>4837</x:v>
      </x:c>
      <x:c r="C1031" s="20" t="s">
        <x:v>1055</x:v>
      </x:c>
      <x:c r="D1031" s="24">
        <x:v>10</x:v>
      </x:c>
      <x:c r="E1031" s="24" t="s">
        <x:v>103</x:v>
      </x:c>
      <x:c r="F1031" s="20" t="s">
        <x:v>97</x:v>
      </x:c>
      <x:c r="G1031" s="26">
        <x:v>44448</x:v>
      </x:c>
      <x:c r="H1031" s="24" t="s">
        <x:v>4838</x:v>
      </x:c>
      <x:c r="I1031" s="28" t="s">
        <x:v>4839</x:v>
      </x:c>
      <x:c r="J1031" s="29" t="s">
        <x:v>4840</x:v>
      </x:c>
    </x:row>
    <x:row r="1032" ht="10.050000190734863" customHeight="1">
      <x:c r="A1032" s="21" t="s">
        <x:v>4841</x:v>
      </x:c>
      <x:c r="B1032" s="20" t="s">
        <x:v>4841</x:v>
      </x:c>
      <x:c r="C1032" s="20" t="s">
        <x:v>1055</x:v>
      </x:c>
      <x:c r="D1032" s="24">
        <x:v>9</x:v>
      </x:c>
      <x:c r="E1032" s="24" t="s">
        <x:v>103</x:v>
      </x:c>
      <x:c r="F1032" s="20" t="s">
        <x:v>97</x:v>
      </x:c>
      <x:c r="G1032" s="26">
        <x:v>44951</x:v>
      </x:c>
      <x:c r="H1032" s="24" t="s">
        <x:v>4842</x:v>
      </x:c>
      <x:c r="I1032" s="28" t="s">
        <x:v>4843</x:v>
      </x:c>
      <x:c r="J1032" s="29" t="s">
        <x:v>4844</x:v>
      </x:c>
    </x:row>
    <x:row r="1033" ht="10.050000190734863" customHeight="1">
      <x:c r="A1033" s="21" t="s">
        <x:v>4845</x:v>
      </x:c>
      <x:c r="B1033" s="20" t="s">
        <x:v>4845</x:v>
      </x:c>
      <x:c r="C1033" s="20" t="s">
        <x:v>1055</x:v>
      </x:c>
      <x:c r="D1033" s="24">
        <x:v>9</x:v>
      </x:c>
      <x:c r="E1033" s="24" t="s">
        <x:v>103</x:v>
      </x:c>
      <x:c r="F1033" s="20" t="s">
        <x:v>97</x:v>
      </x:c>
      <x:c r="G1033" s="26">
        <x:v>43668</x:v>
      </x:c>
      <x:c r="H1033" s="24" t="s">
        <x:v>4846</x:v>
      </x:c>
      <x:c r="I1033" s="28" t="s">
        <x:v>4847</x:v>
      </x:c>
      <x:c r="J1033" s="29" t="s">
        <x:v>4848</x:v>
      </x:c>
    </x:row>
    <x:row r="1034" ht="10.050000190734863" customHeight="1">
      <x:c r="A1034" s="21" t="s">
        <x:v>4849</x:v>
      </x:c>
      <x:c r="B1034" s="20" t="s">
        <x:v>4849</x:v>
      </x:c>
      <x:c r="C1034" s="20" t="s">
        <x:v>1055</x:v>
      </x:c>
      <x:c r="D1034" s="24">
        <x:v>9</x:v>
      </x:c>
      <x:c r="E1034" s="24" t="s">
        <x:v>103</x:v>
      </x:c>
      <x:c r="F1034" s="20" t="s">
        <x:v>97</x:v>
      </x:c>
      <x:c r="G1034" s="26">
        <x:v>44641</x:v>
      </x:c>
      <x:c r="H1034" s="24" t="s">
        <x:v>4850</x:v>
      </x:c>
      <x:c r="I1034" s="28" t="s">
        <x:v>4851</x:v>
      </x:c>
      <x:c r="J1034" s="29" t="s">
        <x:v>4852</x:v>
      </x:c>
    </x:row>
    <x:row r="1035" ht="10.050000190734863" customHeight="1">
      <x:c r="A1035" s="21" t="s">
        <x:v>4853</x:v>
      </x:c>
      <x:c r="B1035" s="20" t="s">
        <x:v>4853</x:v>
      </x:c>
      <x:c r="C1035" s="20" t="s">
        <x:v>1055</x:v>
      </x:c>
      <x:c r="D1035" s="24">
        <x:v>14</x:v>
      </x:c>
      <x:c r="E1035" s="24" t="s">
        <x:v>96</x:v>
      </x:c>
      <x:c r="F1035" s="20" t="s">
        <x:v>97</x:v>
      </x:c>
      <x:c r="G1035" s="26">
        <x:v>45462</x:v>
      </x:c>
      <x:c r="H1035" s="24" t="s">
        <x:v>4854</x:v>
      </x:c>
      <x:c r="I1035" s="28" t="s">
        <x:v>4855</x:v>
      </x:c>
      <x:c r="J1035" s="29" t="s">
        <x:v>4856</x:v>
      </x:c>
    </x:row>
    <x:row r="1036" ht="10.050000190734863" customHeight="1">
      <x:c r="A1036" s="21" t="s">
        <x:v>4857</x:v>
      </x:c>
      <x:c r="B1036" s="20" t="s">
        <x:v>4857</x:v>
      </x:c>
      <x:c r="C1036" s="20" t="s">
        <x:v>4858</x:v>
      </x:c>
      <x:c r="D1036" s="24">
        <x:v>7</x:v>
      </x:c>
      <x:c r="E1036" s="24" t="s">
        <x:v>103</x:v>
      </x:c>
      <x:c r="F1036" s="20" t="s">
        <x:v>97</x:v>
      </x:c>
      <x:c r="G1036" s="26">
        <x:v>42256</x:v>
      </x:c>
      <x:c r="H1036" s="24" t="s">
        <x:v>4859</x:v>
      </x:c>
      <x:c r="I1036" s="28" t="s">
        <x:v>4860</x:v>
      </x:c>
      <x:c r="J1036" s="29" t="s">
        <x:v>4861</x:v>
      </x:c>
    </x:row>
    <x:row r="1037" ht="10.050000190734863" customHeight="1">
      <x:c r="A1037" s="21" t="s">
        <x:v>4862</x:v>
      </x:c>
      <x:c r="B1037" s="20" t="s">
        <x:v>4862</x:v>
      </x:c>
      <x:c r="C1037" s="20" t="s">
        <x:v>491</x:v>
      </x:c>
      <x:c r="D1037" s="24">
        <x:v>21</x:v>
      </x:c>
      <x:c r="E1037" s="24" t="s">
        <x:v>96</x:v>
      </x:c>
      <x:c r="F1037" s="20" t="s">
        <x:v>90</x:v>
      </x:c>
      <x:c r="G1037" s="26">
        <x:v>44390</x:v>
      </x:c>
      <x:c r="H1037" s="24" t="s">
        <x:v>4863</x:v>
      </x:c>
      <x:c r="I1037" s="28" t="s">
        <x:v>4864</x:v>
      </x:c>
      <x:c r="J1037" s="29" t="s">
        <x:v>4865</x:v>
      </x:c>
    </x:row>
    <x:row r="1038" ht="10.050000190734863" customHeight="1">
      <x:c r="A1038" s="21" t="s">
        <x:v>4866</x:v>
      </x:c>
      <x:c r="B1038" s="20" t="s">
        <x:v>4866</x:v>
      </x:c>
      <x:c r="C1038" s="20" t="s">
        <x:v>4867</x:v>
      </x:c>
      <x:c r="D1038" s="24">
        <x:v>8</x:v>
      </x:c>
      <x:c r="E1038" s="24" t="s">
        <x:v>89</x:v>
      </x:c>
      <x:c r="F1038" s="20" t="s">
        <x:v>90</x:v>
      </x:c>
      <x:c r="G1038" s="26">
        <x:v>44010</x:v>
      </x:c>
      <x:c r="H1038" s="24" t="s">
        <x:v>4868</x:v>
      </x:c>
      <x:c r="I1038" s="28" t="s">
        <x:v>4869</x:v>
      </x:c>
      <x:c r="J1038" s="29" t="s">
        <x:v>4870</x:v>
      </x:c>
    </x:row>
    <x:row r="1039" ht="10.050000190734863" customHeight="1">
      <x:c r="A1039" s="21" t="s">
        <x:v>4871</x:v>
      </x:c>
      <x:c r="B1039" s="20" t="s">
        <x:v>4871</x:v>
      </x:c>
      <x:c r="C1039" s="20" t="s">
        <x:v>326</x:v>
      </x:c>
      <x:c r="D1039" s="24">
        <x:v>17</x:v>
      </x:c>
      <x:c r="E1039" s="24" t="s">
        <x:v>257</x:v>
      </x:c>
      <x:c r="F1039" s="20" t="s">
        <x:v>97</x:v>
      </x:c>
      <x:c r="G1039" s="26">
        <x:v>42215</x:v>
      </x:c>
      <x:c r="H1039" s="24" t="s">
        <x:v>4872</x:v>
      </x:c>
      <x:c r="I1039" s="28" t="s">
        <x:v>4873</x:v>
      </x:c>
      <x:c r="J1039" s="29" t="s">
        <x:v>4874</x:v>
      </x:c>
    </x:row>
    <x:row r="1040" ht="10.050000190734863" customHeight="1">
      <x:c r="A1040" s="21" t="s">
        <x:v>4875</x:v>
      </x:c>
      <x:c r="B1040" s="20" t="s">
        <x:v>4875</x:v>
      </x:c>
      <x:c r="C1040" s="20" t="s">
        <x:v>4876</x:v>
      </x:c>
      <x:c r="D1040" s="24">
        <x:v>7</x:v>
      </x:c>
      <x:c r="E1040" s="24" t="s">
        <x:v>103</x:v>
      </x:c>
      <x:c r="F1040" s="20" t="s">
        <x:v>97</x:v>
      </x:c>
      <x:c r="G1040" s="26">
        <x:v>42062</x:v>
      </x:c>
      <x:c r="H1040" s="24" t="s">
        <x:v>4877</x:v>
      </x:c>
      <x:c r="I1040" s="28" t="s">
        <x:v>4878</x:v>
      </x:c>
      <x:c r="J1040" s="29" t="s">
        <x:v>4879</x:v>
      </x:c>
    </x:row>
    <x:row r="1041" ht="10.050000190734863" customHeight="1">
      <x:c r="A1041" s="21" t="s">
        <x:v>4880</x:v>
      </x:c>
      <x:c r="B1041" s="20" t="s">
        <x:v>4880</x:v>
      </x:c>
      <x:c r="C1041" s="20" t="s">
        <x:v>4881</x:v>
      </x:c>
      <x:c r="D1041" s="24">
        <x:v>7</x:v>
      </x:c>
      <x:c r="E1041" s="24" t="s">
        <x:v>103</x:v>
      </x:c>
      <x:c r="F1041" s="20" t="s">
        <x:v>97</x:v>
      </x:c>
      <x:c r="G1041" s="26">
        <x:v>44189</x:v>
      </x:c>
      <x:c r="H1041" s="24" t="s">
        <x:v>4882</x:v>
      </x:c>
      <x:c r="I1041" s="28" t="s">
        <x:v>4883</x:v>
      </x:c>
      <x:c r="J1041" s="29" t="s">
        <x:v>4884</x:v>
      </x:c>
    </x:row>
    <x:row r="1042" ht="10.050000190734863" customHeight="1">
      <x:c r="A1042" s="21" t="s">
        <x:v>4885</x:v>
      </x:c>
      <x:c r="B1042" s="20" t="s">
        <x:v>4885</x:v>
      </x:c>
      <x:c r="C1042" s="20" t="s">
        <x:v>4886</x:v>
      </x:c>
      <x:c r="D1042" s="24">
        <x:v>21</x:v>
      </x:c>
      <x:c r="E1042" s="24" t="s">
        <x:v>103</x:v>
      </x:c>
      <x:c r="F1042" s="20" t="s">
        <x:v>97</x:v>
      </x:c>
      <x:c r="G1042" s="26">
        <x:v>42594</x:v>
      </x:c>
      <x:c r="H1042" s="24" t="s">
        <x:v>4887</x:v>
      </x:c>
      <x:c r="I1042" s="28" t="s">
        <x:v>4888</x:v>
      </x:c>
      <x:c r="J1042" s="29" t="s">
        <x:v>4889</x:v>
      </x:c>
    </x:row>
    <x:row r="1043" ht="10.050000190734863" customHeight="1">
      <x:c r="A1043" s="21" t="s">
        <x:v>4890</x:v>
      </x:c>
      <x:c r="B1043" s="20" t="s">
        <x:v>4890</x:v>
      </x:c>
      <x:c r="C1043" s="20" t="s">
        <x:v>4891</x:v>
      </x:c>
      <x:c r="D1043" s="24">
        <x:v>34</x:v>
      </x:c>
      <x:c r="E1043" s="24" t="s">
        <x:v>96</x:v>
      </x:c>
      <x:c r="F1043" s="20" t="s">
        <x:v>97</x:v>
      </x:c>
      <x:c r="G1043" s="26">
        <x:v>44159</x:v>
      </x:c>
      <x:c r="H1043" s="24" t="s">
        <x:v>4892</x:v>
      </x:c>
      <x:c r="I1043" s="28" t="s">
        <x:v>4893</x:v>
      </x:c>
      <x:c r="J1043" s="29" t="s">
        <x:v>4894</x:v>
      </x:c>
    </x:row>
    <x:row r="1044" ht="10.050000190734863" customHeight="1">
      <x:c r="A1044" s="21" t="s">
        <x:v>4895</x:v>
      </x:c>
      <x:c r="B1044" s="20" t="s">
        <x:v>4895</x:v>
      </x:c>
      <x:c r="C1044" s="20" t="s">
        <x:v>4896</x:v>
      </x:c>
      <x:c r="D1044" s="24">
        <x:v>6</x:v>
      </x:c>
      <x:c r="E1044" s="24" t="s">
        <x:v>257</x:v>
      </x:c>
      <x:c r="F1044" s="20" t="s">
        <x:v>97</x:v>
      </x:c>
      <x:c r="G1044" s="26">
        <x:v>42680</x:v>
      </x:c>
      <x:c r="H1044" s="24" t="s">
        <x:v>4897</x:v>
      </x:c>
      <x:c r="I1044" s="28" t="s">
        <x:v>4898</x:v>
      </x:c>
      <x:c r="J1044" s="29" t="s">
        <x:v>4899</x:v>
      </x:c>
    </x:row>
    <x:row r="1045" ht="10.050000190734863" customHeight="1">
      <x:c r="A1045" s="21" t="s">
        <x:v>4900</x:v>
      </x:c>
      <x:c r="B1045" s="20" t="s">
        <x:v>4900</x:v>
      </x:c>
      <x:c r="C1045" s="20" t="s">
        <x:v>4210</x:v>
      </x:c>
      <x:c r="D1045" s="24">
        <x:v>80</x:v>
      </x:c>
      <x:c r="E1045" s="24" t="s">
        <x:v>103</x:v>
      </x:c>
      <x:c r="F1045" s="20" t="s">
        <x:v>97</x:v>
      </x:c>
      <x:c r="G1045" s="26">
        <x:v>41806</x:v>
      </x:c>
      <x:c r="H1045" s="24" t="s">
        <x:v>4901</x:v>
      </x:c>
      <x:c r="I1045" s="28" t="s">
        <x:v>4902</x:v>
      </x:c>
      <x:c r="J1045" s="29" t="s">
        <x:v>4903</x:v>
      </x:c>
    </x:row>
    <x:row r="1046" ht="10.050000190734863" customHeight="1">
      <x:c r="A1046" s="21" t="s">
        <x:v>4904</x:v>
      </x:c>
      <x:c r="B1046" s="20" t="s">
        <x:v>4904</x:v>
      </x:c>
      <x:c r="C1046" s="20" t="s">
        <x:v>4905</x:v>
      </x:c>
      <x:c r="D1046" s="24">
        <x:v>35</x:v>
      </x:c>
      <x:c r="E1046" s="24" t="s">
        <x:v>103</x:v>
      </x:c>
      <x:c r="F1046" s="20" t="s">
        <x:v>97</x:v>
      </x:c>
      <x:c r="G1046" s="26">
        <x:v>42207</x:v>
      </x:c>
      <x:c r="H1046" s="24" t="s">
        <x:v>4906</x:v>
      </x:c>
      <x:c r="I1046" s="28" t="s">
        <x:v>4907</x:v>
      </x:c>
      <x:c r="J1046" s="29" t="s">
        <x:v>4908</x:v>
      </x:c>
    </x:row>
    <x:row r="1047" ht="10.050000190734863" customHeight="1">
      <x:c r="A1047" s="21" t="s">
        <x:v>4909</x:v>
      </x:c>
      <x:c r="B1047" s="20" t="s">
        <x:v>4909</x:v>
      </x:c>
      <x:c r="C1047" s="20" t="s">
        <x:v>4886</x:v>
      </x:c>
      <x:c r="D1047" s="24">
        <x:v>18</x:v>
      </x:c>
      <x:c r="E1047" s="24" t="s">
        <x:v>96</x:v>
      </x:c>
      <x:c r="F1047" s="20" t="s">
        <x:v>97</x:v>
      </x:c>
      <x:c r="G1047" s="26">
        <x:v>42188</x:v>
      </x:c>
      <x:c r="H1047" s="24" t="s">
        <x:v>4910</x:v>
      </x:c>
      <x:c r="I1047" s="28" t="s">
        <x:v>4911</x:v>
      </x:c>
      <x:c r="J1047" s="29" t="s">
        <x:v>4912</x:v>
      </x:c>
    </x:row>
    <x:row r="1048" ht="10.050000190734863" customHeight="1">
      <x:c r="A1048" s="21" t="s">
        <x:v>4913</x:v>
      </x:c>
      <x:c r="B1048" s="20" t="s">
        <x:v>4913</x:v>
      </x:c>
      <x:c r="C1048" s="20" t="s">
        <x:v>4914</x:v>
      </x:c>
      <x:c r="D1048" s="24">
        <x:v>60</x:v>
      </x:c>
      <x:c r="E1048" s="24" t="s">
        <x:v>89</x:v>
      </x:c>
      <x:c r="F1048" s="20" t="s">
        <x:v>97</x:v>
      </x:c>
      <x:c r="G1048" s="26">
        <x:v>44987</x:v>
      </x:c>
      <x:c r="H1048" s="24" t="s">
        <x:v>4915</x:v>
      </x:c>
      <x:c r="I1048" s="28" t="s">
        <x:v>4916</x:v>
      </x:c>
      <x:c r="J1048" s="29" t="s">
        <x:v>4917</x:v>
      </x:c>
    </x:row>
    <x:row r="1049" ht="10.050000190734863" customHeight="1">
      <x:c r="A1049" s="21" t="s">
        <x:v>4918</x:v>
      </x:c>
      <x:c r="B1049" s="20" t="s">
        <x:v>4918</x:v>
      </x:c>
      <x:c r="C1049" s="20" t="s">
        <x:v>4919</x:v>
      </x:c>
      <x:c r="D1049" s="24">
        <x:v>3</x:v>
      </x:c>
      <x:c r="E1049" s="24" t="s">
        <x:v>103</x:v>
      </x:c>
      <x:c r="F1049" s="20" t="s">
        <x:v>97</x:v>
      </x:c>
      <x:c r="G1049" s="26">
        <x:v>42148</x:v>
      </x:c>
      <x:c r="H1049" s="24" t="s">
        <x:v>4920</x:v>
      </x:c>
      <x:c r="I1049" s="28" t="s">
        <x:v>4921</x:v>
      </x:c>
      <x:c r="J1049" s="29" t="s">
        <x:v>4922</x:v>
      </x:c>
    </x:row>
    <x:row r="1050" ht="10.050000190734863" customHeight="1">
      <x:c r="A1050" s="21" t="s">
        <x:v>4923</x:v>
      </x:c>
      <x:c r="B1050" s="20" t="s">
        <x:v>4923</x:v>
      </x:c>
      <x:c r="C1050" s="20" t="s">
        <x:v>326</x:v>
      </x:c>
      <x:c r="D1050" s="24">
        <x:v>2</x:v>
      </x:c>
      <x:c r="E1050" s="24" t="s">
        <x:v>103</x:v>
      </x:c>
      <x:c r="F1050" s="20" t="s">
        <x:v>97</x:v>
      </x:c>
      <x:c r="G1050" s="26">
        <x:v>42003</x:v>
      </x:c>
      <x:c r="H1050" s="24" t="s">
        <x:v>4924</x:v>
      </x:c>
      <x:c r="I1050" s="28" t="s">
        <x:v>4925</x:v>
      </x:c>
      <x:c r="J1050" s="29" t="s">
        <x:v>4926</x:v>
      </x:c>
    </x:row>
    <x:row r="1051" ht="10.050000190734863" customHeight="1">
      <x:c r="A1051" s="21" t="s">
        <x:v>4927</x:v>
      </x:c>
      <x:c r="B1051" s="20" t="s">
        <x:v>4927</x:v>
      </x:c>
      <x:c r="C1051" s="20" t="s">
        <x:v>543</x:v>
      </x:c>
      <x:c r="D1051" s="24">
        <x:v>9</x:v>
      </x:c>
      <x:c r="E1051" s="24" t="s">
        <x:v>257</x:v>
      </x:c>
      <x:c r="F1051" s="20" t="s">
        <x:v>97</x:v>
      </x:c>
      <x:c r="G1051" s="26">
        <x:v>41466</x:v>
      </x:c>
      <x:c r="H1051" s="24" t="s">
        <x:v>4928</x:v>
      </x:c>
      <x:c r="I1051" s="28" t="s">
        <x:v>4929</x:v>
      </x:c>
      <x:c r="J1051" s="29" t="s">
        <x:v>4930</x:v>
      </x:c>
    </x:row>
    <x:row r="1052" ht="10.050000190734863" customHeight="1">
      <x:c r="A1052" s="21" t="s">
        <x:v>4931</x:v>
      </x:c>
      <x:c r="B1052" s="20" t="s">
        <x:v>4931</x:v>
      </x:c>
      <x:c r="C1052" s="20" t="s">
        <x:v>4932</x:v>
      </x:c>
      <x:c r="D1052" s="24">
        <x:v>16</x:v>
      </x:c>
      <x:c r="E1052" s="24" t="s">
        <x:v>103</x:v>
      </x:c>
      <x:c r="F1052" s="20" t="s">
        <x:v>97</x:v>
      </x:c>
      <x:c r="G1052" s="26">
        <x:v>42312</x:v>
      </x:c>
      <x:c r="H1052" s="24" t="s">
        <x:v>4933</x:v>
      </x:c>
      <x:c r="I1052" s="28" t="s">
        <x:v>4934</x:v>
      </x:c>
      <x:c r="J1052" s="29" t="s">
        <x:v>4935</x:v>
      </x:c>
    </x:row>
    <x:row r="1053" ht="10.050000190734863" customHeight="1">
      <x:c r="A1053" s="21" t="s">
        <x:v>4936</x:v>
      </x:c>
      <x:c r="B1053" s="20" t="s">
        <x:v>4936</x:v>
      </x:c>
      <x:c r="C1053" s="20" t="s">
        <x:v>4937</x:v>
      </x:c>
      <x:c r="D1053" s="24">
        <x:v>10</x:v>
      </x:c>
      <x:c r="E1053" s="24" t="s">
        <x:v>103</x:v>
      </x:c>
      <x:c r="F1053" s="20" t="s">
        <x:v>97</x:v>
      </x:c>
      <x:c r="G1053" s="26">
        <x:v>45250</x:v>
      </x:c>
      <x:c r="H1053" s="24" t="s">
        <x:v>4938</x:v>
      </x:c>
      <x:c r="I1053" s="28" t="s">
        <x:v>4939</x:v>
      </x:c>
      <x:c r="J1053" s="29" t="s">
        <x:v>4940</x:v>
      </x:c>
    </x:row>
    <x:row r="1054" ht="10.050000190734863" customHeight="1">
      <x:c r="A1054" s="21" t="s">
        <x:v>4941</x:v>
      </x:c>
      <x:c r="B1054" s="20" t="s">
        <x:v>4941</x:v>
      </x:c>
      <x:c r="C1054" s="20" t="s">
        <x:v>4942</x:v>
      </x:c>
      <x:c r="D1054" s="24">
        <x:v>5</x:v>
      </x:c>
      <x:c r="E1054" s="24" t="s">
        <x:v>257</x:v>
      </x:c>
      <x:c r="F1054" s="20" t="s">
        <x:v>97</x:v>
      </x:c>
      <x:c r="G1054" s="26">
        <x:v>42219</x:v>
      </x:c>
      <x:c r="H1054" s="24" t="s">
        <x:v>4943</x:v>
      </x:c>
      <x:c r="I1054" s="28" t="s">
        <x:v>4944</x:v>
      </x:c>
      <x:c r="J1054" s="29" t="s">
        <x:v>4945</x:v>
      </x:c>
    </x:row>
    <x:row r="1055" ht="10.050000190734863" customHeight="1">
      <x:c r="A1055" s="21" t="s">
        <x:v>4946</x:v>
      </x:c>
      <x:c r="B1055" s="20" t="s">
        <x:v>4946</x:v>
      </x:c>
      <x:c r="C1055" s="20" t="s">
        <x:v>4947</x:v>
      </x:c>
      <x:c r="D1055" s="24">
        <x:v>88</x:v>
      </x:c>
      <x:c r="E1055" s="24" t="s">
        <x:v>89</x:v>
      </x:c>
      <x:c r="F1055" s="20" t="s">
        <x:v>97</x:v>
      </x:c>
      <x:c r="G1055" s="26">
        <x:v>42433</x:v>
      </x:c>
      <x:c r="H1055" s="24" t="s">
        <x:v>4948</x:v>
      </x:c>
      <x:c r="I1055" s="28" t="s">
        <x:v>4949</x:v>
      </x:c>
      <x:c r="J1055" s="29" t="s">
        <x:v>4950</x:v>
      </x:c>
    </x:row>
    <x:row r="1056" ht="10.050000190734863" customHeight="1">
      <x:c r="A1056" s="21" t="s">
        <x:v>4951</x:v>
      </x:c>
      <x:c r="B1056" s="20" t="s">
        <x:v>4951</x:v>
      </x:c>
      <x:c r="C1056" s="20" t="s">
        <x:v>4952</x:v>
      </x:c>
      <x:c r="D1056" s="24">
        <x:v>85</x:v>
      </x:c>
      <x:c r="E1056" s="24" t="s">
        <x:v>96</x:v>
      </x:c>
      <x:c r="F1056" s="20" t="s">
        <x:v>97</x:v>
      </x:c>
      <x:c r="G1056" s="26">
        <x:v>41445</x:v>
      </x:c>
      <x:c r="H1056" s="24" t="s">
        <x:v>4953</x:v>
      </x:c>
      <x:c r="I1056" s="28" t="s">
        <x:v>4954</x:v>
      </x:c>
      <x:c r="J1056" s="29" t="s">
        <x:v>4955</x:v>
      </x:c>
    </x:row>
    <x:row r="1057" ht="10.050000190734863" customHeight="1">
      <x:c r="A1057" s="21" t="s">
        <x:v>4956</x:v>
      </x:c>
      <x:c r="B1057" s="20" t="s">
        <x:v>4956</x:v>
      </x:c>
      <x:c r="C1057" s="20" t="s">
        <x:v>4957</x:v>
      </x:c>
      <x:c r="D1057" s="24">
        <x:v>8</x:v>
      </x:c>
      <x:c r="E1057" s="24" t="s">
        <x:v>257</x:v>
      </x:c>
      <x:c r="F1057" s="20" t="s">
        <x:v>97</x:v>
      </x:c>
      <x:c r="G1057" s="26">
        <x:v>42044</x:v>
      </x:c>
      <x:c r="H1057" s="24" t="s">
        <x:v>4958</x:v>
      </x:c>
      <x:c r="I1057" s="28" t="s">
        <x:v>4959</x:v>
      </x:c>
      <x:c r="J1057" s="29" t="s">
        <x:v>4960</x:v>
      </x:c>
    </x:row>
    <x:row r="1058" ht="10.050000190734863" customHeight="1">
      <x:c r="A1058" s="21" t="s">
        <x:v>4961</x:v>
      </x:c>
      <x:c r="B1058" s="20" t="s">
        <x:v>4961</x:v>
      </x:c>
      <x:c r="C1058" s="20" t="s">
        <x:v>4594</x:v>
      </x:c>
      <x:c r="D1058" s="24">
        <x:v>5</x:v>
      </x:c>
      <x:c r="E1058" s="24" t="s">
        <x:v>103</x:v>
      </x:c>
      <x:c r="F1058" s="20" t="s">
        <x:v>97</x:v>
      </x:c>
      <x:c r="G1058" s="26">
        <x:v>42329</x:v>
      </x:c>
      <x:c r="H1058" s="24" t="s">
        <x:v>4962</x:v>
      </x:c>
      <x:c r="I1058" s="28" t="s">
        <x:v>4963</x:v>
      </x:c>
      <x:c r="J1058" s="29" t="s">
        <x:v>4964</x:v>
      </x:c>
    </x:row>
    <x:row r="1059" ht="10.050000190734863" customHeight="1">
      <x:c r="A1059" s="21" t="s">
        <x:v>4965</x:v>
      </x:c>
      <x:c r="B1059" s="20" t="s">
        <x:v>4965</x:v>
      </x:c>
      <x:c r="C1059" s="20" t="s">
        <x:v>4966</x:v>
      </x:c>
      <x:c r="D1059" s="24">
        <x:v>15</x:v>
      </x:c>
      <x:c r="E1059" s="24" t="s">
        <x:v>96</x:v>
      </x:c>
      <x:c r="F1059" s="20" t="s">
        <x:v>97</x:v>
      </x:c>
      <x:c r="G1059" s="26">
        <x:v>41554</x:v>
      </x:c>
      <x:c r="H1059" s="24" t="s">
        <x:v>4967</x:v>
      </x:c>
      <x:c r="I1059" s="28" t="s">
        <x:v>4968</x:v>
      </x:c>
      <x:c r="J1059" s="29" t="s">
        <x:v>4969</x:v>
      </x:c>
    </x:row>
    <x:row r="1060" ht="10.050000190734863" customHeight="1">
      <x:c r="A1060" s="21" t="s">
        <x:v>4970</x:v>
      </x:c>
      <x:c r="B1060" s="20" t="s">
        <x:v>4970</x:v>
      </x:c>
      <x:c r="C1060" s="20" t="s">
        <x:v>2437</x:v>
      </x:c>
      <x:c r="D1060" s="24">
        <x:v>105</x:v>
      </x:c>
      <x:c r="E1060" s="24" t="s">
        <x:v>103</x:v>
      </x:c>
      <x:c r="F1060" s="20" t="s">
        <x:v>97</x:v>
      </x:c>
      <x:c r="G1060" s="26">
        <x:v>42545</x:v>
      </x:c>
      <x:c r="H1060" s="24" t="s">
        <x:v>4971</x:v>
      </x:c>
      <x:c r="I1060" s="28" t="s">
        <x:v>4972</x:v>
      </x:c>
      <x:c r="J1060" s="29" t="s">
        <x:v>4973</x:v>
      </x:c>
    </x:row>
    <x:row r="1061" ht="10.050000190734863" customHeight="1">
      <x:c r="A1061" s="21" t="s">
        <x:v>4974</x:v>
      </x:c>
      <x:c r="B1061" s="20" t="s">
        <x:v>4974</x:v>
      </x:c>
      <x:c r="C1061" s="20" t="s">
        <x:v>2437</x:v>
      </x:c>
      <x:c r="D1061" s="24">
        <x:v>15</x:v>
      </x:c>
      <x:c r="E1061" s="24" t="s">
        <x:v>89</x:v>
      </x:c>
      <x:c r="F1061" s="20" t="s">
        <x:v>97</x:v>
      </x:c>
      <x:c r="G1061" s="26">
        <x:v>43046</x:v>
      </x:c>
      <x:c r="H1061" s="24" t="s">
        <x:v>4975</x:v>
      </x:c>
      <x:c r="I1061" s="28" t="s">
        <x:v>4976</x:v>
      </x:c>
      <x:c r="J1061" s="29" t="s">
        <x:v>4977</x:v>
      </x:c>
    </x:row>
    <x:row r="1062" ht="10.050000190734863" customHeight="1">
      <x:c r="A1062" s="21" t="s">
        <x:v>4978</x:v>
      </x:c>
      <x:c r="B1062" s="20" t="s">
        <x:v>4978</x:v>
      </x:c>
      <x:c r="C1062" s="20" t="s">
        <x:v>1821</x:v>
      </x:c>
      <x:c r="D1062" s="24">
        <x:v>4</x:v>
      </x:c>
      <x:c r="E1062" s="24" t="s">
        <x:v>198</x:v>
      </x:c>
      <x:c r="F1062" s="20" t="s">
        <x:v>610</x:v>
      </x:c>
      <x:c r="G1062" s="26">
        <x:v>42190</x:v>
      </x:c>
      <x:c r="H1062" s="24" t="s">
        <x:v>4979</x:v>
      </x:c>
      <x:c r="I1062" s="28" t="s">
        <x:v>4980</x:v>
      </x:c>
      <x:c r="J1062" s="29" t="s">
        <x:v>4981</x:v>
      </x:c>
    </x:row>
    <x:row r="1063" ht="10.050000190734863" customHeight="1">
      <x:c r="A1063" s="21" t="s">
        <x:v>4982</x:v>
      </x:c>
      <x:c r="B1063" s="20" t="s">
        <x:v>4982</x:v>
      </x:c>
      <x:c r="C1063" s="20" t="s">
        <x:v>4665</x:v>
      </x:c>
      <x:c r="D1063" s="24">
        <x:v>11</x:v>
      </x:c>
      <x:c r="E1063" s="24" t="s">
        <x:v>96</x:v>
      </x:c>
      <x:c r="F1063" s="20" t="s">
        <x:v>97</x:v>
      </x:c>
      <x:c r="G1063" s="26">
        <x:v>43002</x:v>
      </x:c>
      <x:c r="H1063" s="24" t="s">
        <x:v>4983</x:v>
      </x:c>
      <x:c r="I1063" s="28" t="s">
        <x:v>4984</x:v>
      </x:c>
      <x:c r="J1063" s="29" t="s">
        <x:v>4985</x:v>
      </x:c>
    </x:row>
    <x:row r="1064" ht="10.050000190734863" customHeight="1">
      <x:c r="A1064" s="21" t="s">
        <x:v>4986</x:v>
      </x:c>
      <x:c r="B1064" s="20" t="s">
        <x:v>4986</x:v>
      </x:c>
      <x:c r="C1064" s="20" t="s">
        <x:v>4987</x:v>
      </x:c>
      <x:c r="D1064" s="24">
        <x:v>13</x:v>
      </x:c>
      <x:c r="E1064" s="24" t="s">
        <x:v>103</x:v>
      </x:c>
      <x:c r="F1064" s="20" t="s">
        <x:v>97</x:v>
      </x:c>
      <x:c r="G1064" s="26">
        <x:v>42270</x:v>
      </x:c>
      <x:c r="H1064" s="24" t="s">
        <x:v>4988</x:v>
      </x:c>
      <x:c r="I1064" s="28" t="s">
        <x:v>4989</x:v>
      </x:c>
      <x:c r="J1064" s="29" t="s">
        <x:v>4990</x:v>
      </x:c>
    </x:row>
    <x:row r="1065" ht="10.050000190734863" customHeight="1">
      <x:c r="A1065" s="21" t="s">
        <x:v>4991</x:v>
      </x:c>
      <x:c r="B1065" s="20" t="s">
        <x:v>4991</x:v>
      </x:c>
      <x:c r="C1065" s="20" t="s">
        <x:v>4992</x:v>
      </x:c>
      <x:c r="D1065" s="24">
        <x:v>1</x:v>
      </x:c>
      <x:c r="E1065" s="24" t="s">
        <x:v>198</x:v>
      </x:c>
      <x:c r="F1065" s="20" t="s">
        <x:v>90</x:v>
      </x:c>
      <x:c r="G1065" s="26">
        <x:v>44378</x:v>
      </x:c>
      <x:c r="H1065" s="24" t="s">
        <x:v>4993</x:v>
      </x:c>
      <x:c r="I1065" s="28" t="s">
        <x:v>4994</x:v>
      </x:c>
      <x:c r="J1065" s="29" t="s">
        <x:v>4995</x:v>
      </x:c>
    </x:row>
    <x:row r="1066" ht="10.050000190734863" customHeight="1">
      <x:c r="A1066" s="21" t="s">
        <x:v>4996</x:v>
      </x:c>
      <x:c r="B1066" s="20" t="s">
        <x:v>4996</x:v>
      </x:c>
      <x:c r="C1066" s="20" t="s">
        <x:v>4992</x:v>
      </x:c>
      <x:c r="D1066" s="24">
        <x:v>1</x:v>
      </x:c>
      <x:c r="E1066" s="24" t="s">
        <x:v>114</x:v>
      </x:c>
      <x:c r="F1066" s="20" t="s">
        <x:v>90</x:v>
      </x:c>
      <x:c r="G1066" s="26">
        <x:v>44384</x:v>
      </x:c>
      <x:c r="H1066" s="24" t="s">
        <x:v>4997</x:v>
      </x:c>
      <x:c r="I1066" s="28" t="s">
        <x:v>4998</x:v>
      </x:c>
      <x:c r="J1066" s="29" t="s">
        <x:v>4999</x:v>
      </x:c>
    </x:row>
    <x:row r="1067" ht="10.050000190734863" customHeight="1">
      <x:c r="A1067" s="21" t="s">
        <x:v>5000</x:v>
      </x:c>
      <x:c r="B1067" s="20" t="s">
        <x:v>5000</x:v>
      </x:c>
      <x:c r="C1067" s="20" t="s">
        <x:v>5001</x:v>
      </x:c>
      <x:c r="D1067" s="24">
        <x:v>20</x:v>
      </x:c>
      <x:c r="E1067" s="24" t="s">
        <x:v>103</x:v>
      </x:c>
      <x:c r="F1067" s="20" t="s">
        <x:v>97</x:v>
      </x:c>
      <x:c r="G1067" s="26">
        <x:v>42312</x:v>
      </x:c>
      <x:c r="H1067" s="24" t="s">
        <x:v>5002</x:v>
      </x:c>
      <x:c r="I1067" s="28" t="s">
        <x:v>5003</x:v>
      </x:c>
      <x:c r="J1067" s="29" t="s">
        <x:v>5004</x:v>
      </x:c>
    </x:row>
    <x:row r="1068" ht="10.050000190734863" customHeight="1">
      <x:c r="A1068" s="21" t="s">
        <x:v>5005</x:v>
      </x:c>
      <x:c r="B1068" s="20" t="s">
        <x:v>5005</x:v>
      </x:c>
      <x:c r="C1068" s="20" t="s">
        <x:v>5006</x:v>
      </x:c>
      <x:c r="D1068" s="24">
        <x:v>6</x:v>
      </x:c>
      <x:c r="E1068" s="24" t="s">
        <x:v>257</x:v>
      </x:c>
      <x:c r="F1068" s="20" t="s">
        <x:v>97</x:v>
      </x:c>
      <x:c r="G1068" s="26">
        <x:v>42229</x:v>
      </x:c>
      <x:c r="H1068" s="24" t="s">
        <x:v>5007</x:v>
      </x:c>
      <x:c r="I1068" s="28" t="s">
        <x:v>5008</x:v>
      </x:c>
      <x:c r="J1068" s="29" t="s">
        <x:v>5009</x:v>
      </x:c>
    </x:row>
    <x:row r="1069" ht="10.050000190734863" customHeight="1">
      <x:c r="A1069" s="21" t="s">
        <x:v>5010</x:v>
      </x:c>
      <x:c r="B1069" s="20" t="s">
        <x:v>5010</x:v>
      </x:c>
      <x:c r="C1069" s="20" t="s">
        <x:v>5011</x:v>
      </x:c>
      <x:c r="D1069" s="24">
        <x:v>19</x:v>
      </x:c>
      <x:c r="E1069" s="24" t="s">
        <x:v>103</x:v>
      </x:c>
      <x:c r="F1069" s="20" t="s">
        <x:v>97</x:v>
      </x:c>
      <x:c r="G1069" s="26">
        <x:v>43731</x:v>
      </x:c>
      <x:c r="H1069" s="24" t="s">
        <x:v>5012</x:v>
      </x:c>
      <x:c r="I1069" s="28" t="s">
        <x:v>5013</x:v>
      </x:c>
      <x:c r="J1069" s="29" t="s">
        <x:v>5014</x:v>
      </x:c>
    </x:row>
    <x:row r="1070" ht="10.050000190734863" customHeight="1">
      <x:c r="A1070" s="21" t="s">
        <x:v>5015</x:v>
      </x:c>
      <x:c r="B1070" s="20" t="s">
        <x:v>5015</x:v>
      </x:c>
      <x:c r="C1070" s="20" t="s">
        <x:v>5016</x:v>
      </x:c>
      <x:c r="D1070" s="24">
        <x:v>74</x:v>
      </x:c>
      <x:c r="E1070" s="24" t="s">
        <x:v>96</x:v>
      </x:c>
      <x:c r="F1070" s="20" t="s">
        <x:v>97</x:v>
      </x:c>
      <x:c r="G1070" s="26">
        <x:v>42239</x:v>
      </x:c>
      <x:c r="H1070" s="24" t="s">
        <x:v>5017</x:v>
      </x:c>
      <x:c r="I1070" s="28" t="s">
        <x:v>5018</x:v>
      </x:c>
      <x:c r="J1070" s="29" t="s">
        <x:v>5019</x:v>
      </x:c>
    </x:row>
    <x:row r="1071" ht="10.050000190734863" customHeight="1">
      <x:c r="A1071" s="21" t="s">
        <x:v>5020</x:v>
      </x:c>
      <x:c r="B1071" s="20" t="s">
        <x:v>5020</x:v>
      </x:c>
      <x:c r="C1071" s="20" t="s">
        <x:v>1821</x:v>
      </x:c>
      <x:c r="D1071" s="24">
        <x:v>15</x:v>
      </x:c>
      <x:c r="E1071" s="24" t="s">
        <x:v>89</x:v>
      </x:c>
      <x:c r="F1071" s="20" t="s">
        <x:v>610</x:v>
      </x:c>
      <x:c r="G1071" s="26">
        <x:v>45742</x:v>
      </x:c>
      <x:c r="H1071" s="24" t="s">
        <x:v>5021</x:v>
      </x:c>
      <x:c r="I1071" s="28" t="s">
        <x:v>5022</x:v>
      </x:c>
      <x:c r="J1071" s="29" t="s">
        <x:v>5023</x:v>
      </x:c>
    </x:row>
    <x:row r="1072" ht="10.050000190734863" customHeight="1">
      <x:c r="A1072" s="21" t="s">
        <x:v>5024</x:v>
      </x:c>
      <x:c r="B1072" s="20" t="s">
        <x:v>5024</x:v>
      </x:c>
      <x:c r="C1072" s="20" t="s">
        <x:v>5025</x:v>
      </x:c>
      <x:c r="D1072" s="24">
        <x:v>1</x:v>
      </x:c>
      <x:c r="E1072" s="24" t="s">
        <x:v>96</x:v>
      </x:c>
      <x:c r="F1072" s="20" t="s">
        <x:v>97</x:v>
      </x:c>
      <x:c r="G1072" s="26">
        <x:v>42155</x:v>
      </x:c>
      <x:c r="H1072" s="24" t="s">
        <x:v>5026</x:v>
      </x:c>
      <x:c r="I1072" s="28" t="s">
        <x:v>5027</x:v>
      </x:c>
      <x:c r="J1072" s="29" t="s">
        <x:v>5028</x:v>
      </x:c>
    </x:row>
    <x:row r="1073" ht="10.050000190734863" customHeight="1">
      <x:c r="A1073" s="21" t="s">
        <x:v>5029</x:v>
      </x:c>
      <x:c r="B1073" s="20" t="s">
        <x:v>5029</x:v>
      </x:c>
      <x:c r="C1073" s="20" t="s">
        <x:v>4374</x:v>
      </x:c>
      <x:c r="D1073" s="24">
        <x:v>87</x:v>
      </x:c>
      <x:c r="E1073" s="24" t="s">
        <x:v>103</x:v>
      </x:c>
      <x:c r="F1073" s="20" t="s">
        <x:v>97</x:v>
      </x:c>
      <x:c r="G1073" s="26">
        <x:v>42003</x:v>
      </x:c>
      <x:c r="H1073" s="24" t="s">
        <x:v>5030</x:v>
      </x:c>
      <x:c r="I1073" s="28" t="s">
        <x:v>5031</x:v>
      </x:c>
      <x:c r="J1073" s="29" t="s">
        <x:v>5032</x:v>
      </x:c>
    </x:row>
    <x:row r="1074" ht="10.050000190734863" customHeight="1">
      <x:c r="A1074" s="21" t="s">
        <x:v>5033</x:v>
      </x:c>
      <x:c r="B1074" s="20" t="s">
        <x:v>5034</x:v>
      </x:c>
      <x:c r="C1074" s="20" t="s">
        <x:v>1802</x:v>
      </x:c>
      <x:c r="D1074" s="24">
        <x:v>21</x:v>
      </x:c>
      <x:c r="E1074" s="24" t="s">
        <x:v>103</x:v>
      </x:c>
      <x:c r="F1074" s="20" t="s">
        <x:v>97</x:v>
      </x:c>
      <x:c r="G1074" s="26">
        <x:v>42286</x:v>
      </x:c>
      <x:c r="H1074" s="24" t="s">
        <x:v>5035</x:v>
      </x:c>
      <x:c r="I1074" s="28" t="s">
        <x:v>5036</x:v>
      </x:c>
      <x:c r="J1074" s="29" t="s">
        <x:v>5037</x:v>
      </x:c>
    </x:row>
    <x:row r="1075" ht="10.050000190734863" customHeight="1">
      <x:c r="A1075" s="21" t="s">
        <x:v>5038</x:v>
      </x:c>
      <x:c r="B1075" s="20" t="s">
        <x:v>5034</x:v>
      </x:c>
      <x:c r="C1075" s="20" t="s">
        <x:v>4665</x:v>
      </x:c>
      <x:c r="D1075" s="24">
        <x:v>17</x:v>
      </x:c>
      <x:c r="E1075" s="24" t="s">
        <x:v>89</x:v>
      </x:c>
      <x:c r="F1075" s="20" t="s">
        <x:v>97</x:v>
      </x:c>
      <x:c r="G1075" s="26">
        <x:v>45397</x:v>
      </x:c>
      <x:c r="H1075" s="24" t="s">
        <x:v>5039</x:v>
      </x:c>
      <x:c r="I1075" s="28" t="s">
        <x:v>5040</x:v>
      </x:c>
      <x:c r="J1075" s="29" t="s">
        <x:v>5041</x:v>
      </x:c>
    </x:row>
    <x:row r="1076" ht="10.050000190734863" customHeight="1">
      <x:c r="A1076" s="21" t="s">
        <x:v>5042</x:v>
      </x:c>
      <x:c r="B1076" s="20" t="s">
        <x:v>5042</x:v>
      </x:c>
      <x:c r="C1076" s="20" t="s">
        <x:v>5043</x:v>
      </x:c>
      <x:c r="D1076" s="24">
        <x:v>5</x:v>
      </x:c>
      <x:c r="E1076" s="24" t="s">
        <x:v>96</x:v>
      </x:c>
      <x:c r="F1076" s="20" t="s">
        <x:v>610</x:v>
      </x:c>
      <x:c r="G1076" s="26">
        <x:v>45347</x:v>
      </x:c>
      <x:c r="H1076" s="24" t="s">
        <x:v>5044</x:v>
      </x:c>
      <x:c r="I1076" s="28" t="s">
        <x:v>5045</x:v>
      </x:c>
      <x:c r="J1076" s="29" t="s">
        <x:v>5046</x:v>
      </x:c>
    </x:row>
    <x:row r="1077" ht="10.050000190734863" customHeight="1">
      <x:c r="A1077" s="21" t="s">
        <x:v>5047</x:v>
      </x:c>
      <x:c r="B1077" s="20" t="s">
        <x:v>5047</x:v>
      </x:c>
      <x:c r="C1077" s="20" t="s">
        <x:v>5048</x:v>
      </x:c>
      <x:c r="D1077" s="24">
        <x:v>7</x:v>
      </x:c>
      <x:c r="E1077" s="24" t="s">
        <x:v>103</x:v>
      </x:c>
      <x:c r="F1077" s="20" t="s">
        <x:v>97</x:v>
      </x:c>
      <x:c r="G1077" s="26">
        <x:v>41491</x:v>
      </x:c>
      <x:c r="H1077" s="24" t="s">
        <x:v>5049</x:v>
      </x:c>
      <x:c r="I1077" s="28" t="s">
        <x:v>5050</x:v>
      </x:c>
      <x:c r="J1077" s="29" t="s">
        <x:v>5051</x:v>
      </x:c>
    </x:row>
    <x:row r="1078" ht="10.050000190734863" customHeight="1">
      <x:c r="A1078" s="21" t="s">
        <x:v>5052</x:v>
      </x:c>
      <x:c r="B1078" s="20" t="s">
        <x:v>5052</x:v>
      </x:c>
      <x:c r="C1078" s="20" t="s">
        <x:v>5053</x:v>
      </x:c>
      <x:c r="D1078" s="24">
        <x:v>8</x:v>
      </x:c>
      <x:c r="E1078" s="24" t="s">
        <x:v>103</x:v>
      </x:c>
      <x:c r="F1078" s="20" t="s">
        <x:v>97</x:v>
      </x:c>
      <x:c r="G1078" s="26">
        <x:v>42550</x:v>
      </x:c>
      <x:c r="H1078" s="24" t="s">
        <x:v>5054</x:v>
      </x:c>
      <x:c r="I1078" s="28" t="s">
        <x:v>5055</x:v>
      </x:c>
      <x:c r="J1078" s="29" t="s">
        <x:v>5056</x:v>
      </x:c>
    </x:row>
    <x:row r="1079" ht="10.050000190734863" customHeight="1">
      <x:c r="A1079" s="21" t="s">
        <x:v>5057</x:v>
      </x:c>
      <x:c r="B1079" s="20" t="s">
        <x:v>5057</x:v>
      </x:c>
      <x:c r="C1079" s="20" t="s">
        <x:v>742</x:v>
      </x:c>
      <x:c r="D1079" s="24">
        <x:v>8</x:v>
      </x:c>
      <x:c r="E1079" s="24" t="s">
        <x:v>89</x:v>
      </x:c>
      <x:c r="F1079" s="20" t="s">
        <x:v>97</x:v>
      </x:c>
      <x:c r="G1079" s="26">
        <x:v>42315</x:v>
      </x:c>
      <x:c r="H1079" s="24" t="s">
        <x:v>5058</x:v>
      </x:c>
      <x:c r="I1079" s="28" t="s">
        <x:v>5059</x:v>
      </x:c>
      <x:c r="J1079" s="29" t="s">
        <x:v>5060</x:v>
      </x:c>
    </x:row>
    <x:row r="1080" ht="10.050000190734863" customHeight="1">
      <x:c r="A1080" s="21" t="s">
        <x:v>5061</x:v>
      </x:c>
      <x:c r="B1080" s="20" t="s">
        <x:v>5061</x:v>
      </x:c>
      <x:c r="C1080" s="20" t="s">
        <x:v>865</x:v>
      </x:c>
      <x:c r="D1080" s="24">
        <x:v>40</x:v>
      </x:c>
      <x:c r="E1080" s="24" t="s">
        <x:v>103</x:v>
      </x:c>
      <x:c r="F1080" s="20" t="s">
        <x:v>97</x:v>
      </x:c>
      <x:c r="G1080" s="26">
        <x:v>44793</x:v>
      </x:c>
      <x:c r="H1080" s="24" t="s">
        <x:v>5062</x:v>
      </x:c>
      <x:c r="I1080" s="28" t="s">
        <x:v>5063</x:v>
      </x:c>
      <x:c r="J1080" s="29" t="s">
        <x:v>5064</x:v>
      </x:c>
    </x:row>
    <x:row r="1081" ht="10.050000190734863" customHeight="1">
      <x:c r="A1081" s="21" t="s">
        <x:v>5065</x:v>
      </x:c>
      <x:c r="B1081" s="20" t="s">
        <x:v>5065</x:v>
      </x:c>
      <x:c r="C1081" s="20" t="s">
        <x:v>865</x:v>
      </x:c>
      <x:c r="D1081" s="24">
        <x:v>21</x:v>
      </x:c>
      <x:c r="E1081" s="24" t="s">
        <x:v>103</x:v>
      </x:c>
      <x:c r="F1081" s="20" t="s">
        <x:v>97</x:v>
      </x:c>
      <x:c r="G1081" s="26">
        <x:v>44574</x:v>
      </x:c>
      <x:c r="H1081" s="24" t="s">
        <x:v>5066</x:v>
      </x:c>
      <x:c r="I1081" s="28" t="s">
        <x:v>5067</x:v>
      </x:c>
      <x:c r="J1081" s="29" t="s">
        <x:v>5068</x:v>
      </x:c>
    </x:row>
    <x:row r="1082" ht="10.050000190734863" customHeight="1">
      <x:c r="A1082" s="21" t="s">
        <x:v>5069</x:v>
      </x:c>
      <x:c r="B1082" s="20" t="s">
        <x:v>5069</x:v>
      </x:c>
      <x:c r="C1082" s="20" t="s">
        <x:v>865</x:v>
      </x:c>
      <x:c r="D1082" s="24">
        <x:v>7</x:v>
      </x:c>
      <x:c r="E1082" s="24" t="s">
        <x:v>103</x:v>
      </x:c>
      <x:c r="F1082" s="20" t="s">
        <x:v>97</x:v>
      </x:c>
      <x:c r="G1082" s="26">
        <x:v>44407</x:v>
      </x:c>
      <x:c r="H1082" s="24" t="s">
        <x:v>5070</x:v>
      </x:c>
      <x:c r="I1082" s="28" t="s">
        <x:v>5071</x:v>
      </x:c>
      <x:c r="J1082" s="29" t="s">
        <x:v>5072</x:v>
      </x:c>
    </x:row>
    <x:row r="1083" ht="10.050000190734863" customHeight="1">
      <x:c r="A1083" s="21" t="s">
        <x:v>5073</x:v>
      </x:c>
      <x:c r="B1083" s="20" t="s">
        <x:v>5073</x:v>
      </x:c>
      <x:c r="C1083" s="20" t="s">
        <x:v>865</x:v>
      </x:c>
      <x:c r="D1083" s="24">
        <x:v>6</x:v>
      </x:c>
      <x:c r="E1083" s="24" t="s">
        <x:v>257</x:v>
      </x:c>
      <x:c r="F1083" s="20" t="s">
        <x:v>97</x:v>
      </x:c>
      <x:c r="G1083" s="26">
        <x:v>44434</x:v>
      </x:c>
      <x:c r="H1083" s="24" t="s">
        <x:v>5074</x:v>
      </x:c>
      <x:c r="I1083" s="28" t="s">
        <x:v>5075</x:v>
      </x:c>
      <x:c r="J1083" s="29" t="s">
        <x:v>5076</x:v>
      </x:c>
    </x:row>
    <x:row r="1084" ht="10.050000190734863" customHeight="1">
      <x:c r="A1084" s="21" t="s">
        <x:v>5077</x:v>
      </x:c>
      <x:c r="B1084" s="20" t="s">
        <x:v>5077</x:v>
      </x:c>
      <x:c r="C1084" s="20" t="s">
        <x:v>5078</x:v>
      </x:c>
      <x:c r="D1084" s="24">
        <x:v>5</x:v>
      </x:c>
      <x:c r="E1084" s="24" t="s">
        <x:v>257</x:v>
      </x:c>
      <x:c r="F1084" s="20" t="s">
        <x:v>97</x:v>
      </x:c>
      <x:c r="G1084" s="26">
        <x:v>42255</x:v>
      </x:c>
      <x:c r="H1084" s="24" t="s">
        <x:v>5079</x:v>
      </x:c>
      <x:c r="I1084" s="28" t="s">
        <x:v>5080</x:v>
      </x:c>
      <x:c r="J1084" s="29" t="s">
        <x:v>5081</x:v>
      </x:c>
    </x:row>
    <x:row r="1085" ht="10.050000190734863" customHeight="1">
      <x:c r="A1085" s="21" t="s">
        <x:v>5082</x:v>
      </x:c>
      <x:c r="B1085" s="20" t="s">
        <x:v>5082</x:v>
      </x:c>
      <x:c r="C1085" s="20" t="s">
        <x:v>4192</x:v>
      </x:c>
      <x:c r="D1085" s="24">
        <x:v>17</x:v>
      </x:c>
      <x:c r="E1085" s="24" t="s">
        <x:v>96</x:v>
      </x:c>
      <x:c r="F1085" s="20" t="s">
        <x:v>97</x:v>
      </x:c>
      <x:c r="G1085" s="26">
        <x:v>41572</x:v>
      </x:c>
      <x:c r="H1085" s="24" t="s">
        <x:v>5083</x:v>
      </x:c>
      <x:c r="I1085" s="28" t="s">
        <x:v>5084</x:v>
      </x:c>
      <x:c r="J1085" s="29" t="s">
        <x:v>5085</x:v>
      </x:c>
    </x:row>
    <x:row r="1086" ht="10.050000190734863" customHeight="1">
      <x:c r="A1086" s="21" t="s">
        <x:v>5086</x:v>
      </x:c>
      <x:c r="B1086" s="20" t="s">
        <x:v>5086</x:v>
      </x:c>
      <x:c r="C1086" s="20" t="s">
        <x:v>5087</x:v>
      </x:c>
      <x:c r="D1086" s="24">
        <x:v>34</x:v>
      </x:c>
      <x:c r="E1086" s="24" t="s">
        <x:v>103</x:v>
      </x:c>
      <x:c r="F1086" s="20" t="s">
        <x:v>97</x:v>
      </x:c>
      <x:c r="G1086" s="26">
        <x:v>41814</x:v>
      </x:c>
      <x:c r="H1086" s="24" t="s">
        <x:v>5088</x:v>
      </x:c>
      <x:c r="I1086" s="28" t="s">
        <x:v>5089</x:v>
      </x:c>
      <x:c r="J1086" s="29" t="s">
        <x:v>5090</x:v>
      </x:c>
    </x:row>
    <x:row r="1087" ht="10.050000190734863" customHeight="1">
      <x:c r="A1087" s="21" t="s">
        <x:v>5091</x:v>
      </x:c>
      <x:c r="B1087" s="20" t="s">
        <x:v>5091</x:v>
      </x:c>
      <x:c r="C1087" s="20" t="s">
        <x:v>5092</x:v>
      </x:c>
      <x:c r="D1087" s="24">
        <x:v>51</x:v>
      </x:c>
      <x:c r="E1087" s="24" t="s">
        <x:v>103</x:v>
      </x:c>
      <x:c r="F1087" s="20" t="s">
        <x:v>2469</x:v>
      </x:c>
      <x:c r="G1087" s="26">
        <x:v>41589</x:v>
      </x:c>
      <x:c r="H1087" s="24" t="s">
        <x:v>5093</x:v>
      </x:c>
      <x:c r="I1087" s="28" t="s">
        <x:v>5094</x:v>
      </x:c>
      <x:c r="J1087" s="29" t="s">
        <x:v>5095</x:v>
      </x:c>
    </x:row>
    <x:row r="1088" ht="10.050000190734863" customHeight="1">
      <x:c r="A1088" s="21" t="s">
        <x:v>5096</x:v>
      </x:c>
      <x:c r="B1088" s="20" t="s">
        <x:v>5096</x:v>
      </x:c>
      <x:c r="C1088" s="20" t="s">
        <x:v>5092</x:v>
      </x:c>
      <x:c r="D1088" s="24">
        <x:v>37</x:v>
      </x:c>
      <x:c r="E1088" s="24" t="s">
        <x:v>103</x:v>
      </x:c>
      <x:c r="F1088" s="20" t="s">
        <x:v>2469</x:v>
      </x:c>
      <x:c r="G1088" s="26">
        <x:v>42925</x:v>
      </x:c>
      <x:c r="H1088" s="24" t="s">
        <x:v>5097</x:v>
      </x:c>
      <x:c r="I1088" s="28" t="s">
        <x:v>5098</x:v>
      </x:c>
      <x:c r="J1088" s="29" t="s">
        <x:v>5099</x:v>
      </x:c>
    </x:row>
    <x:row r="1089" ht="10.050000190734863" customHeight="1">
      <x:c r="A1089" s="21" t="s">
        <x:v>5100</x:v>
      </x:c>
      <x:c r="B1089" s="20" t="s">
        <x:v>5100</x:v>
      </x:c>
      <x:c r="C1089" s="20" t="s">
        <x:v>4665</x:v>
      </x:c>
      <x:c r="D1089" s="24">
        <x:v>20</x:v>
      </x:c>
      <x:c r="E1089" s="24" t="s">
        <x:v>96</x:v>
      </x:c>
      <x:c r="F1089" s="20" t="s">
        <x:v>97</x:v>
      </x:c>
      <x:c r="G1089" s="26">
        <x:v>42658</x:v>
      </x:c>
      <x:c r="H1089" s="24" t="s">
        <x:v>5101</x:v>
      </x:c>
      <x:c r="I1089" s="28" t="s">
        <x:v>5102</x:v>
      </x:c>
      <x:c r="J1089" s="29" t="s">
        <x:v>5103</x:v>
      </x:c>
    </x:row>
    <x:row r="1090" ht="10.050000190734863" customHeight="1">
      <x:c r="A1090" s="21" t="s">
        <x:v>5104</x:v>
      </x:c>
      <x:c r="B1090" s="20" t="s">
        <x:v>5104</x:v>
      </x:c>
      <x:c r="C1090" s="20" t="s">
        <x:v>5105</x:v>
      </x:c>
      <x:c r="D1090" s="24">
        <x:v>7</x:v>
      </x:c>
      <x:c r="E1090" s="24" t="s">
        <x:v>103</x:v>
      </x:c>
      <x:c r="F1090" s="20" t="s">
        <x:v>97</x:v>
      </x:c>
      <x:c r="G1090" s="26">
        <x:v>41543</x:v>
      </x:c>
      <x:c r="H1090" s="24" t="s">
        <x:v>5106</x:v>
      </x:c>
      <x:c r="I1090" s="28" t="s">
        <x:v>5107</x:v>
      </x:c>
      <x:c r="J1090" s="29" t="s">
        <x:v>5108</x:v>
      </x:c>
    </x:row>
    <x:row r="1091" ht="10.050000190734863" customHeight="1">
      <x:c r="A1091" s="21" t="s">
        <x:v>5109</x:v>
      </x:c>
      <x:c r="B1091" s="20" t="s">
        <x:v>5109</x:v>
      </x:c>
      <x:c r="C1091" s="20" t="s">
        <x:v>5110</x:v>
      </x:c>
      <x:c r="D1091" s="24">
        <x:v>27</x:v>
      </x:c>
      <x:c r="E1091" s="24" t="s">
        <x:v>96</x:v>
      </x:c>
      <x:c r="F1091" s="20" t="s">
        <x:v>97</x:v>
      </x:c>
      <x:c r="G1091" s="26">
        <x:v>41457</x:v>
      </x:c>
      <x:c r="H1091" s="24" t="s">
        <x:v>5111</x:v>
      </x:c>
      <x:c r="I1091" s="28" t="s">
        <x:v>5112</x:v>
      </x:c>
      <x:c r="J1091" s="29" t="s">
        <x:v>5113</x:v>
      </x:c>
    </x:row>
    <x:row r="1092" ht="10.050000190734863" customHeight="1">
      <x:c r="A1092" s="21" t="s">
        <x:v>5114</x:v>
      </x:c>
      <x:c r="B1092" s="20" t="s">
        <x:v>5114</x:v>
      </x:c>
      <x:c r="C1092" s="20" t="s">
        <x:v>5115</x:v>
      </x:c>
      <x:c r="D1092" s="24">
        <x:v>50</x:v>
      </x:c>
      <x:c r="E1092" s="24" t="s">
        <x:v>96</x:v>
      </x:c>
      <x:c r="F1092" s="20" t="s">
        <x:v>97</x:v>
      </x:c>
      <x:c r="G1092" s="26">
        <x:v>45554</x:v>
      </x:c>
      <x:c r="H1092" s="24" t="s">
        <x:v>5116</x:v>
      </x:c>
      <x:c r="I1092" s="28" t="s">
        <x:v>5117</x:v>
      </x:c>
      <x:c r="J1092" s="29" t="s">
        <x:v>5118</x:v>
      </x:c>
    </x:row>
    <x:row r="1093" ht="10.050000190734863" customHeight="1">
      <x:c r="A1093" s="21" t="s">
        <x:v>5119</x:v>
      </x:c>
      <x:c r="B1093" s="20" t="s">
        <x:v>5119</x:v>
      </x:c>
      <x:c r="C1093" s="20" t="s">
        <x:v>167</x:v>
      </x:c>
      <x:c r="D1093" s="24">
        <x:v>25</x:v>
      </x:c>
      <x:c r="E1093" s="24" t="s">
        <x:v>96</x:v>
      </x:c>
      <x:c r="F1093" s="20" t="s">
        <x:v>97</x:v>
      </x:c>
      <x:c r="G1093" s="26">
        <x:v>42209</x:v>
      </x:c>
      <x:c r="H1093" s="24" t="s">
        <x:v>5120</x:v>
      </x:c>
      <x:c r="I1093" s="28" t="s">
        <x:v>5121</x:v>
      </x:c>
      <x:c r="J1093" s="29" t="s">
        <x:v>5122</x:v>
      </x:c>
    </x:row>
    <x:row r="1094" ht="10.050000190734863" customHeight="1">
      <x:c r="A1094" s="21" t="s">
        <x:v>5123</x:v>
      </x:c>
      <x:c r="B1094" s="20" t="s">
        <x:v>5123</x:v>
      </x:c>
      <x:c r="C1094" s="20" t="s">
        <x:v>5124</x:v>
      </x:c>
      <x:c r="D1094" s="24">
        <x:v>98</x:v>
      </x:c>
      <x:c r="E1094" s="24" t="s">
        <x:v>103</x:v>
      </x:c>
      <x:c r="F1094" s="20" t="s">
        <x:v>97</x:v>
      </x:c>
      <x:c r="G1094" s="26">
        <x:v>46024</x:v>
      </x:c>
      <x:c r="H1094" s="24" t="s">
        <x:v>5125</x:v>
      </x:c>
      <x:c r="I1094" s="28" t="s">
        <x:v>5126</x:v>
      </x:c>
      <x:c r="J1094" s="29" t="s">
        <x:v>5127</x:v>
      </x:c>
    </x:row>
    <x:row r="1095" ht="10.050000190734863" customHeight="1">
      <x:c r="A1095" s="21" t="s">
        <x:v>5128</x:v>
      </x:c>
      <x:c r="B1095" s="20" t="s">
        <x:v>5128</x:v>
      </x:c>
      <x:c r="C1095" s="20" t="s">
        <x:v>5124</x:v>
      </x:c>
      <x:c r="D1095" s="24">
        <x:v>98</x:v>
      </x:c>
      <x:c r="E1095" s="24" t="s">
        <x:v>103</x:v>
      </x:c>
      <x:c r="F1095" s="20" t="s">
        <x:v>97</x:v>
      </x:c>
      <x:c r="G1095" s="26">
        <x:v>45508</x:v>
      </x:c>
      <x:c r="H1095" s="24" t="s">
        <x:v>5129</x:v>
      </x:c>
      <x:c r="I1095" s="28" t="s">
        <x:v>5130</x:v>
      </x:c>
      <x:c r="J1095" s="29" t="s">
        <x:v>5131</x:v>
      </x:c>
    </x:row>
    <x:row r="1096" ht="10.050000190734863" customHeight="1">
      <x:c r="A1096" s="21" t="s">
        <x:v>5132</x:v>
      </x:c>
      <x:c r="B1096" s="20" t="s">
        <x:v>5132</x:v>
      </x:c>
      <x:c r="C1096" s="20" t="s">
        <x:v>4255</x:v>
      </x:c>
      <x:c r="D1096" s="24">
        <x:v>49</x:v>
      </x:c>
      <x:c r="E1096" s="24" t="s">
        <x:v>96</x:v>
      </x:c>
      <x:c r="F1096" s="20" t="s">
        <x:v>97</x:v>
      </x:c>
      <x:c r="G1096" s="26">
        <x:v>42333</x:v>
      </x:c>
      <x:c r="H1096" s="24" t="s">
        <x:v>5133</x:v>
      </x:c>
      <x:c r="I1096" s="28" t="s">
        <x:v>5134</x:v>
      </x:c>
      <x:c r="J1096" s="29" t="s">
        <x:v>5135</x:v>
      </x:c>
    </x:row>
    <x:row r="1097" ht="10.050000190734863" customHeight="1">
      <x:c r="A1097" s="21" t="s">
        <x:v>5136</x:v>
      </x:c>
      <x:c r="B1097" s="20" t="s">
        <x:v>5136</x:v>
      </x:c>
      <x:c r="C1097" s="20" t="s">
        <x:v>5137</x:v>
      </x:c>
      <x:c r="D1097" s="24">
        <x:v>7</x:v>
      </x:c>
      <x:c r="E1097" s="24" t="s">
        <x:v>89</x:v>
      </x:c>
      <x:c r="F1097" s="20" t="s">
        <x:v>610</x:v>
      </x:c>
      <x:c r="G1097" s="26">
        <x:v>41748</x:v>
      </x:c>
      <x:c r="H1097" s="24" t="s">
        <x:v>5138</x:v>
      </x:c>
      <x:c r="I1097" s="28" t="s">
        <x:v>5139</x:v>
      </x:c>
      <x:c r="J1097" s="29" t="s">
        <x:v>5140</x:v>
      </x:c>
    </x:row>
    <x:row r="1098" ht="10.050000190734863" customHeight="1">
      <x:c r="A1098" s="21" t="s">
        <x:v>5141</x:v>
      </x:c>
      <x:c r="B1098" s="20" t="s">
        <x:v>5141</x:v>
      </x:c>
      <x:c r="C1098" s="20" t="s">
        <x:v>5142</x:v>
      </x:c>
      <x:c r="D1098" s="24">
        <x:v>1</x:v>
      </x:c>
      <x:c r="E1098" s="24" t="s">
        <x:v>89</x:v>
      </x:c>
      <x:c r="F1098" s="20" t="s">
        <x:v>97</x:v>
      </x:c>
      <x:c r="G1098" s="26">
        <x:v>43992</x:v>
      </x:c>
      <x:c r="H1098" s="24" t="s">
        <x:v>5143</x:v>
      </x:c>
      <x:c r="I1098" s="28" t="s">
        <x:v>5144</x:v>
      </x:c>
      <x:c r="J1098" s="29" t="s">
        <x:v>5145</x:v>
      </x:c>
    </x:row>
    <x:row r="1099" ht="10.050000190734863" customHeight="1">
      <x:c r="A1099" s="21" t="s">
        <x:v>5146</x:v>
      </x:c>
      <x:c r="B1099" s="20" t="s">
        <x:v>5146</x:v>
      </x:c>
      <x:c r="C1099" s="20" t="s">
        <x:v>2277</x:v>
      </x:c>
      <x:c r="D1099" s="24">
        <x:v>10</x:v>
      </x:c>
      <x:c r="E1099" s="24" t="s">
        <x:v>103</x:v>
      </x:c>
      <x:c r="F1099" s="20" t="s">
        <x:v>97</x:v>
      </x:c>
      <x:c r="G1099" s="26">
        <x:v>41545</x:v>
      </x:c>
      <x:c r="H1099" s="24" t="s">
        <x:v>5147</x:v>
      </x:c>
      <x:c r="I1099" s="28" t="s">
        <x:v>5148</x:v>
      </x:c>
      <x:c r="J1099" s="29" t="s">
        <x:v>5149</x:v>
      </x:c>
    </x:row>
    <x:row r="1100" ht="10.050000190734863" customHeight="1">
      <x:c r="A1100" s="21" t="s">
        <x:v>5150</x:v>
      </x:c>
      <x:c r="B1100" s="20" t="s">
        <x:v>5150</x:v>
      </x:c>
      <x:c r="C1100" s="20" t="s">
        <x:v>419</x:v>
      </x:c>
      <x:c r="D1100" s="24">
        <x:v>5</x:v>
      </x:c>
      <x:c r="E1100" s="24" t="s">
        <x:v>103</x:v>
      </x:c>
      <x:c r="F1100" s="20" t="s">
        <x:v>97</x:v>
      </x:c>
      <x:c r="G1100" s="26">
        <x:v>42215</x:v>
      </x:c>
      <x:c r="H1100" s="24" t="s">
        <x:v>5151</x:v>
      </x:c>
      <x:c r="I1100" s="28" t="s">
        <x:v>5152</x:v>
      </x:c>
      <x:c r="J1100" s="29" t="s">
        <x:v>5153</x:v>
      </x:c>
    </x:row>
    <x:row r="1101" ht="10.050000190734863" customHeight="1">
      <x:c r="A1101" s="21" t="s">
        <x:v>5154</x:v>
      </x:c>
      <x:c r="B1101" s="20" t="s">
        <x:v>5154</x:v>
      </x:c>
      <x:c r="C1101" s="20" t="s">
        <x:v>282</x:v>
      </x:c>
      <x:c r="D1101" s="24">
        <x:v>10</x:v>
      </x:c>
      <x:c r="E1101" s="24" t="s">
        <x:v>96</x:v>
      </x:c>
      <x:c r="F1101" s="20" t="s">
        <x:v>97</x:v>
      </x:c>
      <x:c r="G1101" s="26">
        <x:v>44233</x:v>
      </x:c>
      <x:c r="H1101" s="24" t="s">
        <x:v>5155</x:v>
      </x:c>
      <x:c r="I1101" s="28" t="s">
        <x:v>5156</x:v>
      </x:c>
      <x:c r="J1101" s="29" t="s">
        <x:v>5157</x:v>
      </x:c>
    </x:row>
    <x:row r="1102" ht="10.050000190734863" customHeight="1">
      <x:c r="A1102" s="21" t="s">
        <x:v>5158</x:v>
      </x:c>
      <x:c r="B1102" s="20" t="s">
        <x:v>5158</x:v>
      </x:c>
      <x:c r="C1102" s="20" t="s">
        <x:v>5159</x:v>
      </x:c>
      <x:c r="D1102" s="24">
        <x:v>11</x:v>
      </x:c>
      <x:c r="E1102" s="24" t="s">
        <x:v>257</x:v>
      </x:c>
      <x:c r="F1102" s="20" t="s">
        <x:v>97</x:v>
      </x:c>
      <x:c r="G1102" s="26">
        <x:v>42412</x:v>
      </x:c>
      <x:c r="H1102" s="24" t="s">
        <x:v>5160</x:v>
      </x:c>
      <x:c r="I1102" s="28" t="s">
        <x:v>5161</x:v>
      </x:c>
      <x:c r="J1102" s="29" t="s">
        <x:v>5162</x:v>
      </x:c>
    </x:row>
    <x:row r="1103" ht="10.050000190734863" customHeight="1">
      <x:c r="A1103" s="21" t="s">
        <x:v>5163</x:v>
      </x:c>
      <x:c r="B1103" s="20" t="s">
        <x:v>5163</x:v>
      </x:c>
      <x:c r="C1103" s="20" t="s">
        <x:v>5164</x:v>
      </x:c>
      <x:c r="D1103" s="24">
        <x:v>7</x:v>
      </x:c>
      <x:c r="E1103" s="24" t="s">
        <x:v>103</x:v>
      </x:c>
      <x:c r="F1103" s="20" t="s">
        <x:v>97</x:v>
      </x:c>
      <x:c r="G1103" s="26">
        <x:v>42044</x:v>
      </x:c>
      <x:c r="H1103" s="24" t="s">
        <x:v>5165</x:v>
      </x:c>
      <x:c r="I1103" s="28" t="s">
        <x:v>5166</x:v>
      </x:c>
      <x:c r="J1103" s="29" t="s">
        <x:v>5167</x:v>
      </x:c>
    </x:row>
    <x:row r="1104" ht="10.050000190734863" customHeight="1">
      <x:c r="A1104" s="21" t="s">
        <x:v>5168</x:v>
      </x:c>
      <x:c r="B1104" s="20" t="s">
        <x:v>5168</x:v>
      </x:c>
      <x:c r="C1104" s="20" t="s">
        <x:v>5169</x:v>
      </x:c>
      <x:c r="D1104" s="24">
        <x:v>4</x:v>
      </x:c>
      <x:c r="E1104" s="24" t="s">
        <x:v>96</x:v>
      </x:c>
      <x:c r="F1104" s="20" t="s">
        <x:v>97</x:v>
      </x:c>
      <x:c r="G1104" s="26">
        <x:v>43219</x:v>
      </x:c>
      <x:c r="H1104" s="24" t="s">
        <x:v>5170</x:v>
      </x:c>
      <x:c r="I1104" s="28" t="s">
        <x:v>5171</x:v>
      </x:c>
      <x:c r="J1104" s="29" t="s">
        <x:v>5172</x:v>
      </x:c>
    </x:row>
    <x:row r="1105" ht="10.050000190734863" customHeight="1">
      <x:c r="A1105" s="21" t="s">
        <x:v>5173</x:v>
      </x:c>
      <x:c r="B1105" s="20" t="s">
        <x:v>5173</x:v>
      </x:c>
      <x:c r="C1105" s="20" t="s">
        <x:v>5174</x:v>
      </x:c>
      <x:c r="D1105" s="24">
        <x:v>21</x:v>
      </x:c>
      <x:c r="E1105" s="24" t="s">
        <x:v>96</x:v>
      </x:c>
      <x:c r="F1105" s="20" t="s">
        <x:v>97</x:v>
      </x:c>
      <x:c r="G1105" s="26">
        <x:v>43483</x:v>
      </x:c>
      <x:c r="H1105" s="24" t="s">
        <x:v>5175</x:v>
      </x:c>
      <x:c r="I1105" s="28" t="s">
        <x:v>5176</x:v>
      </x:c>
      <x:c r="J1105" s="29" t="s">
        <x:v>5177</x:v>
      </x:c>
    </x:row>
    <x:row r="1106" ht="10.050000190734863" customHeight="1">
      <x:c r="A1106" s="21" t="s">
        <x:v>5178</x:v>
      </x:c>
      <x:c r="B1106" s="20" t="s">
        <x:v>5178</x:v>
      </x:c>
      <x:c r="C1106" s="20" t="s">
        <x:v>2033</x:v>
      </x:c>
      <x:c r="D1106" s="24">
        <x:v>48</x:v>
      </x:c>
      <x:c r="E1106" s="24" t="s">
        <x:v>103</x:v>
      </x:c>
      <x:c r="F1106" s="20" t="s">
        <x:v>97</x:v>
      </x:c>
      <x:c r="G1106" s="26">
        <x:v>42662</x:v>
      </x:c>
      <x:c r="H1106" s="24" t="s">
        <x:v>5179</x:v>
      </x:c>
      <x:c r="I1106" s="28" t="s">
        <x:v>5180</x:v>
      </x:c>
      <x:c r="J1106" s="29" t="s">
        <x:v>5181</x:v>
      </x:c>
    </x:row>
    <x:row r="1107" ht="10.050000190734863" customHeight="1">
      <x:c r="A1107" s="21" t="s">
        <x:v>5182</x:v>
      </x:c>
      <x:c r="B1107" s="20" t="s">
        <x:v>5182</x:v>
      </x:c>
      <x:c r="C1107" s="20" t="s">
        <x:v>282</x:v>
      </x:c>
      <x:c r="D1107" s="24">
        <x:v>17</x:v>
      </x:c>
      <x:c r="E1107" s="24" t="s">
        <x:v>96</x:v>
      </x:c>
      <x:c r="F1107" s="20" t="s">
        <x:v>97</x:v>
      </x:c>
      <x:c r="G1107" s="26">
        <x:v>45103</x:v>
      </x:c>
      <x:c r="H1107" s="24" t="s">
        <x:v>5183</x:v>
      </x:c>
      <x:c r="I1107" s="28" t="s">
        <x:v>5184</x:v>
      </x:c>
      <x:c r="J1107" s="29" t="s">
        <x:v>5185</x:v>
      </x:c>
    </x:row>
    <x:row r="1108" ht="10.050000190734863" customHeight="1">
      <x:c r="A1108" s="21" t="s">
        <x:v>5186</x:v>
      </x:c>
      <x:c r="B1108" s="20" t="s">
        <x:v>5186</x:v>
      </x:c>
      <x:c r="C1108" s="20" t="s">
        <x:v>5187</x:v>
      </x:c>
      <x:c r="D1108" s="24">
        <x:v>28</x:v>
      </x:c>
      <x:c r="E1108" s="24" t="s">
        <x:v>96</x:v>
      </x:c>
      <x:c r="F1108" s="20" t="s">
        <x:v>97</x:v>
      </x:c>
      <x:c r="G1108" s="26">
        <x:v>43683</x:v>
      </x:c>
      <x:c r="H1108" s="24" t="s">
        <x:v>5188</x:v>
      </x:c>
      <x:c r="I1108" s="28" t="s">
        <x:v>5189</x:v>
      </x:c>
      <x:c r="J1108" s="29" t="s">
        <x:v>5190</x:v>
      </x:c>
    </x:row>
    <x:row r="1109" ht="10.050000190734863" customHeight="1">
      <x:c r="A1109" s="21" t="s">
        <x:v>5191</x:v>
      </x:c>
      <x:c r="B1109" s="20" t="s">
        <x:v>5191</x:v>
      </x:c>
      <x:c r="C1109" s="20" t="s">
        <x:v>732</x:v>
      </x:c>
      <x:c r="D1109" s="24">
        <x:v>7</x:v>
      </x:c>
      <x:c r="E1109" s="24" t="s">
        <x:v>96</x:v>
      </x:c>
      <x:c r="F1109" s="20" t="s">
        <x:v>97</x:v>
      </x:c>
      <x:c r="G1109" s="26">
        <x:v>42374</x:v>
      </x:c>
      <x:c r="H1109" s="24" t="s">
        <x:v>5192</x:v>
      </x:c>
      <x:c r="I1109" s="28" t="s">
        <x:v>5193</x:v>
      </x:c>
      <x:c r="J1109" s="29" t="s">
        <x:v>5194</x:v>
      </x:c>
    </x:row>
    <x:row r="1110" ht="10.050000190734863" customHeight="1">
      <x:c r="A1110" s="21" t="s">
        <x:v>5195</x:v>
      </x:c>
      <x:c r="B1110" s="20" t="s">
        <x:v>5195</x:v>
      </x:c>
      <x:c r="C1110" s="20" t="s">
        <x:v>3170</x:v>
      </x:c>
      <x:c r="D1110" s="24">
        <x:v>12</x:v>
      </x:c>
      <x:c r="E1110" s="24" t="s">
        <x:v>198</x:v>
      </x:c>
      <x:c r="F1110" s="20" t="s">
        <x:v>90</x:v>
      </x:c>
      <x:c r="G1110" s="26">
        <x:v>44217</x:v>
      </x:c>
      <x:c r="H1110" s="24" t="s">
        <x:v>5196</x:v>
      </x:c>
      <x:c r="I1110" s="28" t="s">
        <x:v>5197</x:v>
      </x:c>
      <x:c r="J1110" s="29" t="s">
        <x:v>5198</x:v>
      </x:c>
    </x:row>
    <x:row r="1111" ht="10.050000190734863" customHeight="1">
      <x:c r="A1111" s="21" t="s">
        <x:v>5199</x:v>
      </x:c>
      <x:c r="B1111" s="20" t="s">
        <x:v>5199</x:v>
      </x:c>
      <x:c r="C1111" s="20" t="s">
        <x:v>5200</x:v>
      </x:c>
      <x:c r="D1111" s="24">
        <x:v>17</x:v>
      </x:c>
      <x:c r="E1111" s="24" t="s">
        <x:v>103</x:v>
      </x:c>
      <x:c r="F1111" s="20" t="s">
        <x:v>97</x:v>
      </x:c>
      <x:c r="G1111" s="26">
        <x:v>41862</x:v>
      </x:c>
      <x:c r="H1111" s="24" t="s">
        <x:v>5201</x:v>
      </x:c>
      <x:c r="I1111" s="28" t="s">
        <x:v>5202</x:v>
      </x:c>
      <x:c r="J1111" s="29" t="s">
        <x:v>5203</x:v>
      </x:c>
    </x:row>
    <x:row r="1112" ht="10.050000190734863" customHeight="1">
      <x:c r="A1112" s="21" t="s">
        <x:v>5204</x:v>
      </x:c>
      <x:c r="B1112" s="20" t="s">
        <x:v>5204</x:v>
      </x:c>
      <x:c r="C1112" s="20" t="s">
        <x:v>5205</x:v>
      </x:c>
      <x:c r="D1112" s="24">
        <x:v>87</x:v>
      </x:c>
      <x:c r="E1112" s="24" t="s">
        <x:v>103</x:v>
      </x:c>
      <x:c r="F1112" s="20" t="s">
        <x:v>97</x:v>
      </x:c>
      <x:c r="G1112" s="26">
        <x:v>43601</x:v>
      </x:c>
      <x:c r="H1112" s="24" t="s">
        <x:v>5206</x:v>
      </x:c>
      <x:c r="I1112" s="28" t="s">
        <x:v>5207</x:v>
      </x:c>
      <x:c r="J1112" s="29" t="s">
        <x:v>5208</x:v>
      </x:c>
    </x:row>
    <x:row r="1113" ht="10.050000190734863" customHeight="1">
      <x:c r="A1113" s="21" t="s">
        <x:v>5209</x:v>
      </x:c>
      <x:c r="B1113" s="20" t="s">
        <x:v>5209</x:v>
      </x:c>
      <x:c r="C1113" s="20" t="s">
        <x:v>5205</x:v>
      </x:c>
      <x:c r="D1113" s="24">
        <x:v>88</x:v>
      </x:c>
      <x:c r="E1113" s="24" t="s">
        <x:v>96</x:v>
      </x:c>
      <x:c r="F1113" s="20" t="s">
        <x:v>97</x:v>
      </x:c>
      <x:c r="G1113" s="26">
        <x:v>42232</x:v>
      </x:c>
      <x:c r="H1113" s="24" t="s">
        <x:v>5210</x:v>
      </x:c>
      <x:c r="I1113" s="28" t="s">
        <x:v>5211</x:v>
      </x:c>
      <x:c r="J1113" s="29" t="s">
        <x:v>5212</x:v>
      </x:c>
    </x:row>
    <x:row r="1114" ht="10.050000190734863" customHeight="1">
      <x:c r="A1114" s="21" t="s">
        <x:v>5213</x:v>
      </x:c>
      <x:c r="B1114" s="20" t="s">
        <x:v>5213</x:v>
      </x:c>
      <x:c r="C1114" s="20" t="s">
        <x:v>1982</x:v>
      </x:c>
      <x:c r="D1114" s="24">
        <x:v>31</x:v>
      </x:c>
      <x:c r="E1114" s="24" t="s">
        <x:v>103</x:v>
      </x:c>
      <x:c r="F1114" s="20" t="s">
        <x:v>97</x:v>
      </x:c>
      <x:c r="G1114" s="26">
        <x:v>45010</x:v>
      </x:c>
      <x:c r="H1114" s="24" t="s">
        <x:v>5214</x:v>
      </x:c>
      <x:c r="I1114" s="28" t="s">
        <x:v>5215</x:v>
      </x:c>
      <x:c r="J1114" s="29" t="s">
        <x:v>5216</x:v>
      </x:c>
    </x:row>
    <x:row r="1115" ht="10.050000190734863" customHeight="1">
      <x:c r="A1115" s="21" t="s">
        <x:v>5217</x:v>
      </x:c>
      <x:c r="B1115" s="20" t="s">
        <x:v>5217</x:v>
      </x:c>
      <x:c r="C1115" s="20" t="s">
        <x:v>5218</x:v>
      </x:c>
      <x:c r="D1115" s="24">
        <x:v>96</x:v>
      </x:c>
      <x:c r="E1115" s="24" t="s">
        <x:v>103</x:v>
      </x:c>
      <x:c r="F1115" s="20" t="s">
        <x:v>97</x:v>
      </x:c>
      <x:c r="G1115" s="26">
        <x:v>41445</x:v>
      </x:c>
      <x:c r="H1115" s="24" t="s">
        <x:v>5219</x:v>
      </x:c>
      <x:c r="I1115" s="28" t="s">
        <x:v>5220</x:v>
      </x:c>
      <x:c r="J1115" s="29" t="s">
        <x:v>5221</x:v>
      </x:c>
    </x:row>
    <x:row r="1116" ht="10.050000190734863" customHeight="1">
      <x:c r="A1116" s="21" t="s">
        <x:v>5222</x:v>
      </x:c>
      <x:c r="B1116" s="20" t="s">
        <x:v>5222</x:v>
      </x:c>
      <x:c r="C1116" s="20" t="s">
        <x:v>5218</x:v>
      </x:c>
      <x:c r="D1116" s="24">
        <x:v>59</x:v>
      </x:c>
      <x:c r="E1116" s="24" t="s">
        <x:v>103</x:v>
      </x:c>
      <x:c r="F1116" s="20" t="s">
        <x:v>97</x:v>
      </x:c>
      <x:c r="G1116" s="26">
        <x:v>43060</x:v>
      </x:c>
      <x:c r="H1116" s="24" t="s">
        <x:v>5223</x:v>
      </x:c>
      <x:c r="I1116" s="28" t="s">
        <x:v>5224</x:v>
      </x:c>
      <x:c r="J1116" s="29" t="s">
        <x:v>5225</x:v>
      </x:c>
    </x:row>
    <x:row r="1117" ht="10.050000190734863" customHeight="1">
      <x:c r="A1117" s="21" t="s">
        <x:v>5226</x:v>
      </x:c>
      <x:c r="B1117" s="20" t="s">
        <x:v>5226</x:v>
      </x:c>
      <x:c r="C1117" s="20" t="s">
        <x:v>948</x:v>
      </x:c>
      <x:c r="D1117" s="24">
        <x:v>1</x:v>
      </x:c>
      <x:c r="E1117" s="24" t="s">
        <x:v>103</x:v>
      </x:c>
      <x:c r="F1117" s="20" t="s">
        <x:v>97</x:v>
      </x:c>
      <x:c r="G1117" s="26">
        <x:v>42283</x:v>
      </x:c>
      <x:c r="H1117" s="24" t="s">
        <x:v>5227</x:v>
      </x:c>
      <x:c r="I1117" s="28" t="s">
        <x:v>5228</x:v>
      </x:c>
      <x:c r="J1117" s="29" t="s">
        <x:v>5229</x:v>
      </x:c>
    </x:row>
    <x:row r="1118" ht="10.050000190734863" customHeight="1">
      <x:c r="A1118" s="21" t="s">
        <x:v>5230</x:v>
      </x:c>
      <x:c r="B1118" s="20" t="s">
        <x:v>5230</x:v>
      </x:c>
      <x:c r="C1118" s="20" t="s">
        <x:v>5231</x:v>
      </x:c>
      <x:c r="D1118" s="24">
        <x:v>14</x:v>
      </x:c>
      <x:c r="E1118" s="24" t="s">
        <x:v>103</x:v>
      </x:c>
      <x:c r="F1118" s="20" t="s">
        <x:v>97</x:v>
      </x:c>
      <x:c r="G1118" s="26">
        <x:v>41492</x:v>
      </x:c>
      <x:c r="H1118" s="24" t="s">
        <x:v>5232</x:v>
      </x:c>
      <x:c r="I1118" s="28" t="s">
        <x:v>5233</x:v>
      </x:c>
      <x:c r="J1118" s="29" t="s">
        <x:v>5234</x:v>
      </x:c>
    </x:row>
    <x:row r="1119" ht="10.050000190734863" customHeight="1">
      <x:c r="A1119" s="21" t="s">
        <x:v>5235</x:v>
      </x:c>
      <x:c r="B1119" s="20" t="s">
        <x:v>5235</x:v>
      </x:c>
      <x:c r="C1119" s="20" t="s">
        <x:v>5236</x:v>
      </x:c>
      <x:c r="D1119" s="24">
        <x:v>10</x:v>
      </x:c>
      <x:c r="E1119" s="24" t="s">
        <x:v>96</x:v>
      </x:c>
      <x:c r="F1119" s="20" t="s">
        <x:v>97</x:v>
      </x:c>
      <x:c r="G1119" s="26">
        <x:v>42308</x:v>
      </x:c>
      <x:c r="H1119" s="24" t="s">
        <x:v>5237</x:v>
      </x:c>
      <x:c r="I1119" s="28" t="s">
        <x:v>5238</x:v>
      </x:c>
      <x:c r="J1119" s="29" t="s">
        <x:v>5239</x:v>
      </x:c>
    </x:row>
    <x:row r="1120" ht="10.050000190734863" customHeight="1">
      <x:c r="A1120" s="21" t="s">
        <x:v>5240</x:v>
      </x:c>
      <x:c r="B1120" s="20" t="s">
        <x:v>5240</x:v>
      </x:c>
      <x:c r="C1120" s="20" t="s">
        <x:v>5241</x:v>
      </x:c>
      <x:c r="D1120" s="24">
        <x:v>79</x:v>
      </x:c>
      <x:c r="E1120" s="24" t="s">
        <x:v>96</x:v>
      </x:c>
      <x:c r="F1120" s="20" t="s">
        <x:v>97</x:v>
      </x:c>
      <x:c r="G1120" s="26">
        <x:v>41604</x:v>
      </x:c>
      <x:c r="H1120" s="24" t="s">
        <x:v>5242</x:v>
      </x:c>
      <x:c r="I1120" s="28" t="s">
        <x:v>5243</x:v>
      </x:c>
      <x:c r="J1120" s="29" t="s">
        <x:v>5244</x:v>
      </x:c>
    </x:row>
    <x:row r="1121" ht="10.050000190734863" customHeight="1">
      <x:c r="A1121" s="21" t="s">
        <x:v>5245</x:v>
      </x:c>
      <x:c r="B1121" s="20" t="s">
        <x:v>5245</x:v>
      </x:c>
      <x:c r="C1121" s="20" t="s">
        <x:v>5246</x:v>
      </x:c>
      <x:c r="D1121" s="24">
        <x:v>9</x:v>
      </x:c>
      <x:c r="E1121" s="24" t="s">
        <x:v>103</x:v>
      </x:c>
      <x:c r="F1121" s="20" t="s">
        <x:v>97</x:v>
      </x:c>
      <x:c r="G1121" s="26">
        <x:v>42267</x:v>
      </x:c>
      <x:c r="H1121" s="24" t="s">
        <x:v>5247</x:v>
      </x:c>
      <x:c r="I1121" s="28" t="s">
        <x:v>5248</x:v>
      </x:c>
      <x:c r="J1121" s="29" t="s">
        <x:v>5249</x:v>
      </x:c>
    </x:row>
    <x:row r="1122" ht="10.050000190734863" customHeight="1">
      <x:c r="A1122" s="21" t="s">
        <x:v>5250</x:v>
      </x:c>
      <x:c r="B1122" s="20" t="s">
        <x:v>5250</x:v>
      </x:c>
      <x:c r="C1122" s="20" t="s">
        <x:v>4099</x:v>
      </x:c>
      <x:c r="D1122" s="24">
        <x:v>6</x:v>
      </x:c>
      <x:c r="E1122" s="24" t="s">
        <x:v>103</x:v>
      </x:c>
      <x:c r="F1122" s="20" t="s">
        <x:v>97</x:v>
      </x:c>
      <x:c r="G1122" s="26">
        <x:v>45275</x:v>
      </x:c>
      <x:c r="H1122" s="24" t="s">
        <x:v>5251</x:v>
      </x:c>
      <x:c r="I1122" s="28" t="s">
        <x:v>5252</x:v>
      </x:c>
      <x:c r="J1122" s="29" t="s">
        <x:v>5253</x:v>
      </x:c>
    </x:row>
    <x:row r="1123" ht="10.050000190734863" customHeight="1">
      <x:c r="A1123" s="21" t="s">
        <x:v>5254</x:v>
      </x:c>
      <x:c r="B1123" s="20" t="s">
        <x:v>5254</x:v>
      </x:c>
      <x:c r="C1123" s="20" t="s">
        <x:v>4665</x:v>
      </x:c>
      <x:c r="D1123" s="24">
        <x:v>7</x:v>
      </x:c>
      <x:c r="E1123" s="24" t="s">
        <x:v>103</x:v>
      </x:c>
      <x:c r="F1123" s="20" t="s">
        <x:v>97</x:v>
      </x:c>
      <x:c r="G1123" s="26">
        <x:v>42345</x:v>
      </x:c>
      <x:c r="H1123" s="24" t="s">
        <x:v>5255</x:v>
      </x:c>
      <x:c r="I1123" s="28" t="s">
        <x:v>5256</x:v>
      </x:c>
      <x:c r="J1123" s="29" t="s">
        <x:v>5257</x:v>
      </x:c>
    </x:row>
    <x:row r="1124" ht="10.050000190734863" customHeight="1">
      <x:c r="A1124" s="21" t="s">
        <x:v>5258</x:v>
      </x:c>
      <x:c r="B1124" s="20" t="s">
        <x:v>5258</x:v>
      </x:c>
      <x:c r="C1124" s="20" t="s">
        <x:v>4665</x:v>
      </x:c>
      <x:c r="D1124" s="24">
        <x:v>5</x:v>
      </x:c>
      <x:c r="E1124" s="24" t="s">
        <x:v>103</x:v>
      </x:c>
      <x:c r="F1124" s="20" t="s">
        <x:v>97</x:v>
      </x:c>
      <x:c r="G1124" s="26">
        <x:v>42356</x:v>
      </x:c>
      <x:c r="H1124" s="24" t="s">
        <x:v>5259</x:v>
      </x:c>
      <x:c r="I1124" s="28" t="s">
        <x:v>5260</x:v>
      </x:c>
      <x:c r="J1124" s="29" t="s">
        <x:v>5261</x:v>
      </x:c>
    </x:row>
    <x:row r="1125" ht="10.050000190734863" customHeight="1">
      <x:c r="A1125" s="21" t="s">
        <x:v>5262</x:v>
      </x:c>
      <x:c r="B1125" s="20" t="s">
        <x:v>5262</x:v>
      </x:c>
      <x:c r="C1125" s="20" t="s">
        <x:v>4665</x:v>
      </x:c>
      <x:c r="D1125" s="24">
        <x:v>66</x:v>
      </x:c>
      <x:c r="E1125" s="24" t="s">
        <x:v>96</x:v>
      </x:c>
      <x:c r="F1125" s="20" t="s">
        <x:v>97</x:v>
      </x:c>
      <x:c r="G1125" s="26">
        <x:v>42730</x:v>
      </x:c>
      <x:c r="H1125" s="24" t="s">
        <x:v>5263</x:v>
      </x:c>
      <x:c r="I1125" s="28" t="s">
        <x:v>5264</x:v>
      </x:c>
      <x:c r="J1125" s="29" t="s">
        <x:v>5265</x:v>
      </x:c>
    </x:row>
    <x:row r="1126" ht="10.050000190734863" customHeight="1">
      <x:c r="A1126" s="21" t="s">
        <x:v>5266</x:v>
      </x:c>
      <x:c r="B1126" s="20" t="s">
        <x:v>5266</x:v>
      </x:c>
      <x:c r="C1126" s="20" t="s">
        <x:v>5267</x:v>
      </x:c>
      <x:c r="D1126" s="24">
        <x:v>10</x:v>
      </x:c>
      <x:c r="E1126" s="24" t="s">
        <x:v>257</x:v>
      </x:c>
      <x:c r="F1126" s="20" t="s">
        <x:v>97</x:v>
      </x:c>
      <x:c r="G1126" s="26">
        <x:v>42242</x:v>
      </x:c>
      <x:c r="H1126" s="24" t="s">
        <x:v>5268</x:v>
      </x:c>
      <x:c r="I1126" s="28" t="s">
        <x:v>5269</x:v>
      </x:c>
      <x:c r="J1126" s="29" t="s">
        <x:v>5270</x:v>
      </x:c>
    </x:row>
    <x:row r="1127" ht="10.050000190734863" customHeight="1">
      <x:c r="A1127" s="21" t="s">
        <x:v>5271</x:v>
      </x:c>
      <x:c r="B1127" s="20" t="s">
        <x:v>5271</x:v>
      </x:c>
      <x:c r="C1127" s="20" t="s">
        <x:v>5272</x:v>
      </x:c>
      <x:c r="D1127" s="24">
        <x:v>7</x:v>
      </x:c>
      <x:c r="E1127" s="24" t="s">
        <x:v>257</x:v>
      </x:c>
      <x:c r="F1127" s="20" t="s">
        <x:v>97</x:v>
      </x:c>
      <x:c r="G1127" s="26">
        <x:v>42248</x:v>
      </x:c>
      <x:c r="H1127" s="24" t="s">
        <x:v>5273</x:v>
      </x:c>
      <x:c r="I1127" s="28" t="s">
        <x:v>5274</x:v>
      </x:c>
      <x:c r="J1127" s="29" t="s">
        <x:v>5275</x:v>
      </x:c>
    </x:row>
    <x:row r="1128" ht="10.050000190734863" customHeight="1">
      <x:c r="A1128" s="21" t="s">
        <x:v>5276</x:v>
      </x:c>
      <x:c r="B1128" s="20" t="s">
        <x:v>5276</x:v>
      </x:c>
      <x:c r="C1128" s="20" t="s">
        <x:v>1841</x:v>
      </x:c>
      <x:c r="D1128" s="24">
        <x:v>4</x:v>
      </x:c>
      <x:c r="E1128" s="24" t="s">
        <x:v>89</x:v>
      </x:c>
      <x:c r="F1128" s="20" t="s">
        <x:v>90</x:v>
      </x:c>
      <x:c r="G1128" s="26">
        <x:v>43433</x:v>
      </x:c>
      <x:c r="H1128" s="24" t="s">
        <x:v>5277</x:v>
      </x:c>
      <x:c r="I1128" s="28" t="s">
        <x:v>5278</x:v>
      </x:c>
      <x:c r="J1128" s="29" t="s">
        <x:v>5279</x:v>
      </x:c>
    </x:row>
    <x:row r="1129" ht="10.050000190734863" customHeight="1">
      <x:c r="A1129" s="21" t="s">
        <x:v>5280</x:v>
      </x:c>
      <x:c r="B1129" s="20" t="s">
        <x:v>5280</x:v>
      </x:c>
      <x:c r="C1129" s="20" t="s">
        <x:v>5218</x:v>
      </x:c>
      <x:c r="D1129" s="24">
        <x:v>64</x:v>
      </x:c>
      <x:c r="E1129" s="24" t="s">
        <x:v>103</x:v>
      </x:c>
      <x:c r="F1129" s="20" t="s">
        <x:v>97</x:v>
      </x:c>
      <x:c r="G1129" s="26">
        <x:v>41598</x:v>
      </x:c>
      <x:c r="H1129" s="24" t="s">
        <x:v>5281</x:v>
      </x:c>
      <x:c r="I1129" s="28" t="s">
        <x:v>5282</x:v>
      </x:c>
      <x:c r="J1129" s="29" t="s">
        <x:v>5283</x:v>
      </x:c>
    </x:row>
    <x:row r="1130" ht="10.050000190734863" customHeight="1">
      <x:c r="A1130" s="21" t="s">
        <x:v>5284</x:v>
      </x:c>
      <x:c r="B1130" s="20" t="s">
        <x:v>5284</x:v>
      </x:c>
      <x:c r="C1130" s="20" t="s">
        <x:v>5218</x:v>
      </x:c>
      <x:c r="D1130" s="24">
        <x:v>75</x:v>
      </x:c>
      <x:c r="E1130" s="24" t="s">
        <x:v>103</x:v>
      </x:c>
      <x:c r="F1130" s="20" t="s">
        <x:v>97</x:v>
      </x:c>
      <x:c r="G1130" s="26">
        <x:v>41600</x:v>
      </x:c>
      <x:c r="H1130" s="24" t="s">
        <x:v>5285</x:v>
      </x:c>
      <x:c r="I1130" s="28" t="s">
        <x:v>5286</x:v>
      </x:c>
      <x:c r="J1130" s="29" t="s">
        <x:v>5287</x:v>
      </x:c>
    </x:row>
    <x:row r="1131" ht="10.050000190734863" customHeight="1">
      <x:c r="A1131" s="21" t="s">
        <x:v>5288</x:v>
      </x:c>
      <x:c r="B1131" s="20" t="s">
        <x:v>5288</x:v>
      </x:c>
      <x:c r="C1131" s="20" t="s">
        <x:v>4942</x:v>
      </x:c>
      <x:c r="D1131" s="24">
        <x:v>9</x:v>
      </x:c>
      <x:c r="E1131" s="24" t="s">
        <x:v>103</x:v>
      </x:c>
      <x:c r="F1131" s="20" t="s">
        <x:v>97</x:v>
      </x:c>
      <x:c r="G1131" s="26">
        <x:v>41545</x:v>
      </x:c>
      <x:c r="H1131" s="24" t="s">
        <x:v>5289</x:v>
      </x:c>
      <x:c r="I1131" s="28" t="s">
        <x:v>5290</x:v>
      </x:c>
      <x:c r="J1131" s="29" t="s">
        <x:v>5291</x:v>
      </x:c>
    </x:row>
    <x:row r="1132" ht="10.050000190734863" customHeight="1">
      <x:c r="A1132" s="21" t="s">
        <x:v>5292</x:v>
      </x:c>
      <x:c r="B1132" s="20" t="s">
        <x:v>5292</x:v>
      </x:c>
      <x:c r="C1132" s="20" t="s">
        <x:v>5293</x:v>
      </x:c>
      <x:c r="D1132" s="24">
        <x:v>24</x:v>
      </x:c>
      <x:c r="E1132" s="24" t="s">
        <x:v>103</x:v>
      </x:c>
      <x:c r="F1132" s="20" t="s">
        <x:v>97</x:v>
      </x:c>
      <x:c r="G1132" s="26">
        <x:v>41856</x:v>
      </x:c>
      <x:c r="H1132" s="24" t="s">
        <x:v>5294</x:v>
      </x:c>
      <x:c r="I1132" s="28" t="s">
        <x:v>5295</x:v>
      </x:c>
      <x:c r="J1132" s="29" t="s">
        <x:v>5296</x:v>
      </x:c>
    </x:row>
    <x:row r="1133" ht="10.050000190734863" customHeight="1">
      <x:c r="A1133" s="21" t="s">
        <x:v>5297</x:v>
      </x:c>
      <x:c r="B1133" s="20" t="s">
        <x:v>5297</x:v>
      </x:c>
      <x:c r="C1133" s="20" t="s">
        <x:v>5298</x:v>
      </x:c>
      <x:c r="D1133" s="24">
        <x:v>15</x:v>
      </x:c>
      <x:c r="E1133" s="24" t="s">
        <x:v>257</x:v>
      </x:c>
      <x:c r="F1133" s="20" t="s">
        <x:v>97</x:v>
      </x:c>
      <x:c r="G1133" s="26">
        <x:v>41560</x:v>
      </x:c>
      <x:c r="H1133" s="24" t="s">
        <x:v>5299</x:v>
      </x:c>
      <x:c r="I1133" s="28" t="s">
        <x:v>5300</x:v>
      </x:c>
      <x:c r="J1133" s="29" t="s">
        <x:v>5301</x:v>
      </x:c>
    </x:row>
    <x:row r="1134" ht="10.050000190734863" customHeight="1">
      <x:c r="A1134" s="21" t="s">
        <x:v>5302</x:v>
      </x:c>
      <x:c r="B1134" s="20" t="s">
        <x:v>5302</x:v>
      </x:c>
      <x:c r="C1134" s="20" t="s">
        <x:v>5303</x:v>
      </x:c>
      <x:c r="D1134" s="24">
        <x:v>5</x:v>
      </x:c>
      <x:c r="E1134" s="24" t="s">
        <x:v>198</x:v>
      </x:c>
      <x:c r="F1134" s="20" t="s">
        <x:v>90</x:v>
      </x:c>
      <x:c r="G1134" s="26">
        <x:v>42458</x:v>
      </x:c>
      <x:c r="H1134" s="24" t="s">
        <x:v>5304</x:v>
      </x:c>
      <x:c r="I1134" s="28" t="s">
        <x:v>5305</x:v>
      </x:c>
      <x:c r="J1134" s="29" t="s">
        <x:v>5306</x:v>
      </x:c>
    </x:row>
    <x:row r="1135" ht="10.050000190734863" customHeight="1">
      <x:c r="A1135" s="21" t="s">
        <x:v>5307</x:v>
      </x:c>
      <x:c r="B1135" s="20" t="s">
        <x:v>5307</x:v>
      </x:c>
      <x:c r="C1135" s="20" t="s">
        <x:v>167</x:v>
      </x:c>
      <x:c r="D1135" s="24">
        <x:v>53</x:v>
      </x:c>
      <x:c r="E1135" s="24" t="s">
        <x:v>96</x:v>
      </x:c>
      <x:c r="F1135" s="20" t="s">
        <x:v>97</x:v>
      </x:c>
      <x:c r="G1135" s="26">
        <x:v>43695</x:v>
      </x:c>
      <x:c r="H1135" s="24" t="s">
        <x:v>5308</x:v>
      </x:c>
      <x:c r="I1135" s="28" t="s">
        <x:v>5309</x:v>
      </x:c>
      <x:c r="J1135" s="29" t="s">
        <x:v>5310</x:v>
      </x:c>
    </x:row>
    <x:row r="1136" ht="10.050000190734863" customHeight="1">
      <x:c r="A1136" s="21" t="s">
        <x:v>5311</x:v>
      </x:c>
      <x:c r="B1136" s="20" t="s">
        <x:v>5311</x:v>
      </x:c>
      <x:c r="C1136" s="20" t="s">
        <x:v>5312</x:v>
      </x:c>
      <x:c r="D1136" s="24">
        <x:v>4</x:v>
      </x:c>
      <x:c r="E1136" s="24" t="s">
        <x:v>103</x:v>
      </x:c>
      <x:c r="F1136" s="20" t="s">
        <x:v>97</x:v>
      </x:c>
      <x:c r="G1136" s="26">
        <x:v>42111</x:v>
      </x:c>
      <x:c r="H1136" s="24" t="s">
        <x:v>5313</x:v>
      </x:c>
      <x:c r="I1136" s="28" t="s">
        <x:v>5314</x:v>
      </x:c>
      <x:c r="J1136" s="29" t="s">
        <x:v>5315</x:v>
      </x:c>
    </x:row>
    <x:row r="1137" ht="10.050000190734863" customHeight="1">
      <x:c r="A1137" s="21" t="s">
        <x:v>5316</x:v>
      </x:c>
      <x:c r="B1137" s="20" t="s">
        <x:v>5316</x:v>
      </x:c>
      <x:c r="C1137" s="20" t="s">
        <x:v>5317</x:v>
      </x:c>
      <x:c r="D1137" s="24">
        <x:v>5</x:v>
      </x:c>
      <x:c r="E1137" s="24" t="s">
        <x:v>103</x:v>
      </x:c>
      <x:c r="F1137" s="20" t="s">
        <x:v>97</x:v>
      </x:c>
      <x:c r="G1137" s="26">
        <x:v>42040</x:v>
      </x:c>
      <x:c r="H1137" s="24" t="s">
        <x:v>5318</x:v>
      </x:c>
      <x:c r="I1137" s="28" t="s">
        <x:v>5319</x:v>
      </x:c>
      <x:c r="J1137" s="29" t="s">
        <x:v>5320</x:v>
      </x:c>
    </x:row>
    <x:row r="1138" ht="10.050000190734863" customHeight="1">
      <x:c r="A1138" s="21" t="s">
        <x:v>5321</x:v>
      </x:c>
      <x:c r="B1138" s="20" t="s">
        <x:v>5321</x:v>
      </x:c>
      <x:c r="C1138" s="20" t="s">
        <x:v>5322</x:v>
      </x:c>
      <x:c r="D1138" s="24">
        <x:v>4</x:v>
      </x:c>
      <x:c r="E1138" s="24" t="s">
        <x:v>103</x:v>
      </x:c>
      <x:c r="F1138" s="20" t="s">
        <x:v>97</x:v>
      </x:c>
      <x:c r="G1138" s="26">
        <x:v>42314</x:v>
      </x:c>
      <x:c r="H1138" s="24" t="s">
        <x:v>5323</x:v>
      </x:c>
      <x:c r="I1138" s="28" t="s">
        <x:v>5324</x:v>
      </x:c>
      <x:c r="J1138" s="29" t="s">
        <x:v>5325</x:v>
      </x:c>
    </x:row>
    <x:row r="1139" ht="10.050000190734863" customHeight="1">
      <x:c r="A1139" s="21" t="s">
        <x:v>5326</x:v>
      </x:c>
      <x:c r="B1139" s="20" t="s">
        <x:v>5326</x:v>
      </x:c>
      <x:c r="C1139" s="20" t="s">
        <x:v>5327</x:v>
      </x:c>
      <x:c r="D1139" s="24">
        <x:v>23</x:v>
      </x:c>
      <x:c r="E1139" s="24" t="s">
        <x:v>257</x:v>
      </x:c>
      <x:c r="F1139" s="20" t="s">
        <x:v>97</x:v>
      </x:c>
      <x:c r="G1139" s="26">
        <x:v>42512</x:v>
      </x:c>
      <x:c r="H1139" s="24" t="s">
        <x:v>5328</x:v>
      </x:c>
      <x:c r="I1139" s="28" t="s">
        <x:v>5329</x:v>
      </x:c>
      <x:c r="J1139" s="29" t="s">
        <x:v>5330</x:v>
      </x:c>
    </x:row>
    <x:row r="1140" ht="10.050000190734863" customHeight="1">
      <x:c r="A1140" s="21" t="s">
        <x:v>5331</x:v>
      </x:c>
      <x:c r="B1140" s="20" t="s">
        <x:v>5331</x:v>
      </x:c>
      <x:c r="C1140" s="20" t="s">
        <x:v>5231</x:v>
      </x:c>
      <x:c r="D1140" s="24">
        <x:v>8</x:v>
      </x:c>
      <x:c r="E1140" s="24" t="s">
        <x:v>103</x:v>
      </x:c>
      <x:c r="F1140" s="20" t="s">
        <x:v>97</x:v>
      </x:c>
      <x:c r="G1140" s="26">
        <x:v>42311</x:v>
      </x:c>
      <x:c r="H1140" s="24" t="s">
        <x:v>5332</x:v>
      </x:c>
      <x:c r="I1140" s="28" t="s">
        <x:v>5333</x:v>
      </x:c>
      <x:c r="J1140" s="29" t="s">
        <x:v>5334</x:v>
      </x:c>
    </x:row>
    <x:row r="1141" ht="10.050000190734863" customHeight="1">
      <x:c r="A1141" s="21" t="s">
        <x:v>5335</x:v>
      </x:c>
      <x:c r="B1141" s="20" t="s">
        <x:v>5335</x:v>
      </x:c>
      <x:c r="C1141" s="20" t="s">
        <x:v>3176</x:v>
      </x:c>
      <x:c r="D1141" s="24">
        <x:v>35</x:v>
      </x:c>
      <x:c r="E1141" s="24" t="s">
        <x:v>96</x:v>
      </x:c>
      <x:c r="F1141" s="20" t="s">
        <x:v>90</x:v>
      </x:c>
      <x:c r="G1141" s="26">
        <x:v>43785</x:v>
      </x:c>
      <x:c r="H1141" s="24" t="s">
        <x:v>5336</x:v>
      </x:c>
      <x:c r="I1141" s="28" t="s">
        <x:v>5337</x:v>
      </x:c>
      <x:c r="J1141" s="29" t="s">
        <x:v>5338</x:v>
      </x:c>
    </x:row>
    <x:row r="1142" ht="10.050000190734863" customHeight="1">
      <x:c r="A1142" s="21" t="s">
        <x:v>5339</x:v>
      </x:c>
      <x:c r="B1142" s="20" t="s">
        <x:v>5339</x:v>
      </x:c>
      <x:c r="C1142" s="20" t="s">
        <x:v>5340</x:v>
      </x:c>
      <x:c r="D1142" s="24">
        <x:v>21</x:v>
      </x:c>
      <x:c r="E1142" s="24" t="s">
        <x:v>103</x:v>
      </x:c>
      <x:c r="F1142" s="20" t="s">
        <x:v>97</x:v>
      </x:c>
      <x:c r="G1142" s="26">
        <x:v>43157</x:v>
      </x:c>
      <x:c r="H1142" s="24" t="s">
        <x:v>5341</x:v>
      </x:c>
      <x:c r="I1142" s="28" t="s">
        <x:v>5342</x:v>
      </x:c>
      <x:c r="J1142" s="29" t="s">
        <x:v>5343</x:v>
      </x:c>
    </x:row>
    <x:row r="1143" ht="10.050000190734863" customHeight="1">
      <x:c r="A1143" s="21" t="s">
        <x:v>5344</x:v>
      </x:c>
      <x:c r="B1143" s="20" t="s">
        <x:v>5344</x:v>
      </x:c>
      <x:c r="C1143" s="20" t="s">
        <x:v>1502</x:v>
      </x:c>
      <x:c r="D1143" s="24">
        <x:v>5</x:v>
      </x:c>
      <x:c r="E1143" s="24" t="s">
        <x:v>96</x:v>
      </x:c>
      <x:c r="F1143" s="20" t="s">
        <x:v>90</x:v>
      </x:c>
      <x:c r="G1143" s="26">
        <x:v>45654</x:v>
      </x:c>
      <x:c r="H1143" s="24" t="s">
        <x:v>5345</x:v>
      </x:c>
      <x:c r="I1143" s="28" t="s">
        <x:v>5346</x:v>
      </x:c>
      <x:c r="J1143" s="29" t="s">
        <x:v>5347</x:v>
      </x:c>
    </x:row>
    <x:row r="1144" ht="10.050000190734863" customHeight="1">
      <x:c r="A1144" s="21" t="s">
        <x:v>5348</x:v>
      </x:c>
      <x:c r="B1144" s="20" t="s">
        <x:v>5348</x:v>
      </x:c>
      <x:c r="C1144" s="20" t="s">
        <x:v>1502</x:v>
      </x:c>
      <x:c r="D1144" s="24">
        <x:v>5</x:v>
      </x:c>
      <x:c r="E1144" s="24" t="s">
        <x:v>96</x:v>
      </x:c>
      <x:c r="F1144" s="20" t="s">
        <x:v>90</x:v>
      </x:c>
      <x:c r="G1144" s="26">
        <x:v>45990</x:v>
      </x:c>
      <x:c r="H1144" s="24" t="s">
        <x:v>5349</x:v>
      </x:c>
      <x:c r="I1144" s="28" t="s">
        <x:v>5350</x:v>
      </x:c>
      <x:c r="J1144" s="29" t="s">
        <x:v>5351</x:v>
      </x:c>
    </x:row>
    <x:row r="1145" ht="10.050000190734863" customHeight="1">
      <x:c r="A1145" s="21" t="s">
        <x:v>5352</x:v>
      </x:c>
      <x:c r="B1145" s="20" t="s">
        <x:v>5352</x:v>
      </x:c>
      <x:c r="C1145" s="20" t="s">
        <x:v>1502</x:v>
      </x:c>
      <x:c r="D1145" s="24">
        <x:v>10</x:v>
      </x:c>
      <x:c r="E1145" s="24" t="s">
        <x:v>96</x:v>
      </x:c>
      <x:c r="F1145" s="20" t="s">
        <x:v>90</x:v>
      </x:c>
      <x:c r="G1145" s="26">
        <x:v>45455</x:v>
      </x:c>
      <x:c r="H1145" s="24" t="s">
        <x:v>5353</x:v>
      </x:c>
      <x:c r="I1145" s="28" t="s">
        <x:v>5354</x:v>
      </x:c>
      <x:c r="J1145" s="29" t="s">
        <x:v>5355</x:v>
      </x:c>
    </x:row>
    <x:row r="1146" ht="10.050000190734863" customHeight="1">
      <x:c r="A1146" s="21" t="s">
        <x:v>5356</x:v>
      </x:c>
      <x:c r="B1146" s="20" t="s">
        <x:v>5356</x:v>
      </x:c>
      <x:c r="C1146" s="20" t="s">
        <x:v>1502</x:v>
      </x:c>
      <x:c r="D1146" s="24">
        <x:v>16</x:v>
      </x:c>
      <x:c r="E1146" s="24" t="s">
        <x:v>96</x:v>
      </x:c>
      <x:c r="F1146" s="20" t="s">
        <x:v>90</x:v>
      </x:c>
      <x:c r="G1146" s="26">
        <x:v>45569</x:v>
      </x:c>
      <x:c r="H1146" s="24" t="s">
        <x:v>5357</x:v>
      </x:c>
      <x:c r="I1146" s="28" t="s">
        <x:v>5358</x:v>
      </x:c>
      <x:c r="J1146" s="29" t="s">
        <x:v>5359</x:v>
      </x:c>
    </x:row>
    <x:row r="1147" ht="10.050000190734863" customHeight="1">
      <x:c r="A1147" s="21" t="s">
        <x:v>5360</x:v>
      </x:c>
      <x:c r="B1147" s="20" t="s">
        <x:v>5360</x:v>
      </x:c>
      <x:c r="C1147" s="20" t="s">
        <x:v>1502</x:v>
      </x:c>
      <x:c r="D1147" s="24">
        <x:v>13</x:v>
      </x:c>
      <x:c r="E1147" s="24" t="s">
        <x:v>96</x:v>
      </x:c>
      <x:c r="F1147" s="20" t="s">
        <x:v>90</x:v>
      </x:c>
      <x:c r="G1147" s="26">
        <x:v>45869</x:v>
      </x:c>
      <x:c r="H1147" s="24" t="s">
        <x:v>5361</x:v>
      </x:c>
      <x:c r="I1147" s="28" t="s">
        <x:v>5362</x:v>
      </x:c>
      <x:c r="J1147" s="29" t="s">
        <x:v>5363</x:v>
      </x:c>
    </x:row>
    <x:row r="1148" ht="10.050000190734863" customHeight="1">
      <x:c r="A1148" s="21" t="s">
        <x:v>5364</x:v>
      </x:c>
      <x:c r="B1148" s="20" t="s">
        <x:v>5364</x:v>
      </x:c>
      <x:c r="C1148" s="20" t="s">
        <x:v>4255</x:v>
      </x:c>
      <x:c r="D1148" s="24">
        <x:v>22</x:v>
      </x:c>
      <x:c r="E1148" s="24" t="s">
        <x:v>103</x:v>
      </x:c>
      <x:c r="F1148" s="20" t="s">
        <x:v>97</x:v>
      </x:c>
      <x:c r="G1148" s="26">
        <x:v>42294</x:v>
      </x:c>
      <x:c r="H1148" s="24" t="s">
        <x:v>5365</x:v>
      </x:c>
      <x:c r="I1148" s="28" t="s">
        <x:v>5366</x:v>
      </x:c>
      <x:c r="J1148" s="29" t="s">
        <x:v>5367</x:v>
      </x:c>
    </x:row>
    <x:row r="1149" ht="10.050000190734863" customHeight="1">
      <x:c r="A1149" s="21" t="s">
        <x:v>5368</x:v>
      </x:c>
      <x:c r="B1149" s="20" t="s">
        <x:v>5368</x:v>
      </x:c>
      <x:c r="C1149" s="20" t="s">
        <x:v>4165</x:v>
      </x:c>
      <x:c r="D1149" s="24">
        <x:v>80</x:v>
      </x:c>
      <x:c r="E1149" s="24" t="s">
        <x:v>89</x:v>
      </x:c>
      <x:c r="F1149" s="20" t="s">
        <x:v>97</x:v>
      </x:c>
      <x:c r="G1149" s="26">
        <x:v>42336</x:v>
      </x:c>
      <x:c r="H1149" s="24" t="s">
        <x:v>5369</x:v>
      </x:c>
      <x:c r="I1149" s="28" t="s">
        <x:v>5370</x:v>
      </x:c>
      <x:c r="J1149" s="29" t="s">
        <x:v>5371</x:v>
      </x:c>
    </x:row>
    <x:row r="1150" ht="10.050000190734863" customHeight="1">
      <x:c r="A1150" s="21" t="s">
        <x:v>5372</x:v>
      </x:c>
      <x:c r="B1150" s="20" t="s">
        <x:v>5372</x:v>
      </x:c>
      <x:c r="C1150" s="20" t="s">
        <x:v>1841</x:v>
      </x:c>
      <x:c r="D1150" s="24">
        <x:v>6</x:v>
      </x:c>
      <x:c r="E1150" s="24" t="s">
        <x:v>89</x:v>
      </x:c>
      <x:c r="F1150" s="20" t="s">
        <x:v>97</x:v>
      </x:c>
      <x:c r="G1150" s="26">
        <x:v>44601</x:v>
      </x:c>
      <x:c r="H1150" s="24" t="s">
        <x:v>5373</x:v>
      </x:c>
      <x:c r="I1150" s="28" t="s">
        <x:v>5374</x:v>
      </x:c>
      <x:c r="J1150" s="29" t="s">
        <x:v>5375</x:v>
      </x:c>
    </x:row>
    <x:row r="1151" ht="10.050000190734863" customHeight="1">
      <x:c r="A1151" s="21" t="s">
        <x:v>5376</x:v>
      </x:c>
      <x:c r="B1151" s="20" t="s">
        <x:v>5376</x:v>
      </x:c>
      <x:c r="C1151" s="20" t="s">
        <x:v>1841</x:v>
      </x:c>
      <x:c r="D1151" s="24">
        <x:v>8</x:v>
      </x:c>
      <x:c r="E1151" s="24" t="s">
        <x:v>89</x:v>
      </x:c>
      <x:c r="F1151" s="20" t="s">
        <x:v>97</x:v>
      </x:c>
      <x:c r="G1151" s="26">
        <x:v>44565</x:v>
      </x:c>
      <x:c r="H1151" s="24" t="s">
        <x:v>5377</x:v>
      </x:c>
      <x:c r="I1151" s="28" t="s">
        <x:v>5378</x:v>
      </x:c>
      <x:c r="J1151" s="29" t="s">
        <x:v>5379</x:v>
      </x:c>
    </x:row>
    <x:row r="1152" ht="10.050000190734863" customHeight="1">
      <x:c r="A1152" s="21" t="s">
        <x:v>5380</x:v>
      </x:c>
      <x:c r="B1152" s="20" t="s">
        <x:v>5380</x:v>
      </x:c>
      <x:c r="C1152" s="20" t="s">
        <x:v>1841</x:v>
      </x:c>
      <x:c r="D1152" s="24">
        <x:v>8</x:v>
      </x:c>
      <x:c r="E1152" s="24" t="s">
        <x:v>198</x:v>
      </x:c>
      <x:c r="F1152" s="20" t="s">
        <x:v>90</x:v>
      </x:c>
      <x:c r="G1152" s="26">
        <x:v>45811</x:v>
      </x:c>
      <x:c r="H1152" s="24" t="s">
        <x:v>5381</x:v>
      </x:c>
      <x:c r="I1152" s="28" t="s">
        <x:v>5382</x:v>
      </x:c>
      <x:c r="J1152" s="29" t="s">
        <x:v>5383</x:v>
      </x:c>
    </x:row>
    <x:row r="1153" ht="10.050000190734863" customHeight="1">
      <x:c r="A1153" s="21" t="s">
        <x:v>5384</x:v>
      </x:c>
      <x:c r="B1153" s="20" t="s">
        <x:v>5384</x:v>
      </x:c>
      <x:c r="C1153" s="20" t="s">
        <x:v>1841</x:v>
      </x:c>
      <x:c r="D1153" s="24">
        <x:v>5</x:v>
      </x:c>
      <x:c r="E1153" s="24" t="s">
        <x:v>89</x:v>
      </x:c>
      <x:c r="F1153" s="20" t="s">
        <x:v>97</x:v>
      </x:c>
      <x:c r="G1153" s="26">
        <x:v>44390</x:v>
      </x:c>
      <x:c r="H1153" s="24" t="s">
        <x:v>5385</x:v>
      </x:c>
      <x:c r="I1153" s="28" t="s">
        <x:v>5386</x:v>
      </x:c>
      <x:c r="J1153" s="29" t="s">
        <x:v>5387</x:v>
      </x:c>
    </x:row>
    <x:row r="1154" ht="10.050000190734863" customHeight="1">
      <x:c r="A1154" s="21" t="s">
        <x:v>5388</x:v>
      </x:c>
      <x:c r="B1154" s="20" t="s">
        <x:v>5388</x:v>
      </x:c>
      <x:c r="C1154" s="20" t="s">
        <x:v>5389</x:v>
      </x:c>
      <x:c r="D1154" s="24">
        <x:v>35</x:v>
      </x:c>
      <x:c r="E1154" s="24" t="s">
        <x:v>103</x:v>
      </x:c>
      <x:c r="F1154" s="20" t="s">
        <x:v>97</x:v>
      </x:c>
      <x:c r="G1154" s="26">
        <x:v>44904</x:v>
      </x:c>
      <x:c r="H1154" s="24" t="s">
        <x:v>5390</x:v>
      </x:c>
      <x:c r="I1154" s="28" t="s">
        <x:v>5391</x:v>
      </x:c>
      <x:c r="J1154" s="29" t="s">
        <x:v>5392</x:v>
      </x:c>
    </x:row>
    <x:row r="1155" ht="10.050000190734863" customHeight="1">
      <x:c r="A1155" s="21" t="s">
        <x:v>5393</x:v>
      </x:c>
      <x:c r="B1155" s="20" t="s">
        <x:v>5393</x:v>
      </x:c>
      <x:c r="C1155" s="20" t="s">
        <x:v>119</x:v>
      </x:c>
      <x:c r="D1155" s="24">
        <x:v>7</x:v>
      </x:c>
      <x:c r="E1155" s="24" t="s">
        <x:v>103</x:v>
      </x:c>
      <x:c r="F1155" s="20" t="s">
        <x:v>97</x:v>
      </x:c>
      <x:c r="G1155" s="26">
        <x:v>41644</x:v>
      </x:c>
      <x:c r="H1155" s="24" t="s">
        <x:v>5394</x:v>
      </x:c>
      <x:c r="I1155" s="28" t="s">
        <x:v>5395</x:v>
      </x:c>
      <x:c r="J1155" s="29" t="s">
        <x:v>5396</x:v>
      </x:c>
    </x:row>
    <x:row r="1156" ht="10.050000190734863" customHeight="1">
      <x:c r="A1156" s="21" t="s">
        <x:v>5397</x:v>
      </x:c>
      <x:c r="B1156" s="20" t="s">
        <x:v>5397</x:v>
      </x:c>
      <x:c r="C1156" s="20" t="s">
        <x:v>680</x:v>
      </x:c>
      <x:c r="D1156" s="24">
        <x:v>16</x:v>
      </x:c>
      <x:c r="E1156" s="24" t="s">
        <x:v>114</x:v>
      </x:c>
      <x:c r="F1156" s="20" t="s">
        <x:v>90</x:v>
      </x:c>
      <x:c r="G1156" s="26">
        <x:v>44586</x:v>
      </x:c>
      <x:c r="H1156" s="24" t="s">
        <x:v>5398</x:v>
      </x:c>
      <x:c r="I1156" s="28" t="s">
        <x:v>5399</x:v>
      </x:c>
      <x:c r="J1156" s="29" t="s">
        <x:v>5400</x:v>
      </x:c>
    </x:row>
    <x:row r="1157" ht="10.050000190734863" customHeight="1">
      <x:c r="A1157" s="21" t="s">
        <x:v>5401</x:v>
      </x:c>
      <x:c r="B1157" s="20" t="s">
        <x:v>5401</x:v>
      </x:c>
      <x:c r="C1157" s="20" t="s">
        <x:v>5402</x:v>
      </x:c>
      <x:c r="D1157" s="24">
        <x:v>62</x:v>
      </x:c>
      <x:c r="E1157" s="24" t="s">
        <x:v>114</x:v>
      </x:c>
      <x:c r="F1157" s="20" t="s">
        <x:v>90</x:v>
      </x:c>
      <x:c r="G1157" s="26">
        <x:v>45951</x:v>
      </x:c>
      <x:c r="H1157" s="24" t="s">
        <x:v>5403</x:v>
      </x:c>
      <x:c r="I1157" s="28" t="s">
        <x:v>5404</x:v>
      </x:c>
      <x:c r="J1157" s="29" t="s">
        <x:v>5405</x:v>
      </x:c>
    </x:row>
    <x:row r="1158" ht="10.050000190734863" customHeight="1">
      <x:c r="A1158" s="21" t="s">
        <x:v>5406</x:v>
      </x:c>
      <x:c r="B1158" s="20" t="s">
        <x:v>5406</x:v>
      </x:c>
      <x:c r="C1158" s="20" t="s">
        <x:v>1885</x:v>
      </x:c>
      <x:c r="D1158" s="24">
        <x:v>15</x:v>
      </x:c>
      <x:c r="E1158" s="24" t="s">
        <x:v>198</x:v>
      </x:c>
      <x:c r="F1158" s="20" t="s">
        <x:v>90</x:v>
      </x:c>
      <x:c r="G1158" s="26">
        <x:v>45673</x:v>
      </x:c>
      <x:c r="H1158" s="24" t="s">
        <x:v>5407</x:v>
      </x:c>
      <x:c r="I1158" s="28" t="s">
        <x:v>5408</x:v>
      </x:c>
      <x:c r="J1158" s="29" t="s">
        <x:v>5409</x:v>
      </x:c>
    </x:row>
    <x:row r="1159" ht="10.050000190734863" customHeight="1">
      <x:c r="A1159" s="21" t="s">
        <x:v>5410</x:v>
      </x:c>
      <x:c r="B1159" s="20" t="s">
        <x:v>5410</x:v>
      </x:c>
      <x:c r="C1159" s="20" t="s">
        <x:v>1885</x:v>
      </x:c>
      <x:c r="D1159" s="24">
        <x:v>15</x:v>
      </x:c>
      <x:c r="E1159" s="24" t="s">
        <x:v>114</x:v>
      </x:c>
      <x:c r="F1159" s="20" t="s">
        <x:v>90</x:v>
      </x:c>
      <x:c r="G1159" s="26">
        <x:v>45968</x:v>
      </x:c>
      <x:c r="H1159" s="24" t="s">
        <x:v>5411</x:v>
      </x:c>
      <x:c r="I1159" s="28" t="s">
        <x:v>5412</x:v>
      </x:c>
      <x:c r="J1159" s="29" t="s">
        <x:v>5413</x:v>
      </x:c>
    </x:row>
    <x:row r="1160" ht="10.050000190734863" customHeight="1">
      <x:c r="A1160" s="21" t="s">
        <x:v>5414</x:v>
      </x:c>
      <x:c r="B1160" s="20" t="s">
        <x:v>5414</x:v>
      </x:c>
      <x:c r="C1160" s="20" t="s">
        <x:v>5415</x:v>
      </x:c>
      <x:c r="D1160" s="24">
        <x:v>46</x:v>
      </x:c>
      <x:c r="E1160" s="24" t="s">
        <x:v>103</x:v>
      </x:c>
      <x:c r="F1160" s="20" t="s">
        <x:v>97</x:v>
      </x:c>
      <x:c r="G1160" s="26">
        <x:v>41590</x:v>
      </x:c>
      <x:c r="H1160" s="24" t="s">
        <x:v>5416</x:v>
      </x:c>
      <x:c r="I1160" s="28" t="s">
        <x:v>5417</x:v>
      </x:c>
      <x:c r="J1160" s="29" t="s">
        <x:v>5418</x:v>
      </x:c>
    </x:row>
    <x:row r="1161" ht="10.050000190734863" customHeight="1">
      <x:c r="A1161" s="21" t="s">
        <x:v>5419</x:v>
      </x:c>
      <x:c r="B1161" s="20" t="s">
        <x:v>5419</x:v>
      </x:c>
      <x:c r="C1161" s="20" t="s">
        <x:v>543</x:v>
      </x:c>
      <x:c r="D1161" s="24">
        <x:v>16</x:v>
      </x:c>
      <x:c r="E1161" s="24" t="s">
        <x:v>103</x:v>
      </x:c>
      <x:c r="F1161" s="20" t="s">
        <x:v>97</x:v>
      </x:c>
      <x:c r="G1161" s="26">
        <x:v>42209</x:v>
      </x:c>
      <x:c r="H1161" s="24" t="s">
        <x:v>5420</x:v>
      </x:c>
      <x:c r="I1161" s="28" t="s">
        <x:v>5421</x:v>
      </x:c>
      <x:c r="J1161" s="29" t="s">
        <x:v>5422</x:v>
      </x:c>
    </x:row>
    <x:row r="1162" ht="10.050000190734863" customHeight="1">
      <x:c r="A1162" s="21" t="s">
        <x:v>5423</x:v>
      </x:c>
      <x:c r="B1162" s="20" t="s">
        <x:v>5423</x:v>
      </x:c>
      <x:c r="C1162" s="20" t="s">
        <x:v>5424</x:v>
      </x:c>
      <x:c r="D1162" s="24">
        <x:v>6</x:v>
      </x:c>
      <x:c r="E1162" s="24" t="s">
        <x:v>96</x:v>
      </x:c>
      <x:c r="F1162" s="20" t="s">
        <x:v>97</x:v>
      </x:c>
      <x:c r="G1162" s="26">
        <x:v>45377</x:v>
      </x:c>
      <x:c r="H1162" s="24" t="s">
        <x:v>5425</x:v>
      </x:c>
      <x:c r="I1162" s="28" t="s">
        <x:v>5426</x:v>
      </x:c>
      <x:c r="J1162" s="29" t="s">
        <x:v>5427</x:v>
      </x:c>
    </x:row>
    <x:row r="1163" ht="10.050000190734863" customHeight="1">
      <x:c r="A1163" s="21" t="s">
        <x:v>5428</x:v>
      </x:c>
      <x:c r="B1163" s="20" t="s">
        <x:v>5428</x:v>
      </x:c>
      <x:c r="C1163" s="20" t="s">
        <x:v>5429</x:v>
      </x:c>
      <x:c r="D1163" s="24">
        <x:v>11</x:v>
      </x:c>
      <x:c r="E1163" s="24" t="s">
        <x:v>96</x:v>
      </x:c>
      <x:c r="F1163" s="20" t="s">
        <x:v>97</x:v>
      </x:c>
      <x:c r="G1163" s="26">
        <x:v>45022</x:v>
      </x:c>
      <x:c r="H1163" s="24" t="s">
        <x:v>5430</x:v>
      </x:c>
      <x:c r="I1163" s="28" t="s">
        <x:v>5431</x:v>
      </x:c>
      <x:c r="J1163" s="29" t="s">
        <x:v>5432</x:v>
      </x:c>
    </x:row>
    <x:row r="1164" ht="10.050000190734863" customHeight="1">
      <x:c r="A1164" s="21" t="s">
        <x:v>5433</x:v>
      </x:c>
      <x:c r="B1164" s="20" t="s">
        <x:v>5433</x:v>
      </x:c>
      <x:c r="C1164" s="20" t="s">
        <x:v>5434</x:v>
      </x:c>
      <x:c r="D1164" s="24">
        <x:v>6</x:v>
      </x:c>
      <x:c r="E1164" s="24" t="s">
        <x:v>257</x:v>
      </x:c>
      <x:c r="F1164" s="20" t="s">
        <x:v>97</x:v>
      </x:c>
      <x:c r="G1164" s="26">
        <x:v>42252</x:v>
      </x:c>
      <x:c r="H1164" s="24" t="s">
        <x:v>5435</x:v>
      </x:c>
      <x:c r="I1164" s="28" t="s">
        <x:v>5436</x:v>
      </x:c>
      <x:c r="J1164" s="29" t="s">
        <x:v>5437</x:v>
      </x:c>
    </x:row>
    <x:row r="1165" ht="10.050000190734863" customHeight="1">
      <x:c r="A1165" s="21" t="s">
        <x:v>5438</x:v>
      </x:c>
      <x:c r="B1165" s="20" t="s">
        <x:v>5438</x:v>
      </x:c>
      <x:c r="C1165" s="20" t="s">
        <x:v>5439</x:v>
      </x:c>
      <x:c r="D1165" s="24">
        <x:v>15</x:v>
      </x:c>
      <x:c r="E1165" s="24" t="s">
        <x:v>103</x:v>
      </x:c>
      <x:c r="F1165" s="20" t="s">
        <x:v>97</x:v>
      </x:c>
      <x:c r="G1165" s="26">
        <x:v>42213</x:v>
      </x:c>
      <x:c r="H1165" s="24" t="s">
        <x:v>5440</x:v>
      </x:c>
      <x:c r="I1165" s="28" t="s">
        <x:v>5441</x:v>
      </x:c>
      <x:c r="J1165" s="29" t="s">
        <x:v>5442</x:v>
      </x:c>
    </x:row>
    <x:row r="1166" ht="10.050000190734863" customHeight="1">
      <x:c r="A1166" s="21" t="s">
        <x:v>5443</x:v>
      </x:c>
      <x:c r="B1166" s="20" t="s">
        <x:v>5443</x:v>
      </x:c>
      <x:c r="C1166" s="20" t="s">
        <x:v>5444</x:v>
      </x:c>
      <x:c r="D1166" s="24">
        <x:v>77</x:v>
      </x:c>
      <x:c r="E1166" s="24" t="s">
        <x:v>96</x:v>
      </x:c>
      <x:c r="F1166" s="20" t="s">
        <x:v>97</x:v>
      </x:c>
      <x:c r="G1166" s="26">
        <x:v>45438</x:v>
      </x:c>
      <x:c r="H1166" s="24" t="s">
        <x:v>5445</x:v>
      </x:c>
      <x:c r="I1166" s="28" t="s">
        <x:v>5446</x:v>
      </x:c>
      <x:c r="J1166" s="29" t="s">
        <x:v>5447</x:v>
      </x:c>
    </x:row>
    <x:row r="1167" ht="10.050000190734863" customHeight="1">
      <x:c r="A1167" s="21" t="s">
        <x:v>5448</x:v>
      </x:c>
      <x:c r="B1167" s="20" t="s">
        <x:v>5448</x:v>
      </x:c>
      <x:c r="C1167" s="20" t="s">
        <x:v>5444</x:v>
      </x:c>
      <x:c r="D1167" s="24">
        <x:v>59</x:v>
      </x:c>
      <x:c r="E1167" s="24" t="s">
        <x:v>103</x:v>
      </x:c>
      <x:c r="F1167" s="20" t="s">
        <x:v>97</x:v>
      </x:c>
      <x:c r="G1167" s="26">
        <x:v>43281</x:v>
      </x:c>
      <x:c r="H1167" s="24" t="s">
        <x:v>5449</x:v>
      </x:c>
      <x:c r="I1167" s="28" t="s">
        <x:v>5450</x:v>
      </x:c>
      <x:c r="J1167" s="29" t="s">
        <x:v>5451</x:v>
      </x:c>
    </x:row>
    <x:row r="1168" ht="10.050000190734863" customHeight="1">
      <x:c r="A1168" s="21" t="s">
        <x:v>5452</x:v>
      </x:c>
      <x:c r="B1168" s="20" t="s">
        <x:v>5453</x:v>
      </x:c>
      <x:c r="C1168" s="20" t="s">
        <x:v>5454</x:v>
      </x:c>
      <x:c r="D1168" s="24">
        <x:v>8</x:v>
      </x:c>
      <x:c r="E1168" s="24" t="s">
        <x:v>257</x:v>
      </x:c>
      <x:c r="F1168" s="20" t="s">
        <x:v>97</x:v>
      </x:c>
      <x:c r="G1168" s="26">
        <x:v>42221</x:v>
      </x:c>
      <x:c r="H1168" s="24" t="s">
        <x:v>5455</x:v>
      </x:c>
      <x:c r="I1168" s="28" t="s">
        <x:v>5456</x:v>
      </x:c>
      <x:c r="J1168" s="29" t="s">
        <x:v>5457</x:v>
      </x:c>
    </x:row>
    <x:row r="1169" ht="10.050000190734863" customHeight="1">
      <x:c r="A1169" s="21" t="s">
        <x:v>5458</x:v>
      </x:c>
      <x:c r="B1169" s="20" t="s">
        <x:v>5453</x:v>
      </x:c>
      <x:c r="C1169" s="20" t="s">
        <x:v>2437</x:v>
      </x:c>
      <x:c r="D1169" s="24">
        <x:v>27</x:v>
      </x:c>
      <x:c r="E1169" s="24" t="s">
        <x:v>103</x:v>
      </x:c>
      <x:c r="F1169" s="20" t="s">
        <x:v>97</x:v>
      </x:c>
      <x:c r="G1169" s="26">
        <x:v>42237</x:v>
      </x:c>
      <x:c r="H1169" s="24" t="s">
        <x:v>5459</x:v>
      </x:c>
      <x:c r="I1169" s="28" t="s">
        <x:v>5460</x:v>
      </x:c>
      <x:c r="J1169" s="29" t="s">
        <x:v>5461</x:v>
      </x:c>
    </x:row>
    <x:row r="1170" ht="10.050000190734863" customHeight="1">
      <x:c r="A1170" s="21" t="s">
        <x:v>5462</x:v>
      </x:c>
      <x:c r="B1170" s="20" t="s">
        <x:v>5462</x:v>
      </x:c>
      <x:c r="C1170" s="20" t="s">
        <x:v>2437</x:v>
      </x:c>
      <x:c r="D1170" s="24">
        <x:v>6</x:v>
      </x:c>
      <x:c r="E1170" s="24" t="s">
        <x:v>257</x:v>
      </x:c>
      <x:c r="F1170" s="20" t="s">
        <x:v>97</x:v>
      </x:c>
      <x:c r="G1170" s="26">
        <x:v>42587</x:v>
      </x:c>
      <x:c r="H1170" s="24" t="s">
        <x:v>5463</x:v>
      </x:c>
      <x:c r="I1170" s="28" t="s">
        <x:v>5464</x:v>
      </x:c>
      <x:c r="J1170" s="29" t="s">
        <x:v>5465</x:v>
      </x:c>
    </x:row>
    <x:row r="1171" ht="10.050000190734863" customHeight="1">
      <x:c r="A1171" s="21" t="s">
        <x:v>5466</x:v>
      </x:c>
      <x:c r="B1171" s="20" t="s">
        <x:v>5466</x:v>
      </x:c>
      <x:c r="C1171" s="20" t="s">
        <x:v>5467</x:v>
      </x:c>
      <x:c r="D1171" s="24">
        <x:v>1</x:v>
      </x:c>
      <x:c r="E1171" s="24" t="s">
        <x:v>96</x:v>
      </x:c>
      <x:c r="F1171" s="20" t="s">
        <x:v>97</x:v>
      </x:c>
      <x:c r="G1171" s="26">
        <x:v>42005</x:v>
      </x:c>
      <x:c r="H1171" s="24" t="s">
        <x:v>5468</x:v>
      </x:c>
      <x:c r="I1171" s="28" t="s">
        <x:v>5469</x:v>
      </x:c>
      <x:c r="J1171" s="29" t="s">
        <x:v>5470</x:v>
      </x:c>
    </x:row>
    <x:row r="1172" ht="10.050000190734863" customHeight="1">
      <x:c r="A1172" s="21" t="s">
        <x:v>5471</x:v>
      </x:c>
      <x:c r="B1172" s="20" t="s">
        <x:v>5471</x:v>
      </x:c>
      <x:c r="C1172" s="20" t="s">
        <x:v>317</x:v>
      </x:c>
      <x:c r="D1172" s="24">
        <x:v>17</x:v>
      </x:c>
      <x:c r="E1172" s="24" t="s">
        <x:v>89</x:v>
      </x:c>
      <x:c r="F1172" s="20" t="s">
        <x:v>90</x:v>
      </x:c>
      <x:c r="G1172" s="26">
        <x:v>45182</x:v>
      </x:c>
      <x:c r="H1172" s="24" t="s">
        <x:v>5472</x:v>
      </x:c>
      <x:c r="I1172" s="28" t="s">
        <x:v>5473</x:v>
      </x:c>
      <x:c r="J1172" s="29" t="s">
        <x:v>5474</x:v>
      </x:c>
    </x:row>
    <x:row r="1173" ht="10.050000190734863" customHeight="1">
      <x:c r="A1173" s="21" t="s">
        <x:v>5475</x:v>
      </x:c>
      <x:c r="B1173" s="20" t="s">
        <x:v>5475</x:v>
      </x:c>
      <x:c r="C1173" s="20" t="s">
        <x:v>2396</x:v>
      </x:c>
      <x:c r="D1173" s="24">
        <x:v>19</x:v>
      </x:c>
      <x:c r="E1173" s="24" t="s">
        <x:v>198</x:v>
      </x:c>
      <x:c r="F1173" s="20" t="s">
        <x:v>90</x:v>
      </x:c>
      <x:c r="G1173" s="26">
        <x:v>45399</x:v>
      </x:c>
      <x:c r="H1173" s="24" t="s">
        <x:v>5476</x:v>
      </x:c>
      <x:c r="I1173" s="28" t="s">
        <x:v>5477</x:v>
      </x:c>
      <x:c r="J1173" s="29" t="s">
        <x:v>5478</x:v>
      </x:c>
    </x:row>
    <x:row r="1174" ht="10.050000190734863" customHeight="1">
      <x:c r="A1174" s="21" t="s">
        <x:v>5479</x:v>
      </x:c>
      <x:c r="B1174" s="20" t="s">
        <x:v>5479</x:v>
      </x:c>
      <x:c r="C1174" s="20" t="s">
        <x:v>685</x:v>
      </x:c>
      <x:c r="D1174" s="24">
        <x:v>10</x:v>
      </x:c>
      <x:c r="E1174" s="24" t="s">
        <x:v>114</x:v>
      </x:c>
      <x:c r="F1174" s="20" t="s">
        <x:v>90</x:v>
      </x:c>
      <x:c r="G1174" s="26">
        <x:v>45022</x:v>
      </x:c>
      <x:c r="H1174" s="24" t="s">
        <x:v>5480</x:v>
      </x:c>
      <x:c r="I1174" s="28" t="s">
        <x:v>5481</x:v>
      </x:c>
      <x:c r="J1174" s="29" t="s">
        <x:v>5482</x:v>
      </x:c>
    </x:row>
    <x:row r="1175" ht="10.050000190734863" customHeight="1">
      <x:c r="A1175" s="21" t="s">
        <x:v>5483</x:v>
      </x:c>
      <x:c r="B1175" s="20" t="s">
        <x:v>5483</x:v>
      </x:c>
      <x:c r="C1175" s="20" t="s">
        <x:v>2013</x:v>
      </x:c>
      <x:c r="D1175" s="24">
        <x:v>7</x:v>
      </x:c>
      <x:c r="E1175" s="24" t="s">
        <x:v>89</x:v>
      </x:c>
      <x:c r="F1175" s="20" t="s">
        <x:v>90</x:v>
      </x:c>
      <x:c r="G1175" s="26">
        <x:v>44502</x:v>
      </x:c>
      <x:c r="H1175" s="24" t="s">
        <x:v>5484</x:v>
      </x:c>
      <x:c r="I1175" s="28" t="s">
        <x:v>5485</x:v>
      </x:c>
      <x:c r="J1175" s="29" t="s">
        <x:v>5486</x:v>
      </x:c>
    </x:row>
    <x:row r="1176" ht="10.050000190734863" customHeight="1">
      <x:c r="A1176" s="21" t="s">
        <x:v>5487</x:v>
      </x:c>
      <x:c r="B1176" s="20" t="s">
        <x:v>5487</x:v>
      </x:c>
      <x:c r="C1176" s="20" t="s">
        <x:v>5488</x:v>
      </x:c>
      <x:c r="D1176" s="24">
        <x:v>0</x:v>
      </x:c>
      <x:c r="E1176" s="24" t="s">
        <x:v>103</x:v>
      </x:c>
      <x:c r="F1176" s="20" t="s">
        <x:v>97</x:v>
      </x:c>
      <x:c r="G1176" s="26">
        <x:v>42113</x:v>
      </x:c>
      <x:c r="H1176" s="24" t="s">
        <x:v>5489</x:v>
      </x:c>
      <x:c r="I1176" s="28" t="s">
        <x:v>5490</x:v>
      </x:c>
      <x:c r="J1176" s="29" t="s">
        <x:v>5491</x:v>
      </x:c>
    </x:row>
    <x:row r="1177" ht="10.050000190734863" customHeight="1">
      <x:c r="A1177" s="21" t="s">
        <x:v>5492</x:v>
      </x:c>
      <x:c r="B1177" s="20" t="s">
        <x:v>5492</x:v>
      </x:c>
      <x:c r="C1177" s="20" t="s">
        <x:v>5493</x:v>
      </x:c>
      <x:c r="D1177" s="24">
        <x:v>25</x:v>
      </x:c>
      <x:c r="E1177" s="24" t="s">
        <x:v>89</x:v>
      </x:c>
      <x:c r="F1177" s="20" t="s">
        <x:v>90</x:v>
      </x:c>
      <x:c r="G1177" s="26">
        <x:v>45350</x:v>
      </x:c>
      <x:c r="H1177" s="24" t="s">
        <x:v>5494</x:v>
      </x:c>
      <x:c r="I1177" s="28" t="s">
        <x:v>5495</x:v>
      </x:c>
      <x:c r="J1177" s="29" t="s">
        <x:v>5496</x:v>
      </x:c>
    </x:row>
    <x:row r="1178" ht="10.050000190734863" customHeight="1">
      <x:c r="A1178" s="21" t="s">
        <x:v>5497</x:v>
      </x:c>
      <x:c r="B1178" s="20" t="s">
        <x:v>5497</x:v>
      </x:c>
      <x:c r="C1178" s="20" t="s">
        <x:v>5498</x:v>
      </x:c>
      <x:c r="D1178" s="24">
        <x:v>7</x:v>
      </x:c>
      <x:c r="E1178" s="24" t="s">
        <x:v>125</x:v>
      </x:c>
      <x:c r="F1178" s="20" t="s">
        <x:v>90</x:v>
      </x:c>
      <x:c r="G1178" s="26">
        <x:v>44148</x:v>
      </x:c>
      <x:c r="H1178" s="24" t="s">
        <x:v>5499</x:v>
      </x:c>
      <x:c r="I1178" s="28" t="s">
        <x:v>5500</x:v>
      </x:c>
      <x:c r="J1178" s="29" t="s">
        <x:v>5501</x:v>
      </x:c>
    </x:row>
    <x:row r="1179" ht="10.050000190734863" customHeight="1">
      <x:c r="A1179" s="21" t="s">
        <x:v>5502</x:v>
      </x:c>
      <x:c r="B1179" s="20" t="s">
        <x:v>5502</x:v>
      </x:c>
      <x:c r="C1179" s="20" t="s">
        <x:v>2742</x:v>
      </x:c>
      <x:c r="D1179" s="24">
        <x:v>26</x:v>
      </x:c>
      <x:c r="E1179" s="24" t="s">
        <x:v>198</x:v>
      </x:c>
      <x:c r="F1179" s="20" t="s">
        <x:v>90</x:v>
      </x:c>
      <x:c r="G1179" s="26">
        <x:v>45436</x:v>
      </x:c>
      <x:c r="H1179" s="24" t="s">
        <x:v>5503</x:v>
      </x:c>
      <x:c r="I1179" s="28" t="s">
        <x:v>5504</x:v>
      </x:c>
      <x:c r="J1179" s="29" t="s">
        <x:v>5505</x:v>
      </x:c>
    </x:row>
    <x:row r="1180" ht="10.050000190734863" customHeight="1">
      <x:c r="A1180" s="21" t="s">
        <x:v>5506</x:v>
      </x:c>
      <x:c r="B1180" s="20" t="s">
        <x:v>5506</x:v>
      </x:c>
      <x:c r="C1180" s="20" t="s">
        <x:v>5507</x:v>
      </x:c>
      <x:c r="D1180" s="24">
        <x:v>12</x:v>
      </x:c>
      <x:c r="E1180" s="24" t="s">
        <x:v>114</x:v>
      </x:c>
      <x:c r="F1180" s="20" t="s">
        <x:v>90</x:v>
      </x:c>
      <x:c r="G1180" s="26">
        <x:v>44373</x:v>
      </x:c>
      <x:c r="H1180" s="24" t="s">
        <x:v>5508</x:v>
      </x:c>
      <x:c r="I1180" s="28" t="s">
        <x:v>5509</x:v>
      </x:c>
      <x:c r="J1180" s="29" t="s">
        <x:v>5510</x:v>
      </x:c>
    </x:row>
    <x:row r="1181" ht="10.050000190734863" customHeight="1">
      <x:c r="A1181" s="21" t="s">
        <x:v>5511</x:v>
      </x:c>
      <x:c r="B1181" s="20" t="s">
        <x:v>5511</x:v>
      </x:c>
      <x:c r="C1181" s="20" t="s">
        <x:v>2202</x:v>
      </x:c>
      <x:c r="D1181" s="24">
        <x:v>0</x:v>
      </x:c>
      <x:c r="E1181" s="24" t="s">
        <x:v>89</x:v>
      </x:c>
      <x:c r="F1181" s="20" t="s">
        <x:v>90</x:v>
      </x:c>
      <x:c r="G1181" s="26">
        <x:v>44370</x:v>
      </x:c>
      <x:c r="H1181" s="24" t="s">
        <x:v>5512</x:v>
      </x:c>
      <x:c r="I1181" s="28" t="s">
        <x:v>5513</x:v>
      </x:c>
      <x:c r="J1181" s="29" t="s">
        <x:v>5514</x:v>
      </x:c>
    </x:row>
    <x:row r="1182" ht="10.050000190734863" customHeight="1">
      <x:c r="A1182" s="21" t="s">
        <x:v>5515</x:v>
      </x:c>
      <x:c r="B1182" s="20" t="s">
        <x:v>5515</x:v>
      </x:c>
      <x:c r="C1182" s="20" t="s">
        <x:v>3348</x:v>
      </x:c>
      <x:c r="D1182" s="24">
        <x:v>12</x:v>
      </x:c>
      <x:c r="E1182" s="24" t="s">
        <x:v>114</x:v>
      </x:c>
      <x:c r="F1182" s="20" t="s">
        <x:v>3171</x:v>
      </x:c>
      <x:c r="G1182" s="26">
        <x:v>44145</x:v>
      </x:c>
      <x:c r="H1182" s="24" t="s">
        <x:v>5516</x:v>
      </x:c>
      <x:c r="I1182" s="28" t="s">
        <x:v>5517</x:v>
      </x:c>
      <x:c r="J1182" s="29" t="s">
        <x:v>5518</x:v>
      </x:c>
    </x:row>
    <x:row r="1183" ht="10.050000190734863" customHeight="1">
      <x:c r="A1183" s="21" t="s">
        <x:v>5519</x:v>
      </x:c>
      <x:c r="B1183" s="20" t="s">
        <x:v>5519</x:v>
      </x:c>
      <x:c r="C1183" s="20" t="s">
        <x:v>4245</x:v>
      </x:c>
      <x:c r="D1183" s="24">
        <x:v>8</x:v>
      </x:c>
      <x:c r="E1183" s="24" t="s">
        <x:v>103</x:v>
      </x:c>
      <x:c r="F1183" s="20" t="s">
        <x:v>97</x:v>
      </x:c>
      <x:c r="G1183" s="26">
        <x:v>44873</x:v>
      </x:c>
      <x:c r="H1183" s="24" t="s">
        <x:v>5520</x:v>
      </x:c>
      <x:c r="I1183" s="28" t="s">
        <x:v>5521</x:v>
      </x:c>
      <x:c r="J1183" s="29" t="s">
        <x:v>5522</x:v>
      </x:c>
    </x:row>
    <x:row r="1184" ht="10.050000190734863" customHeight="1">
      <x:c r="A1184" s="21" t="s">
        <x:v>5523</x:v>
      </x:c>
      <x:c r="B1184" s="20" t="s">
        <x:v>5523</x:v>
      </x:c>
      <x:c r="C1184" s="20" t="s">
        <x:v>5524</x:v>
      </x:c>
      <x:c r="D1184" s="24">
        <x:v>4</x:v>
      </x:c>
      <x:c r="E1184" s="24" t="s">
        <x:v>96</x:v>
      </x:c>
      <x:c r="F1184" s="20" t="s">
        <x:v>90</x:v>
      </x:c>
      <x:c r="G1184" s="26">
        <x:v>44944</x:v>
      </x:c>
      <x:c r="H1184" s="24" t="s">
        <x:v>5525</x:v>
      </x:c>
      <x:c r="I1184" s="28" t="s">
        <x:v>5526</x:v>
      </x:c>
      <x:c r="J1184" s="29" t="s">
        <x:v>5527</x:v>
      </x:c>
    </x:row>
    <x:row r="1185" ht="10.050000190734863" customHeight="1">
      <x:c r="A1185" s="21" t="s">
        <x:v>5528</x:v>
      </x:c>
      <x:c r="B1185" s="20" t="s">
        <x:v>5528</x:v>
      </x:c>
      <x:c r="C1185" s="20" t="s">
        <x:v>2282</x:v>
      </x:c>
      <x:c r="D1185" s="24">
        <x:v>13</x:v>
      </x:c>
      <x:c r="E1185" s="24" t="s">
        <x:v>89</x:v>
      </x:c>
      <x:c r="F1185" s="20" t="s">
        <x:v>97</x:v>
      </x:c>
      <x:c r="G1185" s="26">
        <x:v>44134</x:v>
      </x:c>
      <x:c r="H1185" s="24" t="s">
        <x:v>5529</x:v>
      </x:c>
      <x:c r="I1185" s="28" t="s">
        <x:v>5530</x:v>
      </x:c>
      <x:c r="J1185" s="29" t="s">
        <x:v>5531</x:v>
      </x:c>
    </x:row>
    <x:row r="1186" ht="10.050000190734863" customHeight="1">
      <x:c r="A1186" s="21" t="s">
        <x:v>5532</x:v>
      </x:c>
      <x:c r="B1186" s="20" t="s">
        <x:v>5532</x:v>
      </x:c>
      <x:c r="C1186" s="20" t="s">
        <x:v>2067</x:v>
      </x:c>
      <x:c r="D1186" s="24">
        <x:v>6</x:v>
      </x:c>
      <x:c r="E1186" s="24" t="s">
        <x:v>89</x:v>
      </x:c>
      <x:c r="F1186" s="20" t="s">
        <x:v>97</x:v>
      </x:c>
      <x:c r="G1186" s="26">
        <x:v>45470</x:v>
      </x:c>
      <x:c r="H1186" s="24" t="s">
        <x:v>5533</x:v>
      </x:c>
      <x:c r="I1186" s="28" t="s">
        <x:v>5534</x:v>
      </x:c>
      <x:c r="J1186" s="29" t="s">
        <x:v>5535</x:v>
      </x:c>
    </x:row>
    <x:row r="1187" ht="10.050000190734863" customHeight="1">
      <x:c r="A1187" s="21" t="s">
        <x:v>5536</x:v>
      </x:c>
      <x:c r="B1187" s="20" t="s">
        <x:v>5536</x:v>
      </x:c>
      <x:c r="C1187" s="20" t="s">
        <x:v>2519</x:v>
      </x:c>
      <x:c r="D1187" s="24">
        <x:v>1</x:v>
      </x:c>
      <x:c r="E1187" s="24" t="s">
        <x:v>89</x:v>
      </x:c>
      <x:c r="F1187" s="20" t="s">
        <x:v>126</x:v>
      </x:c>
      <x:c r="G1187" s="26">
        <x:v>42772</x:v>
      </x:c>
      <x:c r="H1187" s="24" t="s">
        <x:v>5537</x:v>
      </x:c>
      <x:c r="I1187" s="28" t="s">
        <x:v>5538</x:v>
      </x:c>
      <x:c r="J1187" s="29" t="s">
        <x:v>5539</x:v>
      </x:c>
    </x:row>
    <x:row r="1188" ht="10.050000190734863" customHeight="1">
      <x:c r="A1188" s="21" t="s">
        <x:v>5540</x:v>
      </x:c>
      <x:c r="B1188" s="20" t="s">
        <x:v>5540</x:v>
      </x:c>
      <x:c r="C1188" s="20" t="s">
        <x:v>2033</x:v>
      </x:c>
      <x:c r="D1188" s="24">
        <x:v>13</x:v>
      </x:c>
      <x:c r="E1188" s="24" t="s">
        <x:v>103</x:v>
      </x:c>
      <x:c r="F1188" s="20" t="s">
        <x:v>97</x:v>
      </x:c>
      <x:c r="G1188" s="26">
        <x:v>42741</x:v>
      </x:c>
      <x:c r="H1188" s="24" t="s">
        <x:v>5541</x:v>
      </x:c>
      <x:c r="I1188" s="28" t="s">
        <x:v>5542</x:v>
      </x:c>
      <x:c r="J1188" s="29" t="s">
        <x:v>5543</x:v>
      </x:c>
    </x:row>
    <x:row r="1189" ht="10.050000190734863" customHeight="1">
      <x:c r="A1189" s="21" t="s">
        <x:v>5544</x:v>
      </x:c>
      <x:c r="B1189" s="20" t="s">
        <x:v>5544</x:v>
      </x:c>
      <x:c r="C1189" s="20" t="s">
        <x:v>5545</x:v>
      </x:c>
      <x:c r="D1189" s="24">
        <x:v>18</x:v>
      </x:c>
      <x:c r="E1189" s="24" t="s">
        <x:v>89</x:v>
      </x:c>
      <x:c r="F1189" s="20" t="s">
        <x:v>90</x:v>
      </x:c>
      <x:c r="G1189" s="26">
        <x:v>44183</x:v>
      </x:c>
      <x:c r="H1189" s="24" t="s">
        <x:v>5546</x:v>
      </x:c>
      <x:c r="I1189" s="28" t="s">
        <x:v>5547</x:v>
      </x:c>
      <x:c r="J1189" s="29" t="s">
        <x:v>5548</x:v>
      </x:c>
    </x:row>
    <x:row r="1190" ht="10.050000190734863" customHeight="1">
      <x:c r="A1190" s="21" t="s">
        <x:v>5549</x:v>
      </x:c>
      <x:c r="B1190" s="20" t="s">
        <x:v>5549</x:v>
      </x:c>
      <x:c r="C1190" s="20" t="s">
        <x:v>2609</x:v>
      </x:c>
      <x:c r="D1190" s="24">
        <x:v>10</x:v>
      </x:c>
      <x:c r="E1190" s="24" t="s">
        <x:v>114</x:v>
      </x:c>
      <x:c r="F1190" s="20" t="s">
        <x:v>90</x:v>
      </x:c>
      <x:c r="G1190" s="26">
        <x:v>45370</x:v>
      </x:c>
      <x:c r="H1190" s="24" t="s">
        <x:v>5550</x:v>
      </x:c>
      <x:c r="I1190" s="28" t="s">
        <x:v>5551</x:v>
      </x:c>
      <x:c r="J1190" s="29" t="s">
        <x:v>5552</x:v>
      </x:c>
    </x:row>
    <x:row r="1191" ht="10.050000190734863" customHeight="1">
      <x:c r="A1191" s="21" t="s">
        <x:v>5553</x:v>
      </x:c>
      <x:c r="B1191" s="20" t="s">
        <x:v>5553</x:v>
      </x:c>
      <x:c r="C1191" s="20" t="s">
        <x:v>2501</x:v>
      </x:c>
      <x:c r="D1191" s="24">
        <x:v>15</x:v>
      </x:c>
      <x:c r="E1191" s="24" t="s">
        <x:v>89</x:v>
      </x:c>
      <x:c r="F1191" s="20" t="s">
        <x:v>90</x:v>
      </x:c>
      <x:c r="G1191" s="26">
        <x:v>44054</x:v>
      </x:c>
      <x:c r="H1191" s="24" t="s">
        <x:v>5554</x:v>
      </x:c>
      <x:c r="I1191" s="28" t="s">
        <x:v>5555</x:v>
      </x:c>
      <x:c r="J1191" s="29" t="s">
        <x:v>5556</x:v>
      </x:c>
    </x:row>
    <x:row r="1192" ht="10.050000190734863" customHeight="1">
      <x:c r="A1192" s="21" t="s">
        <x:v>5557</x:v>
      </x:c>
      <x:c r="B1192" s="20" t="s">
        <x:v>5557</x:v>
      </x:c>
      <x:c r="C1192" s="20" t="s">
        <x:v>1969</x:v>
      </x:c>
      <x:c r="D1192" s="24">
        <x:v>3</x:v>
      </x:c>
      <x:c r="E1192" s="24" t="s">
        <x:v>114</x:v>
      </x:c>
      <x:c r="F1192" s="20" t="s">
        <x:v>90</x:v>
      </x:c>
      <x:c r="G1192" s="26">
        <x:v>45118</x:v>
      </x:c>
      <x:c r="H1192" s="24" t="s">
        <x:v>5558</x:v>
      </x:c>
      <x:c r="I1192" s="28" t="s">
        <x:v>5559</x:v>
      </x:c>
      <x:c r="J1192" s="29" t="s">
        <x:v>5560</x:v>
      </x:c>
    </x:row>
    <x:row r="1193" ht="10.050000190734863" customHeight="1">
      <x:c r="A1193" s="21" t="s">
        <x:v>5561</x:v>
      </x:c>
      <x:c r="B1193" s="20" t="s">
        <x:v>5561</x:v>
      </x:c>
      <x:c r="C1193" s="20" t="s">
        <x:v>5498</x:v>
      </x:c>
      <x:c r="D1193" s="24">
        <x:v>1</x:v>
      </x:c>
      <x:c r="E1193" s="24" t="s">
        <x:v>125</x:v>
      </x:c>
      <x:c r="F1193" s="20" t="s">
        <x:v>90</x:v>
      </x:c>
      <x:c r="G1193" s="26">
        <x:v>44467</x:v>
      </x:c>
      <x:c r="H1193" s="24" t="s">
        <x:v>5562</x:v>
      </x:c>
      <x:c r="I1193" s="28" t="s">
        <x:v>5563</x:v>
      </x:c>
      <x:c r="J1193" s="29" t="s">
        <x:v>5564</x:v>
      </x:c>
    </x:row>
    <x:row r="1194" ht="10.050000190734863" customHeight="1">
      <x:c r="A1194" s="21" t="s">
        <x:v>5565</x:v>
      </x:c>
      <x:c r="B1194" s="20" t="s">
        <x:v>5565</x:v>
      </x:c>
      <x:c r="C1194" s="20" t="s">
        <x:v>5566</x:v>
      </x:c>
      <x:c r="D1194" s="24">
        <x:v>5</x:v>
      </x:c>
      <x:c r="E1194" s="24" t="s">
        <x:v>96</x:v>
      </x:c>
      <x:c r="F1194" s="20" t="s">
        <x:v>152</x:v>
      </x:c>
      <x:c r="G1194" s="26">
        <x:v>43917</x:v>
      </x:c>
      <x:c r="H1194" s="24" t="s">
        <x:v>5567</x:v>
      </x:c>
      <x:c r="I1194" s="28" t="s">
        <x:v>5568</x:v>
      </x:c>
      <x:c r="J1194" s="29" t="s">
        <x:v>5569</x:v>
      </x:c>
    </x:row>
    <x:row r="1195" ht="10.050000190734863" customHeight="1">
      <x:c r="A1195" s="21" t="s">
        <x:v>5570</x:v>
      </x:c>
      <x:c r="B1195" s="20" t="s">
        <x:v>5570</x:v>
      </x:c>
      <x:c r="C1195" s="20" t="s">
        <x:v>282</x:v>
      </x:c>
      <x:c r="D1195" s="24">
        <x:v>6</x:v>
      </x:c>
      <x:c r="E1195" s="24" t="s">
        <x:v>103</x:v>
      </x:c>
      <x:c r="F1195" s="20" t="s">
        <x:v>97</x:v>
      </x:c>
      <x:c r="G1195" s="26">
        <x:v>43432</x:v>
      </x:c>
      <x:c r="H1195" s="24" t="s">
        <x:v>5571</x:v>
      </x:c>
      <x:c r="I1195" s="28" t="s">
        <x:v>5572</x:v>
      </x:c>
      <x:c r="J1195" s="29" t="s">
        <x:v>5573</x:v>
      </x:c>
    </x:row>
    <x:row r="1196" ht="10.050000190734863" customHeight="1">
      <x:c r="A1196" s="21" t="s">
        <x:v>5574</x:v>
      </x:c>
      <x:c r="B1196" s="20" t="s">
        <x:v>5574</x:v>
      </x:c>
      <x:c r="C1196" s="20" t="s">
        <x:v>282</x:v>
      </x:c>
      <x:c r="D1196" s="24">
        <x:v>12</x:v>
      </x:c>
      <x:c r="E1196" s="24" t="s">
        <x:v>103</x:v>
      </x:c>
      <x:c r="F1196" s="20" t="s">
        <x:v>97</x:v>
      </x:c>
      <x:c r="G1196" s="26">
        <x:v>43385</x:v>
      </x:c>
      <x:c r="H1196" s="24" t="s">
        <x:v>5575</x:v>
      </x:c>
      <x:c r="I1196" s="28" t="s">
        <x:v>5576</x:v>
      </x:c>
      <x:c r="J1196" s="29" t="s">
        <x:v>5577</x:v>
      </x:c>
    </x:row>
    <x:row r="1197" ht="10.050000190734863" customHeight="1">
      <x:c r="A1197" s="21" t="s">
        <x:v>5578</x:v>
      </x:c>
      <x:c r="B1197" s="20" t="s">
        <x:v>5578</x:v>
      </x:c>
      <x:c r="C1197" s="20" t="s">
        <x:v>282</x:v>
      </x:c>
      <x:c r="D1197" s="24">
        <x:v>10</x:v>
      </x:c>
      <x:c r="E1197" s="24" t="s">
        <x:v>103</x:v>
      </x:c>
      <x:c r="F1197" s="20" t="s">
        <x:v>97</x:v>
      </x:c>
      <x:c r="G1197" s="26">
        <x:v>43474</x:v>
      </x:c>
      <x:c r="H1197" s="24" t="s">
        <x:v>5579</x:v>
      </x:c>
      <x:c r="I1197" s="28" t="s">
        <x:v>5580</x:v>
      </x:c>
      <x:c r="J1197" s="29" t="s">
        <x:v>5581</x:v>
      </x:c>
    </x:row>
    <x:row r="1198" ht="10.050000190734863" customHeight="1">
      <x:c r="A1198" s="21" t="s">
        <x:v>5582</x:v>
      </x:c>
      <x:c r="B1198" s="20" t="s">
        <x:v>5582</x:v>
      </x:c>
      <x:c r="C1198" s="20" t="s">
        <x:v>282</x:v>
      </x:c>
      <x:c r="D1198" s="24">
        <x:v>11</x:v>
      </x:c>
      <x:c r="E1198" s="24" t="s">
        <x:v>103</x:v>
      </x:c>
      <x:c r="F1198" s="20" t="s">
        <x:v>97</x:v>
      </x:c>
      <x:c r="G1198" s="26">
        <x:v>43586</x:v>
      </x:c>
      <x:c r="H1198" s="24" t="s">
        <x:v>5583</x:v>
      </x:c>
      <x:c r="I1198" s="28" t="s">
        <x:v>5584</x:v>
      </x:c>
      <x:c r="J1198" s="29" t="s">
        <x:v>5585</x:v>
      </x:c>
    </x:row>
    <x:row r="1199" ht="10.050000190734863" customHeight="1">
      <x:c r="A1199" s="21" t="s">
        <x:v>5586</x:v>
      </x:c>
      <x:c r="B1199" s="20" t="s">
        <x:v>5586</x:v>
      </x:c>
      <x:c r="C1199" s="20" t="s">
        <x:v>2048</x:v>
      </x:c>
      <x:c r="D1199" s="24">
        <x:v>20</x:v>
      </x:c>
      <x:c r="E1199" s="24" t="s">
        <x:v>114</x:v>
      </x:c>
      <x:c r="F1199" s="20" t="s">
        <x:v>90</x:v>
      </x:c>
      <x:c r="G1199" s="26">
        <x:v>44208</x:v>
      </x:c>
      <x:c r="H1199" s="24" t="s">
        <x:v>5587</x:v>
      </x:c>
      <x:c r="I1199" s="28" t="s">
        <x:v>5588</x:v>
      </x:c>
      <x:c r="J1199" s="29" t="s">
        <x:v>5589</x:v>
      </x:c>
    </x:row>
    <x:row r="1200" ht="10.050000190734863" customHeight="1">
      <x:c r="A1200" s="21" t="s">
        <x:v>5590</x:v>
      </x:c>
      <x:c r="B1200" s="20" t="s">
        <x:v>5590</x:v>
      </x:c>
      <x:c r="C1200" s="20" t="s">
        <x:v>5591</x:v>
      </x:c>
      <x:c r="D1200" s="24">
        <x:v>40</x:v>
      </x:c>
      <x:c r="E1200" s="24" t="s">
        <x:v>103</x:v>
      </x:c>
      <x:c r="F1200" s="20" t="s">
        <x:v>2469</x:v>
      </x:c>
      <x:c r="G1200" s="26">
        <x:v>45537</x:v>
      </x:c>
      <x:c r="H1200" s="24" t="s">
        <x:v>5592</x:v>
      </x:c>
      <x:c r="I1200" s="28" t="s">
        <x:v>5593</x:v>
      </x:c>
      <x:c r="J1200" s="29" t="s">
        <x:v>5594</x:v>
      </x:c>
    </x:row>
    <x:row r="1201" ht="10.050000190734863" customHeight="1">
      <x:c r="A1201" s="21" t="s">
        <x:v>5595</x:v>
      </x:c>
      <x:c r="B1201" s="20" t="s">
        <x:v>5595</x:v>
      </x:c>
      <x:c r="C1201" s="20" t="s">
        <x:v>5596</x:v>
      </x:c>
      <x:c r="D1201" s="24">
        <x:v>43</x:v>
      </x:c>
      <x:c r="E1201" s="24" t="s">
        <x:v>89</x:v>
      </x:c>
      <x:c r="F1201" s="20" t="s">
        <x:v>97</x:v>
      </x:c>
      <x:c r="G1201" s="26">
        <x:v>43217</x:v>
      </x:c>
      <x:c r="H1201" s="24" t="s">
        <x:v>5597</x:v>
      </x:c>
      <x:c r="I1201" s="28" t="s">
        <x:v>5598</x:v>
      </x:c>
      <x:c r="J1201" s="29" t="s">
        <x:v>5599</x:v>
      </x:c>
    </x:row>
    <x:row r="1202" ht="10.050000190734863" customHeight="1">
      <x:c r="A1202" s="21" t="s">
        <x:v>5600</x:v>
      </x:c>
      <x:c r="B1202" s="20" t="s">
        <x:v>5600</x:v>
      </x:c>
      <x:c r="C1202" s="20" t="s">
        <x:v>5601</x:v>
      </x:c>
      <x:c r="D1202" s="24">
        <x:v>8</x:v>
      </x:c>
      <x:c r="E1202" s="24" t="s">
        <x:v>257</x:v>
      </x:c>
      <x:c r="F1202" s="20" t="s">
        <x:v>97</x:v>
      </x:c>
      <x:c r="G1202" s="26">
        <x:v>42232</x:v>
      </x:c>
      <x:c r="H1202" s="24" t="s">
        <x:v>5602</x:v>
      </x:c>
      <x:c r="I1202" s="28" t="s">
        <x:v>5603</x:v>
      </x:c>
      <x:c r="J1202" s="29" t="s">
        <x:v>5604</x:v>
      </x:c>
    </x:row>
    <x:row r="1203" ht="10.050000190734863" customHeight="1">
      <x:c r="A1203" s="21" t="s">
        <x:v>5605</x:v>
      </x:c>
      <x:c r="B1203" s="20" t="s">
        <x:v>5605</x:v>
      </x:c>
      <x:c r="C1203" s="20" t="s">
        <x:v>2609</x:v>
      </x:c>
      <x:c r="D1203" s="24">
        <x:v>17</x:v>
      </x:c>
      <x:c r="E1203" s="24" t="s">
        <x:v>114</x:v>
      </x:c>
      <x:c r="F1203" s="20" t="s">
        <x:v>90</x:v>
      </x:c>
      <x:c r="G1203" s="26">
        <x:v>44173</x:v>
      </x:c>
      <x:c r="H1203" s="24" t="s">
        <x:v>5606</x:v>
      </x:c>
      <x:c r="I1203" s="28" t="s">
        <x:v>5607</x:v>
      </x:c>
      <x:c r="J1203" s="29" t="s">
        <x:v>5608</x:v>
      </x:c>
    </x:row>
    <x:row r="1204" ht="10.050000190734863" customHeight="1">
      <x:c r="A1204" s="21" t="s">
        <x:v>5609</x:v>
      </x:c>
      <x:c r="B1204" s="20" t="s">
        <x:v>5609</x:v>
      </x:c>
      <x:c r="C1204" s="20" t="s">
        <x:v>1407</x:v>
      </x:c>
      <x:c r="D1204" s="24">
        <x:v>8</x:v>
      </x:c>
      <x:c r="E1204" s="24" t="s">
        <x:v>198</x:v>
      </x:c>
      <x:c r="F1204" s="20" t="s">
        <x:v>90</x:v>
      </x:c>
      <x:c r="G1204" s="26">
        <x:v>45800</x:v>
      </x:c>
      <x:c r="H1204" s="24" t="s">
        <x:v>5610</x:v>
      </x:c>
      <x:c r="I1204" s="28" t="s">
        <x:v>5611</x:v>
      </x:c>
      <x:c r="J1204" s="29" t="s">
        <x:v>5612</x:v>
      </x:c>
    </x:row>
    <x:row r="1205" ht="10.050000190734863" customHeight="1">
      <x:c r="A1205" s="21" t="s">
        <x:v>5613</x:v>
      </x:c>
      <x:c r="B1205" s="20" t="s">
        <x:v>5613</x:v>
      </x:c>
      <x:c r="C1205" s="20" t="s">
        <x:v>5614</x:v>
      </x:c>
      <x:c r="D1205" s="24">
        <x:v>4</x:v>
      </x:c>
      <x:c r="E1205" s="24" t="s">
        <x:v>103</x:v>
      </x:c>
      <x:c r="F1205" s="20" t="s">
        <x:v>97</x:v>
      </x:c>
      <x:c r="G1205" s="26">
        <x:v>46202</x:v>
      </x:c>
      <x:c r="H1205" s="24" t="s">
        <x:v>5615</x:v>
      </x:c>
      <x:c r="I1205" s="28" t="s">
        <x:v>5616</x:v>
      </x:c>
      <x:c r="J1205" s="29" t="s">
        <x:v>5617</x:v>
      </x:c>
    </x:row>
    <x:row r="1206" ht="10.050000190734863" customHeight="1">
      <x:c r="A1206" s="21" t="s">
        <x:v>5618</x:v>
      </x:c>
      <x:c r="B1206" s="20" t="s">
        <x:v>5618</x:v>
      </x:c>
      <x:c r="C1206" s="20" t="s">
        <x:v>5619</x:v>
      </x:c>
      <x:c r="D1206" s="24">
        <x:v>8</x:v>
      </x:c>
      <x:c r="E1206" s="24" t="s">
        <x:v>103</x:v>
      </x:c>
      <x:c r="F1206" s="20" t="s">
        <x:v>97</x:v>
      </x:c>
      <x:c r="G1206" s="26">
        <x:v>43796</x:v>
      </x:c>
      <x:c r="H1206" s="24" t="s">
        <x:v>5620</x:v>
      </x:c>
      <x:c r="I1206" s="28" t="s">
        <x:v>5621</x:v>
      </x:c>
      <x:c r="J1206" s="29" t="s">
        <x:v>5622</x:v>
      </x:c>
    </x:row>
    <x:row r="1207" ht="10.050000190734863" customHeight="1">
      <x:c r="A1207" s="21" t="s">
        <x:v>5623</x:v>
      </x:c>
      <x:c r="B1207" s="20" t="s">
        <x:v>5623</x:v>
      </x:c>
      <x:c r="C1207" s="20" t="s">
        <x:v>409</x:v>
      </x:c>
      <x:c r="D1207" s="24">
        <x:v>6</x:v>
      </x:c>
      <x:c r="E1207" s="24" t="s">
        <x:v>89</x:v>
      </x:c>
      <x:c r="F1207" s="20" t="s">
        <x:v>90</x:v>
      </x:c>
      <x:c r="G1207" s="26">
        <x:v>44336</x:v>
      </x:c>
      <x:c r="H1207" s="24" t="s">
        <x:v>5624</x:v>
      </x:c>
      <x:c r="I1207" s="28" t="s">
        <x:v>5625</x:v>
      </x:c>
      <x:c r="J1207" s="29" t="s">
        <x:v>5626</x:v>
      </x:c>
    </x:row>
    <x:row r="1208" ht="10.050000190734863" customHeight="1">
      <x:c r="A1208" s="21" t="s">
        <x:v>5627</x:v>
      </x:c>
      <x:c r="B1208" s="20" t="s">
        <x:v>5627</x:v>
      </x:c>
      <x:c r="C1208" s="20" t="s">
        <x:v>409</x:v>
      </x:c>
      <x:c r="D1208" s="24">
        <x:v>11</x:v>
      </x:c>
      <x:c r="E1208" s="24" t="s">
        <x:v>198</x:v>
      </x:c>
      <x:c r="F1208" s="20" t="s">
        <x:v>90</x:v>
      </x:c>
      <x:c r="G1208" s="26">
        <x:v>43875</x:v>
      </x:c>
      <x:c r="H1208" s="24" t="s">
        <x:v>5628</x:v>
      </x:c>
      <x:c r="I1208" s="28" t="s">
        <x:v>5629</x:v>
      </x:c>
      <x:c r="J1208" s="29" t="s">
        <x:v>5630</x:v>
      </x:c>
    </x:row>
    <x:row r="1209" ht="10.050000190734863" customHeight="1">
      <x:c r="A1209" s="21" t="s">
        <x:v>5631</x:v>
      </x:c>
      <x:c r="B1209" s="20" t="s">
        <x:v>5631</x:v>
      </x:c>
      <x:c r="C1209" s="20" t="s">
        <x:v>1157</x:v>
      </x:c>
      <x:c r="D1209" s="24">
        <x:v>25</x:v>
      </x:c>
      <x:c r="E1209" s="24" t="s">
        <x:v>96</x:v>
      </x:c>
      <x:c r="F1209" s="20" t="s">
        <x:v>97</x:v>
      </x:c>
      <x:c r="G1209" s="26">
        <x:v>42926</x:v>
      </x:c>
      <x:c r="H1209" s="24" t="s">
        <x:v>5632</x:v>
      </x:c>
      <x:c r="I1209" s="28" t="s">
        <x:v>5633</x:v>
      </x:c>
      <x:c r="J1209" s="29" t="s">
        <x:v>5634</x:v>
      </x:c>
    </x:row>
    <x:row r="1210" ht="10.050000190734863" customHeight="1">
      <x:c r="A1210" s="21" t="s">
        <x:v>5635</x:v>
      </x:c>
      <x:c r="B1210" s="20" t="s">
        <x:v>5635</x:v>
      </x:c>
      <x:c r="C1210" s="20" t="s">
        <x:v>1334</x:v>
      </x:c>
      <x:c r="D1210" s="24">
        <x:v>7</x:v>
      </x:c>
      <x:c r="E1210" s="24" t="s">
        <x:v>103</x:v>
      </x:c>
      <x:c r="F1210" s="20" t="s">
        <x:v>97</x:v>
      </x:c>
      <x:c r="G1210" s="26">
        <x:v>41781</x:v>
      </x:c>
      <x:c r="H1210" s="24" t="s">
        <x:v>5636</x:v>
      </x:c>
      <x:c r="I1210" s="28" t="s">
        <x:v>5637</x:v>
      </x:c>
      <x:c r="J1210" s="29" t="s">
        <x:v>5638</x:v>
      </x:c>
    </x:row>
    <x:row r="1211" ht="10.050000190734863" customHeight="1">
      <x:c r="A1211" s="21" t="s">
        <x:v>5639</x:v>
      </x:c>
      <x:c r="B1211" s="20" t="s">
        <x:v>5639</x:v>
      </x:c>
      <x:c r="C1211" s="20" t="s">
        <x:v>167</x:v>
      </x:c>
      <x:c r="D1211" s="24">
        <x:v>66</x:v>
      </x:c>
      <x:c r="E1211" s="24" t="s">
        <x:v>96</x:v>
      </x:c>
      <x:c r="F1211" s="20" t="s">
        <x:v>97</x:v>
      </x:c>
      <x:c r="G1211" s="26">
        <x:v>44641</x:v>
      </x:c>
      <x:c r="H1211" s="24" t="s">
        <x:v>5640</x:v>
      </x:c>
      <x:c r="I1211" s="28" t="s">
        <x:v>5641</x:v>
      </x:c>
      <x:c r="J1211" s="29" t="s">
        <x:v>5642</x:v>
      </x:c>
    </x:row>
    <x:row r="1212" ht="10.050000190734863" customHeight="1">
      <x:c r="A1212" s="21" t="s">
        <x:v>5643</x:v>
      </x:c>
      <x:c r="B1212" s="20" t="s">
        <x:v>5643</x:v>
      </x:c>
      <x:c r="C1212" s="20" t="s">
        <x:v>167</x:v>
      </x:c>
      <x:c r="D1212" s="24">
        <x:v>89</x:v>
      </x:c>
      <x:c r="E1212" s="24" t="s">
        <x:v>96</x:v>
      </x:c>
      <x:c r="F1212" s="20" t="s">
        <x:v>97</x:v>
      </x:c>
      <x:c r="G1212" s="26">
        <x:v>44771</x:v>
      </x:c>
      <x:c r="H1212" s="24" t="s">
        <x:v>5644</x:v>
      </x:c>
      <x:c r="I1212" s="28" t="s">
        <x:v>5645</x:v>
      </x:c>
      <x:c r="J1212" s="29" t="s">
        <x:v>5646</x:v>
      </x:c>
    </x:row>
    <x:row r="1213" ht="10.050000190734863" customHeight="1">
      <x:c r="A1213" s="21" t="s">
        <x:v>5647</x:v>
      </x:c>
      <x:c r="B1213" s="20" t="s">
        <x:v>5647</x:v>
      </x:c>
      <x:c r="C1213" s="20" t="s">
        <x:v>5648</x:v>
      </x:c>
      <x:c r="D1213" s="24">
        <x:v>17</x:v>
      </x:c>
      <x:c r="E1213" s="24" t="s">
        <x:v>198</x:v>
      </x:c>
      <x:c r="F1213" s="20" t="s">
        <x:v>90</x:v>
      </x:c>
      <x:c r="G1213" s="26">
        <x:v>44158</x:v>
      </x:c>
      <x:c r="H1213" s="24" t="s">
        <x:v>5649</x:v>
      </x:c>
      <x:c r="I1213" s="28" t="s">
        <x:v>5650</x:v>
      </x:c>
      <x:c r="J1213" s="29" t="s">
        <x:v>5651</x:v>
      </x:c>
    </x:row>
    <x:row r="1214" ht="10.050000190734863" customHeight="1">
      <x:c r="A1214" s="21" t="s">
        <x:v>5652</x:v>
      </x:c>
      <x:c r="B1214" s="20" t="s">
        <x:v>5652</x:v>
      </x:c>
      <x:c r="C1214" s="20" t="s">
        <x:v>5653</x:v>
      </x:c>
      <x:c r="D1214" s="24">
        <x:v>3</x:v>
      </x:c>
      <x:c r="E1214" s="24" t="s">
        <x:v>103</x:v>
      </x:c>
      <x:c r="F1214" s="20" t="s">
        <x:v>97</x:v>
      </x:c>
      <x:c r="G1214" s="26">
        <x:v>43669</x:v>
      </x:c>
      <x:c r="H1214" s="24" t="s">
        <x:v>5654</x:v>
      </x:c>
      <x:c r="I1214" s="28" t="s">
        <x:v>5655</x:v>
      </x:c>
      <x:c r="J1214" s="29" t="s">
        <x:v>5656</x:v>
      </x:c>
    </x:row>
    <x:row r="1215" ht="10.050000190734863" customHeight="1">
      <x:c r="A1215" s="21" t="s">
        <x:v>5657</x:v>
      </x:c>
      <x:c r="B1215" s="20" t="s">
        <x:v>5657</x:v>
      </x:c>
      <x:c r="C1215" s="20" t="s">
        <x:v>5658</x:v>
      </x:c>
      <x:c r="D1215" s="24">
        <x:v>16</x:v>
      </x:c>
      <x:c r="E1215" s="24" t="s">
        <x:v>198</x:v>
      </x:c>
      <x:c r="F1215" s="20" t="s">
        <x:v>5659</x:v>
      </x:c>
      <x:c r="G1215" s="26">
        <x:v>45944</x:v>
      </x:c>
      <x:c r="H1215" s="24" t="s">
        <x:v>5660</x:v>
      </x:c>
      <x:c r="I1215" s="28" t="s">
        <x:v>5661</x:v>
      </x:c>
      <x:c r="J1215" s="29" t="s">
        <x:v>5662</x:v>
      </x:c>
    </x:row>
    <x:row r="1216" ht="10.050000190734863" customHeight="1">
      <x:c r="A1216" s="21" t="s">
        <x:v>5663</x:v>
      </x:c>
      <x:c r="B1216" s="20" t="s">
        <x:v>5663</x:v>
      </x:c>
      <x:c r="C1216" s="20" t="s">
        <x:v>3747</x:v>
      </x:c>
      <x:c r="D1216" s="24">
        <x:v>8</x:v>
      </x:c>
      <x:c r="E1216" s="24" t="s">
        <x:v>114</x:v>
      </x:c>
      <x:c r="F1216" s="20" t="s">
        <x:v>90</x:v>
      </x:c>
      <x:c r="G1216" s="26">
        <x:v>45033</x:v>
      </x:c>
      <x:c r="H1216" s="24" t="s">
        <x:v>5664</x:v>
      </x:c>
      <x:c r="I1216" s="28" t="s">
        <x:v>5665</x:v>
      </x:c>
      <x:c r="J1216" s="29" t="s">
        <x:v>5666</x:v>
      </x:c>
    </x:row>
    <x:row r="1217" ht="10.050000190734863" customHeight="1">
      <x:c r="A1217" s="21" t="s">
        <x:v>5667</x:v>
      </x:c>
      <x:c r="B1217" s="20" t="s">
        <x:v>5667</x:v>
      </x:c>
      <x:c r="C1217" s="20" t="s">
        <x:v>5668</x:v>
      </x:c>
      <x:c r="D1217" s="24">
        <x:v>69</x:v>
      </x:c>
      <x:c r="E1217" s="24" t="s">
        <x:v>125</x:v>
      </x:c>
      <x:c r="F1217" s="20" t="s">
        <x:v>90</x:v>
      </x:c>
      <x:c r="G1217" s="26">
        <x:v>45818</x:v>
      </x:c>
      <x:c r="H1217" s="24" t="s">
        <x:v>5669</x:v>
      </x:c>
      <x:c r="I1217" s="28" t="s">
        <x:v>5670</x:v>
      </x:c>
      <x:c r="J1217" s="29" t="s">
        <x:v>5671</x:v>
      </x:c>
    </x:row>
    <x:row r="1218" ht="10.050000190734863" customHeight="1">
      <x:c r="A1218" s="21" t="s">
        <x:v>5672</x:v>
      </x:c>
      <x:c r="B1218" s="20" t="s">
        <x:v>5672</x:v>
      </x:c>
      <x:c r="C1218" s="20" t="s">
        <x:v>5673</x:v>
      </x:c>
      <x:c r="D1218" s="24">
        <x:v>1</x:v>
      </x:c>
      <x:c r="E1218" s="24" t="s">
        <x:v>103</x:v>
      </x:c>
      <x:c r="F1218" s="20" t="s">
        <x:v>97</x:v>
      </x:c>
      <x:c r="G1218" s="26">
        <x:v>44163</x:v>
      </x:c>
      <x:c r="H1218" s="24" t="s">
        <x:v>5674</x:v>
      </x:c>
      <x:c r="I1218" s="28" t="s">
        <x:v>5675</x:v>
      </x:c>
      <x:c r="J1218" s="29" t="s">
        <x:v>5676</x:v>
      </x:c>
    </x:row>
    <x:row r="1219" ht="10.050000190734863" customHeight="1">
      <x:c r="A1219" s="21" t="s">
        <x:v>5677</x:v>
      </x:c>
      <x:c r="B1219" s="20" t="s">
        <x:v>5677</x:v>
      </x:c>
      <x:c r="C1219" s="20" t="s">
        <x:v>5678</x:v>
      </x:c>
      <x:c r="D1219" s="24">
        <x:v>38</x:v>
      </x:c>
      <x:c r="E1219" s="24" t="s">
        <x:v>96</x:v>
      </x:c>
      <x:c r="F1219" s="20" t="s">
        <x:v>5679</x:v>
      </x:c>
      <x:c r="G1219" s="26">
        <x:v>42374</x:v>
      </x:c>
      <x:c r="H1219" s="24" t="s">
        <x:v>5680</x:v>
      </x:c>
      <x:c r="I1219" s="28" t="s">
        <x:v>5681</x:v>
      </x:c>
      <x:c r="J1219" s="29" t="s">
        <x:v>5682</x:v>
      </x:c>
    </x:row>
    <x:row r="1220" ht="10.050000190734863" customHeight="1">
      <x:c r="A1220" s="21" t="s">
        <x:v>5683</x:v>
      </x:c>
      <x:c r="B1220" s="20" t="s">
        <x:v>5683</x:v>
      </x:c>
      <x:c r="C1220" s="20" t="s">
        <x:v>5684</x:v>
      </x:c>
      <x:c r="D1220" s="24">
        <x:v>57</x:v>
      </x:c>
      <x:c r="E1220" s="24" t="s">
        <x:v>89</x:v>
      </x:c>
      <x:c r="F1220" s="20" t="s">
        <x:v>5679</x:v>
      </x:c>
      <x:c r="G1220" s="26">
        <x:v>42751</x:v>
      </x:c>
      <x:c r="H1220" s="24" t="s">
        <x:v>5685</x:v>
      </x:c>
      <x:c r="I1220" s="28" t="s">
        <x:v>5686</x:v>
      </x:c>
      <x:c r="J1220" s="29" t="s">
        <x:v>5687</x:v>
      </x:c>
    </x:row>
    <x:row r="1221" ht="10.050000190734863" customHeight="1">
      <x:c r="A1221" s="21" t="s">
        <x:v>5688</x:v>
      </x:c>
      <x:c r="B1221" s="20" t="s">
        <x:v>5688</x:v>
      </x:c>
      <x:c r="C1221" s="20" t="s">
        <x:v>5678</x:v>
      </x:c>
      <x:c r="D1221" s="24">
        <x:v>64</x:v>
      </x:c>
      <x:c r="E1221" s="24" t="s">
        <x:v>89</x:v>
      </x:c>
      <x:c r="F1221" s="20" t="s">
        <x:v>5679</x:v>
      </x:c>
      <x:c r="G1221" s="26">
        <x:v>42750</x:v>
      </x:c>
      <x:c r="H1221" s="24" t="s">
        <x:v>5689</x:v>
      </x:c>
      <x:c r="I1221" s="28" t="s">
        <x:v>5690</x:v>
      </x:c>
      <x:c r="J1221" s="29" t="s">
        <x:v>5691</x:v>
      </x:c>
    </x:row>
    <x:row r="1222" ht="10.050000190734863" customHeight="1">
      <x:c r="A1222" s="21" t="s">
        <x:v>5692</x:v>
      </x:c>
      <x:c r="B1222" s="20" t="s">
        <x:v>5692</x:v>
      </x:c>
      <x:c r="C1222" s="20" t="s">
        <x:v>1427</x:v>
      </x:c>
      <x:c r="D1222" s="24">
        <x:v>10</x:v>
      </x:c>
      <x:c r="E1222" s="24" t="s">
        <x:v>89</x:v>
      </x:c>
      <x:c r="F1222" s="20" t="s">
        <x:v>90</x:v>
      </x:c>
      <x:c r="G1222" s="26">
        <x:v>45596</x:v>
      </x:c>
      <x:c r="H1222" s="24" t="s">
        <x:v>5693</x:v>
      </x:c>
      <x:c r="I1222" s="28" t="s">
        <x:v>5694</x:v>
      </x:c>
      <x:c r="J1222" s="29" t="s">
        <x:v>5695</x:v>
      </x:c>
    </x:row>
    <x:row r="1223" ht="10.050000190734863" customHeight="1">
      <x:c r="A1223" s="21" t="s">
        <x:v>5696</x:v>
      </x:c>
      <x:c r="B1223" s="20" t="s">
        <x:v>5696</x:v>
      </x:c>
      <x:c r="C1223" s="20" t="s">
        <x:v>983</x:v>
      </x:c>
      <x:c r="D1223" s="24">
        <x:v>24</x:v>
      </x:c>
      <x:c r="E1223" s="24" t="s">
        <x:v>89</x:v>
      </x:c>
      <x:c r="F1223" s="20" t="s">
        <x:v>97</x:v>
      </x:c>
      <x:c r="G1223" s="26">
        <x:v>45697</x:v>
      </x:c>
      <x:c r="H1223" s="24" t="s">
        <x:v>5697</x:v>
      </x:c>
      <x:c r="I1223" s="28" t="s">
        <x:v>5698</x:v>
      </x:c>
      <x:c r="J1223" s="29" t="s">
        <x:v>5699</x:v>
      </x:c>
    </x:row>
    <x:row r="1224" ht="10.050000190734863" customHeight="1">
      <x:c r="A1224" s="21" t="s">
        <x:v>5700</x:v>
      </x:c>
      <x:c r="B1224" s="20" t="s">
        <x:v>5700</x:v>
      </x:c>
      <x:c r="C1224" s="20" t="s">
        <x:v>292</x:v>
      </x:c>
      <x:c r="D1224" s="24">
        <x:v>17</x:v>
      </x:c>
      <x:c r="E1224" s="24" t="s">
        <x:v>198</x:v>
      </x:c>
      <x:c r="F1224" s="20" t="s">
        <x:v>90</x:v>
      </x:c>
      <x:c r="G1224" s="26">
        <x:v>44629</x:v>
      </x:c>
      <x:c r="H1224" s="24" t="s">
        <x:v>5701</x:v>
      </x:c>
      <x:c r="I1224" s="28" t="s">
        <x:v>5702</x:v>
      </x:c>
      <x:c r="J1224" s="29" t="s">
        <x:v>5703</x:v>
      </x:c>
    </x:row>
    <x:row r="1225" ht="10.050000190734863" customHeight="1">
      <x:c r="A1225" s="21" t="s">
        <x:v>5704</x:v>
      </x:c>
      <x:c r="B1225" s="20" t="s">
        <x:v>5704</x:v>
      </x:c>
      <x:c r="C1225" s="20" t="s">
        <x:v>5705</x:v>
      </x:c>
      <x:c r="D1225" s="24">
        <x:v>13</x:v>
      </x:c>
      <x:c r="E1225" s="24" t="s">
        <x:v>89</x:v>
      </x:c>
      <x:c r="F1225" s="20" t="s">
        <x:v>90</x:v>
      </x:c>
      <x:c r="G1225" s="26">
        <x:v>45218</x:v>
      </x:c>
      <x:c r="H1225" s="24" t="s">
        <x:v>5706</x:v>
      </x:c>
      <x:c r="I1225" s="28" t="s">
        <x:v>5707</x:v>
      </x:c>
      <x:c r="J1225" s="29" t="s">
        <x:v>5708</x:v>
      </x:c>
    </x:row>
    <x:row r="1226" ht="10.050000190734863" customHeight="1">
      <x:c r="A1226" s="21" t="s">
        <x:v>5709</x:v>
      </x:c>
      <x:c r="B1226" s="20" t="s">
        <x:v>5709</x:v>
      </x:c>
      <x:c r="C1226" s="20" t="s">
        <x:v>5710</x:v>
      </x:c>
      <x:c r="D1226" s="24">
        <x:v>25</x:v>
      </x:c>
      <x:c r="E1226" s="24" t="s">
        <x:v>103</x:v>
      </x:c>
      <x:c r="F1226" s="20" t="s">
        <x:v>97</x:v>
      </x:c>
      <x:c r="G1226" s="26">
        <x:v>42347</x:v>
      </x:c>
      <x:c r="H1226" s="24" t="s">
        <x:v>5711</x:v>
      </x:c>
      <x:c r="I1226" s="28" t="s">
        <x:v>5712</x:v>
      </x:c>
      <x:c r="J1226" s="29" t="s">
        <x:v>5713</x:v>
      </x:c>
    </x:row>
    <x:row r="1227" ht="10.050000190734863" customHeight="1">
      <x:c r="A1227" s="21" t="s">
        <x:v>5714</x:v>
      </x:c>
      <x:c r="B1227" s="20" t="s">
        <x:v>5714</x:v>
      </x:c>
      <x:c r="C1227" s="20" t="s">
        <x:v>5715</x:v>
      </x:c>
      <x:c r="D1227" s="24">
        <x:v>4</x:v>
      </x:c>
      <x:c r="E1227" s="24" t="s">
        <x:v>257</x:v>
      </x:c>
      <x:c r="F1227" s="20" t="s">
        <x:v>97</x:v>
      </x:c>
      <x:c r="G1227" s="26">
        <x:v>42257</x:v>
      </x:c>
      <x:c r="H1227" s="24" t="s">
        <x:v>5716</x:v>
      </x:c>
      <x:c r="I1227" s="28" t="s">
        <x:v>5717</x:v>
      </x:c>
      <x:c r="J1227" s="29" t="s">
        <x:v>5718</x:v>
      </x:c>
    </x:row>
    <x:row r="1228" ht="10.050000190734863" customHeight="1">
      <x:c r="A1228" s="21" t="s">
        <x:v>5719</x:v>
      </x:c>
      <x:c r="B1228" s="20" t="s">
        <x:v>5719</x:v>
      </x:c>
      <x:c r="C1228" s="20" t="s">
        <x:v>141</x:v>
      </x:c>
      <x:c r="D1228" s="24">
        <x:v>1</x:v>
      </x:c>
      <x:c r="E1228" s="24" t="s">
        <x:v>198</x:v>
      </x:c>
      <x:c r="F1228" s="20" t="s">
        <x:v>152</x:v>
      </x:c>
      <x:c r="G1228" s="26">
        <x:v>45527</x:v>
      </x:c>
      <x:c r="H1228" s="24" t="s">
        <x:v>5720</x:v>
      </x:c>
      <x:c r="I1228" s="28" t="s">
        <x:v>5721</x:v>
      </x:c>
      <x:c r="J1228" s="29" t="s">
        <x:v>5722</x:v>
      </x:c>
    </x:row>
    <x:row r="1229" ht="10.050000190734863" customHeight="1">
      <x:c r="A1229" s="21" t="s">
        <x:v>5723</x:v>
      </x:c>
      <x:c r="B1229" s="20" t="s">
        <x:v>5723</x:v>
      </x:c>
      <x:c r="C1229" s="20" t="s">
        <x:v>5724</x:v>
      </x:c>
      <x:c r="D1229" s="24">
        <x:v>11</x:v>
      </x:c>
      <x:c r="E1229" s="24" t="s">
        <x:v>198</x:v>
      </x:c>
      <x:c r="F1229" s="20" t="s">
        <x:v>90</x:v>
      </x:c>
      <x:c r="G1229" s="26">
        <x:v>44972</x:v>
      </x:c>
      <x:c r="H1229" s="24" t="s">
        <x:v>5725</x:v>
      </x:c>
      <x:c r="I1229" s="28" t="s">
        <x:v>5726</x:v>
      </x:c>
      <x:c r="J1229" s="29" t="s">
        <x:v>5727</x:v>
      </x:c>
    </x:row>
    <x:row r="1230" ht="10.050000190734863" customHeight="1">
      <x:c r="A1230" s="21" t="s">
        <x:v>5728</x:v>
      </x:c>
      <x:c r="B1230" s="20" t="s">
        <x:v>5728</x:v>
      </x:c>
      <x:c r="C1230" s="20" t="s">
        <x:v>2817</x:v>
      </x:c>
      <x:c r="D1230" s="24">
        <x:v>8</x:v>
      </x:c>
      <x:c r="E1230" s="24" t="s">
        <x:v>103</x:v>
      </x:c>
      <x:c r="F1230" s="20" t="s">
        <x:v>97</x:v>
      </x:c>
      <x:c r="G1230" s="26">
        <x:v>45291</x:v>
      </x:c>
      <x:c r="H1230" s="24" t="s">
        <x:v>5729</x:v>
      </x:c>
      <x:c r="I1230" s="28" t="s">
        <x:v>5730</x:v>
      </x:c>
      <x:c r="J1230" s="29" t="s">
        <x:v>5731</x:v>
      </x:c>
    </x:row>
    <x:row r="1231" ht="10.050000190734863" customHeight="1">
      <x:c r="A1231" s="21" t="s">
        <x:v>5732</x:v>
      </x:c>
      <x:c r="B1231" s="20" t="s">
        <x:v>5732</x:v>
      </x:c>
      <x:c r="C1231" s="20" t="s">
        <x:v>5733</x:v>
      </x:c>
      <x:c r="D1231" s="24">
        <x:v>15</x:v>
      </x:c>
      <x:c r="E1231" s="24" t="s">
        <x:v>89</x:v>
      </x:c>
      <x:c r="F1231" s="20" t="s">
        <x:v>97</x:v>
      </x:c>
      <x:c r="G1231" s="26">
        <x:v>43521</x:v>
      </x:c>
      <x:c r="H1231" s="24" t="s">
        <x:v>5734</x:v>
      </x:c>
      <x:c r="I1231" s="28" t="s">
        <x:v>5735</x:v>
      </x:c>
      <x:c r="J1231" s="29" t="s">
        <x:v>5736</x:v>
      </x:c>
    </x:row>
    <x:row r="1232" ht="10.050000190734863" customHeight="1">
      <x:c r="A1232" s="21" t="s">
        <x:v>5737</x:v>
      </x:c>
      <x:c r="B1232" s="20" t="s">
        <x:v>5737</x:v>
      </x:c>
      <x:c r="C1232" s="20" t="s">
        <x:v>5738</x:v>
      </x:c>
      <x:c r="D1232" s="24">
        <x:v>15</x:v>
      </x:c>
      <x:c r="E1232" s="24" t="s">
        <x:v>103</x:v>
      </x:c>
      <x:c r="F1232" s="20" t="s">
        <x:v>97</x:v>
      </x:c>
      <x:c r="G1232" s="26">
        <x:v>41480</x:v>
      </x:c>
      <x:c r="H1232" s="24" t="s">
        <x:v>5739</x:v>
      </x:c>
      <x:c r="I1232" s="28" t="s">
        <x:v>5740</x:v>
      </x:c>
      <x:c r="J1232" s="29" t="s">
        <x:v>5741</x:v>
      </x:c>
    </x:row>
    <x:row r="1233" ht="10.050000190734863" customHeight="1">
      <x:c r="A1233" s="21" t="s">
        <x:v>5742</x:v>
      </x:c>
      <x:c r="B1233" s="20" t="s">
        <x:v>5742</x:v>
      </x:c>
      <x:c r="C1233" s="20" t="s">
        <x:v>880</x:v>
      </x:c>
      <x:c r="D1233" s="24">
        <x:v>34</x:v>
      </x:c>
      <x:c r="E1233" s="24" t="s">
        <x:v>198</x:v>
      </x:c>
      <x:c r="F1233" s="20" t="s">
        <x:v>90</x:v>
      </x:c>
      <x:c r="G1233" s="26">
        <x:v>46137</x:v>
      </x:c>
      <x:c r="H1233" s="24" t="s">
        <x:v>5743</x:v>
      </x:c>
      <x:c r="I1233" s="28" t="s">
        <x:v>5744</x:v>
      </x:c>
      <x:c r="J1233" s="29" t="s">
        <x:v>5745</x:v>
      </x:c>
    </x:row>
    <x:row r="1234" ht="10.050000190734863" customHeight="1">
      <x:c r="A1234" s="21" t="s">
        <x:v>5746</x:v>
      </x:c>
      <x:c r="B1234" s="20" t="s">
        <x:v>5746</x:v>
      </x:c>
      <x:c r="C1234" s="20" t="s">
        <x:v>409</x:v>
      </x:c>
      <x:c r="D1234" s="24">
        <x:v>6</x:v>
      </x:c>
      <x:c r="E1234" s="24" t="s">
        <x:v>198</x:v>
      </x:c>
      <x:c r="F1234" s="20" t="s">
        <x:v>90</x:v>
      </x:c>
      <x:c r="G1234" s="26">
        <x:v>44745</x:v>
      </x:c>
      <x:c r="H1234" s="24" t="s">
        <x:v>5747</x:v>
      </x:c>
      <x:c r="I1234" s="28" t="s">
        <x:v>5748</x:v>
      </x:c>
      <x:c r="J1234" s="29" t="s">
        <x:v>5749</x:v>
      </x:c>
    </x:row>
    <x:row r="1235" ht="10.050000190734863" customHeight="1">
      <x:c r="A1235" s="21" t="s">
        <x:v>5750</x:v>
      </x:c>
      <x:c r="B1235" s="20" t="s">
        <x:v>5750</x:v>
      </x:c>
      <x:c r="C1235" s="20" t="s">
        <x:v>409</x:v>
      </x:c>
      <x:c r="D1235" s="24">
        <x:v>5</x:v>
      </x:c>
      <x:c r="E1235" s="24" t="s">
        <x:v>96</x:v>
      </x:c>
      <x:c r="F1235" s="20" t="s">
        <x:v>90</x:v>
      </x:c>
      <x:c r="G1235" s="26">
        <x:v>44772</x:v>
      </x:c>
      <x:c r="H1235" s="24" t="s">
        <x:v>5751</x:v>
      </x:c>
      <x:c r="I1235" s="28" t="s">
        <x:v>5752</x:v>
      </x:c>
      <x:c r="J1235" s="29" t="s">
        <x:v>5753</x:v>
      </x:c>
    </x:row>
    <x:row r="1236" ht="10.050000190734863" customHeight="1">
      <x:c r="A1236" s="21" t="s">
        <x:v>5754</x:v>
      </x:c>
      <x:c r="B1236" s="20" t="s">
        <x:v>5754</x:v>
      </x:c>
      <x:c r="C1236" s="20" t="s">
        <x:v>409</x:v>
      </x:c>
      <x:c r="D1236" s="24">
        <x:v>1</x:v>
      </x:c>
      <x:c r="E1236" s="24" t="s">
        <x:v>89</x:v>
      </x:c>
      <x:c r="F1236" s="20" t="s">
        <x:v>90</x:v>
      </x:c>
      <x:c r="G1236" s="26">
        <x:v>44937</x:v>
      </x:c>
      <x:c r="H1236" s="24" t="s">
        <x:v>5755</x:v>
      </x:c>
      <x:c r="I1236" s="28" t="s">
        <x:v>5756</x:v>
      </x:c>
      <x:c r="J1236" s="29" t="s">
        <x:v>5757</x:v>
      </x:c>
    </x:row>
    <x:row r="1237" ht="10.050000190734863" customHeight="1">
      <x:c r="A1237" s="21" t="s">
        <x:v>5758</x:v>
      </x:c>
      <x:c r="B1237" s="20" t="s">
        <x:v>5758</x:v>
      </x:c>
      <x:c r="C1237" s="20" t="s">
        <x:v>5759</x:v>
      </x:c>
      <x:c r="D1237" s="24">
        <x:v>7</x:v>
      </x:c>
      <x:c r="E1237" s="24" t="s">
        <x:v>198</x:v>
      </x:c>
      <x:c r="F1237" s="20" t="s">
        <x:v>90</x:v>
      </x:c>
      <x:c r="G1237" s="26">
        <x:v>44930</x:v>
      </x:c>
      <x:c r="H1237" s="24" t="s">
        <x:v>5760</x:v>
      </x:c>
      <x:c r="I1237" s="28" t="s">
        <x:v>5761</x:v>
      </x:c>
      <x:c r="J1237" s="29" t="s">
        <x:v>5762</x:v>
      </x:c>
    </x:row>
    <x:row r="1238" ht="10.050000190734863" customHeight="1">
      <x:c r="A1238" s="21" t="s">
        <x:v>5763</x:v>
      </x:c>
      <x:c r="B1238" s="20" t="s">
        <x:v>5763</x:v>
      </x:c>
      <x:c r="C1238" s="20" t="s">
        <x:v>5764</x:v>
      </x:c>
      <x:c r="D1238" s="24">
        <x:v>116</x:v>
      </x:c>
      <x:c r="E1238" s="24" t="s">
        <x:v>198</x:v>
      </x:c>
      <x:c r="F1238" s="20" t="s">
        <x:v>97</x:v>
      </x:c>
      <x:c r="G1238" s="26">
        <x:v>45337</x:v>
      </x:c>
      <x:c r="H1238" s="24" t="s">
        <x:v>5765</x:v>
      </x:c>
      <x:c r="I1238" s="28" t="s">
        <x:v>5766</x:v>
      </x:c>
      <x:c r="J1238" s="29" t="s">
        <x:v>5767</x:v>
      </x:c>
    </x:row>
    <x:row r="1239" ht="10.050000190734863" customHeight="1">
      <x:c r="A1239" s="21" t="s">
        <x:v>5768</x:v>
      </x:c>
      <x:c r="B1239" s="20" t="s">
        <x:v>5768</x:v>
      </x:c>
      <x:c r="C1239" s="20" t="s">
        <x:v>218</x:v>
      </x:c>
      <x:c r="D1239" s="24">
        <x:v>12</x:v>
      </x:c>
      <x:c r="E1239" s="24" t="s">
        <x:v>198</x:v>
      </x:c>
      <x:c r="F1239" s="20" t="s">
        <x:v>90</x:v>
      </x:c>
      <x:c r="G1239" s="26">
        <x:v>45042</x:v>
      </x:c>
      <x:c r="H1239" s="24" t="s">
        <x:v>5769</x:v>
      </x:c>
      <x:c r="I1239" s="28" t="s">
        <x:v>5770</x:v>
      </x:c>
      <x:c r="J1239" s="29" t="s">
        <x:v>5771</x:v>
      </x:c>
    </x:row>
    <x:row r="1240" ht="10.050000190734863" customHeight="1">
      <x:c r="A1240" s="21" t="s">
        <x:v>5772</x:v>
      </x:c>
      <x:c r="B1240" s="20" t="s">
        <x:v>5772</x:v>
      </x:c>
      <x:c r="C1240" s="20" t="s">
        <x:v>317</x:v>
      </x:c>
      <x:c r="D1240" s="24">
        <x:v>16</x:v>
      </x:c>
      <x:c r="E1240" s="24" t="s">
        <x:v>96</x:v>
      </x:c>
      <x:c r="F1240" s="20" t="s">
        <x:v>90</x:v>
      </x:c>
      <x:c r="G1240" s="26">
        <x:v>45648</x:v>
      </x:c>
      <x:c r="H1240" s="24" t="s">
        <x:v>5773</x:v>
      </x:c>
      <x:c r="I1240" s="28" t="s">
        <x:v>5774</x:v>
      </x:c>
      <x:c r="J1240" s="29" t="s">
        <x:v>5775</x:v>
      </x:c>
    </x:row>
    <x:row r="1241" ht="10.050000190734863" customHeight="1">
      <x:c r="A1241" s="21" t="s">
        <x:v>5776</x:v>
      </x:c>
      <x:c r="B1241" s="20" t="s">
        <x:v>5776</x:v>
      </x:c>
      <x:c r="C1241" s="20" t="s">
        <x:v>5777</x:v>
      </x:c>
      <x:c r="D1241" s="24">
        <x:v>8</x:v>
      </x:c>
      <x:c r="E1241" s="24" t="s">
        <x:v>103</x:v>
      </x:c>
      <x:c r="F1241" s="20" t="s">
        <x:v>97</x:v>
      </x:c>
      <x:c r="G1241" s="26">
        <x:v>42225</x:v>
      </x:c>
      <x:c r="H1241" s="24" t="s">
        <x:v>5778</x:v>
      </x:c>
      <x:c r="I1241" s="28" t="s">
        <x:v>5779</x:v>
      </x:c>
      <x:c r="J1241" s="29" t="s">
        <x:v>5780</x:v>
      </x:c>
    </x:row>
    <x:row r="1242" ht="10.050000190734863" customHeight="1">
      <x:c r="A1242" s="21" t="s">
        <x:v>5781</x:v>
      </x:c>
      <x:c r="B1242" s="20" t="s">
        <x:v>5781</x:v>
      </x:c>
      <x:c r="C1242" s="20" t="s">
        <x:v>5782</x:v>
      </x:c>
      <x:c r="D1242" s="24">
        <x:v>16</x:v>
      </x:c>
      <x:c r="E1242" s="24" t="s">
        <x:v>198</x:v>
      </x:c>
      <x:c r="F1242" s="20" t="s">
        <x:v>90</x:v>
      </x:c>
      <x:c r="G1242" s="26">
        <x:v>44665</x:v>
      </x:c>
      <x:c r="H1242" s="24" t="s">
        <x:v>5783</x:v>
      </x:c>
      <x:c r="I1242" s="28" t="s">
        <x:v>5784</x:v>
      </x:c>
      <x:c r="J1242" s="29" t="s">
        <x:v>5785</x:v>
      </x:c>
    </x:row>
    <x:row r="1243" ht="10.050000190734863" customHeight="1">
      <x:c r="A1243" s="21" t="s">
        <x:v>5786</x:v>
      </x:c>
      <x:c r="B1243" s="20" t="s">
        <x:v>5786</x:v>
      </x:c>
      <x:c r="C1243" s="20" t="s">
        <x:v>5787</x:v>
      </x:c>
      <x:c r="D1243" s="24">
        <x:v>6</x:v>
      </x:c>
      <x:c r="E1243" s="24" t="s">
        <x:v>257</x:v>
      </x:c>
      <x:c r="F1243" s="20" t="s">
        <x:v>97</x:v>
      </x:c>
      <x:c r="G1243" s="26">
        <x:v>42316</x:v>
      </x:c>
      <x:c r="H1243" s="24" t="s">
        <x:v>5788</x:v>
      </x:c>
      <x:c r="I1243" s="28" t="s">
        <x:v>5789</x:v>
      </x:c>
      <x:c r="J1243" s="29" t="s">
        <x:v>5790</x:v>
      </x:c>
    </x:row>
    <x:row r="1244" ht="10.050000190734863" customHeight="1">
      <x:c r="A1244" s="21" t="s">
        <x:v>5791</x:v>
      </x:c>
      <x:c r="B1244" s="20" t="s">
        <x:v>5791</x:v>
      </x:c>
      <x:c r="C1244" s="20" t="s">
        <x:v>5792</x:v>
      </x:c>
      <x:c r="D1244" s="24">
        <x:v>8</x:v>
      </x:c>
      <x:c r="E1244" s="24" t="s">
        <x:v>103</x:v>
      </x:c>
      <x:c r="F1244" s="20" t="s">
        <x:v>97</x:v>
      </x:c>
      <x:c r="G1244" s="26">
        <x:v>42825</x:v>
      </x:c>
      <x:c r="H1244" s="24" t="s">
        <x:v>5793</x:v>
      </x:c>
      <x:c r="I1244" s="28" t="s">
        <x:v>5794</x:v>
      </x:c>
      <x:c r="J1244" s="29" t="s">
        <x:v>5795</x:v>
      </x:c>
    </x:row>
    <x:row r="1245" ht="10.050000190734863" customHeight="1">
      <x:c r="A1245" s="21" t="s">
        <x:v>5796</x:v>
      </x:c>
      <x:c r="B1245" s="20" t="s">
        <x:v>5796</x:v>
      </x:c>
      <x:c r="C1245" s="20" t="s">
        <x:v>5797</x:v>
      </x:c>
      <x:c r="D1245" s="24">
        <x:v>94</x:v>
      </x:c>
      <x:c r="E1245" s="24" t="s">
        <x:v>89</x:v>
      </x:c>
      <x:c r="F1245" s="20" t="s">
        <x:v>97</x:v>
      </x:c>
      <x:c r="G1245" s="26">
        <x:v>42840</x:v>
      </x:c>
      <x:c r="H1245" s="24" t="s">
        <x:v>5798</x:v>
      </x:c>
      <x:c r="I1245" s="28" t="s">
        <x:v>5799</x:v>
      </x:c>
      <x:c r="J1245" s="29" t="s">
        <x:v>5800</x:v>
      </x:c>
    </x:row>
    <x:row r="1246" ht="10.050000190734863" customHeight="1">
      <x:c r="A1246" s="21" t="s">
        <x:v>5801</x:v>
      </x:c>
      <x:c r="B1246" s="20" t="s">
        <x:v>5801</x:v>
      </x:c>
      <x:c r="C1246" s="20" t="s">
        <x:v>491</x:v>
      </x:c>
      <x:c r="D1246" s="24">
        <x:v>1</x:v>
      </x:c>
      <x:c r="E1246" s="24" t="s">
        <x:v>89</x:v>
      </x:c>
      <x:c r="F1246" s="20" t="s">
        <x:v>90</x:v>
      </x:c>
      <x:c r="G1246" s="26">
        <x:v>44992</x:v>
      </x:c>
      <x:c r="H1246" s="24" t="s">
        <x:v>5802</x:v>
      </x:c>
      <x:c r="I1246" s="28" t="s">
        <x:v>5803</x:v>
      </x:c>
      <x:c r="J1246" s="29" t="s">
        <x:v>5804</x:v>
      </x:c>
    </x:row>
    <x:row r="1247" ht="10.050000190734863" customHeight="1">
      <x:c r="A1247" s="21" t="s">
        <x:v>5805</x:v>
      </x:c>
      <x:c r="B1247" s="20" t="s">
        <x:v>5805</x:v>
      </x:c>
      <x:c r="C1247" s="20" t="s">
        <x:v>491</x:v>
      </x:c>
      <x:c r="D1247" s="24">
        <x:v>2</x:v>
      </x:c>
      <x:c r="E1247" s="24" t="s">
        <x:v>89</x:v>
      </x:c>
      <x:c r="F1247" s="20" t="s">
        <x:v>90</x:v>
      </x:c>
      <x:c r="G1247" s="26">
        <x:v>45001</x:v>
      </x:c>
      <x:c r="H1247" s="24" t="s">
        <x:v>5806</x:v>
      </x:c>
      <x:c r="I1247" s="28" t="s">
        <x:v>5807</x:v>
      </x:c>
      <x:c r="J1247" s="29" t="s">
        <x:v>5808</x:v>
      </x:c>
    </x:row>
    <x:row r="1248" ht="10.050000190734863" customHeight="1">
      <x:c r="A1248" s="21" t="s">
        <x:v>5809</x:v>
      </x:c>
      <x:c r="B1248" s="20" t="s">
        <x:v>5809</x:v>
      </x:c>
      <x:c r="C1248" s="20" t="s">
        <x:v>491</x:v>
      </x:c>
      <x:c r="D1248" s="24">
        <x:v>2</x:v>
      </x:c>
      <x:c r="E1248" s="24" t="s">
        <x:v>89</x:v>
      </x:c>
      <x:c r="F1248" s="20" t="s">
        <x:v>90</x:v>
      </x:c>
      <x:c r="G1248" s="26">
        <x:v>45014</x:v>
      </x:c>
      <x:c r="H1248" s="24" t="s">
        <x:v>5810</x:v>
      </x:c>
      <x:c r="I1248" s="28" t="s">
        <x:v>5811</x:v>
      </x:c>
      <x:c r="J1248" s="29" t="s">
        <x:v>5812</x:v>
      </x:c>
    </x:row>
    <x:row r="1249" ht="10.050000190734863" customHeight="1">
      <x:c r="A1249" s="21" t="s">
        <x:v>5813</x:v>
      </x:c>
      <x:c r="B1249" s="20" t="s">
        <x:v>5813</x:v>
      </x:c>
      <x:c r="C1249" s="20" t="s">
        <x:v>491</x:v>
      </x:c>
      <x:c r="D1249" s="24">
        <x:v>2</x:v>
      </x:c>
      <x:c r="E1249" s="24" t="s">
        <x:v>89</x:v>
      </x:c>
      <x:c r="F1249" s="20" t="s">
        <x:v>90</x:v>
      </x:c>
      <x:c r="G1249" s="26">
        <x:v>45035</x:v>
      </x:c>
      <x:c r="H1249" s="24" t="s">
        <x:v>5814</x:v>
      </x:c>
      <x:c r="I1249" s="28" t="s">
        <x:v>5815</x:v>
      </x:c>
      <x:c r="J1249" s="29" t="s">
        <x:v>5816</x:v>
      </x:c>
    </x:row>
    <x:row r="1250" ht="10.050000190734863" customHeight="1">
      <x:c r="A1250" s="21" t="s">
        <x:v>5817</x:v>
      </x:c>
      <x:c r="B1250" s="20" t="s">
        <x:v>5817</x:v>
      </x:c>
      <x:c r="C1250" s="20" t="s">
        <x:v>491</x:v>
      </x:c>
      <x:c r="D1250" s="24">
        <x:v>3</x:v>
      </x:c>
      <x:c r="E1250" s="24" t="s">
        <x:v>89</x:v>
      </x:c>
      <x:c r="F1250" s="20" t="s">
        <x:v>90</x:v>
      </x:c>
      <x:c r="G1250" s="26">
        <x:v>45205</x:v>
      </x:c>
      <x:c r="H1250" s="24" t="s">
        <x:v>5818</x:v>
      </x:c>
      <x:c r="I1250" s="28" t="s">
        <x:v>5819</x:v>
      </x:c>
      <x:c r="J1250" s="29" t="s">
        <x:v>5820</x:v>
      </x:c>
    </x:row>
    <x:row r="1251" ht="10.050000190734863" customHeight="1">
      <x:c r="A1251" s="21" t="s">
        <x:v>5821</x:v>
      </x:c>
      <x:c r="B1251" s="20" t="s">
        <x:v>5821</x:v>
      </x:c>
      <x:c r="C1251" s="20" t="s">
        <x:v>5822</x:v>
      </x:c>
      <x:c r="D1251" s="24">
        <x:v>32</x:v>
      </x:c>
      <x:c r="E1251" s="24" t="s">
        <x:v>103</x:v>
      </x:c>
      <x:c r="F1251" s="20" t="s">
        <x:v>97</x:v>
      </x:c>
      <x:c r="G1251" s="26">
        <x:v>42226</x:v>
      </x:c>
      <x:c r="H1251" s="24" t="s">
        <x:v>5823</x:v>
      </x:c>
      <x:c r="I1251" s="28" t="s">
        <x:v>5824</x:v>
      </x:c>
      <x:c r="J1251" s="29" t="s">
        <x:v>5825</x:v>
      </x:c>
    </x:row>
    <x:row r="1252" ht="10.050000190734863" customHeight="1">
      <x:c r="A1252" s="21" t="s">
        <x:v>5826</x:v>
      </x:c>
      <x:c r="B1252" s="20" t="s">
        <x:v>5826</x:v>
      </x:c>
      <x:c r="C1252" s="20" t="s">
        <x:v>1055</x:v>
      </x:c>
      <x:c r="D1252" s="24">
        <x:v>9</x:v>
      </x:c>
      <x:c r="E1252" s="24" t="s">
        <x:v>96</x:v>
      </x:c>
      <x:c r="F1252" s="20" t="s">
        <x:v>97</x:v>
      </x:c>
      <x:c r="G1252" s="26">
        <x:v>43894</x:v>
      </x:c>
      <x:c r="H1252" s="24" t="s">
        <x:v>5827</x:v>
      </x:c>
      <x:c r="I1252" s="28" t="s">
        <x:v>5828</x:v>
      </x:c>
      <x:c r="J1252" s="29" t="s">
        <x:v>5829</x:v>
      </x:c>
    </x:row>
    <x:row r="1253" ht="10.050000190734863" customHeight="1">
      <x:c r="A1253" s="21" t="s">
        <x:v>5830</x:v>
      </x:c>
      <x:c r="B1253" s="20" t="s">
        <x:v>5830</x:v>
      </x:c>
      <x:c r="C1253" s="20" t="s">
        <x:v>983</x:v>
      </x:c>
      <x:c r="D1253" s="24">
        <x:v>14</x:v>
      </x:c>
      <x:c r="E1253" s="24" t="s">
        <x:v>198</x:v>
      </x:c>
      <x:c r="F1253" s="20" t="s">
        <x:v>90</x:v>
      </x:c>
      <x:c r="G1253" s="26">
        <x:v>45267</x:v>
      </x:c>
      <x:c r="H1253" s="24" t="s">
        <x:v>5831</x:v>
      </x:c>
      <x:c r="I1253" s="28" t="s">
        <x:v>5832</x:v>
      </x:c>
      <x:c r="J1253" s="29" t="s">
        <x:v>5833</x:v>
      </x:c>
    </x:row>
    <x:row r="1254" ht="10.050000190734863" customHeight="1">
      <x:c r="A1254" s="21" t="s">
        <x:v>5834</x:v>
      </x:c>
      <x:c r="B1254" s="20" t="s">
        <x:v>5834</x:v>
      </x:c>
      <x:c r="C1254" s="20" t="s">
        <x:v>3379</x:v>
      </x:c>
      <x:c r="D1254" s="24">
        <x:v>24</x:v>
      </x:c>
      <x:c r="E1254" s="24" t="s">
        <x:v>198</x:v>
      </x:c>
      <x:c r="F1254" s="20" t="s">
        <x:v>90</x:v>
      </x:c>
      <x:c r="G1254" s="26">
        <x:v>43537</x:v>
      </x:c>
      <x:c r="H1254" s="24" t="s">
        <x:v>5835</x:v>
      </x:c>
      <x:c r="I1254" s="28" t="s">
        <x:v>5836</x:v>
      </x:c>
      <x:c r="J1254" s="29" t="s">
        <x:v>5837</x:v>
      </x:c>
    </x:row>
    <x:row r="1255" ht="10.050000190734863" customHeight="1">
      <x:c r="A1255" s="21" t="s">
        <x:v>5838</x:v>
      </x:c>
      <x:c r="B1255" s="20" t="s">
        <x:v>5838</x:v>
      </x:c>
      <x:c r="C1255" s="20" t="s">
        <x:v>5839</x:v>
      </x:c>
      <x:c r="D1255" s="24">
        <x:v>9</x:v>
      </x:c>
      <x:c r="E1255" s="24" t="s">
        <x:v>257</x:v>
      </x:c>
      <x:c r="F1255" s="20" t="s">
        <x:v>97</x:v>
      </x:c>
      <x:c r="G1255" s="26">
        <x:v>42057</x:v>
      </x:c>
      <x:c r="H1255" s="24" t="s">
        <x:v>5840</x:v>
      </x:c>
      <x:c r="I1255" s="28" t="s">
        <x:v>5841</x:v>
      </x:c>
      <x:c r="J1255" s="29" t="s">
        <x:v>5842</x:v>
      </x:c>
    </x:row>
    <x:row r="1256" ht="10.050000190734863" customHeight="1">
      <x:c r="A1256" s="21" t="s">
        <x:v>5843</x:v>
      </x:c>
      <x:c r="B1256" s="20" t="s">
        <x:v>5843</x:v>
      </x:c>
      <x:c r="C1256" s="20" t="s">
        <x:v>5844</x:v>
      </x:c>
      <x:c r="D1256" s="24">
        <x:v>21</x:v>
      </x:c>
      <x:c r="E1256" s="24" t="s">
        <x:v>103</x:v>
      </x:c>
      <x:c r="F1256" s="20" t="s">
        <x:v>97</x:v>
      </x:c>
      <x:c r="G1256" s="26">
        <x:v>43051</x:v>
      </x:c>
      <x:c r="H1256" s="24" t="s">
        <x:v>5845</x:v>
      </x:c>
      <x:c r="I1256" s="28" t="s">
        <x:v>5846</x:v>
      </x:c>
      <x:c r="J1256" s="29" t="s">
        <x:v>5847</x:v>
      </x:c>
    </x:row>
    <x:row r="1257" ht="10.050000190734863" customHeight="1">
      <x:c r="A1257" s="21" t="s">
        <x:v>5848</x:v>
      </x:c>
      <x:c r="B1257" s="20" t="s">
        <x:v>5848</x:v>
      </x:c>
      <x:c r="C1257" s="20" t="s">
        <x:v>5849</x:v>
      </x:c>
      <x:c r="D1257" s="24">
        <x:v>6</x:v>
      </x:c>
      <x:c r="E1257" s="24" t="s">
        <x:v>257</x:v>
      </x:c>
      <x:c r="F1257" s="20" t="s">
        <x:v>97</x:v>
      </x:c>
      <x:c r="G1257" s="26">
        <x:v>42104</x:v>
      </x:c>
      <x:c r="H1257" s="24" t="s">
        <x:v>5850</x:v>
      </x:c>
      <x:c r="I1257" s="28" t="s">
        <x:v>5851</x:v>
      </x:c>
      <x:c r="J1257" s="29" t="s">
        <x:v>5852</x:v>
      </x:c>
    </x:row>
    <x:row r="1258" ht="10.050000190734863" customHeight="1">
      <x:c r="A1258" s="21" t="s">
        <x:v>5853</x:v>
      </x:c>
      <x:c r="B1258" s="20" t="s">
        <x:v>5853</x:v>
      </x:c>
      <x:c r="C1258" s="20" t="s">
        <x:v>5854</x:v>
      </x:c>
      <x:c r="D1258" s="24">
        <x:v>17</x:v>
      </x:c>
      <x:c r="E1258" s="24" t="s">
        <x:v>257</x:v>
      </x:c>
      <x:c r="F1258" s="20" t="s">
        <x:v>97</x:v>
      </x:c>
      <x:c r="G1258" s="26">
        <x:v>42252</x:v>
      </x:c>
      <x:c r="H1258" s="24" t="s">
        <x:v>5855</x:v>
      </x:c>
      <x:c r="I1258" s="28" t="s">
        <x:v>5856</x:v>
      </x:c>
      <x:c r="J1258" s="29" t="s">
        <x:v>5857</x:v>
      </x:c>
    </x:row>
    <x:row r="1259" ht="10.050000190734863" customHeight="1">
      <x:c r="A1259" s="21" t="s">
        <x:v>5858</x:v>
      </x:c>
      <x:c r="B1259" s="20" t="s">
        <x:v>5858</x:v>
      </x:c>
      <x:c r="C1259" s="20" t="s">
        <x:v>1055</x:v>
      </x:c>
      <x:c r="D1259" s="24">
        <x:v>11</x:v>
      </x:c>
      <x:c r="E1259" s="24" t="s">
        <x:v>96</x:v>
      </x:c>
      <x:c r="F1259" s="20" t="s">
        <x:v>97</x:v>
      </x:c>
      <x:c r="G1259" s="26">
        <x:v>43701</x:v>
      </x:c>
      <x:c r="H1259" s="24" t="s">
        <x:v>5859</x:v>
      </x:c>
      <x:c r="I1259" s="28" t="s">
        <x:v>5860</x:v>
      </x:c>
      <x:c r="J1259" s="29" t="s">
        <x:v>5861</x:v>
      </x:c>
    </x:row>
    <x:row r="1260" ht="10.050000190734863" customHeight="1">
      <x:c r="A1260" s="21" t="s">
        <x:v>5862</x:v>
      </x:c>
      <x:c r="B1260" s="20" t="s">
        <x:v>5862</x:v>
      </x:c>
      <x:c r="C1260" s="20" t="s">
        <x:v>4197</x:v>
      </x:c>
      <x:c r="D1260" s="24">
        <x:v>11</x:v>
      </x:c>
      <x:c r="E1260" s="24" t="s">
        <x:v>198</x:v>
      </x:c>
      <x:c r="F1260" s="20" t="s">
        <x:v>90</x:v>
      </x:c>
      <x:c r="G1260" s="26">
        <x:v>43679</x:v>
      </x:c>
      <x:c r="H1260" s="24" t="s">
        <x:v>5863</x:v>
      </x:c>
      <x:c r="I1260" s="28" t="s">
        <x:v>5864</x:v>
      </x:c>
      <x:c r="J1260" s="29" t="s">
        <x:v>5865</x:v>
      </x:c>
    </x:row>
    <x:row r="1261" ht="10.050000190734863" customHeight="1">
      <x:c r="A1261" s="21" t="s">
        <x:v>5866</x:v>
      </x:c>
      <x:c r="B1261" s="20" t="s">
        <x:v>5866</x:v>
      </x:c>
      <x:c r="C1261" s="20" t="s">
        <x:v>5867</x:v>
      </x:c>
      <x:c r="D1261" s="24">
        <x:v>112</x:v>
      </x:c>
      <x:c r="E1261" s="24" t="s">
        <x:v>96</x:v>
      </x:c>
      <x:c r="F1261" s="20" t="s">
        <x:v>97</x:v>
      </x:c>
      <x:c r="G1261" s="26">
        <x:v>42610</x:v>
      </x:c>
      <x:c r="H1261" s="24" t="s">
        <x:v>5868</x:v>
      </x:c>
      <x:c r="I1261" s="28" t="s">
        <x:v>5869</x:v>
      </x:c>
      <x:c r="J1261" s="29" t="s">
        <x:v>5870</x:v>
      </x:c>
    </x:row>
    <x:row r="1262" ht="10.050000190734863" customHeight="1">
      <x:c r="A1262" s="21" t="s">
        <x:v>5871</x:v>
      </x:c>
      <x:c r="B1262" s="20" t="s">
        <x:v>5871</x:v>
      </x:c>
      <x:c r="C1262" s="20" t="s">
        <x:v>5867</x:v>
      </x:c>
      <x:c r="D1262" s="24">
        <x:v>112</x:v>
      </x:c>
      <x:c r="E1262" s="24" t="s">
        <x:v>96</x:v>
      </x:c>
      <x:c r="F1262" s="20" t="s">
        <x:v>97</x:v>
      </x:c>
      <x:c r="G1262" s="26">
        <x:v>45184</x:v>
      </x:c>
      <x:c r="H1262" s="24" t="s">
        <x:v>5872</x:v>
      </x:c>
      <x:c r="I1262" s="28" t="s">
        <x:v>5873</x:v>
      </x:c>
      <x:c r="J1262" s="29" t="s">
        <x:v>5874</x:v>
      </x:c>
    </x:row>
    <x:row r="1263" ht="10.050000190734863" customHeight="1">
      <x:c r="A1263" s="21" t="s">
        <x:v>5875</x:v>
      </x:c>
      <x:c r="B1263" s="20" t="s">
        <x:v>5875</x:v>
      </x:c>
      <x:c r="C1263" s="20" t="s">
        <x:v>5867</x:v>
      </x:c>
      <x:c r="D1263" s="24">
        <x:v>119</x:v>
      </x:c>
      <x:c r="E1263" s="24" t="s">
        <x:v>89</x:v>
      </x:c>
      <x:c r="F1263" s="20" t="s">
        <x:v>97</x:v>
      </x:c>
      <x:c r="G1263" s="26">
        <x:v>43809</x:v>
      </x:c>
      <x:c r="H1263" s="24" t="s">
        <x:v>5876</x:v>
      </x:c>
      <x:c r="I1263" s="28" t="s">
        <x:v>5877</x:v>
      </x:c>
      <x:c r="J1263" s="29" t="s">
        <x:v>5878</x:v>
      </x:c>
    </x:row>
    <x:row r="1264" ht="10.050000190734863" customHeight="1">
      <x:c r="A1264" s="21" t="s">
        <x:v>5879</x:v>
      </x:c>
      <x:c r="B1264" s="20" t="s">
        <x:v>5879</x:v>
      </x:c>
      <x:c r="C1264" s="20" t="s">
        <x:v>1440</x:v>
      </x:c>
      <x:c r="D1264" s="24">
        <x:v>100</x:v>
      </x:c>
      <x:c r="E1264" s="24" t="s">
        <x:v>103</x:v>
      </x:c>
      <x:c r="F1264" s="20" t="s">
        <x:v>97</x:v>
      </x:c>
      <x:c r="G1264" s="26">
        <x:v>45487</x:v>
      </x:c>
      <x:c r="H1264" s="24" t="s">
        <x:v>5880</x:v>
      </x:c>
      <x:c r="I1264" s="28" t="s">
        <x:v>5881</x:v>
      </x:c>
      <x:c r="J1264" s="29" t="s">
        <x:v>5882</x:v>
      </x:c>
    </x:row>
    <x:row r="1265" ht="10.050000190734863" customHeight="1">
      <x:c r="A1265" s="21" t="s">
        <x:v>5883</x:v>
      </x:c>
      <x:c r="B1265" s="20" t="s">
        <x:v>5883</x:v>
      </x:c>
      <x:c r="C1265" s="20" t="s">
        <x:v>5884</x:v>
      </x:c>
      <x:c r="D1265" s="24">
        <x:v>15</x:v>
      </x:c>
      <x:c r="E1265" s="24" t="s">
        <x:v>103</x:v>
      </x:c>
      <x:c r="F1265" s="20" t="s">
        <x:v>97</x:v>
      </x:c>
      <x:c r="G1265" s="26">
        <x:v>45020</x:v>
      </x:c>
      <x:c r="H1265" s="24" t="s">
        <x:v>5885</x:v>
      </x:c>
      <x:c r="I1265" s="28" t="s">
        <x:v>5886</x:v>
      </x:c>
      <x:c r="J1265" s="29" t="s">
        <x:v>5887</x:v>
      </x:c>
    </x:row>
    <x:row r="1266" ht="10.050000190734863" customHeight="1">
      <x:c r="A1266" s="21" t="s">
        <x:v>5888</x:v>
      </x:c>
      <x:c r="B1266" s="20" t="s">
        <x:v>5888</x:v>
      </x:c>
      <x:c r="C1266" s="20" t="s">
        <x:v>5889</x:v>
      </x:c>
      <x:c r="D1266" s="24">
        <x:v>17</x:v>
      </x:c>
      <x:c r="E1266" s="24" t="s">
        <x:v>103</x:v>
      </x:c>
      <x:c r="F1266" s="20" t="s">
        <x:v>97</x:v>
      </x:c>
      <x:c r="G1266" s="26">
        <x:v>41556</x:v>
      </x:c>
      <x:c r="H1266" s="24" t="s">
        <x:v>5890</x:v>
      </x:c>
      <x:c r="I1266" s="28" t="s">
        <x:v>5891</x:v>
      </x:c>
      <x:c r="J1266" s="29" t="s">
        <x:v>5892</x:v>
      </x:c>
    </x:row>
    <x:row r="1267" ht="10.050000190734863" customHeight="1">
      <x:c r="A1267" s="21" t="s">
        <x:v>5893</x:v>
      </x:c>
      <x:c r="B1267" s="20" t="s">
        <x:v>5893</x:v>
      </x:c>
      <x:c r="C1267" s="20" t="s">
        <x:v>5894</x:v>
      </x:c>
      <x:c r="D1267" s="24">
        <x:v>8</x:v>
      </x:c>
      <x:c r="E1267" s="24" t="s">
        <x:v>103</x:v>
      </x:c>
      <x:c r="F1267" s="20" t="s">
        <x:v>97</x:v>
      </x:c>
      <x:c r="G1267" s="26">
        <x:v>43320</x:v>
      </x:c>
      <x:c r="H1267" s="24" t="s">
        <x:v>5895</x:v>
      </x:c>
      <x:c r="I1267" s="28" t="s">
        <x:v>5896</x:v>
      </x:c>
      <x:c r="J1267" s="29" t="s">
        <x:v>5897</x:v>
      </x:c>
    </x:row>
    <x:row r="1268" ht="10.050000190734863" customHeight="1">
      <x:c r="A1268" s="21" t="s">
        <x:v>5898</x:v>
      </x:c>
      <x:c r="B1268" s="20" t="s">
        <x:v>5898</x:v>
      </x:c>
      <x:c r="C1268" s="20" t="s">
        <x:v>586</x:v>
      </x:c>
      <x:c r="D1268" s="24">
        <x:v>11</x:v>
      </x:c>
      <x:c r="E1268" s="24" t="s">
        <x:v>96</x:v>
      </x:c>
      <x:c r="F1268" s="20" t="s">
        <x:v>97</x:v>
      </x:c>
      <x:c r="G1268" s="26">
        <x:v>42555</x:v>
      </x:c>
      <x:c r="H1268" s="24" t="s">
        <x:v>5899</x:v>
      </x:c>
      <x:c r="I1268" s="28" t="s">
        <x:v>5900</x:v>
      </x:c>
      <x:c r="J1268" s="29" t="s">
        <x:v>5901</x:v>
      </x:c>
    </x:row>
    <x:row r="1269" ht="10.050000190734863" customHeight="1">
      <x:c r="A1269" s="21" t="s">
        <x:v>5902</x:v>
      </x:c>
      <x:c r="B1269" s="20" t="s">
        <x:v>5902</x:v>
      </x:c>
      <x:c r="C1269" s="20" t="s">
        <x:v>5903</x:v>
      </x:c>
      <x:c r="D1269" s="24">
        <x:v>1</x:v>
      </x:c>
      <x:c r="E1269" s="24" t="s">
        <x:v>96</x:v>
      </x:c>
      <x:c r="F1269" s="20" t="s">
        <x:v>97</x:v>
      </x:c>
      <x:c r="G1269" s="26">
        <x:v>43841</x:v>
      </x:c>
      <x:c r="H1269" s="24" t="s">
        <x:v>5904</x:v>
      </x:c>
      <x:c r="I1269" s="28" t="s">
        <x:v>5905</x:v>
      </x:c>
      <x:c r="J1269" s="29" t="s">
        <x:v>5906</x:v>
      </x:c>
    </x:row>
    <x:row r="1270" ht="10.050000190734863" customHeight="1">
      <x:c r="A1270" s="21" t="s">
        <x:v>64</x:v>
      </x:c>
      <x:c r="B1270" s="20" t="s">
        <x:v>64</x:v>
      </x:c>
      <x:c r="C1270" s="20" t="s">
        <x:v>781</x:v>
      </x:c>
      <x:c r="D1270" s="24">
        <x:v>11</x:v>
      </x:c>
      <x:c r="E1270" s="24" t="s">
        <x:v>89</x:v>
      </x:c>
      <x:c r="F1270" s="20" t="s">
        <x:v>90</x:v>
      </x:c>
      <x:c r="G1270" s="26">
        <x:v>44573</x:v>
      </x:c>
      <x:c r="H1270" s="24" t="s">
        <x:v>5907</x:v>
      </x:c>
      <x:c r="I1270" s="28" t="s">
        <x:v>5908</x:v>
      </x:c>
      <x:c r="J1270" s="29" t="s">
        <x:v>5909</x:v>
      </x:c>
    </x:row>
    <x:row r="1271" ht="10.050000190734863" customHeight="1">
      <x:c r="A1271" s="21" t="s">
        <x:v>5910</x:v>
      </x:c>
      <x:c r="B1271" s="20" t="s">
        <x:v>5910</x:v>
      </x:c>
      <x:c r="C1271" s="20" t="s">
        <x:v>5911</x:v>
      </x:c>
      <x:c r="D1271" s="24">
        <x:v>7</x:v>
      </x:c>
      <x:c r="E1271" s="24" t="s">
        <x:v>103</x:v>
      </x:c>
      <x:c r="F1271" s="20" t="s">
        <x:v>97</x:v>
      </x:c>
      <x:c r="G1271" s="26">
        <x:v>44754</x:v>
      </x:c>
      <x:c r="H1271" s="24" t="s">
        <x:v>5912</x:v>
      </x:c>
      <x:c r="I1271" s="28" t="s">
        <x:v>5913</x:v>
      </x:c>
      <x:c r="J1271" s="29" t="s">
        <x:v>5914</x:v>
      </x:c>
    </x:row>
    <x:row r="1272" ht="10.050000190734863" customHeight="1">
      <x:c r="A1272" s="21" t="s">
        <x:v>5915</x:v>
      </x:c>
      <x:c r="B1272" s="20" t="s">
        <x:v>5915</x:v>
      </x:c>
      <x:c r="C1272" s="20" t="s">
        <x:v>5911</x:v>
      </x:c>
      <x:c r="D1272" s="24">
        <x:v>6</x:v>
      </x:c>
      <x:c r="E1272" s="24" t="s">
        <x:v>103</x:v>
      </x:c>
      <x:c r="F1272" s="20" t="s">
        <x:v>97</x:v>
      </x:c>
      <x:c r="G1272" s="26">
        <x:v>44573</x:v>
      </x:c>
      <x:c r="H1272" s="24" t="s">
        <x:v>5916</x:v>
      </x:c>
      <x:c r="I1272" s="28" t="s">
        <x:v>5917</x:v>
      </x:c>
      <x:c r="J1272" s="29" t="s">
        <x:v>5918</x:v>
      </x:c>
    </x:row>
    <x:row r="1273" ht="10.050000190734863" customHeight="1">
      <x:c r="A1273" s="21" t="s">
        <x:v>5919</x:v>
      </x:c>
      <x:c r="B1273" s="20" t="s">
        <x:v>5919</x:v>
      </x:c>
      <x:c r="C1273" s="20" t="s">
        <x:v>5920</x:v>
      </x:c>
      <x:c r="D1273" s="24">
        <x:v>6</x:v>
      </x:c>
      <x:c r="E1273" s="24" t="s">
        <x:v>96</x:v>
      </x:c>
      <x:c r="F1273" s="20" t="s">
        <x:v>90</x:v>
      </x:c>
      <x:c r="G1273" s="26">
        <x:v>45975</x:v>
      </x:c>
      <x:c r="H1273" s="24" t="s">
        <x:v>5921</x:v>
      </x:c>
      <x:c r="I1273" s="28" t="s">
        <x:v>5922</x:v>
      </x:c>
      <x:c r="J1273" s="29" t="s">
        <x:v>5923</x:v>
      </x:c>
    </x:row>
    <x:row r="1274" ht="10.050000190734863" customHeight="1">
      <x:c r="A1274" s="21" t="s">
        <x:v>5924</x:v>
      </x:c>
      <x:c r="B1274" s="20" t="s">
        <x:v>5924</x:v>
      </x:c>
      <x:c r="C1274" s="20" t="s">
        <x:v>5920</x:v>
      </x:c>
      <x:c r="D1274" s="24">
        <x:v>10</x:v>
      </x:c>
      <x:c r="E1274" s="24" t="s">
        <x:v>198</x:v>
      </x:c>
      <x:c r="F1274" s="20" t="s">
        <x:v>90</x:v>
      </x:c>
      <x:c r="G1274" s="26">
        <x:v>45761</x:v>
      </x:c>
      <x:c r="H1274" s="24" t="s">
        <x:v>5925</x:v>
      </x:c>
      <x:c r="I1274" s="28" t="s">
        <x:v>5926</x:v>
      </x:c>
      <x:c r="J1274" s="29" t="s">
        <x:v>5927</x:v>
      </x:c>
    </x:row>
    <x:row r="1275" ht="10.050000190734863" customHeight="1">
      <x:c r="A1275" s="21" t="s">
        <x:v>5928</x:v>
      </x:c>
      <x:c r="B1275" s="20" t="s">
        <x:v>5928</x:v>
      </x:c>
      <x:c r="C1275" s="20" t="s">
        <x:v>491</x:v>
      </x:c>
      <x:c r="D1275" s="24">
        <x:v>0</x:v>
      </x:c>
      <x:c r="E1275" s="24" t="s">
        <x:v>96</x:v>
      </x:c>
      <x:c r="F1275" s="20" t="s">
        <x:v>90</x:v>
      </x:c>
      <x:c r="G1275" s="26">
        <x:v>44331</x:v>
      </x:c>
      <x:c r="H1275" s="24" t="s">
        <x:v>5929</x:v>
      </x:c>
      <x:c r="I1275" s="28" t="s">
        <x:v>5930</x:v>
      </x:c>
      <x:c r="J1275" s="29" t="s">
        <x:v>5931</x:v>
      </x:c>
    </x:row>
    <x:row r="1276" ht="10.050000190734863" customHeight="1">
      <x:c r="A1276" s="21" t="s">
        <x:v>5932</x:v>
      </x:c>
      <x:c r="B1276" s="20" t="s">
        <x:v>5932</x:v>
      </x:c>
      <x:c r="C1276" s="20" t="s">
        <x:v>491</x:v>
      </x:c>
      <x:c r="D1276" s="24">
        <x:v>1</x:v>
      </x:c>
      <x:c r="E1276" s="24" t="s">
        <x:v>89</x:v>
      </x:c>
      <x:c r="F1276" s="20" t="s">
        <x:v>90</x:v>
      </x:c>
      <x:c r="G1276" s="26">
        <x:v>45491</x:v>
      </x:c>
      <x:c r="H1276" s="24" t="s">
        <x:v>5933</x:v>
      </x:c>
      <x:c r="I1276" s="28" t="s">
        <x:v>5934</x:v>
      </x:c>
      <x:c r="J1276" s="29" t="s">
        <x:v>5935</x:v>
      </x:c>
    </x:row>
    <x:row r="1277" ht="10.050000190734863" customHeight="1">
      <x:c r="A1277" s="21" t="s">
        <x:v>5936</x:v>
      </x:c>
      <x:c r="B1277" s="20" t="s">
        <x:v>5936</x:v>
      </x:c>
      <x:c r="C1277" s="20" t="s">
        <x:v>491</x:v>
      </x:c>
      <x:c r="D1277" s="24">
        <x:v>0</x:v>
      </x:c>
      <x:c r="E1277" s="24" t="s">
        <x:v>96</x:v>
      </x:c>
      <x:c r="F1277" s="20" t="s">
        <x:v>90</x:v>
      </x:c>
      <x:c r="G1277" s="26">
        <x:v>44398</x:v>
      </x:c>
      <x:c r="H1277" s="24" t="s">
        <x:v>5937</x:v>
      </x:c>
      <x:c r="I1277" s="28" t="s">
        <x:v>5938</x:v>
      </x:c>
      <x:c r="J1277" s="29" t="s">
        <x:v>5939</x:v>
      </x:c>
    </x:row>
    <x:row r="1278" ht="10.050000190734863" customHeight="1">
      <x:c r="A1278" s="21" t="s">
        <x:v>5940</x:v>
      </x:c>
      <x:c r="B1278" s="20" t="s">
        <x:v>5940</x:v>
      </x:c>
      <x:c r="C1278" s="20" t="s">
        <x:v>491</x:v>
      </x:c>
      <x:c r="D1278" s="24">
        <x:v>0</x:v>
      </x:c>
      <x:c r="E1278" s="24" t="s">
        <x:v>96</x:v>
      </x:c>
      <x:c r="F1278" s="20" t="s">
        <x:v>90</x:v>
      </x:c>
      <x:c r="G1278" s="26">
        <x:v>44398</x:v>
      </x:c>
      <x:c r="H1278" s="24" t="s">
        <x:v>5941</x:v>
      </x:c>
      <x:c r="I1278" s="28" t="s">
        <x:v>5942</x:v>
      </x:c>
      <x:c r="J1278" s="29" t="s">
        <x:v>5943</x:v>
      </x:c>
    </x:row>
    <x:row r="1279" ht="10.050000190734863" customHeight="1">
      <x:c r="A1279" s="21" t="s">
        <x:v>5944</x:v>
      </x:c>
      <x:c r="B1279" s="20" t="s">
        <x:v>5944</x:v>
      </x:c>
      <x:c r="C1279" s="20" t="s">
        <x:v>491</x:v>
      </x:c>
      <x:c r="D1279" s="24">
        <x:v>0</x:v>
      </x:c>
      <x:c r="E1279" s="24" t="s">
        <x:v>96</x:v>
      </x:c>
      <x:c r="F1279" s="20" t="s">
        <x:v>90</x:v>
      </x:c>
      <x:c r="G1279" s="26">
        <x:v>44398</x:v>
      </x:c>
      <x:c r="H1279" s="24" t="s">
        <x:v>5945</x:v>
      </x:c>
      <x:c r="I1279" s="28" t="s">
        <x:v>5946</x:v>
      </x:c>
      <x:c r="J1279" s="29" t="s">
        <x:v>5947</x:v>
      </x:c>
    </x:row>
    <x:row r="1280" ht="10.050000190734863" customHeight="1">
      <x:c r="A1280" s="21" t="s">
        <x:v>5948</x:v>
      </x:c>
      <x:c r="B1280" s="20" t="s">
        <x:v>5948</x:v>
      </x:c>
      <x:c r="C1280" s="20" t="s">
        <x:v>491</x:v>
      </x:c>
      <x:c r="D1280" s="24">
        <x:v>0</x:v>
      </x:c>
      <x:c r="E1280" s="24" t="s">
        <x:v>96</x:v>
      </x:c>
      <x:c r="F1280" s="20" t="s">
        <x:v>90</x:v>
      </x:c>
      <x:c r="G1280" s="26">
        <x:v>44398</x:v>
      </x:c>
      <x:c r="H1280" s="24" t="s">
        <x:v>5949</x:v>
      </x:c>
      <x:c r="I1280" s="28" t="s">
        <x:v>5950</x:v>
      </x:c>
      <x:c r="J1280" s="29" t="s">
        <x:v>5951</x:v>
      </x:c>
    </x:row>
    <x:row r="1281" ht="10.050000190734863" customHeight="1">
      <x:c r="A1281" s="21" t="s">
        <x:v>5952</x:v>
      </x:c>
      <x:c r="B1281" s="20" t="s">
        <x:v>5952</x:v>
      </x:c>
      <x:c r="C1281" s="20" t="s">
        <x:v>491</x:v>
      </x:c>
      <x:c r="D1281" s="24">
        <x:v>1</x:v>
      </x:c>
      <x:c r="E1281" s="24" t="s">
        <x:v>89</x:v>
      </x:c>
      <x:c r="F1281" s="20" t="s">
        <x:v>90</x:v>
      </x:c>
      <x:c r="G1281" s="26">
        <x:v>45458</x:v>
      </x:c>
      <x:c r="H1281" s="24" t="s">
        <x:v>5953</x:v>
      </x:c>
      <x:c r="I1281" s="28" t="s">
        <x:v>5954</x:v>
      </x:c>
      <x:c r="J1281" s="29" t="s">
        <x:v>5955</x:v>
      </x:c>
    </x:row>
    <x:row r="1282" ht="10.050000190734863" customHeight="1">
      <x:c r="A1282" s="21" t="s">
        <x:v>5956</x:v>
      </x:c>
      <x:c r="B1282" s="20" t="s">
        <x:v>5956</x:v>
      </x:c>
      <x:c r="C1282" s="20" t="s">
        <x:v>491</x:v>
      </x:c>
      <x:c r="D1282" s="24">
        <x:v>1</x:v>
      </x:c>
      <x:c r="E1282" s="24" t="s">
        <x:v>89</x:v>
      </x:c>
      <x:c r="F1282" s="20" t="s">
        <x:v>90</x:v>
      </x:c>
      <x:c r="G1282" s="26">
        <x:v>45641</x:v>
      </x:c>
      <x:c r="H1282" s="24" t="s">
        <x:v>5957</x:v>
      </x:c>
      <x:c r="I1282" s="28" t="s">
        <x:v>5958</x:v>
      </x:c>
      <x:c r="J1282" s="29" t="s">
        <x:v>5959</x:v>
      </x:c>
    </x:row>
    <x:row r="1283" ht="10.050000190734863" customHeight="1">
      <x:c r="A1283" s="21" t="s">
        <x:v>5960</x:v>
      </x:c>
      <x:c r="B1283" s="20" t="s">
        <x:v>5960</x:v>
      </x:c>
      <x:c r="C1283" s="20" t="s">
        <x:v>491</x:v>
      </x:c>
      <x:c r="D1283" s="24">
        <x:v>0</x:v>
      </x:c>
      <x:c r="E1283" s="24" t="s">
        <x:v>96</x:v>
      </x:c>
      <x:c r="F1283" s="20" t="s">
        <x:v>90</x:v>
      </x:c>
      <x:c r="G1283" s="26">
        <x:v>44396</x:v>
      </x:c>
      <x:c r="H1283" s="24" t="s">
        <x:v>5961</x:v>
      </x:c>
      <x:c r="I1283" s="28" t="s">
        <x:v>5962</x:v>
      </x:c>
      <x:c r="J1283" s="29" t="s">
        <x:v>5963</x:v>
      </x:c>
    </x:row>
    <x:row r="1284" ht="10.050000190734863" customHeight="1">
      <x:c r="A1284" s="21" t="s">
        <x:v>5964</x:v>
      </x:c>
      <x:c r="B1284" s="20" t="s">
        <x:v>5964</x:v>
      </x:c>
      <x:c r="C1284" s="20" t="s">
        <x:v>491</x:v>
      </x:c>
      <x:c r="D1284" s="24">
        <x:v>0</x:v>
      </x:c>
      <x:c r="E1284" s="24" t="s">
        <x:v>96</x:v>
      </x:c>
      <x:c r="F1284" s="20" t="s">
        <x:v>90</x:v>
      </x:c>
      <x:c r="G1284" s="26">
        <x:v>44396</x:v>
      </x:c>
      <x:c r="H1284" s="24" t="s">
        <x:v>5965</x:v>
      </x:c>
      <x:c r="I1284" s="28" t="s">
        <x:v>5966</x:v>
      </x:c>
      <x:c r="J1284" s="29" t="s">
        <x:v>5967</x:v>
      </x:c>
    </x:row>
    <x:row r="1285" ht="10.050000190734863" customHeight="1">
      <x:c r="A1285" s="21" t="s">
        <x:v>5968</x:v>
      </x:c>
      <x:c r="B1285" s="20" t="s">
        <x:v>5968</x:v>
      </x:c>
      <x:c r="C1285" s="20" t="s">
        <x:v>491</x:v>
      </x:c>
      <x:c r="D1285" s="24">
        <x:v>0</x:v>
      </x:c>
      <x:c r="E1285" s="24" t="s">
        <x:v>96</x:v>
      </x:c>
      <x:c r="F1285" s="20" t="s">
        <x:v>90</x:v>
      </x:c>
      <x:c r="G1285" s="26">
        <x:v>44398</x:v>
      </x:c>
      <x:c r="H1285" s="24" t="s">
        <x:v>5969</x:v>
      </x:c>
      <x:c r="I1285" s="28" t="s">
        <x:v>5970</x:v>
      </x:c>
      <x:c r="J1285" s="29" t="s">
        <x:v>5971</x:v>
      </x:c>
    </x:row>
    <x:row r="1286" ht="10.050000190734863" customHeight="1">
      <x:c r="A1286" s="21" t="s">
        <x:v>5972</x:v>
      </x:c>
      <x:c r="B1286" s="20" t="s">
        <x:v>5972</x:v>
      </x:c>
      <x:c r="C1286" s="20" t="s">
        <x:v>491</x:v>
      </x:c>
      <x:c r="D1286" s="24">
        <x:v>0</x:v>
      </x:c>
      <x:c r="E1286" s="24" t="s">
        <x:v>96</x:v>
      </x:c>
      <x:c r="F1286" s="20" t="s">
        <x:v>90</x:v>
      </x:c>
      <x:c r="G1286" s="26">
        <x:v>44398</x:v>
      </x:c>
      <x:c r="H1286" s="24" t="s">
        <x:v>5973</x:v>
      </x:c>
      <x:c r="I1286" s="28" t="s">
        <x:v>5974</x:v>
      </x:c>
      <x:c r="J1286" s="29" t="s">
        <x:v>5975</x:v>
      </x:c>
    </x:row>
    <x:row r="1287" ht="10.050000190734863" customHeight="1">
      <x:c r="A1287" s="21" t="s">
        <x:v>5976</x:v>
      </x:c>
      <x:c r="B1287" s="20" t="s">
        <x:v>5976</x:v>
      </x:c>
      <x:c r="C1287" s="20" t="s">
        <x:v>491</x:v>
      </x:c>
      <x:c r="D1287" s="24">
        <x:v>0</x:v>
      </x:c>
      <x:c r="E1287" s="24" t="s">
        <x:v>96</x:v>
      </x:c>
      <x:c r="F1287" s="20" t="s">
        <x:v>90</x:v>
      </x:c>
      <x:c r="G1287" s="26">
        <x:v>44398</x:v>
      </x:c>
      <x:c r="H1287" s="24" t="s">
        <x:v>5977</x:v>
      </x:c>
      <x:c r="I1287" s="28" t="s">
        <x:v>5978</x:v>
      </x:c>
      <x:c r="J1287" s="29" t="s">
        <x:v>5979</x:v>
      </x:c>
    </x:row>
    <x:row r="1288" ht="10.050000190734863" customHeight="1">
      <x:c r="A1288" s="21" t="s">
        <x:v>5980</x:v>
      </x:c>
      <x:c r="B1288" s="20" t="s">
        <x:v>5980</x:v>
      </x:c>
      <x:c r="C1288" s="20" t="s">
        <x:v>2252</x:v>
      </x:c>
      <x:c r="D1288" s="24">
        <x:v>16</x:v>
      </x:c>
      <x:c r="E1288" s="24" t="s">
        <x:v>198</x:v>
      </x:c>
      <x:c r="F1288" s="20" t="s">
        <x:v>90</x:v>
      </x:c>
      <x:c r="G1288" s="26">
        <x:v>44712</x:v>
      </x:c>
      <x:c r="H1288" s="24" t="s">
        <x:v>5981</x:v>
      </x:c>
      <x:c r="I1288" s="28" t="s">
        <x:v>5982</x:v>
      </x:c>
      <x:c r="J1288" s="29" t="s">
        <x:v>5983</x:v>
      </x:c>
    </x:row>
    <x:row r="1289" ht="10.050000190734863" customHeight="1">
      <x:c r="A1289" s="21" t="s">
        <x:v>5984</x:v>
      </x:c>
      <x:c r="B1289" s="20" t="s">
        <x:v>5984</x:v>
      </x:c>
      <x:c r="C1289" s="20" t="s">
        <x:v>292</x:v>
      </x:c>
      <x:c r="D1289" s="24">
        <x:v>16</x:v>
      </x:c>
      <x:c r="E1289" s="24" t="s">
        <x:v>89</x:v>
      </x:c>
      <x:c r="F1289" s="20" t="s">
        <x:v>90</x:v>
      </x:c>
      <x:c r="G1289" s="26">
        <x:v>43386</x:v>
      </x:c>
      <x:c r="H1289" s="24" t="s">
        <x:v>5985</x:v>
      </x:c>
      <x:c r="I1289" s="28" t="s">
        <x:v>5986</x:v>
      </x:c>
      <x:c r="J1289" s="29" t="s">
        <x:v>5987</x:v>
      </x:c>
    </x:row>
    <x:row r="1290" ht="10.050000190734863" customHeight="1">
      <x:c r="A1290" s="21" t="s">
        <x:v>5988</x:v>
      </x:c>
      <x:c r="B1290" s="20" t="s">
        <x:v>5988</x:v>
      </x:c>
      <x:c r="C1290" s="20" t="s">
        <x:v>292</x:v>
      </x:c>
      <x:c r="D1290" s="24">
        <x:v>20</x:v>
      </x:c>
      <x:c r="E1290" s="24" t="s">
        <x:v>198</x:v>
      </x:c>
      <x:c r="F1290" s="20" t="s">
        <x:v>90</x:v>
      </x:c>
      <x:c r="G1290" s="26">
        <x:v>43680</x:v>
      </x:c>
      <x:c r="H1290" s="24" t="s">
        <x:v>5989</x:v>
      </x:c>
      <x:c r="I1290" s="28" t="s">
        <x:v>5990</x:v>
      </x:c>
      <x:c r="J1290" s="29" t="s">
        <x:v>5991</x:v>
      </x:c>
    </x:row>
    <x:row r="1291" ht="10.050000190734863" customHeight="1">
      <x:c r="A1291" s="21" t="s">
        <x:v>5992</x:v>
      </x:c>
      <x:c r="B1291" s="20" t="s">
        <x:v>5992</x:v>
      </x:c>
      <x:c r="C1291" s="20" t="s">
        <x:v>292</x:v>
      </x:c>
      <x:c r="D1291" s="24">
        <x:v>12</x:v>
      </x:c>
      <x:c r="E1291" s="24" t="s">
        <x:v>198</x:v>
      </x:c>
      <x:c r="F1291" s="20" t="s">
        <x:v>90</x:v>
      </x:c>
      <x:c r="G1291" s="26">
        <x:v>43963</x:v>
      </x:c>
      <x:c r="H1291" s="24" t="s">
        <x:v>5993</x:v>
      </x:c>
      <x:c r="I1291" s="28" t="s">
        <x:v>5994</x:v>
      </x:c>
      <x:c r="J1291" s="29" t="s">
        <x:v>5995</x:v>
      </x:c>
    </x:row>
    <x:row r="1292" ht="10.050000190734863" customHeight="1">
      <x:c r="A1292" s="21" t="s">
        <x:v>5996</x:v>
      </x:c>
      <x:c r="B1292" s="20" t="s">
        <x:v>5996</x:v>
      </x:c>
      <x:c r="C1292" s="20" t="s">
        <x:v>5997</x:v>
      </x:c>
      <x:c r="D1292" s="24">
        <x:v>14</x:v>
      </x:c>
      <x:c r="E1292" s="24" t="s">
        <x:v>89</x:v>
      </x:c>
      <x:c r="F1292" s="20" t="s">
        <x:v>97</x:v>
      </x:c>
      <x:c r="G1292" s="26">
        <x:v>46029</x:v>
      </x:c>
      <x:c r="H1292" s="24" t="s">
        <x:v>5998</x:v>
      </x:c>
      <x:c r="I1292" s="28" t="s">
        <x:v>5999</x:v>
      </x:c>
      <x:c r="J1292" s="29" t="s">
        <x:v>6000</x:v>
      </x:c>
    </x:row>
    <x:row r="1293" ht="10.050000190734863" customHeight="1">
      <x:c r="A1293" s="21" t="s">
        <x:v>6001</x:v>
      </x:c>
      <x:c r="B1293" s="20" t="s">
        <x:v>6001</x:v>
      </x:c>
      <x:c r="C1293" s="20" t="s">
        <x:v>491</x:v>
      </x:c>
      <x:c r="D1293" s="24">
        <x:v>27</x:v>
      </x:c>
      <x:c r="E1293" s="24" t="s">
        <x:v>96</x:v>
      </x:c>
      <x:c r="F1293" s="20" t="s">
        <x:v>90</x:v>
      </x:c>
      <x:c r="G1293" s="26">
        <x:v>44405</x:v>
      </x:c>
      <x:c r="H1293" s="24" t="s">
        <x:v>6002</x:v>
      </x:c>
      <x:c r="I1293" s="28" t="s">
        <x:v>6003</x:v>
      </x:c>
      <x:c r="J1293" s="29" t="s">
        <x:v>6004</x:v>
      </x:c>
    </x:row>
    <x:row r="1294" ht="10.050000190734863" customHeight="1">
      <x:c r="A1294" s="21" t="s">
        <x:v>6005</x:v>
      </x:c>
      <x:c r="B1294" s="20" t="s">
        <x:v>6005</x:v>
      </x:c>
      <x:c r="C1294" s="20" t="s">
        <x:v>491</x:v>
      </x:c>
      <x:c r="D1294" s="24">
        <x:v>19</x:v>
      </x:c>
      <x:c r="E1294" s="24" t="s">
        <x:v>198</x:v>
      </x:c>
      <x:c r="F1294" s="20" t="s">
        <x:v>90</x:v>
      </x:c>
      <x:c r="G1294" s="26">
        <x:v>45305</x:v>
      </x:c>
      <x:c r="H1294" s="24" t="s">
        <x:v>6006</x:v>
      </x:c>
      <x:c r="I1294" s="28" t="s">
        <x:v>6007</x:v>
      </x:c>
      <x:c r="J1294" s="29" t="s">
        <x:v>6008</x:v>
      </x:c>
    </x:row>
    <x:row r="1295" ht="10.050000190734863" customHeight="1">
      <x:c r="A1295" s="21" t="s">
        <x:v>6009</x:v>
      </x:c>
      <x:c r="B1295" s="20" t="s">
        <x:v>6009</x:v>
      </x:c>
      <x:c r="C1295" s="20" t="s">
        <x:v>903</x:v>
      </x:c>
      <x:c r="D1295" s="24">
        <x:v>20</x:v>
      </x:c>
      <x:c r="E1295" s="24" t="s">
        <x:v>198</x:v>
      </x:c>
      <x:c r="F1295" s="20" t="s">
        <x:v>90</x:v>
      </x:c>
      <x:c r="G1295" s="26">
        <x:v>46212</x:v>
      </x:c>
      <x:c r="H1295" s="24" t="s">
        <x:v>6010</x:v>
      </x:c>
      <x:c r="I1295" s="28" t="s">
        <x:v>6011</x:v>
      </x:c>
      <x:c r="J1295" s="29" t="s">
        <x:v>6012</x:v>
      </x:c>
    </x:row>
    <x:row r="1296" ht="10.050000190734863" customHeight="1">
      <x:c r="A1296" s="21" t="s">
        <x:v>6013</x:v>
      </x:c>
      <x:c r="B1296" s="20" t="s">
        <x:v>6013</x:v>
      </x:c>
      <x:c r="C1296" s="20" t="s">
        <x:v>6014</x:v>
      </x:c>
      <x:c r="D1296" s="24">
        <x:v>17</x:v>
      </x:c>
      <x:c r="E1296" s="24" t="s">
        <x:v>198</x:v>
      </x:c>
      <x:c r="F1296" s="20" t="s">
        <x:v>90</x:v>
      </x:c>
      <x:c r="G1296" s="26">
        <x:v>44445</x:v>
      </x:c>
      <x:c r="H1296" s="24" t="s">
        <x:v>6015</x:v>
      </x:c>
      <x:c r="I1296" s="28" t="s">
        <x:v>6016</x:v>
      </x:c>
      <x:c r="J1296" s="29" t="s">
        <x:v>6017</x:v>
      </x:c>
    </x:row>
    <x:row r="1297" ht="10.050000190734863" customHeight="1">
      <x:c r="A1297" s="21" t="s">
        <x:v>6018</x:v>
      </x:c>
      <x:c r="B1297" s="20" t="s">
        <x:v>6018</x:v>
      </x:c>
      <x:c r="C1297" s="20" t="s">
        <x:v>6019</x:v>
      </x:c>
      <x:c r="D1297" s="24">
        <x:v>1</x:v>
      </x:c>
      <x:c r="E1297" s="24" t="s">
        <x:v>89</x:v>
      </x:c>
      <x:c r="F1297" s="20" t="s">
        <x:v>90</x:v>
      </x:c>
      <x:c r="G1297" s="26">
        <x:v>44263</x:v>
      </x:c>
      <x:c r="H1297" s="24" t="s">
        <x:v>6020</x:v>
      </x:c>
      <x:c r="I1297" s="28" t="s">
        <x:v>6021</x:v>
      </x:c>
      <x:c r="J1297" s="29" t="s">
        <x:v>6022</x:v>
      </x:c>
    </x:row>
    <x:row r="1298" ht="10.050000190734863" customHeight="1">
      <x:c r="A1298" s="21" t="s">
        <x:v>6023</x:v>
      </x:c>
      <x:c r="B1298" s="20" t="s">
        <x:v>6023</x:v>
      </x:c>
      <x:c r="C1298" s="20" t="s">
        <x:v>6024</x:v>
      </x:c>
      <x:c r="D1298" s="24">
        <x:v>12</x:v>
      </x:c>
      <x:c r="E1298" s="24" t="s">
        <x:v>198</x:v>
      </x:c>
      <x:c r="F1298" s="20" t="s">
        <x:v>90</x:v>
      </x:c>
      <x:c r="G1298" s="26">
        <x:v>44840</x:v>
      </x:c>
      <x:c r="H1298" s="24" t="s">
        <x:v>6025</x:v>
      </x:c>
      <x:c r="I1298" s="28" t="s">
        <x:v>6026</x:v>
      </x:c>
      <x:c r="J1298" s="29" t="s">
        <x:v>6027</x:v>
      </x:c>
    </x:row>
    <x:row r="1299" ht="10.050000190734863" customHeight="1">
      <x:c r="A1299" s="21" t="s">
        <x:v>6028</x:v>
      </x:c>
      <x:c r="B1299" s="20" t="s">
        <x:v>6028</x:v>
      </x:c>
      <x:c r="C1299" s="20" t="s">
        <x:v>742</x:v>
      </x:c>
      <x:c r="D1299" s="24">
        <x:v>9</x:v>
      </x:c>
      <x:c r="E1299" s="24" t="s">
        <x:v>89</x:v>
      </x:c>
      <x:c r="F1299" s="20" t="s">
        <x:v>152</x:v>
      </x:c>
      <x:c r="G1299" s="26">
        <x:v>44586</x:v>
      </x:c>
      <x:c r="H1299" s="24" t="s">
        <x:v>6029</x:v>
      </x:c>
      <x:c r="I1299" s="28" t="s">
        <x:v>6030</x:v>
      </x:c>
      <x:c r="J1299" s="29" t="s">
        <x:v>6031</x:v>
      </x:c>
    </x:row>
    <x:row r="1300" ht="10.050000190734863" customHeight="1">
      <x:c r="A1300" s="21" t="s">
        <x:v>6032</x:v>
      </x:c>
      <x:c r="B1300" s="20" t="s">
        <x:v>6032</x:v>
      </x:c>
      <x:c r="C1300" s="20" t="s">
        <x:v>2306</x:v>
      </x:c>
      <x:c r="D1300" s="24">
        <x:v>4</x:v>
      </x:c>
      <x:c r="E1300" s="24" t="s">
        <x:v>114</x:v>
      </x:c>
      <x:c r="F1300" s="20" t="s">
        <x:v>6033</x:v>
      </x:c>
      <x:c r="G1300" s="26">
        <x:v>45799</x:v>
      </x:c>
      <x:c r="H1300" s="24" t="s">
        <x:v>6034</x:v>
      </x:c>
      <x:c r="I1300" s="28" t="s">
        <x:v>6035</x:v>
      </x:c>
      <x:c r="J1300" s="29" t="s">
        <x:v>6036</x:v>
      </x:c>
    </x:row>
    <x:row r="1301" ht="10.050000190734863" customHeight="1">
      <x:c r="A1301" s="21" t="s">
        <x:v>6037</x:v>
      </x:c>
      <x:c r="B1301" s="20" t="s">
        <x:v>6037</x:v>
      </x:c>
      <x:c r="C1301" s="20" t="s">
        <x:v>6038</x:v>
      </x:c>
      <x:c r="D1301" s="24">
        <x:v>5</x:v>
      </x:c>
      <x:c r="E1301" s="24" t="s">
        <x:v>198</x:v>
      </x:c>
      <x:c r="F1301" s="20" t="s">
        <x:v>90</x:v>
      </x:c>
      <x:c r="G1301" s="26">
        <x:v>45003</x:v>
      </x:c>
      <x:c r="H1301" s="24" t="s">
        <x:v>6039</x:v>
      </x:c>
      <x:c r="I1301" s="28" t="s">
        <x:v>6040</x:v>
      </x:c>
      <x:c r="J1301" s="29" t="s">
        <x:v>6041</x:v>
      </x:c>
    </x:row>
    <x:row r="1302" ht="10.050000190734863" customHeight="1">
      <x:c r="A1302" s="21" t="s">
        <x:v>6042</x:v>
      </x:c>
      <x:c r="B1302" s="20" t="s">
        <x:v>6042</x:v>
      </x:c>
      <x:c r="C1302" s="20" t="s">
        <x:v>908</x:v>
      </x:c>
      <x:c r="D1302" s="24">
        <x:v>1</x:v>
      </x:c>
      <x:c r="E1302" s="24" t="s">
        <x:v>125</x:v>
      </x:c>
      <x:c r="F1302" s="20" t="s">
        <x:v>126</x:v>
      </x:c>
      <x:c r="G1302" s="26">
        <x:v>45403</x:v>
      </x:c>
      <x:c r="H1302" s="24" t="s">
        <x:v>6043</x:v>
      </x:c>
      <x:c r="I1302" s="28" t="s">
        <x:v>6044</x:v>
      </x:c>
      <x:c r="J1302" s="29" t="s">
        <x:v>6045</x:v>
      </x:c>
    </x:row>
    <x:row r="1303" ht="10.050000190734863" customHeight="1">
      <x:c r="A1303" s="21" t="s">
        <x:v>6046</x:v>
      </x:c>
      <x:c r="B1303" s="20" t="s">
        <x:v>6046</x:v>
      </x:c>
      <x:c r="C1303" s="20" t="s">
        <x:v>6047</x:v>
      </x:c>
      <x:c r="D1303" s="24">
        <x:v>119</x:v>
      </x:c>
      <x:c r="E1303" s="24" t="s">
        <x:v>198</x:v>
      </x:c>
      <x:c r="F1303" s="20" t="s">
        <x:v>97</x:v>
      </x:c>
      <x:c r="G1303" s="26">
        <x:v>45433</x:v>
      </x:c>
      <x:c r="H1303" s="24" t="s">
        <x:v>6048</x:v>
      </x:c>
      <x:c r="I1303" s="28" t="s">
        <x:v>6049</x:v>
      </x:c>
      <x:c r="J1303" s="29" t="s">
        <x:v>6050</x:v>
      </x:c>
    </x:row>
    <x:row r="1304" ht="10.050000190734863" customHeight="1">
      <x:c r="A1304" s="21" t="s">
        <x:v>6051</x:v>
      </x:c>
      <x:c r="B1304" s="20" t="s">
        <x:v>6051</x:v>
      </x:c>
      <x:c r="C1304" s="20" t="s">
        <x:v>1135</x:v>
      </x:c>
      <x:c r="D1304" s="24">
        <x:v>20</x:v>
      </x:c>
      <x:c r="E1304" s="24" t="s">
        <x:v>96</x:v>
      </x:c>
      <x:c r="F1304" s="20" t="s">
        <x:v>97</x:v>
      </x:c>
      <x:c r="G1304" s="26">
        <x:v>43136</x:v>
      </x:c>
      <x:c r="H1304" s="24" t="s">
        <x:v>6052</x:v>
      </x:c>
      <x:c r="I1304" s="28" t="s">
        <x:v>6053</x:v>
      </x:c>
      <x:c r="J1304" s="29" t="s">
        <x:v>6054</x:v>
      </x:c>
    </x:row>
    <x:row r="1305" ht="10.050000190734863" customHeight="1">
      <x:c r="A1305" s="21" t="s">
        <x:v>6055</x:v>
      </x:c>
      <x:c r="B1305" s="20" t="s">
        <x:v>6055</x:v>
      </x:c>
      <x:c r="C1305" s="20" t="s">
        <x:v>2179</x:v>
      </x:c>
      <x:c r="D1305" s="24">
        <x:v>0</x:v>
      </x:c>
      <x:c r="E1305" s="24" t="s">
        <x:v>114</x:v>
      </x:c>
      <x:c r="F1305" s="20" t="s">
        <x:v>90</x:v>
      </x:c>
      <x:c r="G1305" s="26">
        <x:v>43774</x:v>
      </x:c>
      <x:c r="H1305" s="24" t="s">
        <x:v>6056</x:v>
      </x:c>
      <x:c r="I1305" s="28" t="s">
        <x:v>6057</x:v>
      </x:c>
      <x:c r="J1305" s="29" t="s">
        <x:v>6058</x:v>
      </x:c>
    </x:row>
    <x:row r="1306" ht="10.050000190734863" customHeight="1">
      <x:c r="A1306" s="21" t="s">
        <x:v>6059</x:v>
      </x:c>
      <x:c r="B1306" s="20" t="s">
        <x:v>6059</x:v>
      </x:c>
      <x:c r="C1306" s="20" t="s">
        <x:v>2529</x:v>
      </x:c>
      <x:c r="D1306" s="24">
        <x:v>22</x:v>
      </x:c>
      <x:c r="E1306" s="24" t="s">
        <x:v>89</x:v>
      </x:c>
      <x:c r="F1306" s="20" t="s">
        <x:v>97</x:v>
      </x:c>
      <x:c r="G1306" s="26">
        <x:v>43114</x:v>
      </x:c>
      <x:c r="H1306" s="24" t="s">
        <x:v>6060</x:v>
      </x:c>
      <x:c r="I1306" s="28" t="s">
        <x:v>6061</x:v>
      </x:c>
      <x:c r="J1306" s="29" t="s">
        <x:v>6062</x:v>
      </x:c>
    </x:row>
    <x:row r="1307" ht="10.050000190734863" customHeight="1">
      <x:c r="A1307" s="21" t="s">
        <x:v>6063</x:v>
      </x:c>
      <x:c r="B1307" s="20" t="s">
        <x:v>6063</x:v>
      </x:c>
      <x:c r="C1307" s="20" t="s">
        <x:v>6064</x:v>
      </x:c>
      <x:c r="D1307" s="24">
        <x:v>19</x:v>
      </x:c>
      <x:c r="E1307" s="24" t="s">
        <x:v>96</x:v>
      </x:c>
      <x:c r="F1307" s="20" t="s">
        <x:v>97</x:v>
      </x:c>
      <x:c r="G1307" s="26">
        <x:v>44266</x:v>
      </x:c>
      <x:c r="H1307" s="24" t="s">
        <x:v>6065</x:v>
      </x:c>
      <x:c r="I1307" s="28" t="s">
        <x:v>6066</x:v>
      </x:c>
      <x:c r="J1307" s="29" t="s">
        <x:v>6067</x:v>
      </x:c>
    </x:row>
    <x:row r="1308" ht="10.050000190734863" customHeight="1">
      <x:c r="A1308" s="21" t="s">
        <x:v>6068</x:v>
      </x:c>
      <x:c r="B1308" s="20" t="s">
        <x:v>6068</x:v>
      </x:c>
      <x:c r="C1308" s="20" t="s">
        <x:v>4665</x:v>
      </x:c>
      <x:c r="D1308" s="24">
        <x:v>32</x:v>
      </x:c>
      <x:c r="E1308" s="24" t="s">
        <x:v>96</x:v>
      </x:c>
      <x:c r="F1308" s="20" t="s">
        <x:v>97</x:v>
      </x:c>
      <x:c r="G1308" s="26">
        <x:v>42699</x:v>
      </x:c>
      <x:c r="H1308" s="24" t="s">
        <x:v>6069</x:v>
      </x:c>
      <x:c r="I1308" s="28" t="s">
        <x:v>6070</x:v>
      </x:c>
      <x:c r="J1308" s="29" t="s">
        <x:v>6071</x:v>
      </x:c>
    </x:row>
    <x:row r="1309" ht="10.050000190734863" customHeight="1">
      <x:c r="A1309" s="21" t="s">
        <x:v>6072</x:v>
      </x:c>
      <x:c r="B1309" s="20" t="s">
        <x:v>6072</x:v>
      </x:c>
      <x:c r="C1309" s="20" t="s">
        <x:v>4665</x:v>
      </x:c>
      <x:c r="D1309" s="24">
        <x:v>5</x:v>
      </x:c>
      <x:c r="E1309" s="24" t="s">
        <x:v>96</x:v>
      </x:c>
      <x:c r="F1309" s="20" t="s">
        <x:v>97</x:v>
      </x:c>
      <x:c r="G1309" s="26">
        <x:v>42709</x:v>
      </x:c>
      <x:c r="H1309" s="24" t="s">
        <x:v>6073</x:v>
      </x:c>
      <x:c r="I1309" s="28" t="s">
        <x:v>6074</x:v>
      </x:c>
      <x:c r="J1309" s="29" t="s">
        <x:v>6075</x:v>
      </x:c>
    </x:row>
    <x:row r="1310" ht="10.050000190734863" customHeight="1">
      <x:c r="A1310" s="21" t="s">
        <x:v>6076</x:v>
      </x:c>
      <x:c r="B1310" s="20" t="s">
        <x:v>6076</x:v>
      </x:c>
      <x:c r="C1310" s="20" t="s">
        <x:v>272</x:v>
      </x:c>
      <x:c r="D1310" s="24">
        <x:v>12</x:v>
      </x:c>
      <x:c r="E1310" s="24" t="s">
        <x:v>96</x:v>
      </x:c>
      <x:c r="F1310" s="20" t="s">
        <x:v>97</x:v>
      </x:c>
      <x:c r="G1310" s="26">
        <x:v>44843</x:v>
      </x:c>
      <x:c r="H1310" s="24" t="s">
        <x:v>6077</x:v>
      </x:c>
      <x:c r="I1310" s="28" t="s">
        <x:v>6078</x:v>
      </x:c>
      <x:c r="J1310" s="29" t="s">
        <x:v>6079</x:v>
      </x:c>
    </x:row>
    <x:row r="1311" ht="10.050000190734863" customHeight="1">
      <x:c r="A1311" s="21" t="s">
        <x:v>6080</x:v>
      </x:c>
      <x:c r="B1311" s="20" t="s">
        <x:v>6080</x:v>
      </x:c>
      <x:c r="C1311" s="20" t="s">
        <x:v>6081</x:v>
      </x:c>
      <x:c r="D1311" s="24">
        <x:v>22</x:v>
      </x:c>
      <x:c r="E1311" s="24" t="s">
        <x:v>89</x:v>
      </x:c>
      <x:c r="F1311" s="20" t="s">
        <x:v>90</x:v>
      </x:c>
      <x:c r="G1311" s="26">
        <x:v>45399</x:v>
      </x:c>
      <x:c r="H1311" s="24" t="s">
        <x:v>6082</x:v>
      </x:c>
      <x:c r="I1311" s="28" t="s">
        <x:v>6083</x:v>
      </x:c>
      <x:c r="J1311" s="29" t="s">
        <x:v>6084</x:v>
      </x:c>
    </x:row>
    <x:row r="1312" ht="10.050000190734863" customHeight="1">
      <x:c r="A1312" s="21" t="s">
        <x:v>6085</x:v>
      </x:c>
      <x:c r="B1312" s="20" t="s">
        <x:v>6085</x:v>
      </x:c>
      <x:c r="C1312" s="20" t="s">
        <x:v>4646</x:v>
      </x:c>
      <x:c r="D1312" s="24">
        <x:v>39</x:v>
      </x:c>
      <x:c r="E1312" s="24" t="s">
        <x:v>89</x:v>
      </x:c>
      <x:c r="F1312" s="20" t="s">
        <x:v>97</x:v>
      </x:c>
      <x:c r="G1312" s="26">
        <x:v>42671</x:v>
      </x:c>
      <x:c r="H1312" s="24" t="s">
        <x:v>6086</x:v>
      </x:c>
      <x:c r="I1312" s="28" t="s">
        <x:v>6087</x:v>
      </x:c>
      <x:c r="J1312" s="29" t="s">
        <x:v>6088</x:v>
      </x:c>
    </x:row>
    <x:row r="1313" ht="10.050000190734863" customHeight="1">
      <x:c r="A1313" s="21" t="s">
        <x:v>6089</x:v>
      </x:c>
      <x:c r="B1313" s="20" t="s">
        <x:v>6089</x:v>
      </x:c>
      <x:c r="C1313" s="20" t="s">
        <x:v>6090</x:v>
      </x:c>
      <x:c r="D1313" s="24">
        <x:v>28</x:v>
      </x:c>
      <x:c r="E1313" s="24" t="s">
        <x:v>198</x:v>
      </x:c>
      <x:c r="F1313" s="20" t="s">
        <x:v>90</x:v>
      </x:c>
      <x:c r="G1313" s="26">
        <x:v>44425</x:v>
      </x:c>
      <x:c r="H1313" s="24" t="s">
        <x:v>6091</x:v>
      </x:c>
      <x:c r="I1313" s="28" t="s">
        <x:v>6092</x:v>
      </x:c>
      <x:c r="J1313" s="29" t="s">
        <x:v>6093</x:v>
      </x:c>
    </x:row>
    <x:row r="1314" ht="10.050000190734863" customHeight="1">
      <x:c r="A1314" s="21" t="s">
        <x:v>6094</x:v>
      </x:c>
      <x:c r="B1314" s="20" t="s">
        <x:v>6094</x:v>
      </x:c>
      <x:c r="C1314" s="20" t="s">
        <x:v>6090</x:v>
      </x:c>
      <x:c r="D1314" s="24">
        <x:v>28</x:v>
      </x:c>
      <x:c r="E1314" s="24" t="s">
        <x:v>198</x:v>
      </x:c>
      <x:c r="F1314" s="20" t="s">
        <x:v>90</x:v>
      </x:c>
      <x:c r="G1314" s="26">
        <x:v>44964</x:v>
      </x:c>
      <x:c r="H1314" s="24" t="s">
        <x:v>6095</x:v>
      </x:c>
      <x:c r="I1314" s="28" t="s">
        <x:v>6096</x:v>
      </x:c>
      <x:c r="J1314" s="29" t="s">
        <x:v>6097</x:v>
      </x:c>
    </x:row>
    <x:row r="1315" ht="10.050000190734863" customHeight="1">
      <x:c r="A1315" s="21" t="s">
        <x:v>6098</x:v>
      </x:c>
      <x:c r="B1315" s="20" t="s">
        <x:v>6098</x:v>
      </x:c>
      <x:c r="C1315" s="20" t="s">
        <x:v>6099</x:v>
      </x:c>
      <x:c r="D1315" s="24">
        <x:v>15</x:v>
      </x:c>
      <x:c r="E1315" s="24" t="s">
        <x:v>198</x:v>
      </x:c>
      <x:c r="F1315" s="20" t="s">
        <x:v>90</x:v>
      </x:c>
      <x:c r="G1315" s="26">
        <x:v>46173</x:v>
      </x:c>
      <x:c r="H1315" s="24" t="s">
        <x:v>6100</x:v>
      </x:c>
      <x:c r="I1315" s="28" t="s">
        <x:v>6101</x:v>
      </x:c>
      <x:c r="J1315" s="29" t="s">
        <x:v>6102</x:v>
      </x:c>
    </x:row>
    <x:row r="1316" ht="10.050000190734863" customHeight="1">
      <x:c r="A1316" s="21" t="s">
        <x:v>6103</x:v>
      </x:c>
      <x:c r="B1316" s="20" t="s">
        <x:v>6103</x:v>
      </x:c>
      <x:c r="C1316" s="20" t="s">
        <x:v>1344</x:v>
      </x:c>
      <x:c r="D1316" s="24">
        <x:v>26</x:v>
      </x:c>
      <x:c r="E1316" s="24" t="s">
        <x:v>89</x:v>
      </x:c>
      <x:c r="F1316" s="20" t="s">
        <x:v>152</x:v>
      </x:c>
      <x:c r="G1316" s="26">
        <x:v>44595</x:v>
      </x:c>
      <x:c r="H1316" s="24" t="s">
        <x:v>6104</x:v>
      </x:c>
      <x:c r="I1316" s="28" t="s">
        <x:v>6105</x:v>
      </x:c>
      <x:c r="J1316" s="29" t="s">
        <x:v>6106</x:v>
      </x:c>
    </x:row>
    <x:row r="1317" ht="10.050000190734863" customHeight="1">
      <x:c r="A1317" s="21" t="s">
        <x:v>72</x:v>
      </x:c>
      <x:c r="B1317" s="20" t="s">
        <x:v>72</x:v>
      </x:c>
      <x:c r="C1317" s="20" t="s">
        <x:v>761</x:v>
      </x:c>
      <x:c r="D1317" s="24">
        <x:v>14</x:v>
      </x:c>
      <x:c r="E1317" s="24" t="s">
        <x:v>198</x:v>
      </x:c>
      <x:c r="F1317" s="20" t="s">
        <x:v>90</x:v>
      </x:c>
      <x:c r="G1317" s="26">
        <x:v>46017</x:v>
      </x:c>
      <x:c r="H1317" s="24" t="s">
        <x:v>6107</x:v>
      </x:c>
      <x:c r="I1317" s="28" t="s">
        <x:v>6108</x:v>
      </x:c>
      <x:c r="J1317" s="29" t="s">
        <x:v>6109</x:v>
      </x:c>
    </x:row>
    <x:row r="1318" ht="10.050000190734863" customHeight="1">
      <x:c r="A1318" s="21" t="s">
        <x:v>6110</x:v>
      </x:c>
      <x:c r="B1318" s="20" t="s">
        <x:v>6110</x:v>
      </x:c>
      <x:c r="C1318" s="20" t="s">
        <x:v>6111</x:v>
      </x:c>
      <x:c r="D1318" s="24">
        <x:v>7</x:v>
      </x:c>
      <x:c r="E1318" s="24" t="s">
        <x:v>96</x:v>
      </x:c>
      <x:c r="F1318" s="20" t="s">
        <x:v>90</x:v>
      </x:c>
      <x:c r="G1318" s="26">
        <x:v>45317</x:v>
      </x:c>
      <x:c r="H1318" s="24" t="s">
        <x:v>6112</x:v>
      </x:c>
      <x:c r="I1318" s="28" t="s">
        <x:v>6113</x:v>
      </x:c>
      <x:c r="J1318" s="29" t="s">
        <x:v>6114</x:v>
      </x:c>
    </x:row>
    <x:row r="1319" ht="10.050000190734863" customHeight="1">
      <x:c r="A1319" s="21" t="s">
        <x:v>6115</x:v>
      </x:c>
      <x:c r="B1319" s="20" t="s">
        <x:v>6115</x:v>
      </x:c>
      <x:c r="C1319" s="20" t="s">
        <x:v>6116</x:v>
      </x:c>
      <x:c r="D1319" s="24">
        <x:v>6</x:v>
      </x:c>
      <x:c r="E1319" s="24" t="s">
        <x:v>257</x:v>
      </x:c>
      <x:c r="F1319" s="20" t="s">
        <x:v>97</x:v>
      </x:c>
      <x:c r="G1319" s="26">
        <x:v>41461</x:v>
      </x:c>
      <x:c r="H1319" s="24" t="s">
        <x:v>6117</x:v>
      </x:c>
      <x:c r="I1319" s="28" t="s">
        <x:v>6118</x:v>
      </x:c>
      <x:c r="J1319" s="29" t="s">
        <x:v>6119</x:v>
      </x:c>
    </x:row>
    <x:row r="1320" ht="10.050000190734863" customHeight="1">
      <x:c r="A1320" s="21" t="s">
        <x:v>6120</x:v>
      </x:c>
      <x:c r="B1320" s="20" t="s">
        <x:v>6120</x:v>
      </x:c>
      <x:c r="C1320" s="20" t="s">
        <x:v>6121</x:v>
      </x:c>
      <x:c r="D1320" s="24">
        <x:v>28</x:v>
      </x:c>
      <x:c r="E1320" s="24" t="s">
        <x:v>114</x:v>
      </x:c>
      <x:c r="F1320" s="20" t="s">
        <x:v>90</x:v>
      </x:c>
      <x:c r="G1320" s="26">
        <x:v>45202</x:v>
      </x:c>
      <x:c r="H1320" s="24" t="s">
        <x:v>6122</x:v>
      </x:c>
      <x:c r="I1320" s="28" t="s">
        <x:v>6123</x:v>
      </x:c>
      <x:c r="J1320" s="29" t="s">
        <x:v>6124</x:v>
      </x:c>
    </x:row>
    <x:row r="1321" ht="10.050000190734863" customHeight="1">
      <x:c r="A1321" s="21" t="s">
        <x:v>6125</x:v>
      </x:c>
      <x:c r="B1321" s="20" t="s">
        <x:v>6125</x:v>
      </x:c>
      <x:c r="C1321" s="20" t="s">
        <x:v>6126</x:v>
      </x:c>
      <x:c r="D1321" s="24">
        <x:v>26</x:v>
      </x:c>
      <x:c r="E1321" s="24" t="s">
        <x:v>114</x:v>
      </x:c>
      <x:c r="F1321" s="20" t="s">
        <x:v>90</x:v>
      </x:c>
      <x:c r="G1321" s="26">
        <x:v>45654</x:v>
      </x:c>
      <x:c r="H1321" s="24" t="s">
        <x:v>6127</x:v>
      </x:c>
      <x:c r="I1321" s="28" t="s">
        <x:v>6128</x:v>
      </x:c>
      <x:c r="J1321" s="29" t="s">
        <x:v>6129</x:v>
      </x:c>
    </x:row>
    <x:row r="1322" ht="10.050000190734863" customHeight="1">
      <x:c r="A1322" s="21" t="s">
        <x:v>6130</x:v>
      </x:c>
      <x:c r="B1322" s="20" t="s">
        <x:v>6130</x:v>
      </x:c>
      <x:c r="C1322" s="20" t="s">
        <x:v>3061</x:v>
      </x:c>
      <x:c r="D1322" s="24">
        <x:v>6</x:v>
      </x:c>
      <x:c r="E1322" s="24" t="s">
        <x:v>96</x:v>
      </x:c>
      <x:c r="F1322" s="20" t="s">
        <x:v>90</x:v>
      </x:c>
      <x:c r="G1322" s="26">
        <x:v>44426</x:v>
      </x:c>
      <x:c r="H1322" s="24" t="s">
        <x:v>6131</x:v>
      </x:c>
      <x:c r="I1322" s="28" t="s">
        <x:v>6132</x:v>
      </x:c>
      <x:c r="J1322" s="29" t="s">
        <x:v>6133</x:v>
      </x:c>
    </x:row>
    <x:row r="1323" ht="10.050000190734863" customHeight="1">
      <x:c r="A1323" s="21" t="s">
        <x:v>6134</x:v>
      </x:c>
      <x:c r="B1323" s="20" t="s">
        <x:v>6134</x:v>
      </x:c>
      <x:c r="C1323" s="20" t="s">
        <x:v>6135</x:v>
      </x:c>
      <x:c r="D1323" s="24">
        <x:v>7</x:v>
      </x:c>
      <x:c r="E1323" s="24" t="s">
        <x:v>96</x:v>
      </x:c>
      <x:c r="F1323" s="20" t="s">
        <x:v>97</x:v>
      </x:c>
      <x:c r="G1323" s="26">
        <x:v>44025</x:v>
      </x:c>
      <x:c r="H1323" s="24" t="s">
        <x:v>6136</x:v>
      </x:c>
      <x:c r="I1323" s="28" t="s">
        <x:v>6137</x:v>
      </x:c>
      <x:c r="J1323" s="29" t="s">
        <x:v>6138</x:v>
      </x:c>
    </x:row>
    <x:row r="1324" ht="10.050000190734863" customHeight="1">
      <x:c r="A1324" s="21" t="s">
        <x:v>6139</x:v>
      </x:c>
      <x:c r="B1324" s="20" t="s">
        <x:v>6139</x:v>
      </x:c>
      <x:c r="C1324" s="20" t="s">
        <x:v>3896</x:v>
      </x:c>
      <x:c r="D1324" s="24">
        <x:v>3</x:v>
      </x:c>
      <x:c r="E1324" s="24" t="s">
        <x:v>114</x:v>
      </x:c>
      <x:c r="F1324" s="20" t="s">
        <x:v>90</x:v>
      </x:c>
      <x:c r="G1324" s="26">
        <x:v>44673</x:v>
      </x:c>
      <x:c r="H1324" s="24" t="s">
        <x:v>6140</x:v>
      </x:c>
      <x:c r="I1324" s="28" t="s">
        <x:v>6141</x:v>
      </x:c>
      <x:c r="J1324" s="29" t="s">
        <x:v>6142</x:v>
      </x:c>
    </x:row>
    <x:row r="1325" ht="10.050000190734863" customHeight="1">
      <x:c r="A1325" s="21" t="s">
        <x:v>6143</x:v>
      </x:c>
      <x:c r="B1325" s="20" t="s">
        <x:v>6143</x:v>
      </x:c>
      <x:c r="C1325" s="20" t="s">
        <x:v>6144</x:v>
      </x:c>
      <x:c r="D1325" s="24">
        <x:v>15</x:v>
      </x:c>
      <x:c r="E1325" s="24" t="s">
        <x:v>89</x:v>
      </x:c>
      <x:c r="F1325" s="20" t="s">
        <x:v>90</x:v>
      </x:c>
      <x:c r="G1325" s="26">
        <x:v>45424</x:v>
      </x:c>
      <x:c r="H1325" s="24" t="s">
        <x:v>6145</x:v>
      </x:c>
      <x:c r="I1325" s="28" t="s">
        <x:v>6146</x:v>
      </x:c>
      <x:c r="J1325" s="29" t="s">
        <x:v>6147</x:v>
      </x:c>
    </x:row>
    <x:row r="1326" ht="10.050000190734863" customHeight="1">
      <x:c r="A1326" s="21" t="s">
        <x:v>6148</x:v>
      </x:c>
      <x:c r="B1326" s="20" t="s">
        <x:v>6148</x:v>
      </x:c>
      <x:c r="C1326" s="20" t="s">
        <x:v>1907</x:v>
      </x:c>
      <x:c r="D1326" s="24">
        <x:v>16</x:v>
      </x:c>
      <x:c r="E1326" s="24" t="s">
        <x:v>114</x:v>
      </x:c>
      <x:c r="F1326" s="20" t="s">
        <x:v>90</x:v>
      </x:c>
      <x:c r="G1326" s="26">
        <x:v>45740</x:v>
      </x:c>
      <x:c r="H1326" s="24" t="s">
        <x:v>6149</x:v>
      </x:c>
      <x:c r="I1326" s="28" t="s">
        <x:v>6150</x:v>
      </x:c>
      <x:c r="J1326" s="29" t="s">
        <x:v>6151</x:v>
      </x:c>
    </x:row>
    <x:row r="1327" ht="10.050000190734863" customHeight="1">
      <x:c r="A1327" s="21" t="s">
        <x:v>6152</x:v>
      </x:c>
      <x:c r="B1327" s="20" t="s">
        <x:v>6152</x:v>
      </x:c>
      <x:c r="C1327" s="20" t="s">
        <x:v>2118</x:v>
      </x:c>
      <x:c r="D1327" s="24">
        <x:v>6</x:v>
      </x:c>
      <x:c r="E1327" s="24" t="s">
        <x:v>89</x:v>
      </x:c>
      <x:c r="F1327" s="20" t="s">
        <x:v>90</x:v>
      </x:c>
      <x:c r="G1327" s="26">
        <x:v>45468</x:v>
      </x:c>
      <x:c r="H1327" s="24" t="s">
        <x:v>6153</x:v>
      </x:c>
      <x:c r="I1327" s="28" t="s">
        <x:v>6154</x:v>
      </x:c>
      <x:c r="J1327" s="29" t="s">
        <x:v>6155</x:v>
      </x:c>
    </x:row>
    <x:row r="1328" ht="10.050000190734863" customHeight="1">
      <x:c r="A1328" s="21" t="s">
        <x:v>6156</x:v>
      </x:c>
      <x:c r="B1328" s="20" t="s">
        <x:v>6156</x:v>
      </x:c>
      <x:c r="C1328" s="20" t="s">
        <x:v>6157</x:v>
      </x:c>
      <x:c r="D1328" s="24">
        <x:v>8</x:v>
      </x:c>
      <x:c r="E1328" s="24" t="s">
        <x:v>114</x:v>
      </x:c>
      <x:c r="F1328" s="20" t="s">
        <x:v>90</x:v>
      </x:c>
      <x:c r="G1328" s="26">
        <x:v>46117</x:v>
      </x:c>
      <x:c r="H1328" s="24" t="s">
        <x:v>6158</x:v>
      </x:c>
      <x:c r="I1328" s="28" t="s">
        <x:v>6159</x:v>
      </x:c>
      <x:c r="J1328" s="29" t="s">
        <x:v>6160</x:v>
      </x:c>
    </x:row>
    <x:row r="1329" ht="10.050000190734863" customHeight="1">
      <x:c r="A1329" s="21" t="s">
        <x:v>6161</x:v>
      </x:c>
      <x:c r="B1329" s="20" t="s">
        <x:v>6161</x:v>
      </x:c>
      <x:c r="C1329" s="20" t="s">
        <x:v>6162</x:v>
      </x:c>
      <x:c r="D1329" s="24">
        <x:v>14</x:v>
      </x:c>
      <x:c r="E1329" s="24" t="s">
        <x:v>89</x:v>
      </x:c>
      <x:c r="F1329" s="20" t="s">
        <x:v>90</x:v>
      </x:c>
      <x:c r="G1329" s="26">
        <x:v>45336</x:v>
      </x:c>
      <x:c r="H1329" s="24" t="s">
        <x:v>6163</x:v>
      </x:c>
      <x:c r="I1329" s="28" t="s">
        <x:v>6164</x:v>
      </x:c>
      <x:c r="J1329" s="29" t="s">
        <x:v>6165</x:v>
      </x:c>
    </x:row>
    <x:row r="1330" ht="10.050000190734863" customHeight="1">
      <x:c r="A1330" s="21" t="s">
        <x:v>6166</x:v>
      </x:c>
      <x:c r="B1330" s="20" t="s">
        <x:v>6166</x:v>
      </x:c>
      <x:c r="C1330" s="20" t="s">
        <x:v>1613</x:v>
      </x:c>
      <x:c r="D1330" s="24">
        <x:v>14</x:v>
      </x:c>
      <x:c r="E1330" s="24" t="s">
        <x:v>89</x:v>
      </x:c>
      <x:c r="F1330" s="20" t="s">
        <x:v>90</x:v>
      </x:c>
      <x:c r="G1330" s="26">
        <x:v>45885</x:v>
      </x:c>
      <x:c r="H1330" s="24" t="s">
        <x:v>6167</x:v>
      </x:c>
      <x:c r="I1330" s="28" t="s">
        <x:v>6168</x:v>
      </x:c>
      <x:c r="J1330" s="29" t="s">
        <x:v>6169</x:v>
      </x:c>
    </x:row>
    <x:row r="1331" ht="10.050000190734863" customHeight="1">
      <x:c r="A1331" s="21" t="s">
        <x:v>6170</x:v>
      </x:c>
      <x:c r="B1331" s="20" t="s">
        <x:v>6170</x:v>
      </x:c>
      <x:c r="C1331" s="20" t="s">
        <x:v>6171</x:v>
      </x:c>
      <x:c r="D1331" s="24">
        <x:v>10</x:v>
      </x:c>
      <x:c r="E1331" s="24" t="s">
        <x:v>198</x:v>
      </x:c>
      <x:c r="F1331" s="20" t="s">
        <x:v>97</x:v>
      </x:c>
      <x:c r="G1331" s="26">
        <x:v>45687</x:v>
      </x:c>
      <x:c r="H1331" s="24" t="s">
        <x:v>6172</x:v>
      </x:c>
      <x:c r="I1331" s="28" t="s">
        <x:v>6173</x:v>
      </x:c>
      <x:c r="J1331" s="29" t="s">
        <x:v>6174</x:v>
      </x:c>
    </x:row>
    <x:row r="1332" ht="10.050000190734863" customHeight="1">
      <x:c r="A1332" s="21" t="s">
        <x:v>6175</x:v>
      </x:c>
      <x:c r="B1332" s="20" t="s">
        <x:v>6175</x:v>
      </x:c>
      <x:c r="C1332" s="20" t="s">
        <x:v>6176</x:v>
      </x:c>
      <x:c r="D1332" s="24">
        <x:v>1</x:v>
      </x:c>
      <x:c r="E1332" s="24" t="s">
        <x:v>96</x:v>
      </x:c>
      <x:c r="F1332" s="20" t="s">
        <x:v>90</x:v>
      </x:c>
      <x:c r="G1332" s="26">
        <x:v>43021</x:v>
      </x:c>
      <x:c r="H1332" s="24" t="s">
        <x:v>6177</x:v>
      </x:c>
      <x:c r="I1332" s="28" t="s">
        <x:v>6178</x:v>
      </x:c>
      <x:c r="J1332" s="29" t="s">
        <x:v>6179</x:v>
      </x:c>
    </x:row>
    <x:row r="1333" ht="10.050000190734863" customHeight="1">
      <x:c r="A1333" s="21" t="s">
        <x:v>6180</x:v>
      </x:c>
      <x:c r="B1333" s="20" t="s">
        <x:v>6180</x:v>
      </x:c>
      <x:c r="C1333" s="20" t="s">
        <x:v>2189</x:v>
      </x:c>
      <x:c r="D1333" s="24">
        <x:v>46</x:v>
      </x:c>
      <x:c r="E1333" s="24" t="s">
        <x:v>96</x:v>
      </x:c>
      <x:c r="F1333" s="20" t="s">
        <x:v>97</x:v>
      </x:c>
      <x:c r="G1333" s="26">
        <x:v>45649</x:v>
      </x:c>
      <x:c r="H1333" s="24" t="s">
        <x:v>6181</x:v>
      </x:c>
      <x:c r="I1333" s="28" t="s">
        <x:v>6182</x:v>
      </x:c>
      <x:c r="J1333" s="29" t="s">
        <x:v>6183</x:v>
      </x:c>
    </x:row>
    <x:row r="1334" ht="10.050000190734863" customHeight="1">
      <x:c r="A1334" s="21" t="s">
        <x:v>6184</x:v>
      </x:c>
      <x:c r="B1334" s="20" t="s">
        <x:v>6184</x:v>
      </x:c>
      <x:c r="C1334" s="20" t="s">
        <x:v>2189</x:v>
      </x:c>
      <x:c r="D1334" s="24">
        <x:v>92</x:v>
      </x:c>
      <x:c r="E1334" s="24" t="s">
        <x:v>96</x:v>
      </x:c>
      <x:c r="F1334" s="20" t="s">
        <x:v>97</x:v>
      </x:c>
      <x:c r="G1334" s="26">
        <x:v>45417</x:v>
      </x:c>
      <x:c r="H1334" s="24" t="s">
        <x:v>6185</x:v>
      </x:c>
      <x:c r="I1334" s="28" t="s">
        <x:v>6186</x:v>
      </x:c>
      <x:c r="J1334" s="29" t="s">
        <x:v>6187</x:v>
      </x:c>
    </x:row>
    <x:row r="1335" ht="10.050000190734863" customHeight="1">
      <x:c r="A1335" s="21" t="s">
        <x:v>6188</x:v>
      </x:c>
      <x:c r="B1335" s="20" t="s">
        <x:v>6188</x:v>
      </x:c>
      <x:c r="C1335" s="20" t="s">
        <x:v>2912</x:v>
      </x:c>
      <x:c r="D1335" s="24">
        <x:v>1</x:v>
      </x:c>
      <x:c r="E1335" s="24" t="s">
        <x:v>96</x:v>
      </x:c>
      <x:c r="F1335" s="20" t="s">
        <x:v>97</x:v>
      </x:c>
      <x:c r="G1335" s="26">
        <x:v>45146</x:v>
      </x:c>
      <x:c r="H1335" s="24" t="s">
        <x:v>6189</x:v>
      </x:c>
      <x:c r="I1335" s="28" t="s">
        <x:v>6190</x:v>
      </x:c>
      <x:c r="J1335" s="29" t="s">
        <x:v>6191</x:v>
      </x:c>
    </x:row>
    <x:row r="1336" ht="10.050000190734863" customHeight="1">
      <x:c r="A1336" s="21" t="s">
        <x:v>6192</x:v>
      </x:c>
      <x:c r="B1336" s="20" t="s">
        <x:v>6192</x:v>
      </x:c>
      <x:c r="C1336" s="20" t="s">
        <x:v>6193</x:v>
      </x:c>
      <x:c r="D1336" s="24">
        <x:v>18</x:v>
      </x:c>
      <x:c r="E1336" s="24" t="s">
        <x:v>257</x:v>
      </x:c>
      <x:c r="F1336" s="20" t="s">
        <x:v>97</x:v>
      </x:c>
      <x:c r="G1336" s="26">
        <x:v>42381</x:v>
      </x:c>
      <x:c r="H1336" s="24" t="s">
        <x:v>6194</x:v>
      </x:c>
      <x:c r="I1336" s="28" t="s">
        <x:v>6195</x:v>
      </x:c>
      <x:c r="J1336" s="29" t="s">
        <x:v>6196</x:v>
      </x:c>
    </x:row>
    <x:row r="1337" ht="10.050000190734863" customHeight="1">
      <x:c r="A1337" s="21" t="s">
        <x:v>6197</x:v>
      </x:c>
      <x:c r="B1337" s="20" t="s">
        <x:v>6197</x:v>
      </x:c>
      <x:c r="C1337" s="20" t="s">
        <x:v>6198</x:v>
      </x:c>
      <x:c r="D1337" s="24">
        <x:v>82</x:v>
      </x:c>
      <x:c r="E1337" s="24" t="s">
        <x:v>114</x:v>
      </x:c>
      <x:c r="F1337" s="20" t="s">
        <x:v>152</x:v>
      </x:c>
      <x:c r="G1337" s="26">
        <x:v>45403</x:v>
      </x:c>
      <x:c r="H1337" s="24" t="s">
        <x:v>6199</x:v>
      </x:c>
      <x:c r="I1337" s="28" t="s">
        <x:v>6200</x:v>
      </x:c>
      <x:c r="J1337" s="29" t="s">
        <x:v>6201</x:v>
      </x:c>
    </x:row>
    <x:row r="1338" ht="10.050000190734863" customHeight="1">
      <x:c r="A1338" s="21" t="s">
        <x:v>6202</x:v>
      </x:c>
      <x:c r="B1338" s="20" t="s">
        <x:v>6202</x:v>
      </x:c>
      <x:c r="C1338" s="20" t="s">
        <x:v>6203</x:v>
      </x:c>
      <x:c r="D1338" s="24">
        <x:v>4</x:v>
      </x:c>
      <x:c r="E1338" s="24" t="s">
        <x:v>114</x:v>
      </x:c>
      <x:c r="F1338" s="20" t="s">
        <x:v>90</x:v>
      </x:c>
      <x:c r="G1338" s="26">
        <x:v>43426</x:v>
      </x:c>
      <x:c r="H1338" s="24" t="s">
        <x:v>6204</x:v>
      </x:c>
      <x:c r="I1338" s="28" t="s">
        <x:v>6205</x:v>
      </x:c>
      <x:c r="J1338" s="29" t="s">
        <x:v>6206</x:v>
      </x:c>
    </x:row>
    <x:row r="1339" ht="10.050000190734863" customHeight="1">
      <x:c r="A1339" s="21" t="s">
        <x:v>6207</x:v>
      </x:c>
      <x:c r="B1339" s="20" t="s">
        <x:v>6207</x:v>
      </x:c>
      <x:c r="C1339" s="20" t="s">
        <x:v>533</x:v>
      </x:c>
      <x:c r="D1339" s="24">
        <x:v>5</x:v>
      </x:c>
      <x:c r="E1339" s="24" t="s">
        <x:v>103</x:v>
      </x:c>
      <x:c r="F1339" s="20" t="s">
        <x:v>90</x:v>
      </x:c>
      <x:c r="G1339" s="26">
        <x:v>45060</x:v>
      </x:c>
      <x:c r="H1339" s="24" t="s">
        <x:v>6208</x:v>
      </x:c>
      <x:c r="I1339" s="28" t="s">
        <x:v>6209</x:v>
      </x:c>
      <x:c r="J1339" s="29" t="s">
        <x:v>6210</x:v>
      </x:c>
    </x:row>
    <x:row r="1340" ht="10.050000190734863" customHeight="1">
      <x:c r="A1340" s="21" t="s">
        <x:v>6211</x:v>
      </x:c>
      <x:c r="B1340" s="20" t="s">
        <x:v>6211</x:v>
      </x:c>
      <x:c r="C1340" s="20" t="s">
        <x:v>5668</x:v>
      </x:c>
      <x:c r="D1340" s="24">
        <x:v>8</x:v>
      </x:c>
      <x:c r="E1340" s="24" t="s">
        <x:v>125</x:v>
      </x:c>
      <x:c r="F1340" s="20" t="s">
        <x:v>90</x:v>
      </x:c>
      <x:c r="G1340" s="26">
        <x:v>44466</x:v>
      </x:c>
      <x:c r="H1340" s="24" t="s">
        <x:v>6212</x:v>
      </x:c>
      <x:c r="I1340" s="28" t="s">
        <x:v>6213</x:v>
      </x:c>
      <x:c r="J1340" s="29" t="s">
        <x:v>6214</x:v>
      </x:c>
    </x:row>
    <x:row r="1341" ht="10.050000190734863" customHeight="1">
      <x:c r="A1341" s="21" t="s">
        <x:v>6215</x:v>
      </x:c>
      <x:c r="B1341" s="20" t="s">
        <x:v>6215</x:v>
      </x:c>
      <x:c r="C1341" s="20" t="s">
        <x:v>3012</x:v>
      </x:c>
      <x:c r="D1341" s="24">
        <x:v>7</x:v>
      </x:c>
      <x:c r="E1341" s="24" t="s">
        <x:v>89</x:v>
      </x:c>
      <x:c r="F1341" s="20" t="s">
        <x:v>90</x:v>
      </x:c>
      <x:c r="G1341" s="26">
        <x:v>45779</x:v>
      </x:c>
      <x:c r="H1341" s="24" t="s">
        <x:v>6216</x:v>
      </x:c>
      <x:c r="I1341" s="28" t="s">
        <x:v>6217</x:v>
      </x:c>
      <x:c r="J1341" s="29" t="s">
        <x:v>6218</x:v>
      </x:c>
    </x:row>
    <x:row r="1342" ht="10.050000190734863" customHeight="1">
      <x:c r="A1342" s="21" t="s">
        <x:v>6219</x:v>
      </x:c>
      <x:c r="B1342" s="20" t="s">
        <x:v>6219</x:v>
      </x:c>
      <x:c r="C1342" s="20" t="s">
        <x:v>6220</x:v>
      </x:c>
      <x:c r="D1342" s="24">
        <x:v>7</x:v>
      </x:c>
      <x:c r="E1342" s="24" t="s">
        <x:v>114</x:v>
      </x:c>
      <x:c r="F1342" s="20" t="s">
        <x:v>90</x:v>
      </x:c>
      <x:c r="G1342" s="26">
        <x:v>45135</x:v>
      </x:c>
      <x:c r="H1342" s="24" t="s">
        <x:v>6221</x:v>
      </x:c>
      <x:c r="I1342" s="28" t="s">
        <x:v>6222</x:v>
      </x:c>
      <x:c r="J1342" s="29" t="s">
        <x:v>6223</x:v>
      </x:c>
    </x:row>
    <x:row r="1343" ht="10.050000190734863" customHeight="1">
      <x:c r="A1343" s="21" t="s">
        <x:v>21</x:v>
      </x:c>
      <x:c r="B1343" s="20" t="s">
        <x:v>21</x:v>
      </x:c>
      <x:c r="C1343" s="20" t="s">
        <x:v>1613</x:v>
      </x:c>
      <x:c r="D1343" s="24">
        <x:v>25</x:v>
      </x:c>
      <x:c r="E1343" s="24" t="s">
        <x:v>89</x:v>
      </x:c>
      <x:c r="F1343" s="20" t="s">
        <x:v>90</x:v>
      </x:c>
      <x:c r="G1343" s="26">
        <x:v>44400</x:v>
      </x:c>
      <x:c r="H1343" s="24" t="s">
        <x:v>6224</x:v>
      </x:c>
      <x:c r="I1343" s="28" t="s">
        <x:v>6225</x:v>
      </x:c>
      <x:c r="J1343" s="29" t="s">
        <x:v>6226</x:v>
      </x:c>
    </x:row>
    <x:row r="1344" ht="10.050000190734863" customHeight="1">
      <x:c r="A1344" s="21" t="s">
        <x:v>6227</x:v>
      </x:c>
      <x:c r="B1344" s="20" t="s">
        <x:v>6227</x:v>
      </x:c>
      <x:c r="C1344" s="20" t="s">
        <x:v>6228</x:v>
      </x:c>
      <x:c r="D1344" s="24">
        <x:v>15</x:v>
      </x:c>
      <x:c r="E1344" s="24" t="s">
        <x:v>89</x:v>
      </x:c>
      <x:c r="F1344" s="20" t="s">
        <x:v>90</x:v>
      </x:c>
      <x:c r="G1344" s="26">
        <x:v>44417</x:v>
      </x:c>
      <x:c r="H1344" s="24" t="s">
        <x:v>6229</x:v>
      </x:c>
      <x:c r="I1344" s="28" t="s">
        <x:v>6230</x:v>
      </x:c>
      <x:c r="J1344" s="29" t="s">
        <x:v>6231</x:v>
      </x:c>
    </x:row>
    <x:row r="1345" ht="10.050000190734863" customHeight="1">
      <x:c r="A1345" s="21" t="s">
        <x:v>6232</x:v>
      </x:c>
      <x:c r="B1345" s="20" t="s">
        <x:v>6232</x:v>
      </x:c>
      <x:c r="C1345" s="20" t="s">
        <x:v>237</x:v>
      </x:c>
      <x:c r="D1345" s="24">
        <x:v>4</x:v>
      </x:c>
      <x:c r="E1345" s="24" t="s">
        <x:v>198</x:v>
      </x:c>
      <x:c r="F1345" s="20" t="s">
        <x:v>90</x:v>
      </x:c>
      <x:c r="G1345" s="26">
        <x:v>44972</x:v>
      </x:c>
      <x:c r="H1345" s="24" t="s">
        <x:v>6233</x:v>
      </x:c>
      <x:c r="I1345" s="28" t="s">
        <x:v>6234</x:v>
      </x:c>
      <x:c r="J1345" s="29" t="s">
        <x:v>6235</x:v>
      </x:c>
    </x:row>
    <x:row r="1346" ht="10.050000190734863" customHeight="1">
      <x:c r="A1346" s="21" t="s">
        <x:v>6236</x:v>
      </x:c>
      <x:c r="B1346" s="20" t="s">
        <x:v>6236</x:v>
      </x:c>
      <x:c r="C1346" s="20" t="s">
        <x:v>6237</x:v>
      </x:c>
      <x:c r="D1346" s="24">
        <x:v>12</x:v>
      </x:c>
      <x:c r="E1346" s="24" t="s">
        <x:v>103</x:v>
      </x:c>
      <x:c r="F1346" s="20" t="s">
        <x:v>97</x:v>
      </x:c>
      <x:c r="G1346" s="26">
        <x:v>42314</x:v>
      </x:c>
      <x:c r="H1346" s="24" t="s">
        <x:v>6238</x:v>
      </x:c>
      <x:c r="I1346" s="28" t="s">
        <x:v>6239</x:v>
      </x:c>
      <x:c r="J1346" s="29" t="s">
        <x:v>6240</x:v>
      </x:c>
    </x:row>
    <x:row r="1347" ht="10.050000190734863" customHeight="1">
      <x:c r="A1347" s="21" t="s">
        <x:v>6241</x:v>
      </x:c>
      <x:c r="B1347" s="20" t="s">
        <x:v>6241</x:v>
      </x:c>
      <x:c r="C1347" s="20" t="s">
        <x:v>742</x:v>
      </x:c>
      <x:c r="D1347" s="24">
        <x:v>1</x:v>
      </x:c>
      <x:c r="E1347" s="24" t="s">
        <x:v>103</x:v>
      </x:c>
      <x:c r="F1347" s="20" t="s">
        <x:v>6242</x:v>
      </x:c>
      <x:c r="G1347" s="26">
        <x:v>45512</x:v>
      </x:c>
      <x:c r="H1347" s="24" t="s">
        <x:v>6243</x:v>
      </x:c>
      <x:c r="I1347" s="28" t="s">
        <x:v>6244</x:v>
      </x:c>
      <x:c r="J1347" s="29" t="s">
        <x:v>6245</x:v>
      </x:c>
    </x:row>
    <x:row r="1348" ht="10.050000190734863" customHeight="1">
      <x:c r="A1348" s="21" t="s">
        <x:v>6246</x:v>
      </x:c>
      <x:c r="B1348" s="20" t="s">
        <x:v>6246</x:v>
      </x:c>
      <x:c r="C1348" s="20" t="s">
        <x:v>6247</x:v>
      </x:c>
      <x:c r="D1348" s="24">
        <x:v>16</x:v>
      </x:c>
      <x:c r="E1348" s="24" t="s">
        <x:v>198</x:v>
      </x:c>
      <x:c r="F1348" s="20" t="s">
        <x:v>90</x:v>
      </x:c>
      <x:c r="G1348" s="26">
        <x:v>45035</x:v>
      </x:c>
      <x:c r="H1348" s="24" t="s">
        <x:v>6248</x:v>
      </x:c>
      <x:c r="I1348" s="28" t="s">
        <x:v>6249</x:v>
      </x:c>
      <x:c r="J1348" s="29" t="s">
        <x:v>6250</x:v>
      </x:c>
    </x:row>
    <x:row r="1349" ht="10.050000190734863" customHeight="1">
      <x:c r="A1349" s="21" t="s">
        <x:v>6251</x:v>
      </x:c>
      <x:c r="B1349" s="20" t="s">
        <x:v>6251</x:v>
      </x:c>
      <x:c r="C1349" s="20" t="s">
        <x:v>6252</x:v>
      </x:c>
      <x:c r="D1349" s="24">
        <x:v>29</x:v>
      </x:c>
      <x:c r="E1349" s="24" t="s">
        <x:v>198</x:v>
      </x:c>
      <x:c r="F1349" s="20" t="s">
        <x:v>90</x:v>
      </x:c>
      <x:c r="G1349" s="26">
        <x:v>46206</x:v>
      </x:c>
      <x:c r="H1349" s="24" t="s">
        <x:v>6253</x:v>
      </x:c>
      <x:c r="I1349" s="28" t="s">
        <x:v>6254</x:v>
      </x:c>
      <x:c r="J1349" s="29" t="s">
        <x:v>6255</x:v>
      </x:c>
    </x:row>
    <x:row r="1350" ht="10.050000190734863" customHeight="1">
      <x:c r="A1350" s="21" t="s">
        <x:v>6256</x:v>
      </x:c>
      <x:c r="B1350" s="20" t="s">
        <x:v>6256</x:v>
      </x:c>
      <x:c r="C1350" s="20" t="s">
        <x:v>742</x:v>
      </x:c>
      <x:c r="D1350" s="24">
        <x:v>5</x:v>
      </x:c>
      <x:c r="E1350" s="24" t="s">
        <x:v>103</x:v>
      </x:c>
      <x:c r="F1350" s="20" t="s">
        <x:v>97</x:v>
      </x:c>
      <x:c r="G1350" s="26">
        <x:v>41856</x:v>
      </x:c>
      <x:c r="H1350" s="24" t="s">
        <x:v>6257</x:v>
      </x:c>
      <x:c r="I1350" s="28" t="s">
        <x:v>6258</x:v>
      </x:c>
      <x:c r="J1350" s="29" t="s">
        <x:v>6259</x:v>
      </x:c>
    </x:row>
    <x:row r="1351" ht="10.050000190734863" customHeight="1">
      <x:c r="A1351" s="21" t="s">
        <x:v>6260</x:v>
      </x:c>
      <x:c r="B1351" s="20" t="s">
        <x:v>6260</x:v>
      </x:c>
      <x:c r="C1351" s="20" t="s">
        <x:v>5903</x:v>
      </x:c>
      <x:c r="D1351" s="24">
        <x:v>41</x:v>
      </x:c>
      <x:c r="E1351" s="24" t="s">
        <x:v>96</x:v>
      </x:c>
      <x:c r="F1351" s="20" t="s">
        <x:v>97</x:v>
      </x:c>
      <x:c r="G1351" s="26">
        <x:v>44863</x:v>
      </x:c>
      <x:c r="H1351" s="24" t="s">
        <x:v>6261</x:v>
      </x:c>
      <x:c r="I1351" s="28" t="s">
        <x:v>6262</x:v>
      </x:c>
      <x:c r="J1351" s="29" t="s">
        <x:v>6263</x:v>
      </x:c>
    </x:row>
    <x:row r="1352" ht="10.050000190734863" customHeight="1">
      <x:c r="A1352" s="21" t="s">
        <x:v>6264</x:v>
      </x:c>
      <x:c r="B1352" s="20" t="s">
        <x:v>6264</x:v>
      </x:c>
      <x:c r="C1352" s="20" t="s">
        <x:v>629</x:v>
      </x:c>
      <x:c r="D1352" s="24">
        <x:v>11</x:v>
      </x:c>
      <x:c r="E1352" s="24" t="s">
        <x:v>89</x:v>
      </x:c>
      <x:c r="F1352" s="20" t="s">
        <x:v>90</x:v>
      </x:c>
      <x:c r="G1352" s="26">
        <x:v>44708</x:v>
      </x:c>
      <x:c r="H1352" s="24" t="s">
        <x:v>6265</x:v>
      </x:c>
      <x:c r="I1352" s="28" t="s">
        <x:v>6266</x:v>
      </x:c>
      <x:c r="J1352" s="29" t="s">
        <x:v>6267</x:v>
      </x:c>
    </x:row>
    <x:row r="1353" ht="10.050000190734863" customHeight="1">
      <x:c r="A1353" s="21" t="s">
        <x:v>6268</x:v>
      </x:c>
      <x:c r="B1353" s="20" t="s">
        <x:v>6268</x:v>
      </x:c>
      <x:c r="C1353" s="20" t="s">
        <x:v>6269</x:v>
      </x:c>
      <x:c r="D1353" s="24">
        <x:v>7</x:v>
      </x:c>
      <x:c r="E1353" s="24" t="s">
        <x:v>114</x:v>
      </x:c>
      <x:c r="F1353" s="20" t="s">
        <x:v>90</x:v>
      </x:c>
      <x:c r="G1353" s="26">
        <x:v>45699</x:v>
      </x:c>
      <x:c r="H1353" s="24" t="s">
        <x:v>6270</x:v>
      </x:c>
      <x:c r="I1353" s="28" t="s">
        <x:v>6271</x:v>
      </x:c>
      <x:c r="J1353" s="29" t="s">
        <x:v>6272</x:v>
      </x:c>
    </x:row>
    <x:row r="1354" ht="10.050000190734863" customHeight="1">
      <x:c r="A1354" s="21" t="s">
        <x:v>6273</x:v>
      </x:c>
      <x:c r="B1354" s="20" t="s">
        <x:v>6273</x:v>
      </x:c>
      <x:c r="C1354" s="20" t="s">
        <x:v>1608</x:v>
      </x:c>
      <x:c r="D1354" s="24">
        <x:v>2</x:v>
      </x:c>
      <x:c r="E1354" s="24" t="s">
        <x:v>114</x:v>
      </x:c>
      <x:c r="F1354" s="20" t="s">
        <x:v>90</x:v>
      </x:c>
      <x:c r="G1354" s="26">
        <x:v>45740</x:v>
      </x:c>
      <x:c r="H1354" s="24" t="s">
        <x:v>6274</x:v>
      </x:c>
      <x:c r="I1354" s="28" t="s">
        <x:v>6275</x:v>
      </x:c>
      <x:c r="J1354" s="29" t="s">
        <x:v>6276</x:v>
      </x:c>
    </x:row>
    <x:row r="1355" ht="10.050000190734863" customHeight="1">
      <x:c r="A1355" s="21" t="s">
        <x:v>6277</x:v>
      </x:c>
      <x:c r="B1355" s="20" t="s">
        <x:v>6277</x:v>
      </x:c>
      <x:c r="C1355" s="20" t="s">
        <x:v>6278</x:v>
      </x:c>
      <x:c r="D1355" s="24">
        <x:v>14</x:v>
      </x:c>
      <x:c r="E1355" s="24" t="s">
        <x:v>198</x:v>
      </x:c>
      <x:c r="F1355" s="20" t="s">
        <x:v>90</x:v>
      </x:c>
      <x:c r="G1355" s="26">
        <x:v>45709</x:v>
      </x:c>
      <x:c r="H1355" s="24" t="s">
        <x:v>6279</x:v>
      </x:c>
      <x:c r="I1355" s="28" t="s">
        <x:v>6280</x:v>
      </x:c>
      <x:c r="J1355" s="29" t="s">
        <x:v>6281</x:v>
      </x:c>
    </x:row>
    <x:row r="1356" ht="10.050000190734863" customHeight="1">
      <x:c r="A1356" s="21" t="s">
        <x:v>6282</x:v>
      </x:c>
      <x:c r="B1356" s="20" t="s">
        <x:v>6282</x:v>
      </x:c>
      <x:c r="C1356" s="20" t="s">
        <x:v>6283</x:v>
      </x:c>
      <x:c r="D1356" s="24">
        <x:v>20</x:v>
      </x:c>
      <x:c r="E1356" s="24" t="s">
        <x:v>103</x:v>
      </x:c>
      <x:c r="F1356" s="20" t="s">
        <x:v>97</x:v>
      </x:c>
      <x:c r="G1356" s="26">
        <x:v>42044</x:v>
      </x:c>
      <x:c r="H1356" s="24" t="s">
        <x:v>6284</x:v>
      </x:c>
      <x:c r="I1356" s="28" t="s">
        <x:v>6285</x:v>
      </x:c>
      <x:c r="J1356" s="29" t="s">
        <x:v>6286</x:v>
      </x:c>
    </x:row>
    <x:row r="1357" ht="10.050000190734863" customHeight="1">
      <x:c r="A1357" s="21" t="s">
        <x:v>6287</x:v>
      </x:c>
      <x:c r="B1357" s="20" t="s">
        <x:v>6287</x:v>
      </x:c>
      <x:c r="C1357" s="20" t="s">
        <x:v>6283</x:v>
      </x:c>
      <x:c r="D1357" s="24">
        <x:v>42</x:v>
      </x:c>
      <x:c r="E1357" s="24" t="s">
        <x:v>96</x:v>
      </x:c>
      <x:c r="F1357" s="20" t="s">
        <x:v>97</x:v>
      </x:c>
      <x:c r="G1357" s="26">
        <x:v>42224</x:v>
      </x:c>
      <x:c r="H1357" s="24" t="s">
        <x:v>6288</x:v>
      </x:c>
      <x:c r="I1357" s="28" t="s">
        <x:v>6289</x:v>
      </x:c>
      <x:c r="J1357" s="29" t="s">
        <x:v>6290</x:v>
      </x:c>
    </x:row>
    <x:row r="1358" ht="10.050000190734863" customHeight="1">
      <x:c r="A1358" s="21" t="s">
        <x:v>6291</x:v>
      </x:c>
      <x:c r="B1358" s="20" t="s">
        <x:v>6291</x:v>
      </x:c>
      <x:c r="C1358" s="20" t="s">
        <x:v>6292</x:v>
      </x:c>
      <x:c r="D1358" s="24">
        <x:v>1</x:v>
      </x:c>
      <x:c r="E1358" s="24" t="s">
        <x:v>89</x:v>
      </x:c>
      <x:c r="F1358" s="20" t="s">
        <x:v>610</x:v>
      </x:c>
      <x:c r="G1358" s="26">
        <x:v>42560</x:v>
      </x:c>
      <x:c r="H1358" s="24" t="s">
        <x:v>6293</x:v>
      </x:c>
      <x:c r="I1358" s="28" t="s">
        <x:v>6294</x:v>
      </x:c>
      <x:c r="J1358" s="29" t="s">
        <x:v>6295</x:v>
      </x:c>
    </x:row>
    <x:row r="1359" ht="10.050000190734863" customHeight="1">
      <x:c r="A1359" s="21" t="s">
        <x:v>6296</x:v>
      </x:c>
      <x:c r="B1359" s="20" t="s">
        <x:v>6296</x:v>
      </x:c>
      <x:c r="C1359" s="20" t="s">
        <x:v>3404</x:v>
      </x:c>
      <x:c r="D1359" s="24">
        <x:v>40</x:v>
      </x:c>
      <x:c r="E1359" s="24" t="s">
        <x:v>198</x:v>
      </x:c>
      <x:c r="F1359" s="20" t="s">
        <x:v>90</x:v>
      </x:c>
      <x:c r="G1359" s="26">
        <x:v>43630</x:v>
      </x:c>
      <x:c r="H1359" s="24" t="s">
        <x:v>6297</x:v>
      </x:c>
      <x:c r="I1359" s="28" t="s">
        <x:v>6298</x:v>
      </x:c>
      <x:c r="J1359" s="29" t="s">
        <x:v>6299</x:v>
      </x:c>
    </x:row>
    <x:row r="1360" ht="10.050000190734863" customHeight="1">
      <x:c r="A1360" s="21" t="s">
        <x:v>6300</x:v>
      </x:c>
      <x:c r="B1360" s="20" t="s">
        <x:v>6300</x:v>
      </x:c>
      <x:c r="C1360" s="20" t="s">
        <x:v>6301</x:v>
      </x:c>
      <x:c r="D1360" s="24">
        <x:v>58</x:v>
      </x:c>
      <x:c r="E1360" s="24" t="s">
        <x:v>103</x:v>
      </x:c>
      <x:c r="F1360" s="20" t="s">
        <x:v>97</x:v>
      </x:c>
      <x:c r="G1360" s="26">
        <x:v>43882</x:v>
      </x:c>
      <x:c r="H1360" s="24" t="s">
        <x:v>6302</x:v>
      </x:c>
      <x:c r="I1360" s="28" t="s">
        <x:v>6303</x:v>
      </x:c>
      <x:c r="J1360" s="29" t="s">
        <x:v>6304</x:v>
      </x:c>
    </x:row>
    <x:row r="1361" ht="10.050000190734863" customHeight="1">
      <x:c r="A1361" s="21" t="s">
        <x:v>6305</x:v>
      </x:c>
      <x:c r="B1361" s="20" t="s">
        <x:v>6305</x:v>
      </x:c>
      <x:c r="C1361" s="20" t="s">
        <x:v>6301</x:v>
      </x:c>
      <x:c r="D1361" s="24">
        <x:v>66</x:v>
      </x:c>
      <x:c r="E1361" s="24" t="s">
        <x:v>103</x:v>
      </x:c>
      <x:c r="F1361" s="20" t="s">
        <x:v>97</x:v>
      </x:c>
      <x:c r="G1361" s="26">
        <x:v>44435</x:v>
      </x:c>
      <x:c r="H1361" s="24" t="s">
        <x:v>6306</x:v>
      </x:c>
      <x:c r="I1361" s="28" t="s">
        <x:v>6307</x:v>
      </x:c>
      <x:c r="J1361" s="29" t="s">
        <x:v>6308</x:v>
      </x:c>
    </x:row>
    <x:row r="1362" ht="10.050000190734863" customHeight="1">
      <x:c r="A1362" s="21" t="s">
        <x:v>6309</x:v>
      </x:c>
      <x:c r="B1362" s="20" t="s">
        <x:v>6309</x:v>
      </x:c>
      <x:c r="C1362" s="20" t="s">
        <x:v>292</x:v>
      </x:c>
      <x:c r="D1362" s="24">
        <x:v>14</x:v>
      </x:c>
      <x:c r="E1362" s="24" t="s">
        <x:v>198</x:v>
      </x:c>
      <x:c r="F1362" s="20" t="s">
        <x:v>90</x:v>
      </x:c>
      <x:c r="G1362" s="26">
        <x:v>44409</x:v>
      </x:c>
      <x:c r="H1362" s="24" t="s">
        <x:v>6310</x:v>
      </x:c>
      <x:c r="I1362" s="28" t="s">
        <x:v>6311</x:v>
      </x:c>
      <x:c r="J1362" s="29" t="s">
        <x:v>6312</x:v>
      </x:c>
    </x:row>
    <x:row r="1363" ht="10.050000190734863" customHeight="1">
      <x:c r="A1363" s="21" t="s">
        <x:v>6313</x:v>
      </x:c>
      <x:c r="B1363" s="20" t="s">
        <x:v>6313</x:v>
      </x:c>
      <x:c r="C1363" s="20" t="s">
        <x:v>6314</x:v>
      </x:c>
      <x:c r="D1363" s="24">
        <x:v>6</x:v>
      </x:c>
      <x:c r="E1363" s="24" t="s">
        <x:v>103</x:v>
      </x:c>
      <x:c r="F1363" s="20" t="s">
        <x:v>97</x:v>
      </x:c>
      <x:c r="G1363" s="26">
        <x:v>43109</x:v>
      </x:c>
      <x:c r="H1363" s="24" t="s">
        <x:v>6315</x:v>
      </x:c>
      <x:c r="I1363" s="28" t="s">
        <x:v>6316</x:v>
      </x:c>
      <x:c r="J1363" s="29" t="s">
        <x:v>6317</x:v>
      </x:c>
    </x:row>
    <x:row r="1364" ht="10.050000190734863" customHeight="1">
      <x:c r="A1364" s="21" t="s">
        <x:v>6318</x:v>
      </x:c>
      <x:c r="B1364" s="20" t="s">
        <x:v>6318</x:v>
      </x:c>
      <x:c r="C1364" s="20" t="s">
        <x:v>6319</x:v>
      </x:c>
      <x:c r="D1364" s="24">
        <x:v>16</x:v>
      </x:c>
      <x:c r="E1364" s="24" t="s">
        <x:v>198</x:v>
      </x:c>
      <x:c r="F1364" s="20" t="s">
        <x:v>90</x:v>
      </x:c>
      <x:c r="G1364" s="26">
        <x:v>45158</x:v>
      </x:c>
      <x:c r="H1364" s="24" t="s">
        <x:v>6320</x:v>
      </x:c>
      <x:c r="I1364" s="28" t="s">
        <x:v>6321</x:v>
      </x:c>
      <x:c r="J1364" s="29" t="s">
        <x:v>6322</x:v>
      </x:c>
    </x:row>
    <x:row r="1365" ht="10.050000190734863" customHeight="1">
      <x:c r="A1365" s="21" t="s">
        <x:v>6323</x:v>
      </x:c>
      <x:c r="B1365" s="20" t="s">
        <x:v>6323</x:v>
      </x:c>
      <x:c r="C1365" s="20" t="s">
        <x:v>3544</x:v>
      </x:c>
      <x:c r="D1365" s="24">
        <x:v>22</x:v>
      </x:c>
      <x:c r="E1365" s="24" t="s">
        <x:v>89</x:v>
      </x:c>
      <x:c r="F1365" s="20" t="s">
        <x:v>97</x:v>
      </x:c>
      <x:c r="G1365" s="26">
        <x:v>45898</x:v>
      </x:c>
      <x:c r="H1365" s="24" t="s">
        <x:v>6324</x:v>
      </x:c>
      <x:c r="I1365" s="28" t="s">
        <x:v>6325</x:v>
      </x:c>
      <x:c r="J1365" s="29" t="s">
        <x:v>6326</x:v>
      </x:c>
    </x:row>
    <x:row r="1366" ht="10.050000190734863" customHeight="1">
      <x:c r="A1366" s="21" t="s">
        <x:v>6327</x:v>
      </x:c>
      <x:c r="B1366" s="20" t="s">
        <x:v>6327</x:v>
      </x:c>
      <x:c r="C1366" s="20" t="s">
        <x:v>2146</x:v>
      </x:c>
      <x:c r="D1366" s="24">
        <x:v>5</x:v>
      </x:c>
      <x:c r="E1366" s="24" t="s">
        <x:v>96</x:v>
      </x:c>
      <x:c r="F1366" s="20" t="s">
        <x:v>6328</x:v>
      </x:c>
      <x:c r="G1366" s="26">
        <x:v>46092</x:v>
      </x:c>
      <x:c r="H1366" s="24" t="s">
        <x:v>6329</x:v>
      </x:c>
      <x:c r="I1366" s="28" t="s">
        <x:v>6330</x:v>
      </x:c>
      <x:c r="J1366" s="29" t="s">
        <x:v>6331</x:v>
      </x:c>
    </x:row>
    <x:row r="1367" ht="10.050000190734863" customHeight="1">
      <x:c r="A1367" s="21" t="s">
        <x:v>6332</x:v>
      </x:c>
      <x:c r="B1367" s="20" t="s">
        <x:v>6332</x:v>
      </x:c>
      <x:c r="C1367" s="20" t="s">
        <x:v>6144</x:v>
      </x:c>
      <x:c r="D1367" s="24">
        <x:v>18</x:v>
      </x:c>
      <x:c r="E1367" s="24" t="s">
        <x:v>198</x:v>
      </x:c>
      <x:c r="F1367" s="20" t="s">
        <x:v>90</x:v>
      </x:c>
      <x:c r="G1367" s="26">
        <x:v>46136</x:v>
      </x:c>
      <x:c r="H1367" s="24" t="s">
        <x:v>6333</x:v>
      </x:c>
      <x:c r="I1367" s="28" t="s">
        <x:v>6334</x:v>
      </x:c>
      <x:c r="J1367" s="29" t="s">
        <x:v>6335</x:v>
      </x:c>
    </x:row>
    <x:row r="1368" ht="10.050000190734863" customHeight="1">
      <x:c r="A1368" s="21" t="s">
        <x:v>6336</x:v>
      </x:c>
      <x:c r="B1368" s="20" t="s">
        <x:v>6336</x:v>
      </x:c>
      <x:c r="C1368" s="20" t="s">
        <x:v>5903</x:v>
      </x:c>
      <x:c r="D1368" s="24">
        <x:v>12</x:v>
      </x:c>
      <x:c r="E1368" s="24" t="s">
        <x:v>103</x:v>
      </x:c>
      <x:c r="F1368" s="20" t="s">
        <x:v>97</x:v>
      </x:c>
      <x:c r="G1368" s="26">
        <x:v>43372</x:v>
      </x:c>
      <x:c r="H1368" s="24" t="s">
        <x:v>6337</x:v>
      </x:c>
      <x:c r="I1368" s="28" t="s">
        <x:v>6338</x:v>
      </x:c>
      <x:c r="J1368" s="29" t="s">
        <x:v>6339</x:v>
      </x:c>
    </x:row>
    <x:row r="1369" ht="10.050000190734863" customHeight="1">
      <x:c r="A1369" s="21" t="s">
        <x:v>6340</x:v>
      </x:c>
      <x:c r="B1369" s="20" t="s">
        <x:v>6340</x:v>
      </x:c>
      <x:c r="C1369" s="20" t="s">
        <x:v>6341</x:v>
      </x:c>
      <x:c r="D1369" s="24">
        <x:v>7</x:v>
      </x:c>
      <x:c r="E1369" s="24" t="s">
        <x:v>103</x:v>
      </x:c>
      <x:c r="F1369" s="20" t="s">
        <x:v>97</x:v>
      </x:c>
      <x:c r="G1369" s="26">
        <x:v>42255</x:v>
      </x:c>
      <x:c r="H1369" s="24" t="s">
        <x:v>6342</x:v>
      </x:c>
      <x:c r="I1369" s="28" t="s">
        <x:v>6343</x:v>
      </x:c>
      <x:c r="J1369" s="29" t="s">
        <x:v>6344</x:v>
      </x:c>
    </x:row>
    <x:row r="1370" ht="10.050000190734863" customHeight="1">
      <x:c r="A1370" s="21" t="s">
        <x:v>6345</x:v>
      </x:c>
      <x:c r="B1370" s="20" t="s">
        <x:v>6345</x:v>
      </x:c>
      <x:c r="C1370" s="20" t="s">
        <x:v>4337</x:v>
      </x:c>
      <x:c r="D1370" s="24">
        <x:v>77</x:v>
      </x:c>
      <x:c r="E1370" s="24" t="s">
        <x:v>96</x:v>
      </x:c>
      <x:c r="F1370" s="20" t="s">
        <x:v>97</x:v>
      </x:c>
      <x:c r="G1370" s="26">
        <x:v>42764</x:v>
      </x:c>
      <x:c r="H1370" s="24" t="s">
        <x:v>6346</x:v>
      </x:c>
      <x:c r="I1370" s="28" t="s">
        <x:v>6347</x:v>
      </x:c>
      <x:c r="J1370" s="29" t="s">
        <x:v>6348</x:v>
      </x:c>
    </x:row>
    <x:row r="1371" ht="10.050000190734863" customHeight="1">
      <x:c r="A1371" s="21" t="s">
        <x:v>6349</x:v>
      </x:c>
      <x:c r="B1371" s="20" t="s">
        <x:v>6349</x:v>
      </x:c>
      <x:c r="C1371" s="20" t="s">
        <x:v>6350</x:v>
      </x:c>
      <x:c r="D1371" s="24">
        <x:v>12</x:v>
      </x:c>
      <x:c r="E1371" s="24" t="s">
        <x:v>103</x:v>
      </x:c>
      <x:c r="F1371" s="20" t="s">
        <x:v>97</x:v>
      </x:c>
      <x:c r="G1371" s="26">
        <x:v>42309</x:v>
      </x:c>
      <x:c r="H1371" s="24" t="s">
        <x:v>6351</x:v>
      </x:c>
      <x:c r="I1371" s="28" t="s">
        <x:v>6352</x:v>
      </x:c>
      <x:c r="J1371" s="29" t="s">
        <x:v>6353</x:v>
      </x:c>
    </x:row>
    <x:row r="1372" ht="10.050000190734863" customHeight="1">
      <x:c r="A1372" s="21" t="s">
        <x:v>6354</x:v>
      </x:c>
      <x:c r="B1372" s="20" t="s">
        <x:v>6354</x:v>
      </x:c>
      <x:c r="C1372" s="20" t="s">
        <x:v>6355</x:v>
      </x:c>
      <x:c r="D1372" s="24">
        <x:v>29</x:v>
      </x:c>
      <x:c r="E1372" s="24" t="s">
        <x:v>198</x:v>
      </x:c>
      <x:c r="F1372" s="20" t="s">
        <x:v>90</x:v>
      </x:c>
      <x:c r="G1372" s="26">
        <x:v>44054</x:v>
      </x:c>
      <x:c r="H1372" s="24" t="s">
        <x:v>6356</x:v>
      </x:c>
      <x:c r="I1372" s="28" t="s">
        <x:v>6357</x:v>
      </x:c>
      <x:c r="J1372" s="29" t="s">
        <x:v>6358</x:v>
      </x:c>
    </x:row>
    <x:row r="1373" ht="10.050000190734863" customHeight="1">
      <x:c r="A1373" s="21" t="s">
        <x:v>6359</x:v>
      </x:c>
      <x:c r="B1373" s="20" t="s">
        <x:v>6359</x:v>
      </x:c>
      <x:c r="C1373" s="20" t="s">
        <x:v>6355</x:v>
      </x:c>
      <x:c r="D1373" s="24">
        <x:v>44</x:v>
      </x:c>
      <x:c r="E1373" s="24" t="s">
        <x:v>198</x:v>
      </x:c>
      <x:c r="F1373" s="20" t="s">
        <x:v>90</x:v>
      </x:c>
      <x:c r="G1373" s="26">
        <x:v>45857</x:v>
      </x:c>
      <x:c r="H1373" s="24" t="s">
        <x:v>6360</x:v>
      </x:c>
      <x:c r="I1373" s="28" t="s">
        <x:v>6361</x:v>
      </x:c>
      <x:c r="J1373" s="29" t="s">
        <x:v>6362</x:v>
      </x:c>
    </x:row>
    <x:row r="1374" ht="10.050000190734863" customHeight="1">
      <x:c r="A1374" s="21" t="s">
        <x:v>6363</x:v>
      </x:c>
      <x:c r="B1374" s="20" t="s">
        <x:v>6363</x:v>
      </x:c>
      <x:c r="C1374" s="20" t="s">
        <x:v>6364</x:v>
      </x:c>
      <x:c r="D1374" s="24">
        <x:v>36</x:v>
      </x:c>
      <x:c r="E1374" s="24" t="s">
        <x:v>114</x:v>
      </x:c>
      <x:c r="F1374" s="20" t="s">
        <x:v>90</x:v>
      </x:c>
      <x:c r="G1374" s="26">
        <x:v>45664</x:v>
      </x:c>
      <x:c r="H1374" s="24" t="s">
        <x:v>6365</x:v>
      </x:c>
      <x:c r="I1374" s="28" t="s">
        <x:v>6366</x:v>
      </x:c>
      <x:c r="J1374" s="29" t="s">
        <x:v>6367</x:v>
      </x:c>
    </x:row>
    <x:row r="1375" ht="10.050000190734863" customHeight="1">
      <x:c r="A1375" s="21" t="s">
        <x:v>6368</x:v>
      </x:c>
      <x:c r="B1375" s="20" t="s">
        <x:v>6368</x:v>
      </x:c>
      <x:c r="C1375" s="20" t="s">
        <x:v>4617</x:v>
      </x:c>
      <x:c r="D1375" s="24">
        <x:v>8</x:v>
      </x:c>
      <x:c r="E1375" s="24" t="s">
        <x:v>114</x:v>
      </x:c>
      <x:c r="F1375" s="20" t="s">
        <x:v>610</x:v>
      </x:c>
      <x:c r="G1375" s="26">
        <x:v>44561</x:v>
      </x:c>
      <x:c r="H1375" s="24" t="s">
        <x:v>6369</x:v>
      </x:c>
      <x:c r="I1375" s="28" t="s">
        <x:v>6370</x:v>
      </x:c>
      <x:c r="J1375" s="29" t="s">
        <x:v>6371</x:v>
      </x:c>
    </x:row>
    <x:row r="1376" ht="10.050000190734863" customHeight="1">
      <x:c r="A1376" s="21" t="s">
        <x:v>6372</x:v>
      </x:c>
      <x:c r="B1376" s="20" t="s">
        <x:v>6372</x:v>
      </x:c>
      <x:c r="C1376" s="20" t="s">
        <x:v>2418</x:v>
      </x:c>
      <x:c r="D1376" s="24">
        <x:v>12</x:v>
      </x:c>
      <x:c r="E1376" s="24" t="s">
        <x:v>198</x:v>
      </x:c>
      <x:c r="F1376" s="20" t="s">
        <x:v>90</x:v>
      </x:c>
      <x:c r="G1376" s="26">
        <x:v>43493</x:v>
      </x:c>
      <x:c r="H1376" s="24" t="s">
        <x:v>6373</x:v>
      </x:c>
      <x:c r="I1376" s="28" t="s">
        <x:v>6374</x:v>
      </x:c>
      <x:c r="J1376" s="29" t="s">
        <x:v>6375</x:v>
      </x:c>
    </x:row>
    <x:row r="1377" ht="10.050000190734863" customHeight="1">
      <x:c r="A1377" s="21" t="s">
        <x:v>6376</x:v>
      </x:c>
      <x:c r="B1377" s="20" t="s">
        <x:v>6376</x:v>
      </x:c>
      <x:c r="C1377" s="20" t="s">
        <x:v>6377</x:v>
      </x:c>
      <x:c r="D1377" s="24">
        <x:v>1</x:v>
      </x:c>
      <x:c r="E1377" s="24" t="s">
        <x:v>257</x:v>
      </x:c>
      <x:c r="F1377" s="20" t="s">
        <x:v>97</x:v>
      </x:c>
      <x:c r="G1377" s="26">
        <x:v>41814</x:v>
      </x:c>
      <x:c r="H1377" s="24" t="s">
        <x:v>6378</x:v>
      </x:c>
      <x:c r="I1377" s="28" t="s">
        <x:v>6379</x:v>
      </x:c>
      <x:c r="J1377" s="29" t="s">
        <x:v>6380</x:v>
      </x:c>
    </x:row>
    <x:row r="1378" ht="10.050000190734863" customHeight="1">
      <x:c r="A1378" s="21" t="s">
        <x:v>6381</x:v>
      </x:c>
      <x:c r="B1378" s="20" t="s">
        <x:v>6381</x:v>
      </x:c>
      <x:c r="C1378" s="20" t="s">
        <x:v>586</x:v>
      </x:c>
      <x:c r="D1378" s="24">
        <x:v>11</x:v>
      </x:c>
      <x:c r="E1378" s="24" t="s">
        <x:v>103</x:v>
      </x:c>
      <x:c r="F1378" s="20" t="s">
        <x:v>97</x:v>
      </x:c>
      <x:c r="G1378" s="26">
        <x:v>42728</x:v>
      </x:c>
      <x:c r="H1378" s="24" t="s">
        <x:v>6382</x:v>
      </x:c>
      <x:c r="I1378" s="28" t="s">
        <x:v>6383</x:v>
      </x:c>
      <x:c r="J1378" s="29" t="s">
        <x:v>6384</x:v>
      </x:c>
    </x:row>
    <x:row r="1379" ht="10.050000190734863" customHeight="1">
      <x:c r="A1379" s="21" t="s">
        <x:v>6385</x:v>
      </x:c>
      <x:c r="B1379" s="20" t="s">
        <x:v>6385</x:v>
      </x:c>
      <x:c r="C1379" s="20" t="s">
        <x:v>6386</x:v>
      </x:c>
      <x:c r="D1379" s="24">
        <x:v>19</x:v>
      </x:c>
      <x:c r="E1379" s="24" t="s">
        <x:v>103</x:v>
      </x:c>
      <x:c r="F1379" s="20" t="s">
        <x:v>97</x:v>
      </x:c>
      <x:c r="G1379" s="26">
        <x:v>42855</x:v>
      </x:c>
      <x:c r="H1379" s="24" t="s">
        <x:v>6387</x:v>
      </x:c>
      <x:c r="I1379" s="28" t="s">
        <x:v>6388</x:v>
      </x:c>
      <x:c r="J1379" s="29" t="s">
        <x:v>6389</x:v>
      </x:c>
    </x:row>
    <x:row r="1380" ht="10.050000190734863" customHeight="1">
      <x:c r="A1380" s="21" t="s">
        <x:v>6390</x:v>
      </x:c>
      <x:c r="B1380" s="20" t="s">
        <x:v>6390</x:v>
      </x:c>
      <x:c r="C1380" s="20" t="s">
        <x:v>88</x:v>
      </x:c>
      <x:c r="D1380" s="24">
        <x:v>14</x:v>
      </x:c>
      <x:c r="E1380" s="24" t="s">
        <x:v>198</x:v>
      </x:c>
      <x:c r="F1380" s="20" t="s">
        <x:v>90</x:v>
      </x:c>
      <x:c r="G1380" s="26">
        <x:v>44991</x:v>
      </x:c>
      <x:c r="H1380" s="24" t="s">
        <x:v>6391</x:v>
      </x:c>
      <x:c r="I1380" s="28" t="s">
        <x:v>6392</x:v>
      </x:c>
      <x:c r="J1380" s="29" t="s">
        <x:v>6393</x:v>
      </x:c>
    </x:row>
    <x:row r="1381" ht="10.050000190734863" customHeight="1">
      <x:c r="A1381" s="21" t="s">
        <x:v>6394</x:v>
      </x:c>
      <x:c r="B1381" s="20" t="s">
        <x:v>6394</x:v>
      </x:c>
      <x:c r="C1381" s="20" t="s">
        <x:v>88</x:v>
      </x:c>
      <x:c r="D1381" s="24">
        <x:v>25</x:v>
      </x:c>
      <x:c r="E1381" s="24" t="s">
        <x:v>198</x:v>
      </x:c>
      <x:c r="F1381" s="20" t="s">
        <x:v>90</x:v>
      </x:c>
      <x:c r="G1381" s="26">
        <x:v>46143</x:v>
      </x:c>
      <x:c r="H1381" s="24" t="s">
        <x:v>6395</x:v>
      </x:c>
      <x:c r="I1381" s="28" t="s">
        <x:v>6396</x:v>
      </x:c>
      <x:c r="J1381" s="29" t="s">
        <x:v>6397</x:v>
      </x:c>
    </x:row>
    <x:row r="1382" ht="10.050000190734863" customHeight="1">
      <x:c r="A1382" s="21" t="s">
        <x:v>6398</x:v>
      </x:c>
      <x:c r="B1382" s="20" t="s">
        <x:v>6398</x:v>
      </x:c>
      <x:c r="C1382" s="20" t="s">
        <x:v>6399</x:v>
      </x:c>
      <x:c r="D1382" s="24">
        <x:v>4</x:v>
      </x:c>
      <x:c r="E1382" s="24" t="s">
        <x:v>96</x:v>
      </x:c>
      <x:c r="F1382" s="20" t="s">
        <x:v>90</x:v>
      </x:c>
      <x:c r="G1382" s="26">
        <x:v>45690</x:v>
      </x:c>
      <x:c r="H1382" s="24" t="s">
        <x:v>6400</x:v>
      </x:c>
      <x:c r="I1382" s="28" t="s">
        <x:v>6401</x:v>
      </x:c>
      <x:c r="J1382" s="29" t="s">
        <x:v>6402</x:v>
      </x:c>
    </x:row>
    <x:row r="1383" ht="10.050000190734863" customHeight="1">
      <x:c r="A1383" s="21" t="s">
        <x:v>6403</x:v>
      </x:c>
      <x:c r="B1383" s="20" t="s">
        <x:v>6403</x:v>
      </x:c>
      <x:c r="C1383" s="20" t="s">
        <x:v>6319</x:v>
      </x:c>
      <x:c r="D1383" s="24">
        <x:v>8</x:v>
      </x:c>
      <x:c r="E1383" s="24" t="s">
        <x:v>198</x:v>
      </x:c>
      <x:c r="F1383" s="20" t="s">
        <x:v>90</x:v>
      </x:c>
      <x:c r="G1383" s="26">
        <x:v>45998</x:v>
      </x:c>
      <x:c r="H1383" s="24" t="s">
        <x:v>6404</x:v>
      </x:c>
      <x:c r="I1383" s="28" t="s">
        <x:v>6405</x:v>
      </x:c>
      <x:c r="J1383" s="29" t="s">
        <x:v>6406</x:v>
      </x:c>
    </x:row>
    <x:row r="1384" ht="10.050000190734863" customHeight="1">
      <x:c r="A1384" s="21" t="s">
        <x:v>6407</x:v>
      </x:c>
      <x:c r="B1384" s="20" t="s">
        <x:v>6407</x:v>
      </x:c>
      <x:c r="C1384" s="20" t="s">
        <x:v>2033</x:v>
      </x:c>
      <x:c r="D1384" s="24">
        <x:v>21</x:v>
      </x:c>
      <x:c r="E1384" s="24" t="s">
        <x:v>96</x:v>
      </x:c>
      <x:c r="F1384" s="20" t="s">
        <x:v>97</x:v>
      </x:c>
      <x:c r="G1384" s="26">
        <x:v>42784</x:v>
      </x:c>
      <x:c r="H1384" s="24" t="s">
        <x:v>6408</x:v>
      </x:c>
      <x:c r="I1384" s="28" t="s">
        <x:v>6409</x:v>
      </x:c>
      <x:c r="J1384" s="29" t="s">
        <x:v>6410</x:v>
      </x:c>
    </x:row>
    <x:row r="1385" ht="10.050000190734863" customHeight="1">
      <x:c r="A1385" s="21" t="s">
        <x:v>6411</x:v>
      </x:c>
      <x:c r="B1385" s="20" t="s">
        <x:v>6411</x:v>
      </x:c>
      <x:c r="C1385" s="20" t="s">
        <x:v>6412</x:v>
      </x:c>
      <x:c r="D1385" s="24">
        <x:v>10</x:v>
      </x:c>
      <x:c r="E1385" s="24" t="s">
        <x:v>96</x:v>
      </x:c>
      <x:c r="F1385" s="20" t="s">
        <x:v>97</x:v>
      </x:c>
      <x:c r="G1385" s="26">
        <x:v>44766</x:v>
      </x:c>
      <x:c r="H1385" s="24" t="s">
        <x:v>6413</x:v>
      </x:c>
      <x:c r="I1385" s="28" t="s">
        <x:v>6414</x:v>
      </x:c>
      <x:c r="J1385" s="29" t="s">
        <x:v>6415</x:v>
      </x:c>
    </x:row>
    <x:row r="1386" ht="10.050000190734863" customHeight="1">
      <x:c r="A1386" s="21" t="s">
        <x:v>6416</x:v>
      </x:c>
      <x:c r="B1386" s="20" t="s">
        <x:v>6416</x:v>
      </x:c>
      <x:c r="C1386" s="20" t="s">
        <x:v>1969</x:v>
      </x:c>
      <x:c r="D1386" s="24">
        <x:v>1</x:v>
      </x:c>
      <x:c r="E1386" s="24" t="s">
        <x:v>198</x:v>
      </x:c>
      <x:c r="F1386" s="20" t="s">
        <x:v>126</x:v>
      </x:c>
      <x:c r="G1386" s="26">
        <x:v>44912</x:v>
      </x:c>
      <x:c r="H1386" s="24" t="s">
        <x:v>6417</x:v>
      </x:c>
      <x:c r="I1386" s="28" t="s">
        <x:v>6418</x:v>
      </x:c>
      <x:c r="J1386" s="29" t="s">
        <x:v>6419</x:v>
      </x:c>
    </x:row>
    <x:row r="1387" ht="10.050000190734863" customHeight="1">
      <x:c r="A1387" s="21" t="s">
        <x:v>6420</x:v>
      </x:c>
      <x:c r="B1387" s="20" t="s">
        <x:v>6420</x:v>
      </x:c>
      <x:c r="C1387" s="20" t="s">
        <x:v>6421</x:v>
      </x:c>
      <x:c r="D1387" s="24">
        <x:v>1</x:v>
      </x:c>
      <x:c r="E1387" s="24" t="s">
        <x:v>125</x:v>
      </x:c>
      <x:c r="F1387" s="20" t="s">
        <x:v>126</x:v>
      </x:c>
      <x:c r="G1387" s="26">
        <x:v>43458</x:v>
      </x:c>
      <x:c r="H1387" s="24" t="s">
        <x:v>6422</x:v>
      </x:c>
      <x:c r="I1387" s="28" t="s">
        <x:v>6423</x:v>
      </x:c>
      <x:c r="J1387" s="29" t="s">
        <x:v>6424</x:v>
      </x:c>
    </x:row>
    <x:row r="1388" ht="10.050000190734863" customHeight="1">
      <x:c r="A1388" s="21" t="s">
        <x:v>6425</x:v>
      </x:c>
      <x:c r="B1388" s="20" t="s">
        <x:v>6425</x:v>
      </x:c>
      <x:c r="C1388" s="20" t="s">
        <x:v>6426</x:v>
      </x:c>
      <x:c r="D1388" s="24">
        <x:v>1</x:v>
      </x:c>
      <x:c r="E1388" s="24" t="s">
        <x:v>198</x:v>
      </x:c>
      <x:c r="F1388" s="20" t="s">
        <x:v>126</x:v>
      </x:c>
      <x:c r="G1388" s="26">
        <x:v>46211</x:v>
      </x:c>
      <x:c r="H1388" s="24" t="s">
        <x:v>6427</x:v>
      </x:c>
      <x:c r="I1388" s="28" t="s">
        <x:v>6428</x:v>
      </x:c>
      <x:c r="J1388" s="29" t="s">
        <x:v>6429</x:v>
      </x:c>
    </x:row>
    <x:row r="1389" ht="10.050000190734863" customHeight="1">
      <x:c r="A1389" s="21" t="s">
        <x:v>6430</x:v>
      </x:c>
      <x:c r="B1389" s="20" t="s">
        <x:v>6430</x:v>
      </x:c>
      <x:c r="C1389" s="20" t="s">
        <x:v>6431</x:v>
      </x:c>
      <x:c r="D1389" s="24">
        <x:v>1</x:v>
      </x:c>
      <x:c r="E1389" s="24" t="s">
        <x:v>114</x:v>
      </x:c>
      <x:c r="F1389" s="20" t="s">
        <x:v>126</x:v>
      </x:c>
      <x:c r="G1389" s="26">
        <x:v>43155</x:v>
      </x:c>
      <x:c r="H1389" s="24" t="s">
        <x:v>6432</x:v>
      </x:c>
      <x:c r="I1389" s="28" t="s">
        <x:v>6433</x:v>
      </x:c>
      <x:c r="J1389" s="29" t="s">
        <x:v>6434</x:v>
      </x:c>
    </x:row>
    <x:row r="1390" ht="10.050000190734863" customHeight="1">
      <x:c r="A1390" s="21" t="s">
        <x:v>6435</x:v>
      </x:c>
      <x:c r="B1390" s="20" t="s">
        <x:v>6435</x:v>
      </x:c>
      <x:c r="C1390" s="20" t="s">
        <x:v>6431</x:v>
      </x:c>
      <x:c r="D1390" s="24">
        <x:v>1</x:v>
      </x:c>
      <x:c r="E1390" s="24" t="s">
        <x:v>125</x:v>
      </x:c>
      <x:c r="F1390" s="20" t="s">
        <x:v>126</x:v>
      </x:c>
      <x:c r="G1390" s="26">
        <x:v>43109</x:v>
      </x:c>
      <x:c r="H1390" s="24" t="s">
        <x:v>6436</x:v>
      </x:c>
      <x:c r="I1390" s="28" t="s">
        <x:v>6437</x:v>
      </x:c>
      <x:c r="J1390" s="29" t="s">
        <x:v>6438</x:v>
      </x:c>
    </x:row>
    <x:row r="1391" ht="10.050000190734863" customHeight="1">
      <x:c r="A1391" s="21" t="s">
        <x:v>6439</x:v>
      </x:c>
      <x:c r="B1391" s="20" t="s">
        <x:v>6439</x:v>
      </x:c>
      <x:c r="C1391" s="20" t="s">
        <x:v>968</x:v>
      </x:c>
      <x:c r="D1391" s="24">
        <x:v>6</x:v>
      </x:c>
      <x:c r="E1391" s="24" t="s">
        <x:v>198</x:v>
      </x:c>
      <x:c r="F1391" s="20" t="s">
        <x:v>90</x:v>
      </x:c>
      <x:c r="G1391" s="26">
        <x:v>45222</x:v>
      </x:c>
      <x:c r="H1391" s="24" t="s">
        <x:v>6440</x:v>
      </x:c>
      <x:c r="I1391" s="28" t="s">
        <x:v>6441</x:v>
      </x:c>
      <x:c r="J1391" s="29" t="s">
        <x:v>6442</x:v>
      </x:c>
    </x:row>
    <x:row r="1392" ht="10.050000190734863" customHeight="1">
      <x:c r="A1392" s="21" t="s">
        <x:v>6443</x:v>
      </x:c>
      <x:c r="B1392" s="20" t="s">
        <x:v>6443</x:v>
      </x:c>
      <x:c r="C1392" s="20" t="s">
        <x:v>3915</x:v>
      </x:c>
      <x:c r="D1392" s="24">
        <x:v>9</x:v>
      </x:c>
      <x:c r="E1392" s="24" t="s">
        <x:v>198</x:v>
      </x:c>
      <x:c r="F1392" s="20" t="s">
        <x:v>90</x:v>
      </x:c>
      <x:c r="G1392" s="26">
        <x:v>45420</x:v>
      </x:c>
      <x:c r="H1392" s="24" t="s">
        <x:v>6444</x:v>
      </x:c>
      <x:c r="I1392" s="28" t="s">
        <x:v>6445</x:v>
      </x:c>
      <x:c r="J1392" s="29" t="s">
        <x:v>6446</x:v>
      </x:c>
    </x:row>
    <x:row r="1393" ht="10.050000190734863" customHeight="1">
      <x:c r="A1393" s="21" t="s">
        <x:v>6447</x:v>
      </x:c>
      <x:c r="B1393" s="20" t="s">
        <x:v>6447</x:v>
      </x:c>
      <x:c r="C1393" s="20" t="s">
        <x:v>5648</x:v>
      </x:c>
      <x:c r="D1393" s="24">
        <x:v>24</x:v>
      </x:c>
      <x:c r="E1393" s="24" t="s">
        <x:v>198</x:v>
      </x:c>
      <x:c r="F1393" s="20" t="s">
        <x:v>90</x:v>
      </x:c>
      <x:c r="G1393" s="26">
        <x:v>45089</x:v>
      </x:c>
      <x:c r="H1393" s="24" t="s">
        <x:v>6448</x:v>
      </x:c>
      <x:c r="I1393" s="28" t="s">
        <x:v>6449</x:v>
      </x:c>
      <x:c r="J1393" s="29" t="s">
        <x:v>6450</x:v>
      </x:c>
    </x:row>
    <x:row r="1394" ht="10.050000190734863" customHeight="1">
      <x:c r="A1394" s="21" t="s">
        <x:v>6451</x:v>
      </x:c>
      <x:c r="B1394" s="20" t="s">
        <x:v>6451</x:v>
      </x:c>
      <x:c r="C1394" s="20" t="s">
        <x:v>292</x:v>
      </x:c>
      <x:c r="D1394" s="24">
        <x:v>9</x:v>
      </x:c>
      <x:c r="E1394" s="24" t="s">
        <x:v>198</x:v>
      </x:c>
      <x:c r="F1394" s="20" t="s">
        <x:v>90</x:v>
      </x:c>
      <x:c r="G1394" s="26">
        <x:v>44901</x:v>
      </x:c>
      <x:c r="H1394" s="24" t="s">
        <x:v>6452</x:v>
      </x:c>
      <x:c r="I1394" s="28" t="s">
        <x:v>6453</x:v>
      </x:c>
      <x:c r="J1394" s="29" t="s">
        <x:v>6454</x:v>
      </x:c>
    </x:row>
    <x:row r="1395" ht="10.050000190734863" customHeight="1">
      <x:c r="A1395" s="21" t="s">
        <x:v>6455</x:v>
      </x:c>
      <x:c r="B1395" s="20" t="s">
        <x:v>6455</x:v>
      </x:c>
      <x:c r="C1395" s="20" t="s">
        <x:v>3295</x:v>
      </x:c>
      <x:c r="D1395" s="24">
        <x:v>32</x:v>
      </x:c>
      <x:c r="E1395" s="24" t="s">
        <x:v>103</x:v>
      </x:c>
      <x:c r="F1395" s="20" t="s">
        <x:v>97</x:v>
      </x:c>
      <x:c r="G1395" s="26">
        <x:v>45232</x:v>
      </x:c>
      <x:c r="H1395" s="24" t="s">
        <x:v>6456</x:v>
      </x:c>
      <x:c r="I1395" s="28" t="s">
        <x:v>6457</x:v>
      </x:c>
      <x:c r="J1395" s="29" t="s">
        <x:v>6458</x:v>
      </x:c>
    </x:row>
    <x:row r="1396" ht="10.050000190734863" customHeight="1">
      <x:c r="A1396" s="21" t="s">
        <x:v>6459</x:v>
      </x:c>
      <x:c r="B1396" s="20" t="s">
        <x:v>6459</x:v>
      </x:c>
      <x:c r="C1396" s="20" t="s">
        <x:v>629</x:v>
      </x:c>
      <x:c r="D1396" s="24">
        <x:v>6</x:v>
      </x:c>
      <x:c r="E1396" s="24" t="s">
        <x:v>103</x:v>
      </x:c>
      <x:c r="F1396" s="20" t="s">
        <x:v>90</x:v>
      </x:c>
      <x:c r="G1396" s="26">
        <x:v>46066</x:v>
      </x:c>
      <x:c r="H1396" s="24" t="s">
        <x:v>6460</x:v>
      </x:c>
      <x:c r="I1396" s="28" t="s">
        <x:v>6461</x:v>
      </x:c>
      <x:c r="J1396" s="29" t="s">
        <x:v>6462</x:v>
      </x:c>
    </x:row>
    <x:row r="1397" ht="10.050000190734863" customHeight="1">
      <x:c r="A1397" s="21" t="s">
        <x:v>6463</x:v>
      </x:c>
      <x:c r="B1397" s="20" t="s">
        <x:v>6463</x:v>
      </x:c>
      <x:c r="C1397" s="20" t="s">
        <x:v>629</x:v>
      </x:c>
      <x:c r="D1397" s="24">
        <x:v>8</x:v>
      </x:c>
      <x:c r="E1397" s="24" t="s">
        <x:v>103</x:v>
      </x:c>
      <x:c r="F1397" s="20" t="s">
        <x:v>90</x:v>
      </x:c>
      <x:c r="G1397" s="26">
        <x:v>46126</x:v>
      </x:c>
      <x:c r="H1397" s="24" t="s">
        <x:v>6464</x:v>
      </x:c>
      <x:c r="I1397" s="28" t="s">
        <x:v>6465</x:v>
      </x:c>
      <x:c r="J1397" s="29" t="s">
        <x:v>6466</x:v>
      </x:c>
    </x:row>
    <x:row r="1398" ht="10.050000190734863" customHeight="1">
      <x:c r="A1398" s="21" t="s">
        <x:v>6467</x:v>
      </x:c>
      <x:c r="B1398" s="20" t="s">
        <x:v>6467</x:v>
      </x:c>
      <x:c r="C1398" s="20" t="s">
        <x:v>1516</x:v>
      </x:c>
      <x:c r="D1398" s="24">
        <x:v>17</x:v>
      </x:c>
      <x:c r="E1398" s="24" t="s">
        <x:v>198</x:v>
      </x:c>
      <x:c r="F1398" s="20" t="s">
        <x:v>90</x:v>
      </x:c>
      <x:c r="G1398" s="26">
        <x:v>46196</x:v>
      </x:c>
      <x:c r="H1398" s="24" t="s">
        <x:v>6468</x:v>
      </x:c>
      <x:c r="I1398" s="28" t="s">
        <x:v>6469</x:v>
      </x:c>
      <x:c r="J1398" s="29" t="s">
        <x:v>6470</x:v>
      </x:c>
    </x:row>
    <x:row r="1399" ht="10.050000190734863" customHeight="1">
      <x:c r="A1399" s="21" t="s">
        <x:v>6471</x:v>
      </x:c>
      <x:c r="B1399" s="20" t="s">
        <x:v>6471</x:v>
      </x:c>
      <x:c r="C1399" s="20" t="s">
        <x:v>6472</x:v>
      </x:c>
      <x:c r="D1399" s="24">
        <x:v>8</x:v>
      </x:c>
      <x:c r="E1399" s="24" t="s">
        <x:v>89</x:v>
      </x:c>
      <x:c r="F1399" s="20" t="s">
        <x:v>97</x:v>
      </x:c>
      <x:c r="G1399" s="26">
        <x:v>44068</x:v>
      </x:c>
      <x:c r="H1399" s="24" t="s">
        <x:v>6473</x:v>
      </x:c>
      <x:c r="I1399" s="28" t="s">
        <x:v>6474</x:v>
      </x:c>
      <x:c r="J1399" s="29" t="s">
        <x:v>6475</x:v>
      </x:c>
    </x:row>
    <x:row r="1400" ht="10.050000190734863" customHeight="1">
      <x:c r="A1400" s="21" t="s">
        <x:v>6476</x:v>
      </x:c>
      <x:c r="B1400" s="20" t="s">
        <x:v>6476</x:v>
      </x:c>
      <x:c r="C1400" s="20" t="s">
        <x:v>6477</x:v>
      </x:c>
      <x:c r="D1400" s="24">
        <x:v>12</x:v>
      </x:c>
      <x:c r="E1400" s="24" t="s">
        <x:v>257</x:v>
      </x:c>
      <x:c r="F1400" s="20" t="s">
        <x:v>97</x:v>
      </x:c>
      <x:c r="G1400" s="26">
        <x:v>42742</x:v>
      </x:c>
      <x:c r="H1400" s="24" t="s">
        <x:v>6478</x:v>
      </x:c>
      <x:c r="I1400" s="28" t="s">
        <x:v>6479</x:v>
      </x:c>
      <x:c r="J1400" s="29" t="s">
        <x:v>6480</x:v>
      </x:c>
    </x:row>
    <x:row r="1401" ht="10.050000190734863" customHeight="1">
      <x:c r="A1401" s="21" t="s">
        <x:v>6481</x:v>
      </x:c>
      <x:c r="B1401" s="20" t="s">
        <x:v>6481</x:v>
      </x:c>
      <x:c r="C1401" s="20" t="s">
        <x:v>6482</x:v>
      </x:c>
      <x:c r="D1401" s="24">
        <x:v>12</x:v>
      </x:c>
      <x:c r="E1401" s="24" t="s">
        <x:v>89</x:v>
      </x:c>
      <x:c r="F1401" s="20" t="s">
        <x:v>90</x:v>
      </x:c>
      <x:c r="G1401" s="26">
        <x:v>46219</x:v>
      </x:c>
      <x:c r="H1401" s="24" t="s">
        <x:v>6483</x:v>
      </x:c>
      <x:c r="I1401" s="28" t="s">
        <x:v>6484</x:v>
      </x:c>
      <x:c r="J1401" s="29" t="s">
        <x:v>6485</x:v>
      </x:c>
    </x:row>
    <x:row r="1402" ht="10.050000190734863" customHeight="1">
      <x:c r="A1402" s="21" t="s">
        <x:v>6486</x:v>
      </x:c>
      <x:c r="B1402" s="20" t="s">
        <x:v>6486</x:v>
      </x:c>
      <x:c r="C1402" s="20" t="s">
        <x:v>6487</x:v>
      </x:c>
      <x:c r="D1402" s="24">
        <x:v>3</x:v>
      </x:c>
      <x:c r="E1402" s="24" t="s">
        <x:v>96</x:v>
      </x:c>
      <x:c r="F1402" s="20" t="s">
        <x:v>152</x:v>
      </x:c>
      <x:c r="G1402" s="26">
        <x:v>45699</x:v>
      </x:c>
      <x:c r="H1402" s="24" t="s">
        <x:v>6488</x:v>
      </x:c>
      <x:c r="I1402" s="28" t="s">
        <x:v>6489</x:v>
      </x:c>
      <x:c r="J1402" s="29" t="s">
        <x:v>6490</x:v>
      </x:c>
    </x:row>
    <x:row r="1403" ht="10.050000190734863" customHeight="1">
      <x:c r="A1403" s="21" t="s">
        <x:v>6491</x:v>
      </x:c>
      <x:c r="B1403" s="20" t="s">
        <x:v>6491</x:v>
      </x:c>
      <x:c r="C1403" s="20" t="s">
        <x:v>447</x:v>
      </x:c>
      <x:c r="D1403" s="24">
        <x:v>7</x:v>
      </x:c>
      <x:c r="E1403" s="24" t="s">
        <x:v>257</x:v>
      </x:c>
      <x:c r="F1403" s="20" t="s">
        <x:v>97</x:v>
      </x:c>
      <x:c r="G1403" s="26">
        <x:v>41464</x:v>
      </x:c>
      <x:c r="H1403" s="24" t="s">
        <x:v>6492</x:v>
      </x:c>
      <x:c r="I1403" s="28" t="s">
        <x:v>6493</x:v>
      </x:c>
      <x:c r="J1403" s="29" t="s">
        <x:v>6494</x:v>
      </x:c>
    </x:row>
    <x:row r="1404" ht="10.050000190734863" customHeight="1">
      <x:c r="A1404" s="21" t="s">
        <x:v>6495</x:v>
      </x:c>
      <x:c r="B1404" s="20" t="s">
        <x:v>6495</x:v>
      </x:c>
      <x:c r="C1404" s="20" t="s">
        <x:v>5738</x:v>
      </x:c>
      <x:c r="D1404" s="24">
        <x:v>50</x:v>
      </x:c>
      <x:c r="E1404" s="24" t="s">
        <x:v>103</x:v>
      </x:c>
      <x:c r="F1404" s="20" t="s">
        <x:v>97</x:v>
      </x:c>
      <x:c r="G1404" s="26">
        <x:v>42286</x:v>
      </x:c>
      <x:c r="H1404" s="24" t="s">
        <x:v>6496</x:v>
      </x:c>
      <x:c r="I1404" s="28" t="s">
        <x:v>6497</x:v>
      </x:c>
      <x:c r="J1404" s="29" t="s">
        <x:v>6498</x:v>
      </x:c>
    </x:row>
    <x:row r="1405" ht="10.050000190734863" customHeight="1">
      <x:c r="A1405" s="21" t="s">
        <x:v>6499</x:v>
      </x:c>
      <x:c r="B1405" s="20" t="s">
        <x:v>6499</x:v>
      </x:c>
      <x:c r="C1405" s="20" t="s">
        <x:v>6500</x:v>
      </x:c>
      <x:c r="D1405" s="24">
        <x:v>24</x:v>
      </x:c>
      <x:c r="E1405" s="24" t="s">
        <x:v>89</x:v>
      </x:c>
      <x:c r="F1405" s="20" t="s">
        <x:v>152</x:v>
      </x:c>
      <x:c r="G1405" s="26">
        <x:v>44423</x:v>
      </x:c>
      <x:c r="H1405" s="24" t="s">
        <x:v>6501</x:v>
      </x:c>
      <x:c r="I1405" s="28" t="s">
        <x:v>6502</x:v>
      </x:c>
      <x:c r="J1405" s="29" t="s">
        <x:v>6503</x:v>
      </x:c>
    </x:row>
    <x:row r="1406" ht="10.050000190734863" customHeight="1">
      <x:c r="A1406" s="21" t="s">
        <x:v>6504</x:v>
      </x:c>
      <x:c r="B1406" s="20" t="s">
        <x:v>6504</x:v>
      </x:c>
      <x:c r="C1406" s="20" t="s">
        <x:v>6505</x:v>
      </x:c>
      <x:c r="D1406" s="24">
        <x:v>75</x:v>
      </x:c>
      <x:c r="E1406" s="24" t="s">
        <x:v>125</x:v>
      </x:c>
      <x:c r="F1406" s="20" t="s">
        <x:v>90</x:v>
      </x:c>
      <x:c r="G1406" s="26">
        <x:v>45474</x:v>
      </x:c>
      <x:c r="H1406" s="24" t="s">
        <x:v>6506</x:v>
      </x:c>
      <x:c r="I1406" s="28" t="s">
        <x:v>6507</x:v>
      </x:c>
      <x:c r="J1406" s="29" t="s">
        <x:v>6508</x:v>
      </x:c>
    </x:row>
    <x:row r="1407" ht="10.050000190734863" customHeight="1">
      <x:c r="A1407" s="21" t="s">
        <x:v>6509</x:v>
      </x:c>
      <x:c r="B1407" s="20" t="s">
        <x:v>6509</x:v>
      </x:c>
      <x:c r="C1407" s="20" t="s">
        <x:v>6510</x:v>
      </x:c>
      <x:c r="D1407" s="24">
        <x:v>1</x:v>
      </x:c>
      <x:c r="E1407" s="24" t="s">
        <x:v>114</x:v>
      </x:c>
      <x:c r="F1407" s="20" t="s">
        <x:v>90</x:v>
      </x:c>
      <x:c r="G1407" s="26">
        <x:v>45500</x:v>
      </x:c>
      <x:c r="H1407" s="24" t="s">
        <x:v>6511</x:v>
      </x:c>
      <x:c r="I1407" s="28" t="s">
        <x:v>6512</x:v>
      </x:c>
      <x:c r="J1407" s="29" t="s">
        <x:v>6513</x:v>
      </x:c>
    </x:row>
    <x:row r="1408" ht="10.050000190734863" customHeight="1">
      <x:c r="A1408" s="21" t="s">
        <x:v>6514</x:v>
      </x:c>
      <x:c r="B1408" s="20" t="s">
        <x:v>6514</x:v>
      </x:c>
      <x:c r="C1408" s="20" t="s">
        <x:v>1107</x:v>
      </x:c>
      <x:c r="D1408" s="24">
        <x:v>5</x:v>
      </x:c>
      <x:c r="E1408" s="24" t="s">
        <x:v>89</x:v>
      </x:c>
      <x:c r="F1408" s="20" t="s">
        <x:v>90</x:v>
      </x:c>
      <x:c r="G1408" s="26">
        <x:v>44628</x:v>
      </x:c>
      <x:c r="H1408" s="24" t="s">
        <x:v>6515</x:v>
      </x:c>
      <x:c r="I1408" s="28" t="s">
        <x:v>6516</x:v>
      </x:c>
      <x:c r="J1408" s="29" t="s">
        <x:v>6517</x:v>
      </x:c>
    </x:row>
    <x:row r="1409" ht="10.050000190734863" customHeight="1">
      <x:c r="A1409" s="21" t="s">
        <x:v>6518</x:v>
      </x:c>
      <x:c r="B1409" s="20" t="s">
        <x:v>6518</x:v>
      </x:c>
      <x:c r="C1409" s="20" t="s">
        <x:v>1107</x:v>
      </x:c>
      <x:c r="D1409" s="24">
        <x:v>10</x:v>
      </x:c>
      <x:c r="E1409" s="24" t="s">
        <x:v>89</x:v>
      </x:c>
      <x:c r="F1409" s="20" t="s">
        <x:v>90</x:v>
      </x:c>
      <x:c r="G1409" s="26">
        <x:v>44677</x:v>
      </x:c>
      <x:c r="H1409" s="24" t="s">
        <x:v>6519</x:v>
      </x:c>
      <x:c r="I1409" s="28" t="s">
        <x:v>6520</x:v>
      </x:c>
      <x:c r="J1409" s="29" t="s">
        <x:v>6521</x:v>
      </x:c>
    </x:row>
    <x:row r="1410" ht="10.050000190734863" customHeight="1">
      <x:c r="A1410" s="21" t="s">
        <x:v>6522</x:v>
      </x:c>
      <x:c r="B1410" s="20" t="s">
        <x:v>6522</x:v>
      </x:c>
      <x:c r="C1410" s="20" t="s">
        <x:v>1417</x:v>
      </x:c>
      <x:c r="D1410" s="24">
        <x:v>9</x:v>
      </x:c>
      <x:c r="E1410" s="24" t="s">
        <x:v>89</x:v>
      </x:c>
      <x:c r="F1410" s="20" t="s">
        <x:v>90</x:v>
      </x:c>
      <x:c r="G1410" s="26">
        <x:v>45673</x:v>
      </x:c>
      <x:c r="H1410" s="24" t="s">
        <x:v>6523</x:v>
      </x:c>
      <x:c r="I1410" s="28" t="s">
        <x:v>6524</x:v>
      </x:c>
      <x:c r="J1410" s="29" t="s">
        <x:v>6525</x:v>
      </x:c>
    </x:row>
    <x:row r="1411" ht="10.050000190734863" customHeight="1">
      <x:c r="A1411" s="21" t="s">
        <x:v>6526</x:v>
      </x:c>
      <x:c r="B1411" s="20" t="s">
        <x:v>6526</x:v>
      </x:c>
      <x:c r="C1411" s="20" t="s">
        <x:v>2156</x:v>
      </x:c>
      <x:c r="D1411" s="24">
        <x:v>30</x:v>
      </x:c>
      <x:c r="E1411" s="24" t="s">
        <x:v>96</x:v>
      </x:c>
      <x:c r="F1411" s="20" t="s">
        <x:v>97</x:v>
      </x:c>
      <x:c r="G1411" s="26">
        <x:v>45153</x:v>
      </x:c>
      <x:c r="H1411" s="24" t="s">
        <x:v>6527</x:v>
      </x:c>
      <x:c r="I1411" s="28" t="s">
        <x:v>6528</x:v>
      </x:c>
      <x:c r="J1411" s="29" t="s">
        <x:v>6529</x:v>
      </x:c>
    </x:row>
    <x:row r="1412" ht="10.050000190734863" customHeight="1">
      <x:c r="A1412" s="21" t="s">
        <x:v>6530</x:v>
      </x:c>
      <x:c r="B1412" s="20" t="s">
        <x:v>6530</x:v>
      </x:c>
      <x:c r="C1412" s="20" t="s">
        <x:v>4737</x:v>
      </x:c>
      <x:c r="D1412" s="24">
        <x:v>12</x:v>
      </x:c>
      <x:c r="E1412" s="24" t="s">
        <x:v>96</x:v>
      </x:c>
      <x:c r="F1412" s="20" t="s">
        <x:v>97</x:v>
      </x:c>
      <x:c r="G1412" s="26">
        <x:v>44173</x:v>
      </x:c>
      <x:c r="H1412" s="24" t="s">
        <x:v>6531</x:v>
      </x:c>
      <x:c r="I1412" s="28" t="s">
        <x:v>6532</x:v>
      </x:c>
      <x:c r="J1412" s="29" t="s">
        <x:v>6533</x:v>
      </x:c>
    </x:row>
    <x:row r="1413" ht="10.050000190734863" customHeight="1">
      <x:c r="A1413" s="21" t="s">
        <x:v>6534</x:v>
      </x:c>
      <x:c r="B1413" s="20" t="s">
        <x:v>6534</x:v>
      </x:c>
      <x:c r="C1413" s="20" t="s">
        <x:v>6535</x:v>
      </x:c>
      <x:c r="D1413" s="24">
        <x:v>2</x:v>
      </x:c>
      <x:c r="E1413" s="24" t="s">
        <x:v>96</x:v>
      </x:c>
      <x:c r="F1413" s="20" t="s">
        <x:v>90</x:v>
      </x:c>
      <x:c r="G1413" s="26">
        <x:v>45397</x:v>
      </x:c>
      <x:c r="H1413" s="24" t="s">
        <x:v>6536</x:v>
      </x:c>
      <x:c r="I1413" s="28" t="s">
        <x:v>6537</x:v>
      </x:c>
      <x:c r="J1413" s="29" t="s">
        <x:v>6538</x:v>
      </x:c>
    </x:row>
    <x:row r="1414" ht="10.050000190734863" customHeight="1">
      <x:c r="A1414" s="21" t="s">
        <x:v>6539</x:v>
      </x:c>
      <x:c r="B1414" s="20" t="s">
        <x:v>6539</x:v>
      </x:c>
      <x:c r="C1414" s="20" t="s">
        <x:v>6540</x:v>
      </x:c>
      <x:c r="D1414" s="24">
        <x:v>15</x:v>
      </x:c>
      <x:c r="E1414" s="24" t="s">
        <x:v>103</x:v>
      </x:c>
      <x:c r="F1414" s="20" t="s">
        <x:v>97</x:v>
      </x:c>
      <x:c r="G1414" s="26">
        <x:v>42288</x:v>
      </x:c>
      <x:c r="H1414" s="24" t="s">
        <x:v>6541</x:v>
      </x:c>
      <x:c r="I1414" s="28" t="s">
        <x:v>6542</x:v>
      </x:c>
      <x:c r="J1414" s="29" t="s">
        <x:v>6543</x:v>
      </x:c>
    </x:row>
    <x:row r="1415" ht="10.050000190734863" customHeight="1">
      <x:c r="A1415" s="21" t="s">
        <x:v>6544</x:v>
      </x:c>
      <x:c r="B1415" s="20" t="s">
        <x:v>6544</x:v>
      </x:c>
      <x:c r="C1415" s="20" t="s">
        <x:v>124</x:v>
      </x:c>
      <x:c r="D1415" s="24">
        <x:v>1</x:v>
      </x:c>
      <x:c r="E1415" s="24" t="s">
        <x:v>125</x:v>
      </x:c>
      <x:c r="F1415" s="20" t="s">
        <x:v>126</x:v>
      </x:c>
      <x:c r="G1415" s="26">
        <x:v>42839</x:v>
      </x:c>
      <x:c r="H1415" s="24" t="s">
        <x:v>6545</x:v>
      </x:c>
      <x:c r="I1415" s="28" t="s">
        <x:v>6546</x:v>
      </x:c>
      <x:c r="J1415" s="29" t="s">
        <x:v>6547</x:v>
      </x:c>
    </x:row>
    <x:row r="1416" ht="10.050000190734863" customHeight="1">
      <x:c r="A1416" s="21" t="s">
        <x:v>6548</x:v>
      </x:c>
      <x:c r="B1416" s="20" t="s">
        <x:v>6548</x:v>
      </x:c>
      <x:c r="C1416" s="20" t="s">
        <x:v>968</x:v>
      </x:c>
      <x:c r="D1416" s="24">
        <x:v>3</x:v>
      </x:c>
      <x:c r="E1416" s="24" t="s">
        <x:v>114</x:v>
      </x:c>
      <x:c r="F1416" s="20" t="s">
        <x:v>90</x:v>
      </x:c>
      <x:c r="G1416" s="26">
        <x:v>43892</x:v>
      </x:c>
      <x:c r="H1416" s="24" t="s">
        <x:v>6549</x:v>
      </x:c>
      <x:c r="I1416" s="28" t="s">
        <x:v>6550</x:v>
      </x:c>
      <x:c r="J1416" s="29" t="s">
        <x:v>6551</x:v>
      </x:c>
    </x:row>
    <x:row r="1417" ht="10.050000190734863" customHeight="1">
      <x:c r="A1417" s="21" t="s">
        <x:v>6552</x:v>
      </x:c>
      <x:c r="B1417" s="20" t="s">
        <x:v>6552</x:v>
      </x:c>
      <x:c r="C1417" s="20" t="s">
        <x:v>968</x:v>
      </x:c>
      <x:c r="D1417" s="24">
        <x:v>7</x:v>
      </x:c>
      <x:c r="E1417" s="24" t="s">
        <x:v>114</x:v>
      </x:c>
      <x:c r="F1417" s="20" t="s">
        <x:v>90</x:v>
      </x:c>
      <x:c r="G1417" s="26">
        <x:v>46137</x:v>
      </x:c>
      <x:c r="H1417" s="24" t="s">
        <x:v>6553</x:v>
      </x:c>
      <x:c r="I1417" s="28" t="s">
        <x:v>6554</x:v>
      </x:c>
      <x:c r="J1417" s="29" t="s">
        <x:v>6555</x:v>
      </x:c>
    </x:row>
    <x:row r="1418" ht="10.050000190734863" customHeight="1">
      <x:c r="A1418" s="21" t="s">
        <x:v>6556</x:v>
      </x:c>
      <x:c r="B1418" s="20" t="s">
        <x:v>6556</x:v>
      </x:c>
      <x:c r="C1418" s="20" t="s">
        <x:v>6557</x:v>
      </x:c>
      <x:c r="D1418" s="24">
        <x:v>9</x:v>
      </x:c>
      <x:c r="E1418" s="24" t="s">
        <x:v>89</x:v>
      </x:c>
      <x:c r="F1418" s="20" t="s">
        <x:v>90</x:v>
      </x:c>
      <x:c r="G1418" s="26">
        <x:v>45334</x:v>
      </x:c>
      <x:c r="H1418" s="24" t="s">
        <x:v>6558</x:v>
      </x:c>
      <x:c r="I1418" s="28" t="s">
        <x:v>6559</x:v>
      </x:c>
      <x:c r="J1418" s="29" t="s">
        <x:v>6560</x:v>
      </x:c>
    </x:row>
    <x:row r="1419" ht="10.050000190734863" customHeight="1">
      <x:c r="A1419" s="21" t="s">
        <x:v>6561</x:v>
      </x:c>
      <x:c r="B1419" s="20" t="s">
        <x:v>6561</x:v>
      </x:c>
      <x:c r="C1419" s="20" t="s">
        <x:v>6562</x:v>
      </x:c>
      <x:c r="D1419" s="24">
        <x:v>44</x:v>
      </x:c>
      <x:c r="E1419" s="24" t="s">
        <x:v>257</x:v>
      </x:c>
      <x:c r="F1419" s="20" t="s">
        <x:v>97</x:v>
      </x:c>
      <x:c r="G1419" s="26">
        <x:v>42275</x:v>
      </x:c>
      <x:c r="H1419" s="24" t="s">
        <x:v>6563</x:v>
      </x:c>
      <x:c r="I1419" s="28" t="s">
        <x:v>6564</x:v>
      </x:c>
      <x:c r="J1419" s="29" t="s">
        <x:v>6565</x:v>
      </x:c>
    </x:row>
    <x:row r="1420" ht="10.050000190734863" customHeight="1">
      <x:c r="A1420" s="21" t="s">
        <x:v>6566</x:v>
      </x:c>
      <x:c r="B1420" s="20" t="s">
        <x:v>6566</x:v>
      </x:c>
      <x:c r="C1420" s="20" t="s">
        <x:v>2377</x:v>
      </x:c>
      <x:c r="D1420" s="24">
        <x:v>18</x:v>
      </x:c>
      <x:c r="E1420" s="24" t="s">
        <x:v>114</x:v>
      </x:c>
      <x:c r="F1420" s="20" t="s">
        <x:v>90</x:v>
      </x:c>
      <x:c r="G1420" s="26">
        <x:v>44870</x:v>
      </x:c>
      <x:c r="H1420" s="24" t="s">
        <x:v>6567</x:v>
      </x:c>
      <x:c r="I1420" s="28" t="s">
        <x:v>6568</x:v>
      </x:c>
      <x:c r="J1420" s="29" t="s">
        <x:v>6569</x:v>
      </x:c>
    </x:row>
    <x:row r="1421" ht="10.050000190734863" customHeight="1">
      <x:c r="A1421" s="21" t="s">
        <x:v>6570</x:v>
      </x:c>
      <x:c r="B1421" s="20" t="s">
        <x:v>6570</x:v>
      </x:c>
      <x:c r="C1421" s="20" t="s">
        <x:v>6571</x:v>
      </x:c>
      <x:c r="D1421" s="24">
        <x:v>14</x:v>
      </x:c>
      <x:c r="E1421" s="24" t="s">
        <x:v>89</x:v>
      </x:c>
      <x:c r="F1421" s="20" t="s">
        <x:v>90</x:v>
      </x:c>
      <x:c r="G1421" s="26">
        <x:v>43274</x:v>
      </x:c>
      <x:c r="H1421" s="24" t="s">
        <x:v>6572</x:v>
      </x:c>
      <x:c r="I1421" s="28" t="s">
        <x:v>6573</x:v>
      </x:c>
      <x:c r="J1421" s="29" t="s">
        <x:v>6574</x:v>
      </x:c>
    </x:row>
    <x:row r="1422" ht="10.050000190734863" customHeight="1">
      <x:c r="A1422" s="21" t="s">
        <x:v>6575</x:v>
      </x:c>
      <x:c r="B1422" s="20" t="s">
        <x:v>6575</x:v>
      </x:c>
      <x:c r="C1422" s="20" t="s">
        <x:v>756</x:v>
      </x:c>
      <x:c r="D1422" s="24">
        <x:v>1</x:v>
      </x:c>
      <x:c r="E1422" s="24" t="s">
        <x:v>114</x:v>
      </x:c>
      <x:c r="F1422" s="20" t="s">
        <x:v>90</x:v>
      </x:c>
      <x:c r="G1422" s="26">
        <x:v>43775</x:v>
      </x:c>
      <x:c r="H1422" s="24" t="s">
        <x:v>6576</x:v>
      </x:c>
      <x:c r="I1422" s="28" t="s">
        <x:v>6577</x:v>
      </x:c>
      <x:c r="J1422" s="29" t="s">
        <x:v>6578</x:v>
      </x:c>
    </x:row>
    <x:row r="1423" ht="10.050000190734863" customHeight="1">
      <x:c r="A1423" s="21" t="s">
        <x:v>6579</x:v>
      </x:c>
      <x:c r="B1423" s="20" t="s">
        <x:v>6579</x:v>
      </x:c>
      <x:c r="C1423" s="20" t="s">
        <x:v>2297</x:v>
      </x:c>
      <x:c r="D1423" s="24">
        <x:v>8</x:v>
      </x:c>
      <x:c r="E1423" s="24" t="s">
        <x:v>103</x:v>
      </x:c>
      <x:c r="F1423" s="20" t="s">
        <x:v>97</x:v>
      </x:c>
      <x:c r="G1423" s="26">
        <x:v>44509</x:v>
      </x:c>
      <x:c r="H1423" s="24" t="s">
        <x:v>6580</x:v>
      </x:c>
      <x:c r="I1423" s="28" t="s">
        <x:v>6581</x:v>
      </x:c>
      <x:c r="J1423" s="29" t="s">
        <x:v>6582</x:v>
      </x:c>
    </x:row>
    <x:row r="1424" ht="10.050000190734863" customHeight="1">
      <x:c r="A1424" s="21" t="s">
        <x:v>6583</x:v>
      </x:c>
      <x:c r="B1424" s="20" t="s">
        <x:v>6583</x:v>
      </x:c>
      <x:c r="C1424" s="20" t="s">
        <x:v>6584</x:v>
      </x:c>
      <x:c r="D1424" s="24">
        <x:v>16</x:v>
      </x:c>
      <x:c r="E1424" s="24" t="s">
        <x:v>103</x:v>
      </x:c>
      <x:c r="F1424" s="20" t="s">
        <x:v>97</x:v>
      </x:c>
      <x:c r="G1424" s="26">
        <x:v>43464</x:v>
      </x:c>
      <x:c r="H1424" s="24" t="s">
        <x:v>6585</x:v>
      </x:c>
      <x:c r="I1424" s="28" t="s">
        <x:v>6586</x:v>
      </x:c>
      <x:c r="J1424" s="29" t="s">
        <x:v>6587</x:v>
      </x:c>
    </x:row>
    <x:row r="1425" ht="10.050000190734863" customHeight="1">
      <x:c r="A1425" s="21" t="s">
        <x:v>6588</x:v>
      </x:c>
      <x:c r="B1425" s="20" t="s">
        <x:v>6588</x:v>
      </x:c>
      <x:c r="C1425" s="20" t="s">
        <x:v>6584</x:v>
      </x:c>
      <x:c r="D1425" s="24">
        <x:v>39</x:v>
      </x:c>
      <x:c r="E1425" s="24" t="s">
        <x:v>96</x:v>
      </x:c>
      <x:c r="F1425" s="20" t="s">
        <x:v>97</x:v>
      </x:c>
      <x:c r="G1425" s="26">
        <x:v>43308</x:v>
      </x:c>
      <x:c r="H1425" s="24" t="s">
        <x:v>6589</x:v>
      </x:c>
      <x:c r="I1425" s="28" t="s">
        <x:v>6590</x:v>
      </x:c>
      <x:c r="J1425" s="29" t="s">
        <x:v>6591</x:v>
      </x:c>
    </x:row>
    <x:row r="1426" ht="10.050000190734863" customHeight="1">
      <x:c r="A1426" s="21" t="s">
        <x:v>6592</x:v>
      </x:c>
      <x:c r="B1426" s="20" t="s">
        <x:v>6592</x:v>
      </x:c>
      <x:c r="C1426" s="20" t="s">
        <x:v>6593</x:v>
      </x:c>
      <x:c r="D1426" s="24">
        <x:v>5</x:v>
      </x:c>
      <x:c r="E1426" s="24" t="s">
        <x:v>103</x:v>
      </x:c>
      <x:c r="F1426" s="20" t="s">
        <x:v>97</x:v>
      </x:c>
      <x:c r="G1426" s="26">
        <x:v>43081</x:v>
      </x:c>
      <x:c r="H1426" s="24" t="s">
        <x:v>6594</x:v>
      </x:c>
      <x:c r="I1426" s="28" t="s">
        <x:v>6595</x:v>
      </x:c>
      <x:c r="J1426" s="29" t="s">
        <x:v>6596</x:v>
      </x:c>
    </x:row>
    <x:row r="1427" ht="10.050000190734863" customHeight="1">
      <x:c r="A1427" s="21" t="s">
        <x:v>6597</x:v>
      </x:c>
      <x:c r="B1427" s="20" t="s">
        <x:v>6597</x:v>
      </x:c>
      <x:c r="C1427" s="20" t="s">
        <x:v>6598</x:v>
      </x:c>
      <x:c r="D1427" s="24">
        <x:v>10</x:v>
      </x:c>
      <x:c r="E1427" s="24" t="s">
        <x:v>103</x:v>
      </x:c>
      <x:c r="F1427" s="20" t="s">
        <x:v>97</x:v>
      </x:c>
      <x:c r="G1427" s="26">
        <x:v>44446</x:v>
      </x:c>
      <x:c r="H1427" s="24" t="s">
        <x:v>6599</x:v>
      </x:c>
      <x:c r="I1427" s="28" t="s">
        <x:v>6600</x:v>
      </x:c>
      <x:c r="J1427" s="29" t="s">
        <x:v>6601</x:v>
      </x:c>
    </x:row>
    <x:row r="1428" ht="10.050000190734863" customHeight="1">
      <x:c r="A1428" s="21" t="s">
        <x:v>6602</x:v>
      </x:c>
      <x:c r="B1428" s="20" t="s">
        <x:v>6602</x:v>
      </x:c>
      <x:c r="C1428" s="20" t="s">
        <x:v>6603</x:v>
      </x:c>
      <x:c r="D1428" s="24">
        <x:v>17</x:v>
      </x:c>
      <x:c r="E1428" s="24" t="s">
        <x:v>96</x:v>
      </x:c>
      <x:c r="F1428" s="20" t="s">
        <x:v>97</x:v>
      </x:c>
      <x:c r="G1428" s="26">
        <x:v>45731</x:v>
      </x:c>
      <x:c r="H1428" s="24" t="s">
        <x:v>6604</x:v>
      </x:c>
      <x:c r="I1428" s="28" t="s">
        <x:v>6605</x:v>
      </x:c>
      <x:c r="J1428" s="29" t="s">
        <x:v>6606</x:v>
      </x:c>
    </x:row>
    <x:row r="1429" ht="10.050000190734863" customHeight="1">
      <x:c r="A1429" s="21" t="s">
        <x:v>6607</x:v>
      </x:c>
      <x:c r="B1429" s="20" t="s">
        <x:v>6607</x:v>
      </x:c>
      <x:c r="C1429" s="20" t="s">
        <x:v>533</x:v>
      </x:c>
      <x:c r="D1429" s="24">
        <x:v>0</x:v>
      </x:c>
      <x:c r="E1429" s="24" t="s">
        <x:v>114</x:v>
      </x:c>
      <x:c r="F1429" s="20" t="s">
        <x:v>90</x:v>
      </x:c>
      <x:c r="G1429" s="26">
        <x:v>45307</x:v>
      </x:c>
      <x:c r="H1429" s="24" t="s">
        <x:v>6608</x:v>
      </x:c>
      <x:c r="I1429" s="28" t="s">
        <x:v>6609</x:v>
      </x:c>
      <x:c r="J1429" s="29" t="s">
        <x:v>6610</x:v>
      </x:c>
    </x:row>
    <x:row r="1430" ht="10.050000190734863" customHeight="1">
      <x:c r="A1430" s="21" t="s">
        <x:v>6611</x:v>
      </x:c>
      <x:c r="B1430" s="20" t="s">
        <x:v>6611</x:v>
      </x:c>
      <x:c r="C1430" s="20" t="s">
        <x:v>3800</x:v>
      </x:c>
      <x:c r="D1430" s="24">
        <x:v>1</x:v>
      </x:c>
      <x:c r="E1430" s="24" t="s">
        <x:v>198</x:v>
      </x:c>
      <x:c r="F1430" s="20" t="s">
        <x:v>90</x:v>
      </x:c>
      <x:c r="G1430" s="26">
        <x:v>43404</x:v>
      </x:c>
      <x:c r="H1430" s="24" t="s">
        <x:v>6612</x:v>
      </x:c>
      <x:c r="I1430" s="28" t="s">
        <x:v>6613</x:v>
      </x:c>
      <x:c r="J1430" s="29" t="s">
        <x:v>6614</x:v>
      </x:c>
    </x:row>
    <x:row r="1431" ht="10.050000190734863" customHeight="1">
      <x:c r="A1431" s="21" t="s">
        <x:v>6615</x:v>
      </x:c>
      <x:c r="B1431" s="20" t="s">
        <x:v>6615</x:v>
      </x:c>
      <x:c r="C1431" s="20" t="s">
        <x:v>1821</x:v>
      </x:c>
      <x:c r="D1431" s="24">
        <x:v>2</x:v>
      </x:c>
      <x:c r="E1431" s="24" t="s">
        <x:v>89</x:v>
      </x:c>
      <x:c r="F1431" s="20" t="s">
        <x:v>610</x:v>
      </x:c>
      <x:c r="G1431" s="26">
        <x:v>42199</x:v>
      </x:c>
      <x:c r="H1431" s="24" t="s">
        <x:v>6616</x:v>
      </x:c>
      <x:c r="I1431" s="28" t="s">
        <x:v>6617</x:v>
      </x:c>
      <x:c r="J1431" s="29" t="s">
        <x:v>6618</x:v>
      </x:c>
    </x:row>
    <x:row r="1432" ht="10.050000190734863" customHeight="1">
      <x:c r="A1432" s="21" t="s">
        <x:v>6619</x:v>
      </x:c>
      <x:c r="B1432" s="20" t="s">
        <x:v>6619</x:v>
      </x:c>
      <x:c r="C1432" s="20" t="s">
        <x:v>1821</x:v>
      </x:c>
      <x:c r="D1432" s="24">
        <x:v>1</x:v>
      </x:c>
      <x:c r="E1432" s="24" t="s">
        <x:v>89</x:v>
      </x:c>
      <x:c r="F1432" s="20" t="s">
        <x:v>610</x:v>
      </x:c>
      <x:c r="G1432" s="26">
        <x:v>45158</x:v>
      </x:c>
      <x:c r="H1432" s="24" t="s">
        <x:v>6620</x:v>
      </x:c>
      <x:c r="I1432" s="28" t="s">
        <x:v>6621</x:v>
      </x:c>
      <x:c r="J1432" s="29" t="s">
        <x:v>6622</x:v>
      </x:c>
    </x:row>
    <x:row r="1433" ht="10.050000190734863" customHeight="1">
      <x:c r="A1433" s="21" t="s">
        <x:v>6623</x:v>
      </x:c>
      <x:c r="B1433" s="20" t="s">
        <x:v>6623</x:v>
      </x:c>
      <x:c r="C1433" s="20" t="s">
        <x:v>146</x:v>
      </x:c>
      <x:c r="D1433" s="24">
        <x:v>21</x:v>
      </x:c>
      <x:c r="E1433" s="24" t="s">
        <x:v>198</x:v>
      </x:c>
      <x:c r="F1433" s="20" t="s">
        <x:v>90</x:v>
      </x:c>
      <x:c r="G1433" s="26">
        <x:v>44462</x:v>
      </x:c>
      <x:c r="H1433" s="24" t="s">
        <x:v>6624</x:v>
      </x:c>
      <x:c r="I1433" s="28" t="s">
        <x:v>6625</x:v>
      </x:c>
      <x:c r="J1433" s="29" t="s">
        <x:v>6626</x:v>
      </x:c>
    </x:row>
    <x:row r="1434" ht="10.050000190734863" customHeight="1">
      <x:c r="A1434" s="21" t="s">
        <x:v>6627</x:v>
      </x:c>
      <x:c r="B1434" s="20" t="s">
        <x:v>6627</x:v>
      </x:c>
      <x:c r="C1434" s="20" t="s">
        <x:v>6628</x:v>
      </x:c>
      <x:c r="D1434" s="24">
        <x:v>18</x:v>
      </x:c>
      <x:c r="E1434" s="24" t="s">
        <x:v>89</x:v>
      </x:c>
      <x:c r="F1434" s="20" t="s">
        <x:v>90</x:v>
      </x:c>
      <x:c r="G1434" s="26">
        <x:v>44168</x:v>
      </x:c>
      <x:c r="H1434" s="24" t="s">
        <x:v>6629</x:v>
      </x:c>
      <x:c r="I1434" s="28" t="s">
        <x:v>6630</x:v>
      </x:c>
      <x:c r="J1434" s="29" t="s">
        <x:v>6631</x:v>
      </x:c>
    </x:row>
    <x:row r="1435" ht="10.050000190734863" customHeight="1">
      <x:c r="A1435" s="21" t="s">
        <x:v>6632</x:v>
      </x:c>
      <x:c r="B1435" s="20" t="s">
        <x:v>6632</x:v>
      </x:c>
      <x:c r="C1435" s="20" t="s">
        <x:v>491</x:v>
      </x:c>
      <x:c r="D1435" s="24">
        <x:v>6</x:v>
      </x:c>
      <x:c r="E1435" s="24" t="s">
        <x:v>96</x:v>
      </x:c>
      <x:c r="F1435" s="20" t="s">
        <x:v>90</x:v>
      </x:c>
      <x:c r="G1435" s="26">
        <x:v>44868</x:v>
      </x:c>
      <x:c r="H1435" s="24" t="s">
        <x:v>6633</x:v>
      </x:c>
      <x:c r="I1435" s="28" t="s">
        <x:v>6634</x:v>
      </x:c>
      <x:c r="J1435" s="29" t="s">
        <x:v>6635</x:v>
      </x:c>
    </x:row>
    <x:row r="1436" ht="10.050000190734863" customHeight="1">
      <x:c r="A1436" s="21" t="s">
        <x:v>6636</x:v>
      </x:c>
      <x:c r="B1436" s="20" t="s">
        <x:v>6636</x:v>
      </x:c>
      <x:c r="C1436" s="20" t="s">
        <x:v>6637</x:v>
      </x:c>
      <x:c r="D1436" s="24">
        <x:v>4</x:v>
      </x:c>
      <x:c r="E1436" s="24" t="s">
        <x:v>89</x:v>
      </x:c>
      <x:c r="F1436" s="20" t="s">
        <x:v>90</x:v>
      </x:c>
      <x:c r="G1436" s="26">
        <x:v>44196</x:v>
      </x:c>
      <x:c r="H1436" s="24" t="s">
        <x:v>6638</x:v>
      </x:c>
      <x:c r="I1436" s="28" t="s">
        <x:v>6639</x:v>
      </x:c>
      <x:c r="J1436" s="29" t="s">
        <x:v>6640</x:v>
      </x:c>
    </x:row>
    <x:row r="1437" ht="10.050000190734863" customHeight="1">
      <x:c r="A1437" s="21" t="s">
        <x:v>6641</x:v>
      </x:c>
      <x:c r="B1437" s="20" t="s">
        <x:v>6641</x:v>
      </x:c>
      <x:c r="C1437" s="20" t="s">
        <x:v>6642</x:v>
      </x:c>
      <x:c r="D1437" s="24">
        <x:v>23</x:v>
      </x:c>
      <x:c r="E1437" s="24" t="s">
        <x:v>96</x:v>
      </x:c>
      <x:c r="F1437" s="20" t="s">
        <x:v>97</x:v>
      </x:c>
      <x:c r="G1437" s="26">
        <x:v>42227</x:v>
      </x:c>
      <x:c r="H1437" s="24" t="s">
        <x:v>6643</x:v>
      </x:c>
      <x:c r="I1437" s="28" t="s">
        <x:v>6644</x:v>
      </x:c>
      <x:c r="J1437" s="29" t="s">
        <x:v>6645</x:v>
      </x:c>
    </x:row>
    <x:row r="1438" ht="10.050000190734863" customHeight="1">
      <x:c r="A1438" s="21" t="s">
        <x:v>6646</x:v>
      </x:c>
      <x:c r="B1438" s="20" t="s">
        <x:v>6646</x:v>
      </x:c>
      <x:c r="C1438" s="20" t="s">
        <x:v>6647</x:v>
      </x:c>
      <x:c r="D1438" s="24">
        <x:v>32</x:v>
      </x:c>
      <x:c r="E1438" s="24" t="s">
        <x:v>96</x:v>
      </x:c>
      <x:c r="F1438" s="20" t="s">
        <x:v>97</x:v>
      </x:c>
      <x:c r="G1438" s="26">
        <x:v>41530</x:v>
      </x:c>
      <x:c r="H1438" s="24" t="s">
        <x:v>6648</x:v>
      </x:c>
      <x:c r="I1438" s="28" t="s">
        <x:v>6649</x:v>
      </x:c>
      <x:c r="J1438" s="29" t="s">
        <x:v>6650</x:v>
      </x:c>
    </x:row>
    <x:row r="1439" ht="10.050000190734863" customHeight="1">
      <x:c r="A1439" s="21" t="s">
        <x:v>6651</x:v>
      </x:c>
      <x:c r="B1439" s="20" t="s">
        <x:v>6651</x:v>
      </x:c>
      <x:c r="C1439" s="20" t="s">
        <x:v>6652</x:v>
      </x:c>
      <x:c r="D1439" s="24">
        <x:v>32</x:v>
      </x:c>
      <x:c r="E1439" s="24" t="s">
        <x:v>96</x:v>
      </x:c>
      <x:c r="F1439" s="20" t="s">
        <x:v>97</x:v>
      </x:c>
      <x:c r="G1439" s="26">
        <x:v>45138</x:v>
      </x:c>
      <x:c r="H1439" s="24" t="s">
        <x:v>6653</x:v>
      </x:c>
      <x:c r="I1439" s="28" t="s">
        <x:v>6654</x:v>
      </x:c>
      <x:c r="J1439" s="29" t="s">
        <x:v>6655</x:v>
      </x:c>
    </x:row>
    <x:row r="1440" ht="10.050000190734863" customHeight="1">
      <x:c r="A1440" s="21" t="s">
        <x:v>6656</x:v>
      </x:c>
      <x:c r="B1440" s="20" t="s">
        <x:v>6656</x:v>
      </x:c>
      <x:c r="C1440" s="20" t="s">
        <x:v>6657</x:v>
      </x:c>
      <x:c r="D1440" s="24">
        <x:v>4</x:v>
      </x:c>
      <x:c r="E1440" s="24" t="s">
        <x:v>103</x:v>
      </x:c>
      <x:c r="F1440" s="20" t="s">
        <x:v>97</x:v>
      </x:c>
      <x:c r="G1440" s="26">
        <x:v>42276</x:v>
      </x:c>
      <x:c r="H1440" s="24" t="s">
        <x:v>6658</x:v>
      </x:c>
      <x:c r="I1440" s="28" t="s">
        <x:v>6659</x:v>
      </x:c>
      <x:c r="J1440" s="29" t="s">
        <x:v>6660</x:v>
      </x:c>
    </x:row>
    <x:row r="1441" ht="10.050000190734863" customHeight="1">
      <x:c r="A1441" s="21" t="s">
        <x:v>34</x:v>
      </x:c>
      <x:c r="B1441" s="20" t="s">
        <x:v>34</x:v>
      </x:c>
      <x:c r="C1441" s="20" t="s">
        <x:v>6661</x:v>
      </x:c>
      <x:c r="D1441" s="24">
        <x:v>14</x:v>
      </x:c>
      <x:c r="E1441" s="24" t="s">
        <x:v>89</x:v>
      </x:c>
      <x:c r="F1441" s="20" t="s">
        <x:v>90</x:v>
      </x:c>
      <x:c r="G1441" s="26">
        <x:v>43214</x:v>
      </x:c>
      <x:c r="H1441" s="24" t="s">
        <x:v>6662</x:v>
      </x:c>
      <x:c r="I1441" s="28" t="s">
        <x:v>6663</x:v>
      </x:c>
      <x:c r="J1441" s="29" t="s">
        <x:v>6664</x:v>
      </x:c>
    </x:row>
    <x:row r="1442" ht="10.050000190734863" customHeight="1">
      <x:c r="A1442" s="21" t="s">
        <x:v>36</x:v>
      </x:c>
      <x:c r="B1442" s="20" t="s">
        <x:v>36</x:v>
      </x:c>
      <x:c r="C1442" s="20" t="s">
        <x:v>6661</x:v>
      </x:c>
      <x:c r="D1442" s="24">
        <x:v>22</x:v>
      </x:c>
      <x:c r="E1442" s="24" t="s">
        <x:v>96</x:v>
      </x:c>
      <x:c r="F1442" s="20" t="s">
        <x:v>90</x:v>
      </x:c>
      <x:c r="G1442" s="26">
        <x:v>43532</x:v>
      </x:c>
      <x:c r="H1442" s="24" t="s">
        <x:v>6665</x:v>
      </x:c>
      <x:c r="I1442" s="28" t="s">
        <x:v>6666</x:v>
      </x:c>
      <x:c r="J1442" s="29" t="s">
        <x:v>6667</x:v>
      </x:c>
    </x:row>
    <x:row r="1443" ht="10.050000190734863" customHeight="1">
      <x:c r="A1443" s="21" t="s">
        <x:v>6668</x:v>
      </x:c>
      <x:c r="B1443" s="20" t="s">
        <x:v>6668</x:v>
      </x:c>
      <x:c r="C1443" s="20" t="s">
        <x:v>6661</x:v>
      </x:c>
      <x:c r="D1443" s="24">
        <x:v>9</x:v>
      </x:c>
      <x:c r="E1443" s="24" t="s">
        <x:v>89</x:v>
      </x:c>
      <x:c r="F1443" s="20" t="s">
        <x:v>90</x:v>
      </x:c>
      <x:c r="G1443" s="26">
        <x:v>44599</x:v>
      </x:c>
      <x:c r="H1443" s="24" t="s">
        <x:v>6669</x:v>
      </x:c>
      <x:c r="I1443" s="28" t="s">
        <x:v>6670</x:v>
      </x:c>
      <x:c r="J1443" s="29" t="s">
        <x:v>6671</x:v>
      </x:c>
    </x:row>
    <x:row r="1444" ht="10.050000190734863" customHeight="1">
      <x:c r="A1444" s="21" t="s">
        <x:v>6672</x:v>
      </x:c>
      <x:c r="B1444" s="20" t="s">
        <x:v>6672</x:v>
      </x:c>
      <x:c r="C1444" s="20" t="s">
        <x:v>6673</x:v>
      </x:c>
      <x:c r="D1444" s="24">
        <x:v>20</x:v>
      </x:c>
      <x:c r="E1444" s="24" t="s">
        <x:v>103</x:v>
      </x:c>
      <x:c r="F1444" s="20" t="s">
        <x:v>97</x:v>
      </x:c>
      <x:c r="G1444" s="26">
        <x:v>45379</x:v>
      </x:c>
      <x:c r="H1444" s="24" t="s">
        <x:v>6674</x:v>
      </x:c>
      <x:c r="I1444" s="28" t="s">
        <x:v>6675</x:v>
      </x:c>
      <x:c r="J1444" s="29" t="s">
        <x:v>6676</x:v>
      </x:c>
    </x:row>
    <x:row r="1445" ht="10.050000190734863" customHeight="1">
      <x:c r="A1445" s="21" t="s">
        <x:v>6677</x:v>
      </x:c>
      <x:c r="B1445" s="20" t="s">
        <x:v>6677</x:v>
      </x:c>
      <x:c r="C1445" s="20" t="s">
        <x:v>6678</x:v>
      </x:c>
      <x:c r="D1445" s="24">
        <x:v>50</x:v>
      </x:c>
      <x:c r="E1445" s="24" t="s">
        <x:v>89</x:v>
      </x:c>
      <x:c r="F1445" s="20" t="s">
        <x:v>97</x:v>
      </x:c>
      <x:c r="G1445" s="26">
        <x:v>44334</x:v>
      </x:c>
      <x:c r="H1445" s="24" t="s">
        <x:v>6679</x:v>
      </x:c>
      <x:c r="I1445" s="28" t="s">
        <x:v>6680</x:v>
      </x:c>
      <x:c r="J1445" s="29" t="s">
        <x:v>6681</x:v>
      </x:c>
    </x:row>
    <x:row r="1446" ht="10.050000190734863" customHeight="1">
      <x:c r="A1446" s="21" t="s">
        <x:v>6682</x:v>
      </x:c>
      <x:c r="B1446" s="20" t="s">
        <x:v>6682</x:v>
      </x:c>
      <x:c r="C1446" s="20" t="s">
        <x:v>491</x:v>
      </x:c>
      <x:c r="D1446" s="24">
        <x:v>0</x:v>
      </x:c>
      <x:c r="E1446" s="24" t="s">
        <x:v>89</x:v>
      </x:c>
      <x:c r="F1446" s="20" t="s">
        <x:v>90</x:v>
      </x:c>
      <x:c r="G1446" s="26">
        <x:v>44894</x:v>
      </x:c>
      <x:c r="H1446" s="24" t="s">
        <x:v>6683</x:v>
      </x:c>
      <x:c r="I1446" s="28" t="s">
        <x:v>6684</x:v>
      </x:c>
      <x:c r="J1446" s="29" t="s">
        <x:v>6685</x:v>
      </x:c>
    </x:row>
    <x:row r="1447" ht="10.050000190734863" customHeight="1">
      <x:c r="A1447" s="21" t="s">
        <x:v>6686</x:v>
      </x:c>
      <x:c r="B1447" s="20" t="s">
        <x:v>6686</x:v>
      </x:c>
      <x:c r="C1447" s="20" t="s">
        <x:v>6687</x:v>
      </x:c>
      <x:c r="D1447" s="24">
        <x:v>13</x:v>
      </x:c>
      <x:c r="E1447" s="24" t="s">
        <x:v>103</x:v>
      </x:c>
      <x:c r="F1447" s="20" t="s">
        <x:v>97</x:v>
      </x:c>
      <x:c r="G1447" s="26">
        <x:v>42293</x:v>
      </x:c>
      <x:c r="H1447" s="24" t="s">
        <x:v>6688</x:v>
      </x:c>
      <x:c r="I1447" s="28" t="s">
        <x:v>6689</x:v>
      </x:c>
      <x:c r="J1447" s="29" t="s">
        <x:v>6690</x:v>
      </x:c>
    </x:row>
    <x:row r="1448" ht="10.050000190734863" customHeight="1">
      <x:c r="A1448" s="21" t="s">
        <x:v>6691</x:v>
      </x:c>
      <x:c r="B1448" s="20" t="s">
        <x:v>6691</x:v>
      </x:c>
      <x:c r="C1448" s="20" t="s">
        <x:v>6692</x:v>
      </x:c>
      <x:c r="D1448" s="24">
        <x:v>85</x:v>
      </x:c>
      <x:c r="E1448" s="24" t="s">
        <x:v>125</x:v>
      </x:c>
      <x:c r="F1448" s="20" t="s">
        <x:v>152</x:v>
      </x:c>
      <x:c r="G1448" s="26">
        <x:v>44722</x:v>
      </x:c>
      <x:c r="H1448" s="24" t="s">
        <x:v>6693</x:v>
      </x:c>
      <x:c r="I1448" s="28" t="s">
        <x:v>6694</x:v>
      </x:c>
      <x:c r="J1448" s="29" t="s">
        <x:v>6695</x:v>
      </x:c>
    </x:row>
    <x:row r="1449" ht="10.050000190734863" customHeight="1">
      <x:c r="A1449" s="21" t="s">
        <x:v>6696</x:v>
      </x:c>
      <x:c r="B1449" s="20" t="s">
        <x:v>6696</x:v>
      </x:c>
      <x:c r="C1449" s="20" t="s">
        <x:v>5777</x:v>
      </x:c>
      <x:c r="D1449" s="24">
        <x:v>8</x:v>
      </x:c>
      <x:c r="E1449" s="24" t="s">
        <x:v>103</x:v>
      </x:c>
      <x:c r="F1449" s="20" t="s">
        <x:v>97</x:v>
      </x:c>
      <x:c r="G1449" s="26">
        <x:v>42104</x:v>
      </x:c>
      <x:c r="H1449" s="24" t="s">
        <x:v>6697</x:v>
      </x:c>
      <x:c r="I1449" s="28" t="s">
        <x:v>6698</x:v>
      </x:c>
      <x:c r="J1449" s="29" t="s">
        <x:v>6699</x:v>
      </x:c>
    </x:row>
    <x:row r="1450" ht="10.050000190734863" customHeight="1">
      <x:c r="A1450" s="21" t="s">
        <x:v>6700</x:v>
      </x:c>
      <x:c r="B1450" s="20" t="s">
        <x:v>6700</x:v>
      </x:c>
      <x:c r="C1450" s="20" t="s">
        <x:v>6701</x:v>
      </x:c>
      <x:c r="D1450" s="24">
        <x:v>5</x:v>
      </x:c>
      <x:c r="E1450" s="24" t="s">
        <x:v>114</x:v>
      </x:c>
      <x:c r="F1450" s="20" t="s">
        <x:v>97</x:v>
      </x:c>
      <x:c r="G1450" s="26">
        <x:v>45450</x:v>
      </x:c>
      <x:c r="H1450" s="24" t="s">
        <x:v>6702</x:v>
      </x:c>
      <x:c r="I1450" s="28" t="s">
        <x:v>6703</x:v>
      </x:c>
      <x:c r="J1450" s="29" t="s">
        <x:v>6704</x:v>
      </x:c>
    </x:row>
    <x:row r="1451" ht="10.050000190734863" customHeight="1">
      <x:c r="A1451" s="21" t="s">
        <x:v>6705</x:v>
      </x:c>
      <x:c r="B1451" s="20" t="s">
        <x:v>6705</x:v>
      </x:c>
      <x:c r="C1451" s="20" t="s">
        <x:v>5920</x:v>
      </x:c>
      <x:c r="D1451" s="24">
        <x:v>12</x:v>
      </x:c>
      <x:c r="E1451" s="24" t="s">
        <x:v>114</x:v>
      </x:c>
      <x:c r="F1451" s="20" t="s">
        <x:v>90</x:v>
      </x:c>
      <x:c r="G1451" s="26">
        <x:v>45219</x:v>
      </x:c>
      <x:c r="H1451" s="24" t="s">
        <x:v>6706</x:v>
      </x:c>
      <x:c r="I1451" s="28" t="s">
        <x:v>6707</x:v>
      </x:c>
      <x:c r="J1451" s="29" t="s">
        <x:v>6708</x:v>
      </x:c>
    </x:row>
    <x:row r="1452" ht="10.050000190734863" customHeight="1">
      <x:c r="A1452" s="21" t="s">
        <x:v>6709</x:v>
      </x:c>
      <x:c r="B1452" s="20" t="s">
        <x:v>6709</x:v>
      </x:c>
      <x:c r="C1452" s="20" t="s">
        <x:v>6710</x:v>
      </x:c>
      <x:c r="D1452" s="24">
        <x:v>10</x:v>
      </x:c>
      <x:c r="E1452" s="24" t="s">
        <x:v>198</x:v>
      </x:c>
      <x:c r="F1452" s="20" t="s">
        <x:v>90</x:v>
      </x:c>
      <x:c r="G1452" s="26">
        <x:v>45092</x:v>
      </x:c>
      <x:c r="H1452" s="24" t="s">
        <x:v>6711</x:v>
      </x:c>
      <x:c r="I1452" s="28" t="s">
        <x:v>6712</x:v>
      </x:c>
      <x:c r="J1452" s="29" t="s">
        <x:v>6713</x:v>
      </x:c>
    </x:row>
    <x:row r="1453" ht="10.050000190734863" customHeight="1">
      <x:c r="A1453" s="21" t="s">
        <x:v>6714</x:v>
      </x:c>
      <x:c r="B1453" s="20" t="s">
        <x:v>6714</x:v>
      </x:c>
      <x:c r="C1453" s="20" t="s">
        <x:v>6715</x:v>
      </x:c>
      <x:c r="D1453" s="24">
        <x:v>14</x:v>
      </x:c>
      <x:c r="E1453" s="24" t="s">
        <x:v>125</x:v>
      </x:c>
      <x:c r="F1453" s="20" t="s">
        <x:v>152</x:v>
      </x:c>
      <x:c r="G1453" s="26">
        <x:v>46099</x:v>
      </x:c>
      <x:c r="H1453" s="24" t="s">
        <x:v>6716</x:v>
      </x:c>
      <x:c r="I1453" s="28" t="s">
        <x:v>6717</x:v>
      </x:c>
      <x:c r="J1453" s="29" t="s">
        <x:v>6718</x:v>
      </x:c>
    </x:row>
    <x:row r="1454" ht="10.050000190734863" customHeight="1">
      <x:c r="A1454" s="21" t="s">
        <x:v>6719</x:v>
      </x:c>
      <x:c r="B1454" s="20" t="s">
        <x:v>6719</x:v>
      </x:c>
      <x:c r="C1454" s="20" t="s">
        <x:v>1995</x:v>
      </x:c>
      <x:c r="D1454" s="24">
        <x:v>7</x:v>
      </x:c>
      <x:c r="E1454" s="24" t="s">
        <x:v>114</x:v>
      </x:c>
      <x:c r="F1454" s="20" t="s">
        <x:v>90</x:v>
      </x:c>
      <x:c r="G1454" s="26">
        <x:v>45279</x:v>
      </x:c>
      <x:c r="H1454" s="24" t="s">
        <x:v>6720</x:v>
      </x:c>
      <x:c r="I1454" s="28" t="s">
        <x:v>6721</x:v>
      </x:c>
      <x:c r="J1454" s="29" t="s">
        <x:v>6722</x:v>
      </x:c>
    </x:row>
    <x:row r="1455" ht="10.050000190734863" customHeight="1">
      <x:c r="A1455" s="21" t="s">
        <x:v>6723</x:v>
      </x:c>
      <x:c r="B1455" s="20" t="s">
        <x:v>6723</x:v>
      </x:c>
      <x:c r="C1455" s="20" t="s">
        <x:v>2557</x:v>
      </x:c>
      <x:c r="D1455" s="24">
        <x:v>29</x:v>
      </x:c>
      <x:c r="E1455" s="24" t="s">
        <x:v>198</x:v>
      </x:c>
      <x:c r="F1455" s="20" t="s">
        <x:v>90</x:v>
      </x:c>
      <x:c r="G1455" s="26">
        <x:v>45348</x:v>
      </x:c>
      <x:c r="H1455" s="24" t="s">
        <x:v>6724</x:v>
      </x:c>
      <x:c r="I1455" s="28" t="s">
        <x:v>6725</x:v>
      </x:c>
      <x:c r="J1455" s="29" t="s">
        <x:v>6726</x:v>
      </x:c>
    </x:row>
    <x:row r="1456" ht="10.050000190734863" customHeight="1">
      <x:c r="A1456" s="21" t="s">
        <x:v>6727</x:v>
      </x:c>
      <x:c r="B1456" s="20" t="s">
        <x:v>6727</x:v>
      </x:c>
      <x:c r="C1456" s="20" t="s">
        <x:v>2557</x:v>
      </x:c>
      <x:c r="D1456" s="24">
        <x:v>20</x:v>
      </x:c>
      <x:c r="E1456" s="24" t="s">
        <x:v>198</x:v>
      </x:c>
      <x:c r="F1456" s="20" t="s">
        <x:v>90</x:v>
      </x:c>
      <x:c r="G1456" s="26">
        <x:v>45007</x:v>
      </x:c>
      <x:c r="H1456" s="24" t="s">
        <x:v>6728</x:v>
      </x:c>
      <x:c r="I1456" s="28" t="s">
        <x:v>6729</x:v>
      </x:c>
      <x:c r="J1456" s="29" t="s">
        <x:v>6730</x:v>
      </x:c>
    </x:row>
    <x:row r="1457" ht="10.050000190734863" customHeight="1">
      <x:c r="A1457" s="21" t="s">
        <x:v>6731</x:v>
      </x:c>
      <x:c r="B1457" s="20" t="s">
        <x:v>6731</x:v>
      </x:c>
      <x:c r="C1457" s="20" t="s">
        <x:v>2557</x:v>
      </x:c>
      <x:c r="D1457" s="24">
        <x:v>17</x:v>
      </x:c>
      <x:c r="E1457" s="24" t="s">
        <x:v>198</x:v>
      </x:c>
      <x:c r="F1457" s="20" t="s">
        <x:v>90</x:v>
      </x:c>
      <x:c r="G1457" s="26">
        <x:v>45152</x:v>
      </x:c>
      <x:c r="H1457" s="24" t="s">
        <x:v>6732</x:v>
      </x:c>
      <x:c r="I1457" s="28" t="s">
        <x:v>6733</x:v>
      </x:c>
      <x:c r="J1457" s="29" t="s">
        <x:v>6734</x:v>
      </x:c>
    </x:row>
    <x:row r="1458" ht="10.050000190734863" customHeight="1">
      <x:c r="A1458" s="21" t="s">
        <x:v>6735</x:v>
      </x:c>
      <x:c r="B1458" s="20" t="s">
        <x:v>6735</x:v>
      </x:c>
      <x:c r="C1458" s="20" t="s">
        <x:v>6736</x:v>
      </x:c>
      <x:c r="D1458" s="24">
        <x:v>4</x:v>
      </x:c>
      <x:c r="E1458" s="24" t="s">
        <x:v>103</x:v>
      </x:c>
      <x:c r="F1458" s="20" t="s">
        <x:v>97</x:v>
      </x:c>
      <x:c r="G1458" s="26">
        <x:v>42333</x:v>
      </x:c>
      <x:c r="H1458" s="24" t="s">
        <x:v>6737</x:v>
      </x:c>
      <x:c r="I1458" s="28" t="s">
        <x:v>6738</x:v>
      </x:c>
      <x:c r="J1458" s="29" t="s">
        <x:v>6739</x:v>
      </x:c>
    </x:row>
    <x:row r="1459" ht="10.050000190734863" customHeight="1">
      <x:c r="A1459" s="21" t="s">
        <x:v>6740</x:v>
      </x:c>
      <x:c r="B1459" s="20" t="s">
        <x:v>6740</x:v>
      </x:c>
      <x:c r="C1459" s="20" t="s">
        <x:v>4542</x:v>
      </x:c>
      <x:c r="D1459" s="24">
        <x:v>1</x:v>
      </x:c>
      <x:c r="E1459" s="24" t="s">
        <x:v>96</x:v>
      </x:c>
      <x:c r="F1459" s="20" t="s">
        <x:v>97</x:v>
      </x:c>
      <x:c r="G1459" s="26">
        <x:v>45291</x:v>
      </x:c>
      <x:c r="H1459" s="24" t="s">
        <x:v>6741</x:v>
      </x:c>
      <x:c r="I1459" s="28" t="s">
        <x:v>6742</x:v>
      </x:c>
      <x:c r="J1459" s="29" t="s">
        <x:v>6743</x:v>
      </x:c>
    </x:row>
    <x:row r="1460" ht="10.050000190734863" customHeight="1">
      <x:c r="A1460" s="21" t="s">
        <x:v>6744</x:v>
      </x:c>
      <x:c r="B1460" s="20" t="s">
        <x:v>6744</x:v>
      </x:c>
      <x:c r="C1460" s="20" t="s">
        <x:v>6745</x:v>
      </x:c>
      <x:c r="D1460" s="24">
        <x:v>1</x:v>
      </x:c>
      <x:c r="E1460" s="24" t="s">
        <x:v>96</x:v>
      </x:c>
      <x:c r="F1460" s="20" t="s">
        <x:v>97</x:v>
      </x:c>
      <x:c r="G1460" s="26">
        <x:v>42057</x:v>
      </x:c>
      <x:c r="H1460" s="24" t="s">
        <x:v>6746</x:v>
      </x:c>
      <x:c r="I1460" s="28" t="s">
        <x:v>6747</x:v>
      </x:c>
      <x:c r="J1460" s="29" t="s">
        <x:v>6748</x:v>
      </x:c>
    </x:row>
    <x:row r="1461" ht="10.050000190734863" customHeight="1">
      <x:c r="A1461" s="21" t="s">
        <x:v>6749</x:v>
      </x:c>
      <x:c r="B1461" s="20" t="s">
        <x:v>6749</x:v>
      </x:c>
      <x:c r="C1461" s="20" t="s">
        <x:v>466</x:v>
      </x:c>
      <x:c r="D1461" s="24">
        <x:v>1</x:v>
      </x:c>
      <x:c r="E1461" s="24" t="s">
        <x:v>114</x:v>
      </x:c>
      <x:c r="F1461" s="20" t="s">
        <x:v>90</x:v>
      </x:c>
      <x:c r="G1461" s="26">
        <x:v>44317</x:v>
      </x:c>
      <x:c r="H1461" s="24" t="s">
        <x:v>6750</x:v>
      </x:c>
      <x:c r="I1461" s="28" t="s">
        <x:v>6751</x:v>
      </x:c>
      <x:c r="J1461" s="29" t="s">
        <x:v>6752</x:v>
      </x:c>
    </x:row>
    <x:row r="1462" ht="10.050000190734863" customHeight="1">
      <x:c r="A1462" s="21" t="s">
        <x:v>6753</x:v>
      </x:c>
      <x:c r="B1462" s="20" t="s">
        <x:v>6753</x:v>
      </x:c>
      <x:c r="C1462" s="20" t="s">
        <x:v>6754</x:v>
      </x:c>
      <x:c r="D1462" s="24">
        <x:v>12</x:v>
      </x:c>
      <x:c r="E1462" s="24" t="s">
        <x:v>198</x:v>
      </x:c>
      <x:c r="F1462" s="20" t="s">
        <x:v>90</x:v>
      </x:c>
      <x:c r="G1462" s="26">
        <x:v>45532</x:v>
      </x:c>
      <x:c r="H1462" s="24" t="s">
        <x:v>6755</x:v>
      </x:c>
      <x:c r="I1462" s="28" t="s">
        <x:v>6756</x:v>
      </x:c>
      <x:c r="J1462" s="29" t="s">
        <x:v>6757</x:v>
      </x:c>
    </x:row>
    <x:row r="1463" ht="10.050000190734863" customHeight="1">
      <x:c r="A1463" s="21" t="s">
        <x:v>6758</x:v>
      </x:c>
      <x:c r="B1463" s="20" t="s">
        <x:v>6758</x:v>
      </x:c>
      <x:c r="C1463" s="20" t="s">
        <x:v>3322</x:v>
      </x:c>
      <x:c r="D1463" s="24">
        <x:v>10</x:v>
      </x:c>
      <x:c r="E1463" s="24" t="s">
        <x:v>103</x:v>
      </x:c>
      <x:c r="F1463" s="20" t="s">
        <x:v>97</x:v>
      </x:c>
      <x:c r="G1463" s="26">
        <x:v>42010</x:v>
      </x:c>
      <x:c r="H1463" s="24" t="s">
        <x:v>6759</x:v>
      </x:c>
      <x:c r="I1463" s="28" t="s">
        <x:v>6760</x:v>
      </x:c>
      <x:c r="J1463" s="29" t="s">
        <x:v>6761</x:v>
      </x:c>
    </x:row>
    <x:row r="1464" ht="10.050000190734863" customHeight="1">
      <x:c r="A1464" s="21" t="s">
        <x:v>6762</x:v>
      </x:c>
      <x:c r="B1464" s="20" t="s">
        <x:v>6762</x:v>
      </x:c>
      <x:c r="C1464" s="20" t="s">
        <x:v>2396</x:v>
      </x:c>
      <x:c r="D1464" s="24">
        <x:v>11</x:v>
      </x:c>
      <x:c r="E1464" s="24" t="s">
        <x:v>198</x:v>
      </x:c>
      <x:c r="F1464" s="20" t="s">
        <x:v>90</x:v>
      </x:c>
      <x:c r="G1464" s="26">
        <x:v>45993</x:v>
      </x:c>
      <x:c r="H1464" s="24" t="s">
        <x:v>6763</x:v>
      </x:c>
      <x:c r="I1464" s="28" t="s">
        <x:v>6764</x:v>
      </x:c>
      <x:c r="J1464" s="29" t="s">
        <x:v>6765</x:v>
      </x:c>
    </x:row>
    <x:row r="1465" ht="10.050000190734863" customHeight="1">
      <x:c r="A1465" s="21" t="s">
        <x:v>6766</x:v>
      </x:c>
      <x:c r="B1465" s="20" t="s">
        <x:v>6766</x:v>
      </x:c>
      <x:c r="C1465" s="20" t="s">
        <x:v>6767</x:v>
      </x:c>
      <x:c r="D1465" s="24">
        <x:v>80</x:v>
      </x:c>
      <x:c r="E1465" s="24" t="s">
        <x:v>103</x:v>
      </x:c>
      <x:c r="F1465" s="20" t="s">
        <x:v>97</x:v>
      </x:c>
      <x:c r="G1465" s="26">
        <x:v>42217</x:v>
      </x:c>
      <x:c r="H1465" s="24" t="s">
        <x:v>6768</x:v>
      </x:c>
      <x:c r="I1465" s="28" t="s">
        <x:v>6769</x:v>
      </x:c>
      <x:c r="J1465" s="29" t="s">
        <x:v>6770</x:v>
      </x:c>
    </x:row>
    <x:row r="1466" ht="10.050000190734863" customHeight="1">
      <x:c r="A1466" s="21" t="s">
        <x:v>6771</x:v>
      </x:c>
      <x:c r="B1466" s="20" t="s">
        <x:v>6771</x:v>
      </x:c>
      <x:c r="C1466" s="20" t="s">
        <x:v>6772</x:v>
      </x:c>
      <x:c r="D1466" s="24">
        <x:v>5</x:v>
      </x:c>
      <x:c r="E1466" s="24" t="s">
        <x:v>257</x:v>
      </x:c>
      <x:c r="F1466" s="20" t="s">
        <x:v>97</x:v>
      </x:c>
      <x:c r="G1466" s="26">
        <x:v>42280</x:v>
      </x:c>
      <x:c r="H1466" s="24" t="s">
        <x:v>6773</x:v>
      </x:c>
      <x:c r="I1466" s="28" t="s">
        <x:v>6774</x:v>
      </x:c>
      <x:c r="J1466" s="29" t="s">
        <x:v>6775</x:v>
      </x:c>
    </x:row>
    <x:row r="1467" ht="10.050000190734863" customHeight="1">
      <x:c r="A1467" s="21" t="s">
        <x:v>6776</x:v>
      </x:c>
      <x:c r="B1467" s="20" t="s">
        <x:v>6776</x:v>
      </x:c>
      <x:c r="C1467" s="20" t="s">
        <x:v>6777</x:v>
      </x:c>
      <x:c r="D1467" s="24">
        <x:v>32</x:v>
      </x:c>
      <x:c r="E1467" s="24" t="s">
        <x:v>257</x:v>
      </x:c>
      <x:c r="F1467" s="20" t="s">
        <x:v>97</x:v>
      </x:c>
      <x:c r="G1467" s="26">
        <x:v>42384</x:v>
      </x:c>
      <x:c r="H1467" s="24" t="s">
        <x:v>6778</x:v>
      </x:c>
      <x:c r="I1467" s="28" t="s">
        <x:v>6779</x:v>
      </x:c>
      <x:c r="J1467" s="29" t="s">
        <x:v>6780</x:v>
      </x:c>
    </x:row>
    <x:row r="1468" ht="10.050000190734863" customHeight="1">
      <x:c r="A1468" s="21" t="s">
        <x:v>6781</x:v>
      </x:c>
      <x:c r="B1468" s="20" t="s">
        <x:v>6781</x:v>
      </x:c>
      <x:c r="C1468" s="20" t="s">
        <x:v>6782</x:v>
      </x:c>
      <x:c r="D1468" s="24">
        <x:v>10</x:v>
      </x:c>
      <x:c r="E1468" s="24" t="s">
        <x:v>89</x:v>
      </x:c>
      <x:c r="F1468" s="20" t="s">
        <x:v>90</x:v>
      </x:c>
      <x:c r="G1468" s="26">
        <x:v>45572</x:v>
      </x:c>
      <x:c r="H1468" s="24" t="s">
        <x:v>6783</x:v>
      </x:c>
      <x:c r="I1468" s="28" t="s">
        <x:v>6784</x:v>
      </x:c>
      <x:c r="J1468" s="29" t="s">
        <x:v>6785</x:v>
      </x:c>
    </x:row>
    <x:row r="1469" ht="10.050000190734863" customHeight="1">
      <x:c r="A1469" s="21" t="s">
        <x:v>6786</x:v>
      </x:c>
      <x:c r="B1469" s="20" t="s">
        <x:v>6786</x:v>
      </x:c>
      <x:c r="C1469" s="20" t="s">
        <x:v>533</x:v>
      </x:c>
      <x:c r="D1469" s="24">
        <x:v>0</x:v>
      </x:c>
      <x:c r="E1469" s="24" t="s">
        <x:v>198</x:v>
      </x:c>
      <x:c r="F1469" s="20" t="s">
        <x:v>90</x:v>
      </x:c>
      <x:c r="G1469" s="26">
        <x:v>45198</x:v>
      </x:c>
      <x:c r="H1469" s="24" t="s">
        <x:v>6787</x:v>
      </x:c>
      <x:c r="I1469" s="28" t="s">
        <x:v>6788</x:v>
      </x:c>
      <x:c r="J1469" s="29" t="s">
        <x:v>6789</x:v>
      </x:c>
    </x:row>
    <x:row r="1470" ht="10.050000190734863" customHeight="1">
      <x:c r="A1470" s="21" t="s">
        <x:v>6790</x:v>
      </x:c>
      <x:c r="B1470" s="20" t="s">
        <x:v>6790</x:v>
      </x:c>
      <x:c r="C1470" s="20" t="s">
        <x:v>1723</x:v>
      </x:c>
      <x:c r="D1470" s="24">
        <x:v>5</x:v>
      </x:c>
      <x:c r="E1470" s="24" t="s">
        <x:v>257</x:v>
      </x:c>
      <x:c r="F1470" s="20" t="s">
        <x:v>97</x:v>
      </x:c>
      <x:c r="G1470" s="26">
        <x:v>42565</x:v>
      </x:c>
      <x:c r="H1470" s="24" t="s">
        <x:v>6791</x:v>
      </x:c>
      <x:c r="I1470" s="28" t="s">
        <x:v>6792</x:v>
      </x:c>
      <x:c r="J1470" s="29" t="s">
        <x:v>6793</x:v>
      </x:c>
    </x:row>
    <x:row r="1471" ht="10.050000190734863" customHeight="1">
      <x:c r="A1471" s="21" t="s">
        <x:v>6794</x:v>
      </x:c>
      <x:c r="B1471" s="20" t="s">
        <x:v>6794</x:v>
      </x:c>
      <x:c r="C1471" s="20" t="s">
        <x:v>4646</x:v>
      </x:c>
      <x:c r="D1471" s="24">
        <x:v>28</x:v>
      </x:c>
      <x:c r="E1471" s="24" t="s">
        <x:v>96</x:v>
      </x:c>
      <x:c r="F1471" s="20" t="s">
        <x:v>97</x:v>
      </x:c>
      <x:c r="G1471" s="26">
        <x:v>42614</x:v>
      </x:c>
      <x:c r="H1471" s="24" t="s">
        <x:v>6795</x:v>
      </x:c>
      <x:c r="I1471" s="28" t="s">
        <x:v>6796</x:v>
      </x:c>
      <x:c r="J1471" s="29" t="s">
        <x:v>6797</x:v>
      </x:c>
    </x:row>
    <x:row r="1472" ht="10.050000190734863" customHeight="1">
      <x:c r="A1472" s="21" t="s">
        <x:v>6798</x:v>
      </x:c>
      <x:c r="B1472" s="20" t="s">
        <x:v>6798</x:v>
      </x:c>
      <x:c r="C1472" s="20" t="s">
        <x:v>102</x:v>
      </x:c>
      <x:c r="D1472" s="24">
        <x:v>33</x:v>
      </x:c>
      <x:c r="E1472" s="24" t="s">
        <x:v>96</x:v>
      </x:c>
      <x:c r="F1472" s="20" t="s">
        <x:v>97</x:v>
      </x:c>
      <x:c r="G1472" s="26">
        <x:v>43896</x:v>
      </x:c>
      <x:c r="H1472" s="24" t="s">
        <x:v>6799</x:v>
      </x:c>
      <x:c r="I1472" s="28" t="s">
        <x:v>6800</x:v>
      </x:c>
      <x:c r="J1472" s="29" t="s">
        <x:v>6801</x:v>
      </x:c>
    </x:row>
    <x:row r="1473" ht="10.050000190734863" customHeight="1">
      <x:c r="A1473" s="21" t="s">
        <x:v>6802</x:v>
      </x:c>
      <x:c r="B1473" s="20" t="s">
        <x:v>6802</x:v>
      </x:c>
      <x:c r="C1473" s="20" t="s">
        <x:v>5454</x:v>
      </x:c>
      <x:c r="D1473" s="24">
        <x:v>9</x:v>
      </x:c>
      <x:c r="E1473" s="24" t="s">
        <x:v>257</x:v>
      </x:c>
      <x:c r="F1473" s="20" t="s">
        <x:v>97</x:v>
      </x:c>
      <x:c r="G1473" s="26">
        <x:v>41501</x:v>
      </x:c>
      <x:c r="H1473" s="24" t="s">
        <x:v>6803</x:v>
      </x:c>
      <x:c r="I1473" s="28" t="s">
        <x:v>6804</x:v>
      </x:c>
      <x:c r="J1473" s="29" t="s">
        <x:v>6805</x:v>
      </x:c>
    </x:row>
    <x:row r="1474" ht="10.050000190734863" customHeight="1">
      <x:c r="A1474" s="21" t="s">
        <x:v>6806</x:v>
      </x:c>
      <x:c r="B1474" s="20" t="s">
        <x:v>6806</x:v>
      </x:c>
      <x:c r="C1474" s="20" t="s">
        <x:v>6807</x:v>
      </x:c>
      <x:c r="D1474" s="24">
        <x:v>4</x:v>
      </x:c>
      <x:c r="E1474" s="24" t="s">
        <x:v>89</x:v>
      </x:c>
      <x:c r="F1474" s="20" t="s">
        <x:v>97</x:v>
      </x:c>
      <x:c r="G1474" s="26">
        <x:v>45702</x:v>
      </x:c>
      <x:c r="H1474" s="24" t="s">
        <x:v>6808</x:v>
      </x:c>
      <x:c r="I1474" s="28" t="s">
        <x:v>6809</x:v>
      </x:c>
      <x:c r="J1474" s="29" t="s">
        <x:v>6810</x:v>
      </x:c>
    </x:row>
    <x:row r="1475" ht="10.050000190734863" customHeight="1">
      <x:c r="A1475" s="21" t="s">
        <x:v>6811</x:v>
      </x:c>
      <x:c r="B1475" s="20" t="s">
        <x:v>6811</x:v>
      </x:c>
      <x:c r="C1475" s="20" t="s">
        <x:v>6812</x:v>
      </x:c>
      <x:c r="D1475" s="24">
        <x:v>2</x:v>
      </x:c>
      <x:c r="E1475" s="24" t="s">
        <x:v>103</x:v>
      </x:c>
      <x:c r="F1475" s="20" t="s">
        <x:v>2469</x:v>
      </x:c>
      <x:c r="G1475" s="26">
        <x:v>46005</x:v>
      </x:c>
      <x:c r="H1475" s="24" t="s">
        <x:v>6813</x:v>
      </x:c>
      <x:c r="I1475" s="28" t="s">
        <x:v>6814</x:v>
      </x:c>
      <x:c r="J1475" s="29" t="s">
        <x:v>6815</x:v>
      </x:c>
    </x:row>
    <x:row r="1476" ht="10.050000190734863" customHeight="1">
      <x:c r="A1476" s="21" t="s">
        <x:v>6816</x:v>
      </x:c>
      <x:c r="B1476" s="20" t="s">
        <x:v>6816</x:v>
      </x:c>
      <x:c r="C1476" s="20" t="s">
        <x:v>6817</x:v>
      </x:c>
      <x:c r="D1476" s="24">
        <x:v>32</x:v>
      </x:c>
      <x:c r="E1476" s="24" t="s">
        <x:v>114</x:v>
      </x:c>
      <x:c r="F1476" s="20" t="s">
        <x:v>90</x:v>
      </x:c>
      <x:c r="G1476" s="26">
        <x:v>44226</x:v>
      </x:c>
      <x:c r="H1476" s="24" t="s">
        <x:v>6818</x:v>
      </x:c>
      <x:c r="I1476" s="28" t="s">
        <x:v>6819</x:v>
      </x:c>
      <x:c r="J1476" s="29" t="s">
        <x:v>6820</x:v>
      </x:c>
    </x:row>
    <x:row r="1477" ht="10.050000190734863" customHeight="1">
      <x:c r="A1477" s="21" t="s">
        <x:v>6821</x:v>
      </x:c>
      <x:c r="B1477" s="20" t="s">
        <x:v>6821</x:v>
      </x:c>
      <x:c r="C1477" s="20" t="s">
        <x:v>703</x:v>
      </x:c>
      <x:c r="D1477" s="24">
        <x:v>12</x:v>
      </x:c>
      <x:c r="E1477" s="24" t="s">
        <x:v>114</x:v>
      </x:c>
      <x:c r="F1477" s="20" t="s">
        <x:v>90</x:v>
      </x:c>
      <x:c r="G1477" s="26">
        <x:v>44859</x:v>
      </x:c>
      <x:c r="H1477" s="24" t="s">
        <x:v>6822</x:v>
      </x:c>
      <x:c r="I1477" s="28" t="s">
        <x:v>6823</x:v>
      </x:c>
      <x:c r="J1477" s="29" t="s">
        <x:v>6824</x:v>
      </x:c>
    </x:row>
    <x:row r="1478" ht="10.050000190734863" customHeight="1">
      <x:c r="A1478" s="21" t="s">
        <x:v>6825</x:v>
      </x:c>
      <x:c r="B1478" s="20" t="s">
        <x:v>6825</x:v>
      </x:c>
      <x:c r="C1478" s="20" t="s">
        <x:v>2656</x:v>
      </x:c>
      <x:c r="D1478" s="24">
        <x:v>2</x:v>
      </x:c>
      <x:c r="E1478" s="24" t="s">
        <x:v>96</x:v>
      </x:c>
      <x:c r="F1478" s="20" t="s">
        <x:v>610</x:v>
      </x:c>
      <x:c r="G1478" s="26">
        <x:v>44802</x:v>
      </x:c>
      <x:c r="H1478" s="24" t="s">
        <x:v>6826</x:v>
      </x:c>
      <x:c r="I1478" s="28" t="s">
        <x:v>6827</x:v>
      </x:c>
      <x:c r="J1478" s="29" t="s">
        <x:v>6828</x:v>
      </x:c>
    </x:row>
    <x:row r="1479" ht="10.050000190734863" customHeight="1">
      <x:c r="A1479" s="21" t="s">
        <x:v>6829</x:v>
      </x:c>
      <x:c r="B1479" s="20" t="s">
        <x:v>6829</x:v>
      </x:c>
      <x:c r="C1479" s="20" t="s">
        <x:v>6830</x:v>
      </x:c>
      <x:c r="D1479" s="24">
        <x:v>53</x:v>
      </x:c>
      <x:c r="E1479" s="24" t="s">
        <x:v>96</x:v>
      </x:c>
      <x:c r="F1479" s="20" t="s">
        <x:v>97</x:v>
      </x:c>
      <x:c r="G1479" s="26">
        <x:v>41870</x:v>
      </x:c>
      <x:c r="H1479" s="24" t="s">
        <x:v>6831</x:v>
      </x:c>
      <x:c r="I1479" s="28" t="s">
        <x:v>6832</x:v>
      </x:c>
      <x:c r="J1479" s="29" t="s">
        <x:v>6833</x:v>
      </x:c>
    </x:row>
    <x:row r="1480" ht="10.050000190734863" customHeight="1">
      <x:c r="A1480" s="21" t="s">
        <x:v>6834</x:v>
      </x:c>
      <x:c r="B1480" s="20" t="s">
        <x:v>6834</x:v>
      </x:c>
      <x:c r="C1480" s="20" t="s">
        <x:v>6835</x:v>
      </x:c>
      <x:c r="D1480" s="24">
        <x:v>18</x:v>
      </x:c>
      <x:c r="E1480" s="24" t="s">
        <x:v>89</x:v>
      </x:c>
      <x:c r="F1480" s="20" t="s">
        <x:v>90</x:v>
      </x:c>
      <x:c r="G1480" s="26">
        <x:v>43921</x:v>
      </x:c>
      <x:c r="H1480" s="24" t="s">
        <x:v>6836</x:v>
      </x:c>
      <x:c r="I1480" s="28" t="s">
        <x:v>6837</x:v>
      </x:c>
      <x:c r="J1480" s="29" t="s">
        <x:v>6838</x:v>
      </x:c>
    </x:row>
    <x:row r="1481" ht="10.050000190734863" customHeight="1">
      <x:c r="A1481" s="21" t="s">
        <x:v>6839</x:v>
      </x:c>
      <x:c r="B1481" s="20" t="s">
        <x:v>6839</x:v>
      </x:c>
      <x:c r="C1481" s="20" t="s">
        <x:v>1646</x:v>
      </x:c>
      <x:c r="D1481" s="24">
        <x:v>5</x:v>
      </x:c>
      <x:c r="E1481" s="24" t="s">
        <x:v>96</x:v>
      </x:c>
      <x:c r="F1481" s="20" t="s">
        <x:v>90</x:v>
      </x:c>
      <x:c r="G1481" s="26">
        <x:v>44821</x:v>
      </x:c>
      <x:c r="H1481" s="24" t="s">
        <x:v>6840</x:v>
      </x:c>
      <x:c r="I1481" s="28" t="s">
        <x:v>6841</x:v>
      </x:c>
      <x:c r="J1481" s="29" t="s">
        <x:v>6842</x:v>
      </x:c>
    </x:row>
    <x:row r="1482" ht="10.050000190734863" customHeight="1">
      <x:c r="A1482" s="21" t="s">
        <x:v>6843</x:v>
      </x:c>
      <x:c r="B1482" s="20" t="s">
        <x:v>6843</x:v>
      </x:c>
      <x:c r="C1482" s="20" t="s">
        <x:v>6844</x:v>
      </x:c>
      <x:c r="D1482" s="24">
        <x:v>84</x:v>
      </x:c>
      <x:c r="E1482" s="24" t="s">
        <x:v>103</x:v>
      </x:c>
      <x:c r="F1482" s="20" t="s">
        <x:v>97</x:v>
      </x:c>
      <x:c r="G1482" s="26">
        <x:v>42221</x:v>
      </x:c>
      <x:c r="H1482" s="24" t="s">
        <x:v>6845</x:v>
      </x:c>
      <x:c r="I1482" s="28" t="s">
        <x:v>6846</x:v>
      </x:c>
      <x:c r="J1482" s="29" t="s">
        <x:v>6847</x:v>
      </x:c>
    </x:row>
    <x:row r="1483" ht="10.050000190734863" customHeight="1">
      <x:c r="A1483" s="21" t="s">
        <x:v>6848</x:v>
      </x:c>
      <x:c r="B1483" s="20" t="s">
        <x:v>6848</x:v>
      </x:c>
      <x:c r="C1483" s="20" t="s">
        <x:v>6844</x:v>
      </x:c>
      <x:c r="D1483" s="24">
        <x:v>84</x:v>
      </x:c>
      <x:c r="E1483" s="24" t="s">
        <x:v>103</x:v>
      </x:c>
      <x:c r="F1483" s="20" t="s">
        <x:v>97</x:v>
      </x:c>
      <x:c r="G1483" s="26">
        <x:v>42221</x:v>
      </x:c>
      <x:c r="H1483" s="24" t="s">
        <x:v>6849</x:v>
      </x:c>
      <x:c r="I1483" s="28" t="s">
        <x:v>6850</x:v>
      </x:c>
      <x:c r="J1483" s="29" t="s">
        <x:v>6851</x:v>
      </x:c>
    </x:row>
    <x:row r="1484" ht="10.050000190734863" customHeight="1">
      <x:c r="A1484" s="21" t="s">
        <x:v>6852</x:v>
      </x:c>
      <x:c r="B1484" s="20" t="s">
        <x:v>6852</x:v>
      </x:c>
      <x:c r="C1484" s="20" t="s">
        <x:v>6853</x:v>
      </x:c>
      <x:c r="D1484" s="24">
        <x:v>14</x:v>
      </x:c>
      <x:c r="E1484" s="24" t="s">
        <x:v>96</x:v>
      </x:c>
      <x:c r="F1484" s="20" t="s">
        <x:v>90</x:v>
      </x:c>
      <x:c r="G1484" s="26">
        <x:v>43629</x:v>
      </x:c>
      <x:c r="H1484" s="24" t="s">
        <x:v>6854</x:v>
      </x:c>
      <x:c r="I1484" s="28" t="s">
        <x:v>6855</x:v>
      </x:c>
      <x:c r="J1484" s="29" t="s">
        <x:v>6856</x:v>
      </x:c>
    </x:row>
    <x:row r="1485" ht="10.050000190734863" customHeight="1">
      <x:c r="A1485" s="21" t="s">
        <x:v>6857</x:v>
      </x:c>
      <x:c r="B1485" s="20" t="s">
        <x:v>6857</x:v>
      </x:c>
      <x:c r="C1485" s="20" t="s">
        <x:v>6858</x:v>
      </x:c>
      <x:c r="D1485" s="24">
        <x:v>15</x:v>
      </x:c>
      <x:c r="E1485" s="24" t="s">
        <x:v>198</x:v>
      </x:c>
      <x:c r="F1485" s="20" t="s">
        <x:v>90</x:v>
      </x:c>
      <x:c r="G1485" s="26">
        <x:v>44369</x:v>
      </x:c>
      <x:c r="H1485" s="24" t="s">
        <x:v>6859</x:v>
      </x:c>
      <x:c r="I1485" s="28" t="s">
        <x:v>6860</x:v>
      </x:c>
      <x:c r="J1485" s="29" t="s">
        <x:v>6861</x:v>
      </x:c>
    </x:row>
    <x:row r="1486" ht="10.050000190734863" customHeight="1">
      <x:c r="A1486" s="21" t="s">
        <x:v>6862</x:v>
      </x:c>
      <x:c r="B1486" s="20" t="s">
        <x:v>6862</x:v>
      </x:c>
      <x:c r="C1486" s="20" t="s">
        <x:v>1107</x:v>
      </x:c>
      <x:c r="D1486" s="24">
        <x:v>14</x:v>
      </x:c>
      <x:c r="E1486" s="24" t="s">
        <x:v>198</x:v>
      </x:c>
      <x:c r="F1486" s="20" t="s">
        <x:v>90</x:v>
      </x:c>
      <x:c r="G1486" s="26">
        <x:v>45079</x:v>
      </x:c>
      <x:c r="H1486" s="24" t="s">
        <x:v>6863</x:v>
      </x:c>
      <x:c r="I1486" s="28" t="s">
        <x:v>6864</x:v>
      </x:c>
      <x:c r="J1486" s="29" t="s">
        <x:v>6865</x:v>
      </x:c>
    </x:row>
    <x:row r="1487" ht="10.050000190734863" customHeight="1">
      <x:c r="A1487" s="21" t="s">
        <x:v>6866</x:v>
      </x:c>
      <x:c r="B1487" s="20" t="s">
        <x:v>6866</x:v>
      </x:c>
      <x:c r="C1487" s="20" t="s">
        <x:v>2912</x:v>
      </x:c>
      <x:c r="D1487" s="24">
        <x:v>14</x:v>
      </x:c>
      <x:c r="E1487" s="24" t="s">
        <x:v>89</x:v>
      </x:c>
      <x:c r="F1487" s="20" t="s">
        <x:v>90</x:v>
      </x:c>
      <x:c r="G1487" s="26">
        <x:v>45343</x:v>
      </x:c>
      <x:c r="H1487" s="24" t="s">
        <x:v>6867</x:v>
      </x:c>
      <x:c r="I1487" s="28" t="s">
        <x:v>6868</x:v>
      </x:c>
      <x:c r="J1487" s="29" t="s">
        <x:v>6869</x:v>
      </x:c>
    </x:row>
    <x:row r="1488" ht="10.050000190734863" customHeight="1">
      <x:c r="A1488" s="21" t="s">
        <x:v>6870</x:v>
      </x:c>
      <x:c r="B1488" s="20" t="s">
        <x:v>6870</x:v>
      </x:c>
      <x:c r="C1488" s="20" t="s">
        <x:v>2327</x:v>
      </x:c>
      <x:c r="D1488" s="24">
        <x:v>13</x:v>
      </x:c>
      <x:c r="E1488" s="24" t="s">
        <x:v>198</x:v>
      </x:c>
      <x:c r="F1488" s="20" t="s">
        <x:v>90</x:v>
      </x:c>
      <x:c r="G1488" s="26">
        <x:v>46213</x:v>
      </x:c>
      <x:c r="H1488" s="24" t="s">
        <x:v>6871</x:v>
      </x:c>
      <x:c r="I1488" s="28" t="s">
        <x:v>6872</x:v>
      </x:c>
      <x:c r="J1488" s="29" t="s">
        <x:v>6873</x:v>
      </x:c>
    </x:row>
    <x:row r="1489" ht="10.050000190734863" customHeight="1">
      <x:c r="A1489" s="21" t="s">
        <x:v>6874</x:v>
      </x:c>
      <x:c r="B1489" s="20" t="s">
        <x:v>6874</x:v>
      </x:c>
      <x:c r="C1489" s="20" t="s">
        <x:v>6875</x:v>
      </x:c>
      <x:c r="D1489" s="24">
        <x:v>15</x:v>
      </x:c>
      <x:c r="E1489" s="24" t="s">
        <x:v>198</x:v>
      </x:c>
      <x:c r="F1489" s="20" t="s">
        <x:v>90</x:v>
      </x:c>
      <x:c r="G1489" s="26">
        <x:v>43573</x:v>
      </x:c>
      <x:c r="H1489" s="24" t="s">
        <x:v>6876</x:v>
      </x:c>
      <x:c r="I1489" s="28" t="s">
        <x:v>6877</x:v>
      </x:c>
      <x:c r="J1489" s="29" t="s">
        <x:v>6878</x:v>
      </x:c>
    </x:row>
    <x:row r="1490" ht="10.050000190734863" customHeight="1">
      <x:c r="A1490" s="21" t="s">
        <x:v>6879</x:v>
      </x:c>
      <x:c r="B1490" s="20" t="s">
        <x:v>6879</x:v>
      </x:c>
      <x:c r="C1490" s="20" t="s">
        <x:v>6875</x:v>
      </x:c>
      <x:c r="D1490" s="24">
        <x:v>13</x:v>
      </x:c>
      <x:c r="E1490" s="24" t="s">
        <x:v>198</x:v>
      </x:c>
      <x:c r="F1490" s="20" t="s">
        <x:v>90</x:v>
      </x:c>
      <x:c r="G1490" s="26">
        <x:v>43573</x:v>
      </x:c>
      <x:c r="H1490" s="24" t="s">
        <x:v>6880</x:v>
      </x:c>
      <x:c r="I1490" s="28" t="s">
        <x:v>6881</x:v>
      </x:c>
      <x:c r="J1490" s="29" t="s">
        <x:v>6882</x:v>
      </x:c>
    </x:row>
    <x:row r="1491" ht="10.050000190734863" customHeight="1">
      <x:c r="A1491" s="21" t="s">
        <x:v>6883</x:v>
      </x:c>
      <x:c r="B1491" s="20" t="s">
        <x:v>6883</x:v>
      </x:c>
      <x:c r="C1491" s="20" t="s">
        <x:v>6875</x:v>
      </x:c>
      <x:c r="D1491" s="24">
        <x:v>13</x:v>
      </x:c>
      <x:c r="E1491" s="24" t="s">
        <x:v>198</x:v>
      </x:c>
      <x:c r="F1491" s="20" t="s">
        <x:v>90</x:v>
      </x:c>
      <x:c r="G1491" s="26">
        <x:v>43703</x:v>
      </x:c>
      <x:c r="H1491" s="24" t="s">
        <x:v>6884</x:v>
      </x:c>
      <x:c r="I1491" s="28" t="s">
        <x:v>6885</x:v>
      </x:c>
      <x:c r="J1491" s="29" t="s">
        <x:v>6886</x:v>
      </x:c>
    </x:row>
    <x:row r="1492" ht="10.050000190734863" customHeight="1">
      <x:c r="A1492" s="21" t="s">
        <x:v>6887</x:v>
      </x:c>
      <x:c r="B1492" s="20" t="s">
        <x:v>6887</x:v>
      </x:c>
      <x:c r="C1492" s="20" t="s">
        <x:v>6875</x:v>
      </x:c>
      <x:c r="D1492" s="24">
        <x:v>12</x:v>
      </x:c>
      <x:c r="E1492" s="24" t="s">
        <x:v>198</x:v>
      </x:c>
      <x:c r="F1492" s="20" t="s">
        <x:v>90</x:v>
      </x:c>
      <x:c r="G1492" s="26">
        <x:v>43875</x:v>
      </x:c>
      <x:c r="H1492" s="24" t="s">
        <x:v>6888</x:v>
      </x:c>
      <x:c r="I1492" s="28" t="s">
        <x:v>6889</x:v>
      </x:c>
      <x:c r="J1492" s="29" t="s">
        <x:v>6890</x:v>
      </x:c>
    </x:row>
    <x:row r="1493" ht="10.050000190734863" customHeight="1">
      <x:c r="A1493" s="21" t="s">
        <x:v>6891</x:v>
      </x:c>
      <x:c r="B1493" s="20" t="s">
        <x:v>6891</x:v>
      </x:c>
      <x:c r="C1493" s="20" t="s">
        <x:v>3388</x:v>
      </x:c>
      <x:c r="D1493" s="24">
        <x:v>23</x:v>
      </x:c>
      <x:c r="E1493" s="24" t="s">
        <x:v>198</x:v>
      </x:c>
      <x:c r="F1493" s="20" t="s">
        <x:v>90</x:v>
      </x:c>
      <x:c r="G1493" s="26">
        <x:v>44366</x:v>
      </x:c>
      <x:c r="H1493" s="24" t="s">
        <x:v>6892</x:v>
      </x:c>
      <x:c r="I1493" s="28" t="s">
        <x:v>6893</x:v>
      </x:c>
      <x:c r="J1493" s="29" t="s">
        <x:v>6894</x:v>
      </x:c>
    </x:row>
    <x:row r="1494" ht="10.050000190734863" customHeight="1">
      <x:c r="A1494" s="21" t="s">
        <x:v>6895</x:v>
      </x:c>
      <x:c r="B1494" s="20" t="s">
        <x:v>6895</x:v>
      </x:c>
      <x:c r="C1494" s="20" t="s">
        <x:v>1502</x:v>
      </x:c>
      <x:c r="D1494" s="24">
        <x:v>1</x:v>
      </x:c>
      <x:c r="E1494" s="24" t="s">
        <x:v>96</x:v>
      </x:c>
      <x:c r="F1494" s="20" t="s">
        <x:v>90</x:v>
      </x:c>
      <x:c r="G1494" s="26">
        <x:v>46060</x:v>
      </x:c>
      <x:c r="H1494" s="24" t="s">
        <x:v>6896</x:v>
      </x:c>
      <x:c r="I1494" s="28" t="s">
        <x:v>6897</x:v>
      </x:c>
      <x:c r="J1494" s="29" t="s">
        <x:v>6898</x:v>
      </x:c>
    </x:row>
    <x:row r="1495" ht="10.050000190734863" customHeight="1">
      <x:c r="A1495" s="21" t="s">
        <x:v>6899</x:v>
      </x:c>
      <x:c r="B1495" s="20" t="s">
        <x:v>6899</x:v>
      </x:c>
      <x:c r="C1495" s="20" t="s">
        <x:v>968</x:v>
      </x:c>
      <x:c r="D1495" s="24">
        <x:v>1</x:v>
      </x:c>
      <x:c r="E1495" s="24" t="s">
        <x:v>198</x:v>
      </x:c>
      <x:c r="F1495" s="20" t="s">
        <x:v>90</x:v>
      </x:c>
      <x:c r="G1495" s="26">
        <x:v>45216</x:v>
      </x:c>
      <x:c r="H1495" s="24" t="s">
        <x:v>6900</x:v>
      </x:c>
      <x:c r="I1495" s="28" t="s">
        <x:v>6901</x:v>
      </x:c>
      <x:c r="J1495" s="29" t="s">
        <x:v>6902</x:v>
      </x:c>
    </x:row>
    <x:row r="1496" ht="10.050000190734863" customHeight="1">
      <x:c r="A1496" s="21" t="s">
        <x:v>6903</x:v>
      </x:c>
      <x:c r="B1496" s="20" t="s">
        <x:v>6903</x:v>
      </x:c>
      <x:c r="C1496" s="20" t="s">
        <x:v>6904</x:v>
      </x:c>
      <x:c r="D1496" s="24">
        <x:v>44</x:v>
      </x:c>
      <x:c r="E1496" s="24" t="s">
        <x:v>96</x:v>
      </x:c>
      <x:c r="F1496" s="20" t="s">
        <x:v>97</x:v>
      </x:c>
      <x:c r="G1496" s="26">
        <x:v>46146</x:v>
      </x:c>
      <x:c r="H1496" s="24" t="s">
        <x:v>6905</x:v>
      </x:c>
      <x:c r="I1496" s="28" t="s">
        <x:v>6906</x:v>
      </x:c>
      <x:c r="J1496" s="29" t="s">
        <x:v>6907</x:v>
      </x:c>
    </x:row>
    <x:row r="1497" ht="10.050000190734863" customHeight="1">
      <x:c r="A1497" s="21" t="s">
        <x:v>6908</x:v>
      </x:c>
      <x:c r="B1497" s="20" t="s">
        <x:v>6908</x:v>
      </x:c>
      <x:c r="C1497" s="20" t="s">
        <x:v>3313</x:v>
      </x:c>
      <x:c r="D1497" s="24">
        <x:v>5</x:v>
      </x:c>
      <x:c r="E1497" s="24" t="s">
        <x:v>96</x:v>
      </x:c>
      <x:c r="F1497" s="20" t="s">
        <x:v>90</x:v>
      </x:c>
      <x:c r="G1497" s="26">
        <x:v>45214</x:v>
      </x:c>
      <x:c r="H1497" s="24" t="s">
        <x:v>6909</x:v>
      </x:c>
      <x:c r="I1497" s="28" t="s">
        <x:v>6910</x:v>
      </x:c>
      <x:c r="J1497" s="29" t="s">
        <x:v>6911</x:v>
      </x:c>
    </x:row>
    <x:row r="1498" ht="10.050000190734863" customHeight="1">
      <x:c r="A1498" s="21" t="s">
        <x:v>6912</x:v>
      </x:c>
      <x:c r="B1498" s="20" t="s">
        <x:v>6912</x:v>
      </x:c>
      <x:c r="C1498" s="20" t="s">
        <x:v>3606</x:v>
      </x:c>
      <x:c r="D1498" s="24">
        <x:v>18</x:v>
      </x:c>
      <x:c r="E1498" s="24" t="s">
        <x:v>103</x:v>
      </x:c>
      <x:c r="F1498" s="20" t="s">
        <x:v>97</x:v>
      </x:c>
      <x:c r="G1498" s="26">
        <x:v>42284</x:v>
      </x:c>
      <x:c r="H1498" s="24" t="s">
        <x:v>6913</x:v>
      </x:c>
      <x:c r="I1498" s="28" t="s">
        <x:v>6914</x:v>
      </x:c>
      <x:c r="J1498" s="29" t="s">
        <x:v>6915</x:v>
      </x:c>
    </x:row>
    <x:row r="1499" ht="10.050000190734863" customHeight="1">
      <x:c r="A1499" s="21" t="s">
        <x:v>6916</x:v>
      </x:c>
      <x:c r="B1499" s="20" t="s">
        <x:v>6916</x:v>
      </x:c>
      <x:c r="C1499" s="20" t="s">
        <x:v>6917</x:v>
      </x:c>
      <x:c r="D1499" s="24">
        <x:v>5</x:v>
      </x:c>
      <x:c r="E1499" s="24" t="s">
        <x:v>103</x:v>
      </x:c>
      <x:c r="F1499" s="20" t="s">
        <x:v>97</x:v>
      </x:c>
      <x:c r="G1499" s="26">
        <x:v>42057</x:v>
      </x:c>
      <x:c r="H1499" s="24" t="s">
        <x:v>6918</x:v>
      </x:c>
      <x:c r="I1499" s="28" t="s">
        <x:v>6919</x:v>
      </x:c>
      <x:c r="J1499" s="29" t="s">
        <x:v>6920</x:v>
      </x:c>
    </x:row>
    <x:row r="1500" ht="10.050000190734863" customHeight="1">
      <x:c r="A1500" s="21" t="s">
        <x:v>6921</x:v>
      </x:c>
      <x:c r="B1500" s="20" t="s">
        <x:v>6921</x:v>
      </x:c>
      <x:c r="C1500" s="20" t="s">
        <x:v>1969</x:v>
      </x:c>
      <x:c r="D1500" s="24">
        <x:v>1</x:v>
      </x:c>
      <x:c r="E1500" s="24" t="s">
        <x:v>114</x:v>
      </x:c>
      <x:c r="F1500" s="20" t="s">
        <x:v>90</x:v>
      </x:c>
      <x:c r="G1500" s="26">
        <x:v>44683</x:v>
      </x:c>
      <x:c r="H1500" s="24" t="s">
        <x:v>6922</x:v>
      </x:c>
      <x:c r="I1500" s="28" t="s">
        <x:v>6923</x:v>
      </x:c>
      <x:c r="J1500" s="29" t="s">
        <x:v>6924</x:v>
      </x:c>
    </x:row>
    <x:row r="1501" ht="10.050000190734863" customHeight="1">
      <x:c r="A1501" s="21" t="s">
        <x:v>6925</x:v>
      </x:c>
      <x:c r="B1501" s="20" t="s">
        <x:v>6925</x:v>
      </x:c>
      <x:c r="C1501" s="20" t="s">
        <x:v>1969</x:v>
      </x:c>
      <x:c r="D1501" s="24">
        <x:v>0</x:v>
      </x:c>
      <x:c r="E1501" s="24" t="s">
        <x:v>114</x:v>
      </x:c>
      <x:c r="F1501" s="20" t="s">
        <x:v>90</x:v>
      </x:c>
      <x:c r="G1501" s="26">
        <x:v>44736</x:v>
      </x:c>
      <x:c r="H1501" s="24" t="s">
        <x:v>6926</x:v>
      </x:c>
      <x:c r="I1501" s="28" t="s">
        <x:v>6927</x:v>
      </x:c>
      <x:c r="J1501" s="29" t="s">
        <x:v>6928</x:v>
      </x:c>
    </x:row>
    <x:row r="1502" ht="10.050000190734863" customHeight="1">
      <x:c r="A1502" s="21" t="s">
        <x:v>6929</x:v>
      </x:c>
      <x:c r="B1502" s="20" t="s">
        <x:v>6929</x:v>
      </x:c>
      <x:c r="C1502" s="20" t="s">
        <x:v>1969</x:v>
      </x:c>
      <x:c r="D1502" s="24">
        <x:v>1</x:v>
      </x:c>
      <x:c r="E1502" s="24" t="s">
        <x:v>114</x:v>
      </x:c>
      <x:c r="F1502" s="20" t="s">
        <x:v>90</x:v>
      </x:c>
      <x:c r="G1502" s="26">
        <x:v>44739</x:v>
      </x:c>
      <x:c r="H1502" s="24" t="s">
        <x:v>6930</x:v>
      </x:c>
      <x:c r="I1502" s="28" t="s">
        <x:v>6931</x:v>
      </x:c>
      <x:c r="J1502" s="29" t="s">
        <x:v>6932</x:v>
      </x:c>
    </x:row>
    <x:row r="1503" ht="10.050000190734863" customHeight="1">
      <x:c r="A1503" s="21" t="s">
        <x:v>6933</x:v>
      </x:c>
      <x:c r="B1503" s="20" t="s">
        <x:v>6933</x:v>
      </x:c>
      <x:c r="C1503" s="20" t="s">
        <x:v>282</x:v>
      </x:c>
      <x:c r="D1503" s="24">
        <x:v>10</x:v>
      </x:c>
      <x:c r="E1503" s="24" t="s">
        <x:v>96</x:v>
      </x:c>
      <x:c r="F1503" s="20" t="s">
        <x:v>97</x:v>
      </x:c>
      <x:c r="G1503" s="26">
        <x:v>46101</x:v>
      </x:c>
      <x:c r="H1503" s="24" t="s">
        <x:v>6934</x:v>
      </x:c>
      <x:c r="I1503" s="28" t="s">
        <x:v>6935</x:v>
      </x:c>
      <x:c r="J1503" s="29" t="s">
        <x:v>6936</x:v>
      </x:c>
    </x:row>
    <x:row r="1504" ht="10.050000190734863" customHeight="1">
      <x:c r="A1504" s="21" t="s">
        <x:v>6937</x:v>
      </x:c>
      <x:c r="B1504" s="20" t="s">
        <x:v>6937</x:v>
      </x:c>
      <x:c r="C1504" s="20" t="s">
        <x:v>6938</x:v>
      </x:c>
      <x:c r="D1504" s="24">
        <x:v>5</x:v>
      </x:c>
      <x:c r="E1504" s="24" t="s">
        <x:v>125</x:v>
      </x:c>
      <x:c r="F1504" s="20" t="s">
        <x:v>97</x:v>
      </x:c>
      <x:c r="G1504" s="26">
        <x:v>46074</x:v>
      </x:c>
      <x:c r="H1504" s="24" t="s">
        <x:v>6939</x:v>
      </x:c>
      <x:c r="I1504" s="28" t="s">
        <x:v>6940</x:v>
      </x:c>
      <x:c r="J1504" s="29" t="s">
        <x:v>6941</x:v>
      </x:c>
    </x:row>
    <x:row r="1505" ht="10.050000190734863" customHeight="1">
      <x:c r="A1505" s="21" t="s">
        <x:v>6942</x:v>
      </x:c>
      <x:c r="B1505" s="20" t="s">
        <x:v>6942</x:v>
      </x:c>
      <x:c r="C1505" s="20" t="s">
        <x:v>6943</x:v>
      </x:c>
      <x:c r="D1505" s="24">
        <x:v>11</x:v>
      </x:c>
      <x:c r="E1505" s="24" t="s">
        <x:v>198</x:v>
      </x:c>
      <x:c r="F1505" s="20" t="s">
        <x:v>90</x:v>
      </x:c>
      <x:c r="G1505" s="26">
        <x:v>44384</x:v>
      </x:c>
      <x:c r="H1505" s="24" t="s">
        <x:v>6944</x:v>
      </x:c>
      <x:c r="I1505" s="28" t="s">
        <x:v>6945</x:v>
      </x:c>
      <x:c r="J1505" s="29" t="s">
        <x:v>6946</x:v>
      </x:c>
    </x:row>
    <x:row r="1506" ht="10.050000190734863" customHeight="1">
      <x:c r="A1506" s="21" t="s">
        <x:v>6947</x:v>
      </x:c>
      <x:c r="B1506" s="20" t="s">
        <x:v>6947</x:v>
      </x:c>
      <x:c r="C1506" s="20" t="s">
        <x:v>6943</x:v>
      </x:c>
      <x:c r="D1506" s="24">
        <x:v>14</x:v>
      </x:c>
      <x:c r="E1506" s="24" t="s">
        <x:v>198</x:v>
      </x:c>
      <x:c r="F1506" s="20" t="s">
        <x:v>90</x:v>
      </x:c>
      <x:c r="G1506" s="26">
        <x:v>45026</x:v>
      </x:c>
      <x:c r="H1506" s="24" t="s">
        <x:v>6948</x:v>
      </x:c>
      <x:c r="I1506" s="28" t="s">
        <x:v>6949</x:v>
      </x:c>
      <x:c r="J1506" s="29" t="s">
        <x:v>6950</x:v>
      </x:c>
    </x:row>
    <x:row r="1507" ht="10.050000190734863" customHeight="1">
      <x:c r="A1507" s="21" t="s">
        <x:v>6951</x:v>
      </x:c>
      <x:c r="B1507" s="20" t="s">
        <x:v>6951</x:v>
      </x:c>
      <x:c r="C1507" s="20" t="s">
        <x:v>680</x:v>
      </x:c>
      <x:c r="D1507" s="24">
        <x:v>14</x:v>
      </x:c>
      <x:c r="E1507" s="24" t="s">
        <x:v>114</x:v>
      </x:c>
      <x:c r="F1507" s="20" t="s">
        <x:v>90</x:v>
      </x:c>
      <x:c r="G1507" s="26">
        <x:v>44515</x:v>
      </x:c>
      <x:c r="H1507" s="24" t="s">
        <x:v>6952</x:v>
      </x:c>
      <x:c r="I1507" s="28" t="s">
        <x:v>6953</x:v>
      </x:c>
      <x:c r="J1507" s="29" t="s">
        <x:v>6954</x:v>
      </x:c>
    </x:row>
    <x:row r="1508" ht="10.050000190734863" customHeight="1">
      <x:c r="A1508" s="21" t="s">
        <x:v>6955</x:v>
      </x:c>
      <x:c r="B1508" s="20" t="s">
        <x:v>6955</x:v>
      </x:c>
      <x:c r="C1508" s="20" t="s">
        <x:v>6956</x:v>
      </x:c>
      <x:c r="D1508" s="24">
        <x:v>118</x:v>
      </x:c>
      <x:c r="E1508" s="24" t="s">
        <x:v>96</x:v>
      </x:c>
      <x:c r="F1508" s="20" t="s">
        <x:v>97</x:v>
      </x:c>
      <x:c r="G1508" s="26">
        <x:v>45416</x:v>
      </x:c>
      <x:c r="H1508" s="24" t="s">
        <x:v>6957</x:v>
      </x:c>
      <x:c r="I1508" s="28" t="s">
        <x:v>6958</x:v>
      </x:c>
      <x:c r="J1508" s="29" t="s">
        <x:v>6959</x:v>
      </x:c>
    </x:row>
    <x:row r="1509" ht="10.050000190734863" customHeight="1">
      <x:c r="A1509" s="21" t="s">
        <x:v>6960</x:v>
      </x:c>
      <x:c r="B1509" s="20" t="s">
        <x:v>6960</x:v>
      </x:c>
      <x:c r="C1509" s="20" t="s">
        <x:v>533</x:v>
      </x:c>
      <x:c r="D1509" s="24">
        <x:v>1</x:v>
      </x:c>
      <x:c r="E1509" s="24" t="s">
        <x:v>125</x:v>
      </x:c>
      <x:c r="F1509" s="20" t="s">
        <x:v>90</x:v>
      </x:c>
      <x:c r="G1509" s="26">
        <x:v>45483</x:v>
      </x:c>
      <x:c r="H1509" s="24" t="s">
        <x:v>6961</x:v>
      </x:c>
      <x:c r="I1509" s="28" t="s">
        <x:v>6962</x:v>
      </x:c>
      <x:c r="J1509" s="29" t="s">
        <x:v>6963</x:v>
      </x:c>
    </x:row>
    <x:row r="1510" ht="10.050000190734863" customHeight="1">
      <x:c r="A1510" s="21" t="s">
        <x:v>6964</x:v>
      </x:c>
      <x:c r="B1510" s="20" t="s">
        <x:v>6964</x:v>
      </x:c>
      <x:c r="C1510" s="20" t="s">
        <x:v>6965</x:v>
      </x:c>
      <x:c r="D1510" s="24">
        <x:v>20</x:v>
      </x:c>
      <x:c r="E1510" s="24" t="s">
        <x:v>198</x:v>
      </x:c>
      <x:c r="F1510" s="20" t="s">
        <x:v>90</x:v>
      </x:c>
      <x:c r="G1510" s="26">
        <x:v>46141</x:v>
      </x:c>
      <x:c r="H1510" s="24" t="s">
        <x:v>6966</x:v>
      </x:c>
      <x:c r="I1510" s="28" t="s">
        <x:v>6967</x:v>
      </x:c>
      <x:c r="J1510" s="29" t="s">
        <x:v>6968</x:v>
      </x:c>
    </x:row>
    <x:row r="1511" ht="10.050000190734863" customHeight="1">
      <x:c r="A1511" s="21" t="s">
        <x:v>6969</x:v>
      </x:c>
      <x:c r="B1511" s="20" t="s">
        <x:v>6969</x:v>
      </x:c>
      <x:c r="C1511" s="20" t="s">
        <x:v>6970</x:v>
      </x:c>
      <x:c r="D1511" s="24">
        <x:v>22</x:v>
      </x:c>
      <x:c r="E1511" s="24" t="s">
        <x:v>114</x:v>
      </x:c>
      <x:c r="F1511" s="20" t="s">
        <x:v>90</x:v>
      </x:c>
      <x:c r="G1511" s="26">
        <x:v>43210</x:v>
      </x:c>
      <x:c r="H1511" s="24" t="s">
        <x:v>6971</x:v>
      </x:c>
      <x:c r="I1511" s="28" t="s">
        <x:v>6972</x:v>
      </x:c>
      <x:c r="J1511" s="29" t="s">
        <x:v>6973</x:v>
      </x:c>
    </x:row>
    <x:row r="1512" ht="10.050000190734863" customHeight="1">
      <x:c r="A1512" s="21" t="s">
        <x:v>6974</x:v>
      </x:c>
      <x:c r="B1512" s="20" t="s">
        <x:v>6974</x:v>
      </x:c>
      <x:c r="C1512" s="20" t="s">
        <x:v>4579</x:v>
      </x:c>
      <x:c r="D1512" s="24">
        <x:v>92</x:v>
      </x:c>
      <x:c r="E1512" s="24" t="s">
        <x:v>96</x:v>
      </x:c>
      <x:c r="F1512" s="20" t="s">
        <x:v>97</x:v>
      </x:c>
      <x:c r="G1512" s="26">
        <x:v>44062</x:v>
      </x:c>
      <x:c r="H1512" s="24" t="s">
        <x:v>6975</x:v>
      </x:c>
      <x:c r="I1512" s="28" t="s">
        <x:v>6976</x:v>
      </x:c>
      <x:c r="J1512" s="29" t="s">
        <x:v>6977</x:v>
      </x:c>
    </x:row>
    <x:row r="1513" ht="10.050000190734863" customHeight="1">
      <x:c r="A1513" s="21" t="s">
        <x:v>6978</x:v>
      </x:c>
      <x:c r="B1513" s="20" t="s">
        <x:v>6978</x:v>
      </x:c>
      <x:c r="C1513" s="20" t="s">
        <x:v>113</x:v>
      </x:c>
      <x:c r="D1513" s="24">
        <x:v>22</x:v>
      </x:c>
      <x:c r="E1513" s="24" t="s">
        <x:v>198</x:v>
      </x:c>
      <x:c r="F1513" s="20" t="s">
        <x:v>90</x:v>
      </x:c>
      <x:c r="G1513" s="26">
        <x:v>43884</x:v>
      </x:c>
      <x:c r="H1513" s="24" t="s">
        <x:v>6979</x:v>
      </x:c>
      <x:c r="I1513" s="28" t="s">
        <x:v>6980</x:v>
      </x:c>
      <x:c r="J1513" s="29" t="s">
        <x:v>6981</x:v>
      </x:c>
    </x:row>
    <x:row r="1514" ht="10.050000190734863" customHeight="1">
      <x:c r="A1514" s="21" t="s">
        <x:v>6982</x:v>
      </x:c>
      <x:c r="B1514" s="20" t="s">
        <x:v>6982</x:v>
      </x:c>
      <x:c r="C1514" s="20" t="s">
        <x:v>1502</x:v>
      </x:c>
      <x:c r="D1514" s="24">
        <x:v>4</x:v>
      </x:c>
      <x:c r="E1514" s="24" t="s">
        <x:v>89</x:v>
      </x:c>
      <x:c r="F1514" s="20" t="s">
        <x:v>90</x:v>
      </x:c>
      <x:c r="G1514" s="26">
        <x:v>45679</x:v>
      </x:c>
      <x:c r="H1514" s="24" t="s">
        <x:v>6983</x:v>
      </x:c>
      <x:c r="I1514" s="28" t="s">
        <x:v>6984</x:v>
      </x:c>
      <x:c r="J1514" s="29" t="s">
        <x:v>6985</x:v>
      </x:c>
    </x:row>
    <x:row r="1515" ht="10.050000190734863" customHeight="1">
      <x:c r="A1515" s="21" t="s">
        <x:v>6986</x:v>
      </x:c>
      <x:c r="B1515" s="20" t="s">
        <x:v>6986</x:v>
      </x:c>
      <x:c r="C1515" s="20" t="s">
        <x:v>1502</x:v>
      </x:c>
      <x:c r="D1515" s="24">
        <x:v>4</x:v>
      </x:c>
      <x:c r="E1515" s="24" t="s">
        <x:v>198</x:v>
      </x:c>
      <x:c r="F1515" s="20" t="s">
        <x:v>90</x:v>
      </x:c>
      <x:c r="G1515" s="26">
        <x:v>45754</x:v>
      </x:c>
      <x:c r="H1515" s="24" t="s">
        <x:v>6987</x:v>
      </x:c>
      <x:c r="I1515" s="28" t="s">
        <x:v>6988</x:v>
      </x:c>
      <x:c r="J1515" s="29" t="s">
        <x:v>6989</x:v>
      </x:c>
    </x:row>
    <x:row r="1516" ht="10.050000190734863" customHeight="1">
      <x:c r="A1516" s="21" t="s">
        <x:v>52</x:v>
      </x:c>
      <x:c r="B1516" s="20" t="s">
        <x:v>52</x:v>
      </x:c>
      <x:c r="C1516" s="20" t="s">
        <x:v>6990</x:v>
      </x:c>
      <x:c r="D1516" s="24">
        <x:v>15</x:v>
      </x:c>
      <x:c r="E1516" s="24" t="s">
        <x:v>89</x:v>
      </x:c>
      <x:c r="F1516" s="20" t="s">
        <x:v>90</x:v>
      </x:c>
      <x:c r="G1516" s="26">
        <x:v>45335</x:v>
      </x:c>
      <x:c r="H1516" s="24" t="s">
        <x:v>6991</x:v>
      </x:c>
      <x:c r="I1516" s="28" t="s">
        <x:v>6992</x:v>
      </x:c>
      <x:c r="J1516" s="29" t="s">
        <x:v>6993</x:v>
      </x:c>
    </x:row>
    <x:row r="1517" ht="10.050000190734863" customHeight="1">
      <x:c r="A1517" s="21" t="s">
        <x:v>54</x:v>
      </x:c>
      <x:c r="B1517" s="20" t="s">
        <x:v>54</x:v>
      </x:c>
      <x:c r="C1517" s="20" t="s">
        <x:v>6990</x:v>
      </x:c>
      <x:c r="D1517" s="24">
        <x:v>21</x:v>
      </x:c>
      <x:c r="E1517" s="24" t="s">
        <x:v>198</x:v>
      </x:c>
      <x:c r="F1517" s="20" t="s">
        <x:v>90</x:v>
      </x:c>
      <x:c r="G1517" s="26">
        <x:v>46081</x:v>
      </x:c>
      <x:c r="H1517" s="24" t="s">
        <x:v>6994</x:v>
      </x:c>
      <x:c r="I1517" s="28" t="s">
        <x:v>6995</x:v>
      </x:c>
      <x:c r="J1517" s="29" t="s">
        <x:v>6996</x:v>
      </x:c>
    </x:row>
    <x:row r="1518" ht="10.050000190734863" customHeight="1">
      <x:c r="A1518" s="21" t="s">
        <x:v>6997</x:v>
      </x:c>
      <x:c r="B1518" s="20" t="s">
        <x:v>6997</x:v>
      </x:c>
      <x:c r="C1518" s="20" t="s">
        <x:v>3782</x:v>
      </x:c>
      <x:c r="D1518" s="24">
        <x:v>30</x:v>
      </x:c>
      <x:c r="E1518" s="24" t="s">
        <x:v>198</x:v>
      </x:c>
      <x:c r="F1518" s="20" t="s">
        <x:v>90</x:v>
      </x:c>
      <x:c r="G1518" s="26">
        <x:v>44260</x:v>
      </x:c>
      <x:c r="H1518" s="24" t="s">
        <x:v>6998</x:v>
      </x:c>
      <x:c r="I1518" s="28" t="s">
        <x:v>6999</x:v>
      </x:c>
      <x:c r="J1518" s="29" t="s">
        <x:v>7000</x:v>
      </x:c>
    </x:row>
    <x:row r="1519" ht="10.050000190734863" customHeight="1">
      <x:c r="A1519" s="21" t="s">
        <x:v>7001</x:v>
      </x:c>
      <x:c r="B1519" s="20" t="s">
        <x:v>7001</x:v>
      </x:c>
      <x:c r="C1519" s="20" t="s">
        <x:v>7002</x:v>
      </x:c>
      <x:c r="D1519" s="24">
        <x:v>13</x:v>
      </x:c>
      <x:c r="E1519" s="24" t="s">
        <x:v>89</x:v>
      </x:c>
      <x:c r="F1519" s="20" t="s">
        <x:v>90</x:v>
      </x:c>
      <x:c r="G1519" s="26">
        <x:v>45114</x:v>
      </x:c>
      <x:c r="H1519" s="24" t="s">
        <x:v>7003</x:v>
      </x:c>
      <x:c r="I1519" s="28" t="s">
        <x:v>7004</x:v>
      </x:c>
      <x:c r="J1519" s="29" t="s">
        <x:v>7005</x:v>
      </x:c>
    </x:row>
    <x:row r="1520" ht="10.050000190734863" customHeight="1">
      <x:c r="A1520" s="21" t="s">
        <x:v>7006</x:v>
      </x:c>
      <x:c r="B1520" s="20" t="s">
        <x:v>7006</x:v>
      </x:c>
      <x:c r="C1520" s="20" t="s">
        <x:v>113</x:v>
      </x:c>
      <x:c r="D1520" s="24">
        <x:v>13</x:v>
      </x:c>
      <x:c r="E1520" s="24" t="s">
        <x:v>198</x:v>
      </x:c>
      <x:c r="F1520" s="20" t="s">
        <x:v>90</x:v>
      </x:c>
      <x:c r="G1520" s="26">
        <x:v>44108</x:v>
      </x:c>
      <x:c r="H1520" s="24" t="s">
        <x:v>7007</x:v>
      </x:c>
      <x:c r="I1520" s="28" t="s">
        <x:v>7008</x:v>
      </x:c>
      <x:c r="J1520" s="29" t="s">
        <x:v>7009</x:v>
      </x:c>
    </x:row>
    <x:row r="1521" ht="10.050000190734863" customHeight="1">
      <x:c r="A1521" s="21" t="s">
        <x:v>7010</x:v>
      </x:c>
      <x:c r="B1521" s="20" t="s">
        <x:v>7010</x:v>
      </x:c>
      <x:c r="C1521" s="20" t="s">
        <x:v>113</x:v>
      </x:c>
      <x:c r="D1521" s="24">
        <x:v>16</x:v>
      </x:c>
      <x:c r="E1521" s="24" t="s">
        <x:v>114</x:v>
      </x:c>
      <x:c r="F1521" s="20" t="s">
        <x:v>90</x:v>
      </x:c>
      <x:c r="G1521" s="26">
        <x:v>44749</x:v>
      </x:c>
      <x:c r="H1521" s="24" t="s">
        <x:v>7011</x:v>
      </x:c>
      <x:c r="I1521" s="28" t="s">
        <x:v>7012</x:v>
      </x:c>
      <x:c r="J1521" s="29" t="s">
        <x:v>7013</x:v>
      </x:c>
    </x:row>
    <x:row r="1522" ht="10.050000190734863" customHeight="1">
      <x:c r="A1522" s="21" t="s">
        <x:v>7014</x:v>
      </x:c>
      <x:c r="B1522" s="20" t="s">
        <x:v>7014</x:v>
      </x:c>
      <x:c r="C1522" s="20" t="s">
        <x:v>6135</x:v>
      </x:c>
      <x:c r="D1522" s="24">
        <x:v>10</x:v>
      </x:c>
      <x:c r="E1522" s="24" t="s">
        <x:v>89</x:v>
      </x:c>
      <x:c r="F1522" s="20" t="s">
        <x:v>152</x:v>
      </x:c>
      <x:c r="G1522" s="26">
        <x:v>44585</x:v>
      </x:c>
      <x:c r="H1522" s="24" t="s">
        <x:v>7015</x:v>
      </x:c>
      <x:c r="I1522" s="28" t="s">
        <x:v>7016</x:v>
      </x:c>
      <x:c r="J1522" s="29" t="s">
        <x:v>7017</x:v>
      </x:c>
    </x:row>
    <x:row r="1523" ht="10.050000190734863" customHeight="1">
      <x:c r="A1523" s="21" t="s">
        <x:v>7018</x:v>
      </x:c>
      <x:c r="B1523" s="20" t="s">
        <x:v>7018</x:v>
      </x:c>
      <x:c r="C1523" s="20" t="s">
        <x:v>3924</x:v>
      </x:c>
      <x:c r="D1523" s="24">
        <x:v>32</x:v>
      </x:c>
      <x:c r="E1523" s="24" t="s">
        <x:v>96</x:v>
      </x:c>
      <x:c r="F1523" s="20" t="s">
        <x:v>97</x:v>
      </x:c>
      <x:c r="G1523" s="26">
        <x:v>45655</x:v>
      </x:c>
      <x:c r="H1523" s="24" t="s">
        <x:v>7019</x:v>
      </x:c>
      <x:c r="I1523" s="28" t="s">
        <x:v>7020</x:v>
      </x:c>
      <x:c r="J1523" s="29" t="s">
        <x:v>7021</x:v>
      </x:c>
    </x:row>
    <x:row r="1524" ht="10.050000190734863" customHeight="1">
      <x:c r="A1524" s="21" t="s">
        <x:v>7022</x:v>
      </x:c>
      <x:c r="B1524" s="20" t="s">
        <x:v>7022</x:v>
      </x:c>
      <x:c r="C1524" s="20" t="s">
        <x:v>4075</x:v>
      </x:c>
      <x:c r="D1524" s="24">
        <x:v>7</x:v>
      </x:c>
      <x:c r="E1524" s="24" t="s">
        <x:v>257</x:v>
      </x:c>
      <x:c r="F1524" s="20" t="s">
        <x:v>97</x:v>
      </x:c>
      <x:c r="G1524" s="26">
        <x:v>42246</x:v>
      </x:c>
      <x:c r="H1524" s="24" t="s">
        <x:v>7023</x:v>
      </x:c>
      <x:c r="I1524" s="28" t="s">
        <x:v>7024</x:v>
      </x:c>
      <x:c r="J1524" s="29" t="s">
        <x:v>7025</x:v>
      </x:c>
    </x:row>
    <x:row r="1525" ht="10.050000190734863" customHeight="1">
      <x:c r="A1525" s="21" t="s">
        <x:v>7026</x:v>
      </x:c>
      <x:c r="B1525" s="20" t="s">
        <x:v>7026</x:v>
      </x:c>
      <x:c r="C1525" s="20" t="s">
        <x:v>292</x:v>
      </x:c>
      <x:c r="D1525" s="24">
        <x:v>19</x:v>
      </x:c>
      <x:c r="E1525" s="24" t="s">
        <x:v>198</x:v>
      </x:c>
      <x:c r="F1525" s="20" t="s">
        <x:v>90</x:v>
      </x:c>
      <x:c r="G1525" s="26">
        <x:v>45389</x:v>
      </x:c>
      <x:c r="H1525" s="24" t="s">
        <x:v>7027</x:v>
      </x:c>
      <x:c r="I1525" s="28" t="s">
        <x:v>7028</x:v>
      </x:c>
      <x:c r="J1525" s="29" t="s">
        <x:v>7029</x:v>
      </x:c>
    </x:row>
    <x:row r="1526" ht="10.050000190734863" customHeight="1">
      <x:c r="A1526" s="21" t="s">
        <x:v>7030</x:v>
      </x:c>
      <x:c r="B1526" s="20" t="s">
        <x:v>7030</x:v>
      </x:c>
      <x:c r="C1526" s="20" t="s">
        <x:v>7031</x:v>
      </x:c>
      <x:c r="D1526" s="24">
        <x:v>0</x:v>
      </x:c>
      <x:c r="E1526" s="24" t="s">
        <x:v>89</x:v>
      </x:c>
      <x:c r="F1526" s="20" t="s">
        <x:v>90</x:v>
      </x:c>
      <x:c r="G1526" s="26">
        <x:v>43641</x:v>
      </x:c>
      <x:c r="H1526" s="24" t="s">
        <x:v>7032</x:v>
      </x:c>
      <x:c r="I1526" s="28" t="s">
        <x:v>7033</x:v>
      </x:c>
      <x:c r="J1526" s="29" t="s">
        <x:v>7034</x:v>
      </x:c>
    </x:row>
    <x:row r="1527" ht="10.050000190734863" customHeight="1">
      <x:c r="A1527" s="21" t="s">
        <x:v>7035</x:v>
      </x:c>
      <x:c r="B1527" s="20" t="s">
        <x:v>7035</x:v>
      </x:c>
      <x:c r="C1527" s="20" t="s">
        <x:v>146</x:v>
      </x:c>
      <x:c r="D1527" s="24">
        <x:v>15</x:v>
      </x:c>
      <x:c r="E1527" s="24" t="s">
        <x:v>103</x:v>
      </x:c>
      <x:c r="F1527" s="20" t="s">
        <x:v>2469</x:v>
      </x:c>
      <x:c r="G1527" s="26">
        <x:v>45049</x:v>
      </x:c>
      <x:c r="H1527" s="24" t="s">
        <x:v>7036</x:v>
      </x:c>
      <x:c r="I1527" s="28" t="s">
        <x:v>7037</x:v>
      </x:c>
      <x:c r="J1527" s="29" t="s">
        <x:v>7038</x:v>
      </x:c>
    </x:row>
    <x:row r="1528" ht="10.050000190734863" customHeight="1">
      <x:c r="A1528" s="21" t="s">
        <x:v>7039</x:v>
      </x:c>
      <x:c r="B1528" s="20" t="s">
        <x:v>7039</x:v>
      </x:c>
      <x:c r="C1528" s="20" t="s">
        <x:v>7040</x:v>
      </x:c>
      <x:c r="D1528" s="24">
        <x:v>24</x:v>
      </x:c>
      <x:c r="E1528" s="24" t="s">
        <x:v>114</x:v>
      </x:c>
      <x:c r="F1528" s="20" t="s">
        <x:v>90</x:v>
      </x:c>
      <x:c r="G1528" s="26">
        <x:v>44592</x:v>
      </x:c>
      <x:c r="H1528" s="24" t="s">
        <x:v>7041</x:v>
      </x:c>
      <x:c r="I1528" s="28" t="s">
        <x:v>7042</x:v>
      </x:c>
      <x:c r="J1528" s="29" t="s">
        <x:v>7043</x:v>
      </x:c>
    </x:row>
    <x:row r="1529" ht="10.050000190734863" customHeight="1">
      <x:c r="A1529" s="21" t="s">
        <x:v>7044</x:v>
      </x:c>
      <x:c r="B1529" s="20" t="s">
        <x:v>7044</x:v>
      </x:c>
      <x:c r="C1529" s="20" t="s">
        <x:v>7045</x:v>
      </x:c>
      <x:c r="D1529" s="24">
        <x:v>27</x:v>
      </x:c>
      <x:c r="E1529" s="24" t="s">
        <x:v>96</x:v>
      </x:c>
      <x:c r="F1529" s="20" t="s">
        <x:v>97</x:v>
      </x:c>
      <x:c r="G1529" s="26">
        <x:v>41580</x:v>
      </x:c>
      <x:c r="H1529" s="24" t="s">
        <x:v>7046</x:v>
      </x:c>
      <x:c r="I1529" s="28" t="s">
        <x:v>7047</x:v>
      </x:c>
      <x:c r="J1529" s="29" t="s">
        <x:v>7048</x:v>
      </x:c>
    </x:row>
    <x:row r="1530" ht="10.050000190734863" customHeight="1">
      <x:c r="A1530" s="21" t="s">
        <x:v>7049</x:v>
      </x:c>
      <x:c r="B1530" s="20" t="s">
        <x:v>7049</x:v>
      </x:c>
      <x:c r="C1530" s="20" t="s">
        <x:v>2346</x:v>
      </x:c>
      <x:c r="D1530" s="24">
        <x:v>14</x:v>
      </x:c>
      <x:c r="E1530" s="24" t="s">
        <x:v>89</x:v>
      </x:c>
      <x:c r="F1530" s="20" t="s">
        <x:v>90</x:v>
      </x:c>
      <x:c r="G1530" s="26">
        <x:v>45634</x:v>
      </x:c>
      <x:c r="H1530" s="24" t="s">
        <x:v>7050</x:v>
      </x:c>
      <x:c r="I1530" s="28" t="s">
        <x:v>7051</x:v>
      </x:c>
      <x:c r="J1530" s="29" t="s">
        <x:v>7052</x:v>
      </x:c>
    </x:row>
    <x:row r="1531" ht="10.050000190734863" customHeight="1">
      <x:c r="A1531" s="21" t="s">
        <x:v>7053</x:v>
      </x:c>
      <x:c r="B1531" s="20" t="s">
        <x:v>7053</x:v>
      </x:c>
      <x:c r="C1531" s="20" t="s">
        <x:v>7054</x:v>
      </x:c>
      <x:c r="D1531" s="24">
        <x:v>10</x:v>
      </x:c>
      <x:c r="E1531" s="24" t="s">
        <x:v>103</x:v>
      </x:c>
      <x:c r="F1531" s="20" t="s">
        <x:v>97</x:v>
      </x:c>
      <x:c r="G1531" s="26">
        <x:v>41451</x:v>
      </x:c>
      <x:c r="H1531" s="24" t="s">
        <x:v>7055</x:v>
      </x:c>
      <x:c r="I1531" s="28" t="s">
        <x:v>7056</x:v>
      </x:c>
      <x:c r="J1531" s="29" t="s">
        <x:v>7057</x:v>
      </x:c>
    </x:row>
    <x:row r="1532" ht="10.050000190734863" customHeight="1">
      <x:c r="A1532" s="21" t="s">
        <x:v>7058</x:v>
      </x:c>
      <x:c r="B1532" s="20" t="s">
        <x:v>7058</x:v>
      </x:c>
      <x:c r="C1532" s="20" t="s">
        <x:v>586</x:v>
      </x:c>
      <x:c r="D1532" s="24">
        <x:v>9</x:v>
      </x:c>
      <x:c r="E1532" s="24" t="s">
        <x:v>96</x:v>
      </x:c>
      <x:c r="F1532" s="20" t="s">
        <x:v>97</x:v>
      </x:c>
      <x:c r="G1532" s="26">
        <x:v>45352</x:v>
      </x:c>
      <x:c r="H1532" s="24" t="s">
        <x:v>7059</x:v>
      </x:c>
      <x:c r="I1532" s="28" t="s">
        <x:v>7060</x:v>
      </x:c>
      <x:c r="J1532" s="29" t="s">
        <x:v>7061</x:v>
      </x:c>
    </x:row>
    <x:row r="1533" ht="10.050000190734863" customHeight="1">
      <x:c r="A1533" s="21" t="s">
        <x:v>7062</x:v>
      </x:c>
      <x:c r="B1533" s="20" t="s">
        <x:v>7062</x:v>
      </x:c>
      <x:c r="C1533" s="20" t="s">
        <x:v>1427</x:v>
      </x:c>
      <x:c r="D1533" s="24">
        <x:v>17</x:v>
      </x:c>
      <x:c r="E1533" s="24" t="s">
        <x:v>89</x:v>
      </x:c>
      <x:c r="F1533" s="20" t="s">
        <x:v>90</x:v>
      </x:c>
      <x:c r="G1533" s="26">
        <x:v>45938</x:v>
      </x:c>
      <x:c r="H1533" s="24" t="s">
        <x:v>7063</x:v>
      </x:c>
      <x:c r="I1533" s="28" t="s">
        <x:v>7064</x:v>
      </x:c>
      <x:c r="J1533" s="29" t="s">
        <x:v>7065</x:v>
      </x:c>
    </x:row>
    <x:row r="1534" ht="10.050000190734863" customHeight="1">
      <x:c r="A1534" s="21" t="s">
        <x:v>7066</x:v>
      </x:c>
      <x:c r="B1534" s="20" t="s">
        <x:v>7066</x:v>
      </x:c>
      <x:c r="C1534" s="20" t="s">
        <x:v>7067</x:v>
      </x:c>
      <x:c r="D1534" s="24">
        <x:v>5</x:v>
      </x:c>
      <x:c r="E1534" s="24" t="s">
        <x:v>198</x:v>
      </x:c>
      <x:c r="F1534" s="20" t="s">
        <x:v>90</x:v>
      </x:c>
      <x:c r="G1534" s="26">
        <x:v>44565</x:v>
      </x:c>
      <x:c r="H1534" s="24" t="s">
        <x:v>7068</x:v>
      </x:c>
      <x:c r="I1534" s="28" t="s">
        <x:v>7069</x:v>
      </x:c>
      <x:c r="J1534" s="29" t="s">
        <x:v>7070</x:v>
      </x:c>
    </x:row>
    <x:row r="1535" ht="10.050000190734863" customHeight="1">
      <x:c r="A1535" s="21" t="s">
        <x:v>7071</x:v>
      </x:c>
      <x:c r="B1535" s="20" t="s">
        <x:v>7071</x:v>
      </x:c>
      <x:c r="C1535" s="20" t="s">
        <x:v>3221</x:v>
      </x:c>
      <x:c r="D1535" s="24">
        <x:v>1</x:v>
      </x:c>
      <x:c r="E1535" s="24" t="s">
        <x:v>114</x:v>
      </x:c>
      <x:c r="F1535" s="20" t="s">
        <x:v>90</x:v>
      </x:c>
      <x:c r="G1535" s="26">
        <x:v>44412</x:v>
      </x:c>
      <x:c r="H1535" s="24" t="s">
        <x:v>7072</x:v>
      </x:c>
      <x:c r="I1535" s="28" t="s">
        <x:v>7073</x:v>
      </x:c>
      <x:c r="J1535" s="29" t="s">
        <x:v>7074</x:v>
      </x:c>
    </x:row>
    <x:row r="1536" ht="10.050000190734863" customHeight="1">
      <x:c r="A1536" s="21" t="s">
        <x:v>7075</x:v>
      </x:c>
      <x:c r="B1536" s="20" t="s">
        <x:v>7075</x:v>
      </x:c>
      <x:c r="C1536" s="20" t="s">
        <x:v>3221</x:v>
      </x:c>
      <x:c r="D1536" s="24">
        <x:v>1</x:v>
      </x:c>
      <x:c r="E1536" s="24" t="s">
        <x:v>198</x:v>
      </x:c>
      <x:c r="F1536" s="20" t="s">
        <x:v>90</x:v>
      </x:c>
      <x:c r="G1536" s="26">
        <x:v>44853</x:v>
      </x:c>
      <x:c r="H1536" s="24" t="s">
        <x:v>7076</x:v>
      </x:c>
      <x:c r="I1536" s="28" t="s">
        <x:v>7077</x:v>
      </x:c>
      <x:c r="J1536" s="29" t="s">
        <x:v>7078</x:v>
      </x:c>
    </x:row>
    <x:row r="1537" ht="10.050000190734863" customHeight="1">
      <x:c r="A1537" s="21" t="s">
        <x:v>7079</x:v>
      </x:c>
      <x:c r="B1537" s="20" t="s">
        <x:v>7079</x:v>
      </x:c>
      <x:c r="C1537" s="20" t="s">
        <x:v>203</x:v>
      </x:c>
      <x:c r="D1537" s="24">
        <x:v>5</x:v>
      </x:c>
      <x:c r="E1537" s="24" t="s">
        <x:v>198</x:v>
      </x:c>
      <x:c r="F1537" s="20" t="s">
        <x:v>90</x:v>
      </x:c>
      <x:c r="G1537" s="26">
        <x:v>44557</x:v>
      </x:c>
      <x:c r="H1537" s="24" t="s">
        <x:v>7080</x:v>
      </x:c>
      <x:c r="I1537" s="28" t="s">
        <x:v>7081</x:v>
      </x:c>
      <x:c r="J1537" s="29" t="s">
        <x:v>7082</x:v>
      </x:c>
    </x:row>
    <x:row r="1538" ht="10.050000190734863" customHeight="1">
      <x:c r="A1538" s="21" t="s">
        <x:v>7083</x:v>
      </x:c>
      <x:c r="B1538" s="20" t="s">
        <x:v>7083</x:v>
      </x:c>
      <x:c r="C1538" s="20" t="s">
        <x:v>680</x:v>
      </x:c>
      <x:c r="D1538" s="24">
        <x:v>0</x:v>
      </x:c>
      <x:c r="E1538" s="24" t="s">
        <x:v>114</x:v>
      </x:c>
      <x:c r="F1538" s="20" t="s">
        <x:v>97</x:v>
      </x:c>
      <x:c r="G1538" s="26">
        <x:v>45182</x:v>
      </x:c>
      <x:c r="H1538" s="24" t="s">
        <x:v>7084</x:v>
      </x:c>
      <x:c r="I1538" s="28" t="s">
        <x:v>7085</x:v>
      </x:c>
      <x:c r="J1538" s="29" t="s">
        <x:v>7086</x:v>
      </x:c>
    </x:row>
    <x:row r="1539" ht="10.050000190734863" customHeight="1">
      <x:c r="A1539" s="21" t="s">
        <x:v>7087</x:v>
      </x:c>
      <x:c r="B1539" s="20" t="s">
        <x:v>7087</x:v>
      </x:c>
      <x:c r="C1539" s="20" t="s">
        <x:v>1969</x:v>
      </x:c>
      <x:c r="D1539" s="24">
        <x:v>8</x:v>
      </x:c>
      <x:c r="E1539" s="24" t="s">
        <x:v>114</x:v>
      </x:c>
      <x:c r="F1539" s="20" t="s">
        <x:v>90</x:v>
      </x:c>
      <x:c r="G1539" s="26">
        <x:v>44613</x:v>
      </x:c>
      <x:c r="H1539" s="24" t="s">
        <x:v>7088</x:v>
      </x:c>
      <x:c r="I1539" s="28" t="s">
        <x:v>7089</x:v>
      </x:c>
      <x:c r="J1539" s="29" t="s">
        <x:v>7090</x:v>
      </x:c>
    </x:row>
    <x:row r="1540" ht="10.050000190734863" customHeight="1">
      <x:c r="A1540" s="21" t="s">
        <x:v>7091</x:v>
      </x:c>
      <x:c r="B1540" s="20" t="s">
        <x:v>7091</x:v>
      </x:c>
      <x:c r="C1540" s="20" t="s">
        <x:v>1608</x:v>
      </x:c>
      <x:c r="D1540" s="24">
        <x:v>8</x:v>
      </x:c>
      <x:c r="E1540" s="24" t="s">
        <x:v>198</x:v>
      </x:c>
      <x:c r="F1540" s="20" t="s">
        <x:v>90</x:v>
      </x:c>
      <x:c r="G1540" s="26">
        <x:v>44216</x:v>
      </x:c>
      <x:c r="H1540" s="24" t="s">
        <x:v>7092</x:v>
      </x:c>
      <x:c r="I1540" s="28" t="s">
        <x:v>7093</x:v>
      </x:c>
      <x:c r="J1540" s="29" t="s">
        <x:v>7094</x:v>
      </x:c>
    </x:row>
    <x:row r="1541" ht="10.050000190734863" customHeight="1">
      <x:c r="A1541" s="21" t="s">
        <x:v>7095</x:v>
      </x:c>
      <x:c r="B1541" s="20" t="s">
        <x:v>7095</x:v>
      </x:c>
      <x:c r="C1541" s="20" t="s">
        <x:v>7096</x:v>
      </x:c>
      <x:c r="D1541" s="24">
        <x:v>1</x:v>
      </x:c>
      <x:c r="E1541" s="24" t="s">
        <x:v>89</x:v>
      </x:c>
      <x:c r="F1541" s="20" t="s">
        <x:v>90</x:v>
      </x:c>
      <x:c r="G1541" s="26">
        <x:v>46004</x:v>
      </x:c>
      <x:c r="H1541" s="24" t="s">
        <x:v>7097</x:v>
      </x:c>
      <x:c r="I1541" s="28" t="s">
        <x:v>7098</x:v>
      </x:c>
      <x:c r="J1541" s="29" t="s">
        <x:v>7099</x:v>
      </x:c>
    </x:row>
    <x:row r="1542" ht="10.050000190734863" customHeight="1">
      <x:c r="A1542" s="21" t="s">
        <x:v>7100</x:v>
      </x:c>
      <x:c r="B1542" s="20" t="s">
        <x:v>7100</x:v>
      </x:c>
      <x:c r="C1542" s="20" t="s">
        <x:v>2287</x:v>
      </x:c>
      <x:c r="D1542" s="24">
        <x:v>15</x:v>
      </x:c>
      <x:c r="E1542" s="24" t="s">
        <x:v>114</x:v>
      </x:c>
      <x:c r="F1542" s="20" t="s">
        <x:v>90</x:v>
      </x:c>
      <x:c r="G1542" s="26">
        <x:v>46157</x:v>
      </x:c>
      <x:c r="H1542" s="24" t="s">
        <x:v>7101</x:v>
      </x:c>
      <x:c r="I1542" s="28" t="s">
        <x:v>7102</x:v>
      </x:c>
      <x:c r="J1542" s="29" t="s">
        <x:v>7103</x:v>
      </x:c>
    </x:row>
    <x:row r="1543" ht="10.050000190734863" customHeight="1">
      <x:c r="A1543" s="21" t="s">
        <x:v>7104</x:v>
      </x:c>
      <x:c r="B1543" s="20" t="s">
        <x:v>7104</x:v>
      </x:c>
      <x:c r="C1543" s="20" t="s">
        <x:v>2391</x:v>
      </x:c>
      <x:c r="D1543" s="24">
        <x:v>1</x:v>
      </x:c>
      <x:c r="E1543" s="24" t="s">
        <x:v>198</x:v>
      </x:c>
      <x:c r="F1543" s="20" t="s">
        <x:v>90</x:v>
      </x:c>
      <x:c r="G1543" s="26">
        <x:v>44198</x:v>
      </x:c>
      <x:c r="H1543" s="24" t="s">
        <x:v>7105</x:v>
      </x:c>
      <x:c r="I1543" s="28" t="s">
        <x:v>7106</x:v>
      </x:c>
      <x:c r="J1543" s="29" t="s">
        <x:v>7107</x:v>
      </x:c>
    </x:row>
    <x:row r="1544" ht="10.050000190734863" customHeight="1">
      <x:c r="A1544" s="21" t="s">
        <x:v>7108</x:v>
      </x:c>
      <x:c r="B1544" s="20" t="s">
        <x:v>7108</x:v>
      </x:c>
      <x:c r="C1544" s="20" t="s">
        <x:v>7109</x:v>
      </x:c>
      <x:c r="D1544" s="24">
        <x:v>6</x:v>
      </x:c>
      <x:c r="E1544" s="24" t="s">
        <x:v>114</x:v>
      </x:c>
      <x:c r="F1544" s="20" t="s">
        <x:v>90</x:v>
      </x:c>
      <x:c r="G1544" s="26">
        <x:v>45492</x:v>
      </x:c>
      <x:c r="H1544" s="24" t="s">
        <x:v>7110</x:v>
      </x:c>
      <x:c r="I1544" s="28" t="s">
        <x:v>7111</x:v>
      </x:c>
      <x:c r="J1544" s="29" t="s">
        <x:v>7112</x:v>
      </x:c>
    </x:row>
    <x:row r="1545" ht="10.050000190734863" customHeight="1">
      <x:c r="A1545" s="21" t="s">
        <x:v>7113</x:v>
      </x:c>
      <x:c r="B1545" s="20" t="s">
        <x:v>7113</x:v>
      </x:c>
      <x:c r="C1545" s="20" t="s">
        <x:v>7114</x:v>
      </x:c>
      <x:c r="D1545" s="24">
        <x:v>4</x:v>
      </x:c>
      <x:c r="E1545" s="24" t="s">
        <x:v>198</x:v>
      </x:c>
      <x:c r="F1545" s="20" t="s">
        <x:v>90</x:v>
      </x:c>
      <x:c r="G1545" s="26">
        <x:v>46041</x:v>
      </x:c>
      <x:c r="H1545" s="24" t="s">
        <x:v>7115</x:v>
      </x:c>
      <x:c r="I1545" s="28" t="s">
        <x:v>7116</x:v>
      </x:c>
      <x:c r="J1545" s="29" t="s">
        <x:v>7117</x:v>
      </x:c>
    </x:row>
    <x:row r="1546" ht="10.050000190734863" customHeight="1">
      <x:c r="A1546" s="21" t="s">
        <x:v>7118</x:v>
      </x:c>
      <x:c r="B1546" s="20" t="s">
        <x:v>7118</x:v>
      </x:c>
      <x:c r="C1546" s="20" t="s">
        <x:v>7119</x:v>
      </x:c>
      <x:c r="D1546" s="24">
        <x:v>12</x:v>
      </x:c>
      <x:c r="E1546" s="24" t="s">
        <x:v>198</x:v>
      </x:c>
      <x:c r="F1546" s="20" t="s">
        <x:v>90</x:v>
      </x:c>
      <x:c r="G1546" s="26">
        <x:v>44096</x:v>
      </x:c>
      <x:c r="H1546" s="24" t="s">
        <x:v>7120</x:v>
      </x:c>
      <x:c r="I1546" s="28" t="s">
        <x:v>7121</x:v>
      </x:c>
      <x:c r="J1546" s="29" t="s">
        <x:v>7122</x:v>
      </x:c>
    </x:row>
    <x:row r="1547" ht="10.050000190734863" customHeight="1">
      <x:c r="A1547" s="21" t="s">
        <x:v>7123</x:v>
      </x:c>
      <x:c r="B1547" s="20" t="s">
        <x:v>7123</x:v>
      </x:c>
      <x:c r="C1547" s="20" t="s">
        <x:v>7119</x:v>
      </x:c>
      <x:c r="D1547" s="24">
        <x:v>7</x:v>
      </x:c>
      <x:c r="E1547" s="24" t="s">
        <x:v>198</x:v>
      </x:c>
      <x:c r="F1547" s="20" t="s">
        <x:v>90</x:v>
      </x:c>
      <x:c r="G1547" s="26">
        <x:v>43486</x:v>
      </x:c>
      <x:c r="H1547" s="24" t="s">
        <x:v>7124</x:v>
      </x:c>
      <x:c r="I1547" s="28" t="s">
        <x:v>7125</x:v>
      </x:c>
      <x:c r="J1547" s="29" t="s">
        <x:v>7126</x:v>
      </x:c>
    </x:row>
    <x:row r="1548" ht="10.050000190734863" customHeight="1">
      <x:c r="A1548" s="21" t="s">
        <x:v>7127</x:v>
      </x:c>
      <x:c r="B1548" s="20" t="s">
        <x:v>7127</x:v>
      </x:c>
      <x:c r="C1548" s="20" t="s">
        <x:v>3611</x:v>
      </x:c>
      <x:c r="D1548" s="24">
        <x:v>14</x:v>
      </x:c>
      <x:c r="E1548" s="24" t="s">
        <x:v>198</x:v>
      </x:c>
      <x:c r="F1548" s="20" t="s">
        <x:v>90</x:v>
      </x:c>
      <x:c r="G1548" s="26">
        <x:v>46180</x:v>
      </x:c>
      <x:c r="H1548" s="24" t="s">
        <x:v>7128</x:v>
      </x:c>
      <x:c r="I1548" s="28" t="s">
        <x:v>7129</x:v>
      </x:c>
      <x:c r="J1548" s="29" t="s">
        <x:v>7130</x:v>
      </x:c>
    </x:row>
    <x:row r="1549" ht="10.050000190734863" customHeight="1">
      <x:c r="A1549" s="21" t="s">
        <x:v>7131</x:v>
      </x:c>
      <x:c r="B1549" s="20" t="s">
        <x:v>7131</x:v>
      </x:c>
      <x:c r="C1549" s="20" t="s">
        <x:v>7132</x:v>
      </x:c>
      <x:c r="D1549" s="24">
        <x:v>10</x:v>
      </x:c>
      <x:c r="E1549" s="24" t="s">
        <x:v>198</x:v>
      </x:c>
      <x:c r="F1549" s="20" t="s">
        <x:v>90</x:v>
      </x:c>
      <x:c r="G1549" s="26">
        <x:v>45977</x:v>
      </x:c>
      <x:c r="H1549" s="24" t="s">
        <x:v>7133</x:v>
      </x:c>
      <x:c r="I1549" s="28" t="s">
        <x:v>7134</x:v>
      </x:c>
      <x:c r="J1549" s="29" t="s">
        <x:v>7135</x:v>
      </x:c>
    </x:row>
    <x:row r="1550" ht="10.050000190734863" customHeight="1">
      <x:c r="A1550" s="21" t="s">
        <x:v>7136</x:v>
      </x:c>
      <x:c r="B1550" s="20" t="s">
        <x:v>7136</x:v>
      </x:c>
      <x:c r="C1550" s="20" t="s">
        <x:v>2013</x:v>
      </x:c>
      <x:c r="D1550" s="24">
        <x:v>7</x:v>
      </x:c>
      <x:c r="E1550" s="24" t="s">
        <x:v>198</x:v>
      </x:c>
      <x:c r="F1550" s="20" t="s">
        <x:v>90</x:v>
      </x:c>
      <x:c r="G1550" s="26">
        <x:v>44317</x:v>
      </x:c>
      <x:c r="H1550" s="24" t="s">
        <x:v>7137</x:v>
      </x:c>
      <x:c r="I1550" s="28" t="s">
        <x:v>7138</x:v>
      </x:c>
      <x:c r="J1550" s="29" t="s">
        <x:v>7139</x:v>
      </x:c>
    </x:row>
    <x:row r="1551" ht="10.050000190734863" customHeight="1">
      <x:c r="A1551" s="21" t="s">
        <x:v>7140</x:v>
      </x:c>
      <x:c r="B1551" s="20" t="s">
        <x:v>7140</x:v>
      </x:c>
      <x:c r="C1551" s="20" t="s">
        <x:v>1502</x:v>
      </x:c>
      <x:c r="D1551" s="24">
        <x:v>11</x:v>
      </x:c>
      <x:c r="E1551" s="24" t="s">
        <x:v>89</x:v>
      </x:c>
      <x:c r="F1551" s="20" t="s">
        <x:v>90</x:v>
      </x:c>
      <x:c r="G1551" s="26">
        <x:v>45935</x:v>
      </x:c>
      <x:c r="H1551" s="24" t="s">
        <x:v>7141</x:v>
      </x:c>
      <x:c r="I1551" s="28" t="s">
        <x:v>7142</x:v>
      </x:c>
      <x:c r="J1551" s="29" t="s">
        <x:v>7143</x:v>
      </x:c>
    </x:row>
    <x:row r="1552" ht="10.050000190734863" customHeight="1">
      <x:c r="A1552" s="21" t="s">
        <x:v>7144</x:v>
      </x:c>
      <x:c r="B1552" s="20" t="s">
        <x:v>7144</x:v>
      </x:c>
      <x:c r="C1552" s="20" t="s">
        <x:v>1189</x:v>
      </x:c>
      <x:c r="D1552" s="24">
        <x:v>12</x:v>
      </x:c>
      <x:c r="E1552" s="24" t="s">
        <x:v>198</x:v>
      </x:c>
      <x:c r="F1552" s="20" t="s">
        <x:v>90</x:v>
      </x:c>
      <x:c r="G1552" s="26">
        <x:v>45516</x:v>
      </x:c>
      <x:c r="H1552" s="24" t="s">
        <x:v>7145</x:v>
      </x:c>
      <x:c r="I1552" s="28" t="s">
        <x:v>7146</x:v>
      </x:c>
      <x:c r="J1552" s="29" t="s">
        <x:v>7147</x:v>
      </x:c>
    </x:row>
    <x:row r="1553" ht="10.050000190734863" customHeight="1">
      <x:c r="A1553" s="21" t="s">
        <x:v>7148</x:v>
      </x:c>
      <x:c r="B1553" s="20" t="s">
        <x:v>7148</x:v>
      </x:c>
      <x:c r="C1553" s="20" t="s">
        <x:v>7149</x:v>
      </x:c>
      <x:c r="D1553" s="24">
        <x:v>10</x:v>
      </x:c>
      <x:c r="E1553" s="24" t="s">
        <x:v>89</x:v>
      </x:c>
      <x:c r="F1553" s="20" t="s">
        <x:v>90</x:v>
      </x:c>
      <x:c r="G1553" s="26">
        <x:v>44900</x:v>
      </x:c>
      <x:c r="H1553" s="24" t="s">
        <x:v>7150</x:v>
      </x:c>
      <x:c r="I1553" s="28" t="s">
        <x:v>7151</x:v>
      </x:c>
      <x:c r="J1553" s="29" t="s">
        <x:v>7152</x:v>
      </x:c>
    </x:row>
    <x:row r="1554" ht="10.050000190734863" customHeight="1">
      <x:c r="A1554" s="21" t="s">
        <x:v>7153</x:v>
      </x:c>
      <x:c r="B1554" s="20" t="s">
        <x:v>7153</x:v>
      </x:c>
      <x:c r="C1554" s="20" t="s">
        <x:v>2170</x:v>
      </x:c>
      <x:c r="D1554" s="24">
        <x:v>8</x:v>
      </x:c>
      <x:c r="E1554" s="24" t="s">
        <x:v>198</x:v>
      </x:c>
      <x:c r="F1554" s="20" t="s">
        <x:v>90</x:v>
      </x:c>
      <x:c r="G1554" s="26">
        <x:v>45079</x:v>
      </x:c>
      <x:c r="H1554" s="24" t="s">
        <x:v>7154</x:v>
      </x:c>
      <x:c r="I1554" s="28" t="s">
        <x:v>7155</x:v>
      </x:c>
      <x:c r="J1554" s="29" t="s">
        <x:v>7156</x:v>
      </x:c>
    </x:row>
    <x:row r="1555" ht="10.050000190734863" customHeight="1">
      <x:c r="A1555" s="21" t="s">
        <x:v>7157</x:v>
      </x:c>
      <x:c r="B1555" s="20" t="s">
        <x:v>7157</x:v>
      </x:c>
      <x:c r="C1555" s="20" t="s">
        <x:v>409</x:v>
      </x:c>
      <x:c r="D1555" s="24">
        <x:v>8</x:v>
      </x:c>
      <x:c r="E1555" s="24" t="s">
        <x:v>89</x:v>
      </x:c>
      <x:c r="F1555" s="20" t="s">
        <x:v>90</x:v>
      </x:c>
      <x:c r="G1555" s="26">
        <x:v>44185</x:v>
      </x:c>
      <x:c r="H1555" s="24" t="s">
        <x:v>7158</x:v>
      </x:c>
      <x:c r="I1555" s="28" t="s">
        <x:v>7159</x:v>
      </x:c>
      <x:c r="J1555" s="29" t="s">
        <x:v>7160</x:v>
      </x:c>
    </x:row>
    <x:row r="1556" ht="10.050000190734863" customHeight="1">
      <x:c r="A1556" s="21" t="s">
        <x:v>7161</x:v>
      </x:c>
      <x:c r="B1556" s="20" t="s">
        <x:v>7161</x:v>
      </x:c>
      <x:c r="C1556" s="20" t="s">
        <x:v>1502</x:v>
      </x:c>
      <x:c r="D1556" s="24">
        <x:v>10</x:v>
      </x:c>
      <x:c r="E1556" s="24" t="s">
        <x:v>96</x:v>
      </x:c>
      <x:c r="F1556" s="20" t="s">
        <x:v>90</x:v>
      </x:c>
      <x:c r="G1556" s="26">
        <x:v>45436</x:v>
      </x:c>
      <x:c r="H1556" s="24" t="s">
        <x:v>7162</x:v>
      </x:c>
      <x:c r="I1556" s="28" t="s">
        <x:v>7163</x:v>
      </x:c>
      <x:c r="J1556" s="29" t="s">
        <x:v>7164</x:v>
      </x:c>
    </x:row>
    <x:row r="1557" ht="10.050000190734863" customHeight="1">
      <x:c r="A1557" s="21" t="s">
        <x:v>7165</x:v>
      </x:c>
      <x:c r="B1557" s="20" t="s">
        <x:v>7165</x:v>
      </x:c>
      <x:c r="C1557" s="20" t="s">
        <x:v>1502</x:v>
      </x:c>
      <x:c r="D1557" s="24">
        <x:v>10</x:v>
      </x:c>
      <x:c r="E1557" s="24" t="s">
        <x:v>89</x:v>
      </x:c>
      <x:c r="F1557" s="20" t="s">
        <x:v>90</x:v>
      </x:c>
      <x:c r="G1557" s="26">
        <x:v>45429</x:v>
      </x:c>
      <x:c r="H1557" s="24" t="s">
        <x:v>7166</x:v>
      </x:c>
      <x:c r="I1557" s="28" t="s">
        <x:v>7167</x:v>
      </x:c>
      <x:c r="J1557" s="29" t="s">
        <x:v>7168</x:v>
      </x:c>
    </x:row>
    <x:row r="1558" ht="10.050000190734863" customHeight="1">
      <x:c r="A1558" s="21" t="s">
        <x:v>7169</x:v>
      </x:c>
      <x:c r="B1558" s="20" t="s">
        <x:v>7169</x:v>
      </x:c>
      <x:c r="C1558" s="20" t="s">
        <x:v>7096</x:v>
      </x:c>
      <x:c r="D1558" s="24">
        <x:v>9</x:v>
      </x:c>
      <x:c r="E1558" s="24" t="s">
        <x:v>125</x:v>
      </x:c>
      <x:c r="F1558" s="20" t="s">
        <x:v>90</x:v>
      </x:c>
      <x:c r="G1558" s="26">
        <x:v>46083</x:v>
      </x:c>
      <x:c r="H1558" s="24" t="s">
        <x:v>7170</x:v>
      </x:c>
      <x:c r="I1558" s="28" t="s">
        <x:v>7171</x:v>
      </x:c>
      <x:c r="J1558" s="29" t="s">
        <x:v>7172</x:v>
      </x:c>
    </x:row>
    <x:row r="1559" ht="10.050000190734863" customHeight="1">
      <x:c r="A1559" s="21" t="s">
        <x:v>7173</x:v>
      </x:c>
      <x:c r="B1559" s="20" t="s">
        <x:v>7173</x:v>
      </x:c>
      <x:c r="C1559" s="20" t="s">
        <x:v>7174</x:v>
      </x:c>
      <x:c r="D1559" s="24">
        <x:v>9</x:v>
      </x:c>
      <x:c r="E1559" s="24" t="s">
        <x:v>89</x:v>
      </x:c>
      <x:c r="F1559" s="20" t="s">
        <x:v>90</x:v>
      </x:c>
      <x:c r="G1559" s="26">
        <x:v>44991</x:v>
      </x:c>
      <x:c r="H1559" s="24" t="s">
        <x:v>7175</x:v>
      </x:c>
      <x:c r="I1559" s="28" t="s">
        <x:v>7176</x:v>
      </x:c>
      <x:c r="J1559" s="29" t="s">
        <x:v>7177</x:v>
      </x:c>
    </x:row>
    <x:row r="1560" ht="10.050000190734863" customHeight="1">
      <x:c r="A1560" s="21" t="s">
        <x:v>7178</x:v>
      </x:c>
      <x:c r="B1560" s="20" t="s">
        <x:v>7178</x:v>
      </x:c>
      <x:c r="C1560" s="20" t="s">
        <x:v>7179</x:v>
      </x:c>
      <x:c r="D1560" s="24">
        <x:v>9</x:v>
      </x:c>
      <x:c r="E1560" s="24" t="s">
        <x:v>198</x:v>
      </x:c>
      <x:c r="F1560" s="20" t="s">
        <x:v>90</x:v>
      </x:c>
      <x:c r="G1560" s="26">
        <x:v>45698</x:v>
      </x:c>
      <x:c r="H1560" s="24" t="s">
        <x:v>7180</x:v>
      </x:c>
      <x:c r="I1560" s="28" t="s">
        <x:v>7181</x:v>
      </x:c>
      <x:c r="J1560" s="29" t="s">
        <x:v>7182</x:v>
      </x:c>
    </x:row>
    <x:row r="1561" ht="10.050000190734863" customHeight="1">
      <x:c r="A1561" s="21" t="s">
        <x:v>7183</x:v>
      </x:c>
      <x:c r="B1561" s="20" t="s">
        <x:v>7183</x:v>
      </x:c>
      <x:c r="C1561" s="20" t="s">
        <x:v>7184</x:v>
      </x:c>
      <x:c r="D1561" s="24">
        <x:v>9</x:v>
      </x:c>
      <x:c r="E1561" s="24" t="s">
        <x:v>198</x:v>
      </x:c>
      <x:c r="F1561" s="20" t="s">
        <x:v>90</x:v>
      </x:c>
      <x:c r="G1561" s="26">
        <x:v>44931</x:v>
      </x:c>
      <x:c r="H1561" s="24" t="s">
        <x:v>7185</x:v>
      </x:c>
      <x:c r="I1561" s="28" t="s">
        <x:v>7186</x:v>
      </x:c>
      <x:c r="J1561" s="29" t="s">
        <x:v>7187</x:v>
      </x:c>
    </x:row>
    <x:row r="1562" ht="10.050000190734863" customHeight="1">
      <x:c r="A1562" s="21" t="s">
        <x:v>7188</x:v>
      </x:c>
      <x:c r="B1562" s="20" t="s">
        <x:v>7188</x:v>
      </x:c>
      <x:c r="C1562" s="20" t="s">
        <x:v>7189</x:v>
      </x:c>
      <x:c r="D1562" s="24">
        <x:v>12</x:v>
      </x:c>
      <x:c r="E1562" s="24" t="s">
        <x:v>198</x:v>
      </x:c>
      <x:c r="F1562" s="20" t="s">
        <x:v>90</x:v>
      </x:c>
      <x:c r="G1562" s="26">
        <x:v>45749</x:v>
      </x:c>
      <x:c r="H1562" s="24" t="s">
        <x:v>7190</x:v>
      </x:c>
      <x:c r="I1562" s="28" t="s">
        <x:v>7191</x:v>
      </x:c>
      <x:c r="J1562" s="29" t="s">
        <x:v>7192</x:v>
      </x:c>
    </x:row>
    <x:row r="1563" ht="10.050000190734863" customHeight="1">
      <x:c r="A1563" s="21" t="s">
        <x:v>7193</x:v>
      </x:c>
      <x:c r="B1563" s="20" t="s">
        <x:v>7193</x:v>
      </x:c>
      <x:c r="C1563" s="20" t="s">
        <x:v>7194</x:v>
      </x:c>
      <x:c r="D1563" s="24">
        <x:v>24</x:v>
      </x:c>
      <x:c r="E1563" s="24" t="s">
        <x:v>103</x:v>
      </x:c>
      <x:c r="F1563" s="20" t="s">
        <x:v>97</x:v>
      </x:c>
      <x:c r="G1563" s="26">
        <x:v>41629</x:v>
      </x:c>
      <x:c r="H1563" s="24" t="s">
        <x:v>7195</x:v>
      </x:c>
      <x:c r="I1563" s="28" t="s">
        <x:v>7196</x:v>
      </x:c>
      <x:c r="J1563" s="29" t="s">
        <x:v>7197</x:v>
      </x:c>
    </x:row>
    <x:row r="1564" ht="10.050000190734863" customHeight="1">
      <x:c r="A1564" s="21" t="s">
        <x:v>7198</x:v>
      </x:c>
      <x:c r="B1564" s="20" t="s">
        <x:v>7198</x:v>
      </x:c>
      <x:c r="C1564" s="20" t="s">
        <x:v>850</x:v>
      </x:c>
      <x:c r="D1564" s="24">
        <x:v>10</x:v>
      </x:c>
      <x:c r="E1564" s="24" t="s">
        <x:v>198</x:v>
      </x:c>
      <x:c r="F1564" s="20" t="s">
        <x:v>90</x:v>
      </x:c>
      <x:c r="G1564" s="26">
        <x:v>45484</x:v>
      </x:c>
      <x:c r="H1564" s="24" t="s">
        <x:v>7199</x:v>
      </x:c>
      <x:c r="I1564" s="28" t="s">
        <x:v>7200</x:v>
      </x:c>
      <x:c r="J1564" s="29" t="s">
        <x:v>7201</x:v>
      </x:c>
    </x:row>
    <x:row r="1565" ht="10.050000190734863" customHeight="1">
      <x:c r="A1565" s="21" t="s">
        <x:v>7202</x:v>
      </x:c>
      <x:c r="B1565" s="20" t="s">
        <x:v>7202</x:v>
      </x:c>
      <x:c r="C1565" s="20" t="s">
        <x:v>3012</x:v>
      </x:c>
      <x:c r="D1565" s="24">
        <x:v>7</x:v>
      </x:c>
      <x:c r="E1565" s="24" t="s">
        <x:v>96</x:v>
      </x:c>
      <x:c r="F1565" s="20" t="s">
        <x:v>90</x:v>
      </x:c>
      <x:c r="G1565" s="26">
        <x:v>44409</x:v>
      </x:c>
      <x:c r="H1565" s="24" t="s">
        <x:v>7203</x:v>
      </x:c>
      <x:c r="I1565" s="28" t="s">
        <x:v>7204</x:v>
      </x:c>
      <x:c r="J1565" s="29" t="s">
        <x:v>7205</x:v>
      </x:c>
    </x:row>
    <x:row r="1566" ht="10.050000190734863" customHeight="1">
      <x:c r="A1566" s="21" t="s">
        <x:v>7206</x:v>
      </x:c>
      <x:c r="B1566" s="20" t="s">
        <x:v>7206</x:v>
      </x:c>
      <x:c r="C1566" s="20" t="s">
        <x:v>708</x:v>
      </x:c>
      <x:c r="D1566" s="24">
        <x:v>19</x:v>
      </x:c>
      <x:c r="E1566" s="24" t="s">
        <x:v>114</x:v>
      </x:c>
      <x:c r="F1566" s="20" t="s">
        <x:v>90</x:v>
      </x:c>
      <x:c r="G1566" s="26">
        <x:v>44933</x:v>
      </x:c>
      <x:c r="H1566" s="24" t="s">
        <x:v>7207</x:v>
      </x:c>
      <x:c r="I1566" s="28" t="s">
        <x:v>7208</x:v>
      </x:c>
      <x:c r="J1566" s="29" t="s">
        <x:v>7209</x:v>
      </x:c>
    </x:row>
    <x:row r="1567" ht="10.050000190734863" customHeight="1">
      <x:c r="A1567" s="21" t="s">
        <x:v>7210</x:v>
      </x:c>
      <x:c r="B1567" s="20" t="s">
        <x:v>7210</x:v>
      </x:c>
      <x:c r="C1567" s="20" t="s">
        <x:v>1511</x:v>
      </x:c>
      <x:c r="D1567" s="24">
        <x:v>11</x:v>
      </x:c>
      <x:c r="E1567" s="24" t="s">
        <x:v>89</x:v>
      </x:c>
      <x:c r="F1567" s="20" t="s">
        <x:v>90</x:v>
      </x:c>
      <x:c r="G1567" s="26">
        <x:v>44502</x:v>
      </x:c>
      <x:c r="H1567" s="24" t="s">
        <x:v>7211</x:v>
      </x:c>
      <x:c r="I1567" s="28" t="s">
        <x:v>7212</x:v>
      </x:c>
      <x:c r="J1567" s="29" t="s">
        <x:v>7213</x:v>
      </x:c>
    </x:row>
    <x:row r="1568" ht="10.050000190734863" customHeight="1">
      <x:c r="A1568" s="21" t="s">
        <x:v>7214</x:v>
      </x:c>
      <x:c r="B1568" s="20" t="s">
        <x:v>7214</x:v>
      </x:c>
      <x:c r="C1568" s="20" t="s">
        <x:v>486</x:v>
      </x:c>
      <x:c r="D1568" s="24">
        <x:v>5</x:v>
      </x:c>
      <x:c r="E1568" s="24" t="s">
        <x:v>114</x:v>
      </x:c>
      <x:c r="F1568" s="20" t="s">
        <x:v>90</x:v>
      </x:c>
      <x:c r="G1568" s="26">
        <x:v>45240</x:v>
      </x:c>
      <x:c r="H1568" s="24" t="s">
        <x:v>7215</x:v>
      </x:c>
      <x:c r="I1568" s="28" t="s">
        <x:v>7216</x:v>
      </x:c>
      <x:c r="J1568" s="29" t="s">
        <x:v>7217</x:v>
      </x:c>
    </x:row>
    <x:row r="1569" ht="10.050000190734863" customHeight="1">
      <x:c r="A1569" s="21" t="s">
        <x:v>7218</x:v>
      </x:c>
      <x:c r="B1569" s="20" t="s">
        <x:v>7218</x:v>
      </x:c>
      <x:c r="C1569" s="20" t="s">
        <x:v>7219</x:v>
      </x:c>
      <x:c r="D1569" s="24">
        <x:v>7</x:v>
      </x:c>
      <x:c r="E1569" s="24" t="s">
        <x:v>257</x:v>
      </x:c>
      <x:c r="F1569" s="20" t="s">
        <x:v>97</x:v>
      </x:c>
      <x:c r="G1569" s="26">
        <x:v>43305</x:v>
      </x:c>
      <x:c r="H1569" s="24" t="s">
        <x:v>7220</x:v>
      </x:c>
      <x:c r="I1569" s="28" t="s">
        <x:v>7221</x:v>
      </x:c>
      <x:c r="J1569" s="29" t="s">
        <x:v>7222</x:v>
      </x:c>
    </x:row>
    <x:row r="1570" ht="10.050000190734863" customHeight="1">
      <x:c r="A1570" s="21" t="s">
        <x:v>7223</x:v>
      </x:c>
      <x:c r="B1570" s="20" t="s">
        <x:v>7223</x:v>
      </x:c>
      <x:c r="C1570" s="20" t="s">
        <x:v>2109</x:v>
      </x:c>
      <x:c r="D1570" s="24">
        <x:v>30</x:v>
      </x:c>
      <x:c r="E1570" s="24" t="s">
        <x:v>89</x:v>
      </x:c>
      <x:c r="F1570" s="20" t="s">
        <x:v>97</x:v>
      </x:c>
      <x:c r="G1570" s="26">
        <x:v>45929</x:v>
      </x:c>
      <x:c r="H1570" s="24" t="s">
        <x:v>7224</x:v>
      </x:c>
      <x:c r="I1570" s="28" t="s">
        <x:v>7225</x:v>
      </x:c>
      <x:c r="J1570" s="29" t="s">
        <x:v>7226</x:v>
      </x:c>
    </x:row>
    <x:row r="1571" ht="10.050000190734863" customHeight="1">
      <x:c r="A1571" s="21" t="s">
        <x:v>7227</x:v>
      </x:c>
      <x:c r="B1571" s="20" t="s">
        <x:v>7227</x:v>
      </x:c>
      <x:c r="C1571" s="20" t="s">
        <x:v>7228</x:v>
      </x:c>
      <x:c r="D1571" s="24">
        <x:v>5</x:v>
      </x:c>
      <x:c r="E1571" s="24" t="s">
        <x:v>103</x:v>
      </x:c>
      <x:c r="F1571" s="20" t="s">
        <x:v>97</x:v>
      </x:c>
      <x:c r="G1571" s="26">
        <x:v>41527</x:v>
      </x:c>
      <x:c r="H1571" s="24" t="s">
        <x:v>7229</x:v>
      </x:c>
      <x:c r="I1571" s="28" t="s">
        <x:v>7230</x:v>
      </x:c>
      <x:c r="J1571" s="29" t="s">
        <x:v>7231</x:v>
      </x:c>
    </x:row>
    <x:row r="1572" ht="10.050000190734863" customHeight="1">
      <x:c r="A1572" s="21" t="s">
        <x:v>7232</x:v>
      </x:c>
      <x:c r="B1572" s="20" t="s">
        <x:v>7232</x:v>
      </x:c>
      <x:c r="C1572" s="20" t="s">
        <x:v>7233</x:v>
      </x:c>
      <x:c r="D1572" s="24">
        <x:v>6</x:v>
      </x:c>
      <x:c r="E1572" s="24" t="s">
        <x:v>103</x:v>
      </x:c>
      <x:c r="F1572" s="20" t="s">
        <x:v>97</x:v>
      </x:c>
      <x:c r="G1572" s="26">
        <x:v>42329</x:v>
      </x:c>
      <x:c r="H1572" s="24" t="s">
        <x:v>7234</x:v>
      </x:c>
      <x:c r="I1572" s="28" t="s">
        <x:v>7235</x:v>
      </x:c>
      <x:c r="J1572" s="29" t="s">
        <x:v>7236</x:v>
      </x:c>
    </x:row>
    <x:row r="1573" ht="10.050000190734863" customHeight="1">
      <x:c r="A1573" s="21" t="s">
        <x:v>7237</x:v>
      </x:c>
      <x:c r="B1573" s="20" t="s">
        <x:v>7237</x:v>
      </x:c>
      <x:c r="C1573" s="20" t="s">
        <x:v>7238</x:v>
      </x:c>
      <x:c r="D1573" s="24">
        <x:v>8</x:v>
      </x:c>
      <x:c r="E1573" s="24" t="s">
        <x:v>198</x:v>
      </x:c>
      <x:c r="F1573" s="20" t="s">
        <x:v>90</x:v>
      </x:c>
      <x:c r="G1573" s="26">
        <x:v>44211</x:v>
      </x:c>
      <x:c r="H1573" s="24" t="s">
        <x:v>7239</x:v>
      </x:c>
      <x:c r="I1573" s="28" t="s">
        <x:v>7240</x:v>
      </x:c>
      <x:c r="J1573" s="29" t="s">
        <x:v>7241</x:v>
      </x:c>
    </x:row>
    <x:row r="1574" ht="10.050000190734863" customHeight="1">
      <x:c r="A1574" s="21" t="s">
        <x:v>7242</x:v>
      </x:c>
      <x:c r="B1574" s="20" t="s">
        <x:v>7242</x:v>
      </x:c>
      <x:c r="C1574" s="20" t="s">
        <x:v>7238</x:v>
      </x:c>
      <x:c r="D1574" s="24">
        <x:v>20</x:v>
      </x:c>
      <x:c r="E1574" s="24" t="s">
        <x:v>198</x:v>
      </x:c>
      <x:c r="F1574" s="20" t="s">
        <x:v>90</x:v>
      </x:c>
      <x:c r="G1574" s="26">
        <x:v>44593</x:v>
      </x:c>
      <x:c r="H1574" s="24" t="s">
        <x:v>7243</x:v>
      </x:c>
      <x:c r="I1574" s="28" t="s">
        <x:v>7244</x:v>
      </x:c>
      <x:c r="J1574" s="29" t="s">
        <x:v>7245</x:v>
      </x:c>
    </x:row>
    <x:row r="1575" ht="10.050000190734863" customHeight="1">
      <x:c r="A1575" s="21" t="s">
        <x:v>7246</x:v>
      </x:c>
      <x:c r="B1575" s="20" t="s">
        <x:v>7246</x:v>
      </x:c>
      <x:c r="C1575" s="20" t="s">
        <x:v>3586</x:v>
      </x:c>
      <x:c r="D1575" s="24">
        <x:v>35</x:v>
      </x:c>
      <x:c r="E1575" s="24" t="s">
        <x:v>103</x:v>
      </x:c>
      <x:c r="F1575" s="20" t="s">
        <x:v>97</x:v>
      </x:c>
      <x:c r="G1575" s="26">
        <x:v>41609</x:v>
      </x:c>
      <x:c r="H1575" s="24" t="s">
        <x:v>7247</x:v>
      </x:c>
      <x:c r="I1575" s="28" t="s">
        <x:v>7248</x:v>
      </x:c>
      <x:c r="J1575" s="29" t="s">
        <x:v>7249</x:v>
      </x:c>
    </x:row>
    <x:row r="1576" ht="10.050000190734863" customHeight="1">
      <x:c r="A1576" s="21" t="s">
        <x:v>7250</x:v>
      </x:c>
      <x:c r="B1576" s="20" t="s">
        <x:v>7250</x:v>
      </x:c>
      <x:c r="C1576" s="20" t="s">
        <x:v>3586</x:v>
      </x:c>
      <x:c r="D1576" s="24">
        <x:v>46</x:v>
      </x:c>
      <x:c r="E1576" s="24" t="s">
        <x:v>96</x:v>
      </x:c>
      <x:c r="F1576" s="20" t="s">
        <x:v>97</x:v>
      </x:c>
      <x:c r="G1576" s="26">
        <x:v>44862</x:v>
      </x:c>
      <x:c r="H1576" s="24" t="s">
        <x:v>7251</x:v>
      </x:c>
      <x:c r="I1576" s="28" t="s">
        <x:v>7252</x:v>
      </x:c>
      <x:c r="J1576" s="29" t="s">
        <x:v>7253</x:v>
      </x:c>
    </x:row>
    <x:row r="1577" ht="10.050000190734863" customHeight="1">
      <x:c r="A1577" s="21" t="s">
        <x:v>7254</x:v>
      </x:c>
      <x:c r="B1577" s="20" t="s">
        <x:v>7254</x:v>
      </x:c>
      <x:c r="C1577" s="20" t="s">
        <x:v>3586</x:v>
      </x:c>
      <x:c r="D1577" s="24">
        <x:v>68</x:v>
      </x:c>
      <x:c r="E1577" s="24" t="s">
        <x:v>96</x:v>
      </x:c>
      <x:c r="F1577" s="20" t="s">
        <x:v>97</x:v>
      </x:c>
      <x:c r="G1577" s="26">
        <x:v>44236</x:v>
      </x:c>
      <x:c r="H1577" s="24" t="s">
        <x:v>7255</x:v>
      </x:c>
      <x:c r="I1577" s="28" t="s">
        <x:v>7256</x:v>
      </x:c>
      <x:c r="J1577" s="29" t="s">
        <x:v>7257</x:v>
      </x:c>
    </x:row>
    <x:row r="1578" ht="10.050000190734863" customHeight="1">
      <x:c r="A1578" s="21" t="s">
        <x:v>7258</x:v>
      </x:c>
      <x:c r="B1578" s="20" t="s">
        <x:v>7258</x:v>
      </x:c>
      <x:c r="C1578" s="20" t="s">
        <x:v>7259</x:v>
      </x:c>
      <x:c r="D1578" s="24">
        <x:v>17</x:v>
      </x:c>
      <x:c r="E1578" s="24" t="s">
        <x:v>198</x:v>
      </x:c>
      <x:c r="F1578" s="20" t="s">
        <x:v>90</x:v>
      </x:c>
      <x:c r="G1578" s="26">
        <x:v>44643</x:v>
      </x:c>
      <x:c r="H1578" s="24" t="s">
        <x:v>7260</x:v>
      </x:c>
      <x:c r="I1578" s="28" t="s">
        <x:v>7261</x:v>
      </x:c>
      <x:c r="J1578" s="29" t="s">
        <x:v>7262</x:v>
      </x:c>
    </x:row>
    <x:row r="1579" ht="10.050000190734863" customHeight="1">
      <x:c r="A1579" s="21" t="s">
        <x:v>7263</x:v>
      </x:c>
      <x:c r="B1579" s="20" t="s">
        <x:v>7263</x:v>
      </x:c>
      <x:c r="C1579" s="20" t="s">
        <x:v>685</x:v>
      </x:c>
      <x:c r="D1579" s="24">
        <x:v>6</x:v>
      </x:c>
      <x:c r="E1579" s="24" t="s">
        <x:v>198</x:v>
      </x:c>
      <x:c r="F1579" s="20" t="s">
        <x:v>90</x:v>
      </x:c>
      <x:c r="G1579" s="26">
        <x:v>45597</x:v>
      </x:c>
      <x:c r="H1579" s="24" t="s">
        <x:v>7264</x:v>
      </x:c>
      <x:c r="I1579" s="28" t="s">
        <x:v>7265</x:v>
      </x:c>
      <x:c r="J1579" s="29" t="s">
        <x:v>7266</x:v>
      </x:c>
    </x:row>
    <x:row r="1580" ht="10.050000190734863" customHeight="1">
      <x:c r="A1580" s="21" t="s">
        <x:v>7267</x:v>
      </x:c>
      <x:c r="B1580" s="20" t="s">
        <x:v>7267</x:v>
      </x:c>
      <x:c r="C1580" s="20" t="s">
        <x:v>2396</x:v>
      </x:c>
      <x:c r="D1580" s="24">
        <x:v>20</x:v>
      </x:c>
      <x:c r="E1580" s="24" t="s">
        <x:v>198</x:v>
      </x:c>
      <x:c r="F1580" s="20" t="s">
        <x:v>90</x:v>
      </x:c>
      <x:c r="G1580" s="26">
        <x:v>44354</x:v>
      </x:c>
      <x:c r="H1580" s="24" t="s">
        <x:v>7268</x:v>
      </x:c>
      <x:c r="I1580" s="28" t="s">
        <x:v>7269</x:v>
      </x:c>
      <x:c r="J1580" s="29" t="s">
        <x:v>7270</x:v>
      </x:c>
    </x:row>
    <x:row r="1581" ht="10.050000190734863" customHeight="1">
      <x:c r="A1581" s="21" t="s">
        <x:v>7271</x:v>
      </x:c>
      <x:c r="B1581" s="20" t="s">
        <x:v>7271</x:v>
      </x:c>
      <x:c r="C1581" s="20" t="s">
        <x:v>3504</x:v>
      </x:c>
      <x:c r="D1581" s="24">
        <x:v>7</x:v>
      </x:c>
      <x:c r="E1581" s="24" t="s">
        <x:v>103</x:v>
      </x:c>
      <x:c r="F1581" s="20" t="s">
        <x:v>97</x:v>
      </x:c>
      <x:c r="G1581" s="26">
        <x:v>44782</x:v>
      </x:c>
      <x:c r="H1581" s="24" t="s">
        <x:v>7272</x:v>
      </x:c>
      <x:c r="I1581" s="28" t="s">
        <x:v>7273</x:v>
      </x:c>
      <x:c r="J1581" s="29" t="s">
        <x:v>7274</x:v>
      </x:c>
    </x:row>
    <x:row r="1582" ht="10.050000190734863" customHeight="1">
      <x:c r="A1582" s="21" t="s">
        <x:v>49</x:v>
      </x:c>
      <x:c r="B1582" s="20" t="s">
        <x:v>49</x:v>
      </x:c>
      <x:c r="C1582" s="20" t="s">
        <x:v>7275</x:v>
      </x:c>
      <x:c r="D1582" s="24">
        <x:v>26</x:v>
      </x:c>
      <x:c r="E1582" s="24" t="s">
        <x:v>114</x:v>
      </x:c>
      <x:c r="F1582" s="20" t="s">
        <x:v>90</x:v>
      </x:c>
      <x:c r="G1582" s="26">
        <x:v>45613</x:v>
      </x:c>
      <x:c r="H1582" s="24" t="s">
        <x:v>7276</x:v>
      </x:c>
      <x:c r="I1582" s="28" t="s">
        <x:v>7277</x:v>
      </x:c>
      <x:c r="J1582" s="29" t="s">
        <x:v>7278</x:v>
      </x:c>
    </x:row>
    <x:row r="1583" ht="10.050000190734863" customHeight="1">
      <x:c r="A1583" s="21" t="s">
        <x:v>7279</x:v>
      </x:c>
      <x:c r="B1583" s="20" t="s">
        <x:v>7279</x:v>
      </x:c>
      <x:c r="C1583" s="20" t="s">
        <x:v>3747</x:v>
      </x:c>
      <x:c r="D1583" s="24">
        <x:v>11</x:v>
      </x:c>
      <x:c r="E1583" s="24" t="s">
        <x:v>114</x:v>
      </x:c>
      <x:c r="F1583" s="20" t="s">
        <x:v>90</x:v>
      </x:c>
      <x:c r="G1583" s="26">
        <x:v>45449</x:v>
      </x:c>
      <x:c r="H1583" s="24" t="s">
        <x:v>7280</x:v>
      </x:c>
      <x:c r="I1583" s="28" t="s">
        <x:v>7281</x:v>
      </x:c>
      <x:c r="J1583" s="29" t="s">
        <x:v>7282</x:v>
      </x:c>
    </x:row>
    <x:row r="1584" ht="10.050000190734863" customHeight="1">
      <x:c r="A1584" s="21" t="s">
        <x:v>7283</x:v>
      </x:c>
      <x:c r="B1584" s="20" t="s">
        <x:v>7283</x:v>
      </x:c>
      <x:c r="C1584" s="20" t="s">
        <x:v>4692</x:v>
      </x:c>
      <x:c r="D1584" s="24">
        <x:v>11</x:v>
      </x:c>
      <x:c r="E1584" s="24" t="s">
        <x:v>89</x:v>
      </x:c>
      <x:c r="F1584" s="20" t="s">
        <x:v>97</x:v>
      </x:c>
      <x:c r="G1584" s="26">
        <x:v>46072</x:v>
      </x:c>
      <x:c r="H1584" s="24" t="s">
        <x:v>7284</x:v>
      </x:c>
      <x:c r="I1584" s="28" t="s">
        <x:v>7285</x:v>
      </x:c>
      <x:c r="J1584" s="29" t="s">
        <x:v>7286</x:v>
      </x:c>
    </x:row>
    <x:row r="1585" ht="10.050000190734863" customHeight="1">
      <x:c r="A1585" s="21" t="s">
        <x:v>7287</x:v>
      </x:c>
      <x:c r="B1585" s="20" t="s">
        <x:v>7287</x:v>
      </x:c>
      <x:c r="C1585" s="20" t="s">
        <x:v>1407</x:v>
      </x:c>
      <x:c r="D1585" s="24">
        <x:v>11</x:v>
      </x:c>
      <x:c r="E1585" s="24" t="s">
        <x:v>96</x:v>
      </x:c>
      <x:c r="F1585" s="20" t="s">
        <x:v>90</x:v>
      </x:c>
      <x:c r="G1585" s="26">
        <x:v>46215</x:v>
      </x:c>
      <x:c r="H1585" s="24" t="s">
        <x:v>7288</x:v>
      </x:c>
      <x:c r="I1585" s="28" t="s">
        <x:v>7289</x:v>
      </x:c>
      <x:c r="J1585" s="29" t="s">
        <x:v>7290</x:v>
      </x:c>
    </x:row>
    <x:row r="1586" ht="10.050000190734863" customHeight="1">
      <x:c r="A1586" s="21" t="s">
        <x:v>7291</x:v>
      </x:c>
      <x:c r="B1586" s="20" t="s">
        <x:v>7291</x:v>
      </x:c>
      <x:c r="C1586" s="20" t="s">
        <x:v>3623</x:v>
      </x:c>
      <x:c r="D1586" s="24">
        <x:v>1</x:v>
      </x:c>
      <x:c r="E1586" s="24" t="s">
        <x:v>198</x:v>
      </x:c>
      <x:c r="F1586" s="20" t="s">
        <x:v>90</x:v>
      </x:c>
      <x:c r="G1586" s="26">
        <x:v>44146</x:v>
      </x:c>
      <x:c r="H1586" s="24" t="s">
        <x:v>7292</x:v>
      </x:c>
      <x:c r="I1586" s="28" t="s">
        <x:v>7293</x:v>
      </x:c>
      <x:c r="J1586" s="29" t="s">
        <x:v>7294</x:v>
      </x:c>
    </x:row>
    <x:row r="1587" ht="10.050000190734863" customHeight="1">
      <x:c r="A1587" s="21" t="s">
        <x:v>7295</x:v>
      </x:c>
      <x:c r="B1587" s="20" t="s">
        <x:v>7295</x:v>
      </x:c>
      <x:c r="C1587" s="20" t="s">
        <x:v>6692</x:v>
      </x:c>
      <x:c r="D1587" s="24">
        <x:v>0</x:v>
      </x:c>
      <x:c r="E1587" s="24" t="s">
        <x:v>96</x:v>
      </x:c>
      <x:c r="F1587" s="20" t="s">
        <x:v>97</x:v>
      </x:c>
      <x:c r="G1587" s="26">
        <x:v>45146</x:v>
      </x:c>
      <x:c r="H1587" s="24" t="s">
        <x:v>7296</x:v>
      </x:c>
      <x:c r="I1587" s="28" t="s">
        <x:v>7297</x:v>
      </x:c>
      <x:c r="J1587" s="29" t="s">
        <x:v>7298</x:v>
      </x:c>
    </x:row>
    <x:row r="1588" ht="10.050000190734863" customHeight="1">
      <x:c r="A1588" s="21" t="s">
        <x:v>7299</x:v>
      </x:c>
      <x:c r="B1588" s="20" t="s">
        <x:v>7299</x:v>
      </x:c>
      <x:c r="C1588" s="20" t="s">
        <x:v>7300</x:v>
      </x:c>
      <x:c r="D1588" s="24">
        <x:v>1</x:v>
      </x:c>
      <x:c r="E1588" s="24" t="s">
        <x:v>198</x:v>
      </x:c>
      <x:c r="F1588" s="20" t="s">
        <x:v>90</x:v>
      </x:c>
      <x:c r="G1588" s="26">
        <x:v>44474</x:v>
      </x:c>
      <x:c r="H1588" s="24" t="s">
        <x:v>7301</x:v>
      </x:c>
      <x:c r="I1588" s="28" t="s">
        <x:v>7302</x:v>
      </x:c>
      <x:c r="J1588" s="29" t="s">
        <x:v>7303</x:v>
      </x:c>
    </x:row>
    <x:row r="1589" ht="10.050000190734863" customHeight="1">
      <x:c r="A1589" s="21" t="s">
        <x:v>7304</x:v>
      </x:c>
      <x:c r="B1589" s="20" t="s">
        <x:v>7304</x:v>
      </x:c>
      <x:c r="C1589" s="20" t="s">
        <x:v>1969</x:v>
      </x:c>
      <x:c r="D1589" s="24">
        <x:v>9</x:v>
      </x:c>
      <x:c r="E1589" s="24" t="s">
        <x:v>96</x:v>
      </x:c>
      <x:c r="F1589" s="20" t="s">
        <x:v>610</x:v>
      </x:c>
      <x:c r="G1589" s="26">
        <x:v>44854</x:v>
      </x:c>
      <x:c r="H1589" s="24" t="s">
        <x:v>7305</x:v>
      </x:c>
      <x:c r="I1589" s="28" t="s">
        <x:v>7306</x:v>
      </x:c>
      <x:c r="J1589" s="29" t="s">
        <x:v>7307</x:v>
      </x:c>
    </x:row>
    <x:row r="1590" ht="10.050000190734863" customHeight="1">
      <x:c r="A1590" s="21" t="s">
        <x:v>7308</x:v>
      </x:c>
      <x:c r="B1590" s="20" t="s">
        <x:v>7308</x:v>
      </x:c>
      <x:c r="C1590" s="20" t="s">
        <x:v>7309</x:v>
      </x:c>
      <x:c r="D1590" s="24">
        <x:v>622</x:v>
      </x:c>
      <x:c r="E1590" s="24" t="s">
        <x:v>89</x:v>
      </x:c>
      <x:c r="F1590" s="20" t="s">
        <x:v>97</x:v>
      </x:c>
      <x:c r="G1590" s="26">
        <x:v>45328</x:v>
      </x:c>
      <x:c r="H1590" s="24" t="s">
        <x:v>7310</x:v>
      </x:c>
      <x:c r="I1590" s="28" t="s">
        <x:v>7311</x:v>
      </x:c>
      <x:c r="J1590" s="29" t="s">
        <x:v>7312</x:v>
      </x:c>
    </x:row>
    <x:row r="1591" ht="10.050000190734863" customHeight="1">
      <x:c r="A1591" s="21" t="s">
        <x:v>7313</x:v>
      </x:c>
      <x:c r="B1591" s="20" t="s">
        <x:v>7313</x:v>
      </x:c>
      <x:c r="C1591" s="20" t="s">
        <x:v>7314</x:v>
      </x:c>
      <x:c r="D1591" s="24">
        <x:v>9</x:v>
      </x:c>
      <x:c r="E1591" s="24" t="s">
        <x:v>89</x:v>
      </x:c>
      <x:c r="F1591" s="20" t="s">
        <x:v>90</x:v>
      </x:c>
      <x:c r="G1591" s="26">
        <x:v>45353</x:v>
      </x:c>
      <x:c r="H1591" s="24" t="s">
        <x:v>7315</x:v>
      </x:c>
      <x:c r="I1591" s="28" t="s">
        <x:v>7316</x:v>
      </x:c>
      <x:c r="J1591" s="29" t="s">
        <x:v>7317</x:v>
      </x:c>
    </x:row>
    <x:row r="1592" ht="10.050000190734863" customHeight="1">
      <x:c r="A1592" s="21" t="s">
        <x:v>7318</x:v>
      </x:c>
      <x:c r="B1592" s="20" t="s">
        <x:v>7318</x:v>
      </x:c>
      <x:c r="C1592" s="20" t="s">
        <x:v>4109</x:v>
      </x:c>
      <x:c r="D1592" s="24">
        <x:v>15</x:v>
      </x:c>
      <x:c r="E1592" s="24" t="s">
        <x:v>89</x:v>
      </x:c>
      <x:c r="F1592" s="20" t="s">
        <x:v>90</x:v>
      </x:c>
      <x:c r="G1592" s="26">
        <x:v>44511</x:v>
      </x:c>
      <x:c r="H1592" s="24" t="s">
        <x:v>7319</x:v>
      </x:c>
      <x:c r="I1592" s="28" t="s">
        <x:v>7320</x:v>
      </x:c>
      <x:c r="J1592" s="29" t="s">
        <x:v>7321</x:v>
      </x:c>
    </x:row>
    <x:row r="1593" ht="10.050000190734863" customHeight="1">
      <x:c r="A1593" s="21" t="s">
        <x:v>7322</x:v>
      </x:c>
      <x:c r="B1593" s="20" t="s">
        <x:v>7322</x:v>
      </x:c>
      <x:c r="C1593" s="20" t="s">
        <x:v>7323</x:v>
      </x:c>
      <x:c r="D1593" s="24">
        <x:v>6</x:v>
      </x:c>
      <x:c r="E1593" s="24" t="s">
        <x:v>198</x:v>
      </x:c>
      <x:c r="F1593" s="20" t="s">
        <x:v>90</x:v>
      </x:c>
      <x:c r="G1593" s="26">
        <x:v>45159</x:v>
      </x:c>
      <x:c r="H1593" s="24" t="s">
        <x:v>7324</x:v>
      </x:c>
      <x:c r="I1593" s="28" t="s">
        <x:v>7325</x:v>
      </x:c>
      <x:c r="J1593" s="29" t="s">
        <x:v>7326</x:v>
      </x:c>
    </x:row>
    <x:row r="1594" ht="10.050000190734863" customHeight="1">
      <x:c r="A1594" s="21" t="s">
        <x:v>7327</x:v>
      </x:c>
      <x:c r="B1594" s="20" t="s">
        <x:v>7327</x:v>
      </x:c>
      <x:c r="C1594" s="20" t="s">
        <x:v>4692</x:v>
      </x:c>
      <x:c r="D1594" s="24">
        <x:v>9</x:v>
      </x:c>
      <x:c r="E1594" s="24" t="s">
        <x:v>89</x:v>
      </x:c>
      <x:c r="F1594" s="20" t="s">
        <x:v>97</x:v>
      </x:c>
      <x:c r="G1594" s="26">
        <x:v>43835</x:v>
      </x:c>
      <x:c r="H1594" s="24" t="s">
        <x:v>7328</x:v>
      </x:c>
      <x:c r="I1594" s="28" t="s">
        <x:v>7329</x:v>
      </x:c>
      <x:c r="J1594" s="29" t="s">
        <x:v>7330</x:v>
      </x:c>
    </x:row>
    <x:row r="1595" ht="10.050000190734863" customHeight="1">
      <x:c r="A1595" s="21" t="s">
        <x:v>7331</x:v>
      </x:c>
      <x:c r="B1595" s="20" t="s">
        <x:v>7331</x:v>
      </x:c>
      <x:c r="C1595" s="20" t="s">
        <x:v>3087</x:v>
      </x:c>
      <x:c r="D1595" s="24">
        <x:v>13</x:v>
      </x:c>
      <x:c r="E1595" s="24" t="s">
        <x:v>89</x:v>
      </x:c>
      <x:c r="F1595" s="20" t="s">
        <x:v>90</x:v>
      </x:c>
      <x:c r="G1595" s="26">
        <x:v>44445</x:v>
      </x:c>
      <x:c r="H1595" s="24" t="s">
        <x:v>7332</x:v>
      </x:c>
      <x:c r="I1595" s="28" t="s">
        <x:v>7333</x:v>
      </x:c>
      <x:c r="J1595" s="29" t="s">
        <x:v>7334</x:v>
      </x:c>
    </x:row>
    <x:row r="1596" ht="10.050000190734863" customHeight="1">
      <x:c r="A1596" s="21" t="s">
        <x:v>7335</x:v>
      </x:c>
      <x:c r="B1596" s="20" t="s">
        <x:v>7335</x:v>
      </x:c>
      <x:c r="C1596" s="20" t="s">
        <x:v>1472</x:v>
      </x:c>
      <x:c r="D1596" s="24">
        <x:v>7</x:v>
      </x:c>
      <x:c r="E1596" s="24" t="s">
        <x:v>96</x:v>
      </x:c>
      <x:c r="F1596" s="20" t="s">
        <x:v>152</x:v>
      </x:c>
      <x:c r="G1596" s="26">
        <x:v>46212</x:v>
      </x:c>
      <x:c r="H1596" s="24" t="s">
        <x:v>7336</x:v>
      </x:c>
      <x:c r="I1596" s="28" t="s">
        <x:v>7337</x:v>
      </x:c>
      <x:c r="J1596" s="29" t="s">
        <x:v>7338</x:v>
      </x:c>
    </x:row>
    <x:row r="1597" ht="10.050000190734863" customHeight="1">
      <x:c r="A1597" s="21" t="s">
        <x:v>7339</x:v>
      </x:c>
      <x:c r="B1597" s="20" t="s">
        <x:v>7339</x:v>
      </x:c>
      <x:c r="C1597" s="20" t="s">
        <x:v>1472</x:v>
      </x:c>
      <x:c r="D1597" s="24">
        <x:v>28</x:v>
      </x:c>
      <x:c r="E1597" s="24" t="s">
        <x:v>96</x:v>
      </x:c>
      <x:c r="F1597" s="20" t="s">
        <x:v>90</x:v>
      </x:c>
      <x:c r="G1597" s="26">
        <x:v>46219</x:v>
      </x:c>
      <x:c r="H1597" s="24" t="s">
        <x:v>7340</x:v>
      </x:c>
      <x:c r="I1597" s="28" t="s">
        <x:v>7341</x:v>
      </x:c>
      <x:c r="J1597" s="29" t="s">
        <x:v>7342</x:v>
      </x:c>
    </x:row>
    <x:row r="1598" ht="10.050000190734863" customHeight="1">
      <x:c r="A1598" s="21" t="s">
        <x:v>7343</x:v>
      </x:c>
      <x:c r="B1598" s="20" t="s">
        <x:v>7343</x:v>
      </x:c>
      <x:c r="C1598" s="20" t="s">
        <x:v>1472</x:v>
      </x:c>
      <x:c r="D1598" s="24">
        <x:v>28</x:v>
      </x:c>
      <x:c r="E1598" s="24" t="s">
        <x:v>89</x:v>
      </x:c>
      <x:c r="F1598" s="20" t="s">
        <x:v>90</x:v>
      </x:c>
      <x:c r="G1598" s="26">
        <x:v>45374</x:v>
      </x:c>
      <x:c r="H1598" s="24" t="s">
        <x:v>7344</x:v>
      </x:c>
      <x:c r="I1598" s="28" t="s">
        <x:v>7345</x:v>
      </x:c>
      <x:c r="J1598" s="29" t="s">
        <x:v>7346</x:v>
      </x:c>
    </x:row>
    <x:row r="1599" ht="10.050000190734863" customHeight="1">
      <x:c r="A1599" s="21" t="s">
        <x:v>7347</x:v>
      </x:c>
      <x:c r="B1599" s="20" t="s">
        <x:v>7347</x:v>
      </x:c>
      <x:c r="C1599" s="20" t="s">
        <x:v>1782</x:v>
      </x:c>
      <x:c r="D1599" s="24">
        <x:v>7</x:v>
      </x:c>
      <x:c r="E1599" s="24" t="s">
        <x:v>198</x:v>
      </x:c>
      <x:c r="F1599" s="20" t="s">
        <x:v>90</x:v>
      </x:c>
      <x:c r="G1599" s="26">
        <x:v>44585</x:v>
      </x:c>
      <x:c r="H1599" s="24" t="s">
        <x:v>7348</x:v>
      </x:c>
      <x:c r="I1599" s="28" t="s">
        <x:v>7349</x:v>
      </x:c>
      <x:c r="J1599" s="29" t="s">
        <x:v>7350</x:v>
      </x:c>
    </x:row>
    <x:row r="1600" ht="10.050000190734863" customHeight="1">
      <x:c r="A1600" s="21" t="s">
        <x:v>7351</x:v>
      </x:c>
      <x:c r="B1600" s="20" t="s">
        <x:v>7351</x:v>
      </x:c>
      <x:c r="C1600" s="20" t="s">
        <x:v>4210</x:v>
      </x:c>
      <x:c r="D1600" s="24">
        <x:v>42</x:v>
      </x:c>
      <x:c r="E1600" s="24" t="s">
        <x:v>103</x:v>
      </x:c>
      <x:c r="F1600" s="20" t="s">
        <x:v>97</x:v>
      </x:c>
      <x:c r="G1600" s="26">
        <x:v>42213</x:v>
      </x:c>
      <x:c r="H1600" s="24" t="s">
        <x:v>7352</x:v>
      </x:c>
      <x:c r="I1600" s="28" t="s">
        <x:v>7353</x:v>
      </x:c>
      <x:c r="J1600" s="29" t="s">
        <x:v>7354</x:v>
      </x:c>
    </x:row>
    <x:row r="1601" ht="10.050000190734863" customHeight="1">
      <x:c r="A1601" s="21" t="s">
        <x:v>7355</x:v>
      </x:c>
      <x:c r="B1601" s="20" t="s">
        <x:v>7355</x:v>
      </x:c>
      <x:c r="C1601" s="20" t="s">
        <x:v>5389</x:v>
      </x:c>
      <x:c r="D1601" s="24">
        <x:v>4</x:v>
      </x:c>
      <x:c r="E1601" s="24" t="s">
        <x:v>257</x:v>
      </x:c>
      <x:c r="F1601" s="20" t="s">
        <x:v>97</x:v>
      </x:c>
      <x:c r="G1601" s="26">
        <x:v>42279</x:v>
      </x:c>
      <x:c r="H1601" s="24" t="s">
        <x:v>7356</x:v>
      </x:c>
      <x:c r="I1601" s="28" t="s">
        <x:v>7357</x:v>
      </x:c>
      <x:c r="J1601" s="29" t="s">
        <x:v>7358</x:v>
      </x:c>
    </x:row>
    <x:row r="1602" ht="10.050000190734863" customHeight="1">
      <x:c r="A1602" s="21" t="s">
        <x:v>7359</x:v>
      </x:c>
      <x:c r="B1602" s="20" t="s">
        <x:v>7359</x:v>
      </x:c>
      <x:c r="C1602" s="20" t="s">
        <x:v>4947</x:v>
      </x:c>
      <x:c r="D1602" s="24">
        <x:v>15</x:v>
      </x:c>
      <x:c r="E1602" s="24" t="s">
        <x:v>103</x:v>
      </x:c>
      <x:c r="F1602" s="20" t="s">
        <x:v>97</x:v>
      </x:c>
      <x:c r="G1602" s="26">
        <x:v>44303</x:v>
      </x:c>
      <x:c r="H1602" s="24" t="s">
        <x:v>7360</x:v>
      </x:c>
      <x:c r="I1602" s="28" t="s">
        <x:v>7361</x:v>
      </x:c>
      <x:c r="J1602" s="29" t="s">
        <x:v>7362</x:v>
      </x:c>
    </x:row>
    <x:row r="1603" ht="10.050000190734863" customHeight="1">
      <x:c r="A1603" s="21" t="s">
        <x:v>7363</x:v>
      </x:c>
      <x:c r="B1603" s="20" t="s">
        <x:v>7363</x:v>
      </x:c>
      <x:c r="C1603" s="20" t="s">
        <x:v>7364</x:v>
      </x:c>
      <x:c r="D1603" s="24">
        <x:v>20</x:v>
      </x:c>
      <x:c r="E1603" s="24" t="s">
        <x:v>257</x:v>
      </x:c>
      <x:c r="F1603" s="20" t="s">
        <x:v>97</x:v>
      </x:c>
      <x:c r="G1603" s="26">
        <x:v>44907</x:v>
      </x:c>
      <x:c r="H1603" s="24" t="s">
        <x:v>7365</x:v>
      </x:c>
      <x:c r="I1603" s="28" t="s">
        <x:v>7366</x:v>
      </x:c>
      <x:c r="J1603" s="29" t="s">
        <x:v>7367</x:v>
      </x:c>
    </x:row>
    <x:row r="1604" ht="10.050000190734863" customHeight="1">
      <x:c r="A1604" s="21" t="s">
        <x:v>7368</x:v>
      </x:c>
      <x:c r="B1604" s="20" t="s">
        <x:v>7368</x:v>
      </x:c>
      <x:c r="C1604" s="20" t="s">
        <x:v>1751</x:v>
      </x:c>
      <x:c r="D1604" s="24">
        <x:v>118</x:v>
      </x:c>
      <x:c r="E1604" s="24" t="s">
        <x:v>96</x:v>
      </x:c>
      <x:c r="F1604" s="20" t="s">
        <x:v>97</x:v>
      </x:c>
      <x:c r="G1604" s="26">
        <x:v>46023</x:v>
      </x:c>
      <x:c r="H1604" s="24" t="s">
        <x:v>7369</x:v>
      </x:c>
      <x:c r="I1604" s="28" t="s">
        <x:v>7370</x:v>
      </x:c>
      <x:c r="J1604" s="29" t="s">
        <x:v>7371</x:v>
      </x:c>
    </x:row>
    <x:row r="1605" ht="10.050000190734863" customHeight="1">
      <x:c r="A1605" s="21" t="s">
        <x:v>7372</x:v>
      </x:c>
      <x:c r="B1605" s="20" t="s">
        <x:v>7372</x:v>
      </x:c>
      <x:c r="C1605" s="20" t="s">
        <x:v>553</x:v>
      </x:c>
      <x:c r="D1605" s="24">
        <x:v>14</x:v>
      </x:c>
      <x:c r="E1605" s="24" t="s">
        <x:v>103</x:v>
      </x:c>
      <x:c r="F1605" s="20" t="s">
        <x:v>97</x:v>
      </x:c>
      <x:c r="G1605" s="26">
        <x:v>43429</x:v>
      </x:c>
      <x:c r="H1605" s="24" t="s">
        <x:v>7373</x:v>
      </x:c>
      <x:c r="I1605" s="28" t="s">
        <x:v>7374</x:v>
      </x:c>
      <x:c r="J1605" s="29" t="s">
        <x:v>7375</x:v>
      </x:c>
    </x:row>
    <x:row r="1606" ht="10.050000190734863" customHeight="1">
      <x:c r="A1606" s="21" t="s">
        <x:v>7376</x:v>
      </x:c>
      <x:c r="B1606" s="20" t="s">
        <x:v>7376</x:v>
      </x:c>
      <x:c r="C1606" s="20" t="s">
        <x:v>7377</x:v>
      </x:c>
      <x:c r="D1606" s="24">
        <x:v>12</x:v>
      </x:c>
      <x:c r="E1606" s="24" t="s">
        <x:v>257</x:v>
      </x:c>
      <x:c r="F1606" s="20" t="s">
        <x:v>97</x:v>
      </x:c>
      <x:c r="G1606" s="26">
        <x:v>41959</x:v>
      </x:c>
      <x:c r="H1606" s="24" t="s">
        <x:v>7378</x:v>
      </x:c>
      <x:c r="I1606" s="28" t="s">
        <x:v>7379</x:v>
      </x:c>
      <x:c r="J1606" s="29" t="s">
        <x:v>7380</x:v>
      </x:c>
    </x:row>
    <x:row r="1607" ht="10.050000190734863" customHeight="1">
      <x:c r="A1607" s="21" t="s">
        <x:v>7381</x:v>
      </x:c>
      <x:c r="B1607" s="20" t="s">
        <x:v>7381</x:v>
      </x:c>
      <x:c r="C1607" s="20" t="s">
        <x:v>7382</x:v>
      </x:c>
      <x:c r="D1607" s="24">
        <x:v>21</x:v>
      </x:c>
      <x:c r="E1607" s="24" t="s">
        <x:v>103</x:v>
      </x:c>
      <x:c r="F1607" s="20" t="s">
        <x:v>97</x:v>
      </x:c>
      <x:c r="G1607" s="26">
        <x:v>42185</x:v>
      </x:c>
      <x:c r="H1607" s="24" t="s">
        <x:v>7383</x:v>
      </x:c>
      <x:c r="I1607" s="28" t="s">
        <x:v>7384</x:v>
      </x:c>
      <x:c r="J1607" s="29" t="s">
        <x:v>7385</x:v>
      </x:c>
    </x:row>
    <x:row r="1608" ht="10.050000190734863" customHeight="1">
      <x:c r="A1608" s="21" t="s">
        <x:v>7386</x:v>
      </x:c>
      <x:c r="B1608" s="20" t="s">
        <x:v>7386</x:v>
      </x:c>
      <x:c r="C1608" s="20" t="s">
        <x:v>5884</x:v>
      </x:c>
      <x:c r="D1608" s="24">
        <x:v>64</x:v>
      </x:c>
      <x:c r="E1608" s="24" t="s">
        <x:v>96</x:v>
      </x:c>
      <x:c r="F1608" s="20" t="s">
        <x:v>97</x:v>
      </x:c>
      <x:c r="G1608" s="26">
        <x:v>44775</x:v>
      </x:c>
      <x:c r="H1608" s="24" t="s">
        <x:v>7387</x:v>
      </x:c>
      <x:c r="I1608" s="28" t="s">
        <x:v>7388</x:v>
      </x:c>
      <x:c r="J1608" s="29" t="s">
        <x:v>7389</x:v>
      </x:c>
    </x:row>
    <x:row r="1609" ht="10.050000190734863" customHeight="1">
      <x:c r="A1609" s="21" t="s">
        <x:v>7390</x:v>
      </x:c>
      <x:c r="B1609" s="20" t="s">
        <x:v>7390</x:v>
      </x:c>
      <x:c r="C1609" s="20" t="s">
        <x:v>7391</x:v>
      </x:c>
      <x:c r="D1609" s="24">
        <x:v>20</x:v>
      </x:c>
      <x:c r="E1609" s="24" t="s">
        <x:v>89</x:v>
      </x:c>
      <x:c r="F1609" s="20" t="s">
        <x:v>97</x:v>
      </x:c>
      <x:c r="G1609" s="26">
        <x:v>42195</x:v>
      </x:c>
      <x:c r="H1609" s="24" t="s">
        <x:v>7392</x:v>
      </x:c>
      <x:c r="I1609" s="28" t="s">
        <x:v>7393</x:v>
      </x:c>
      <x:c r="J1609" s="29" t="s">
        <x:v>7394</x:v>
      </x:c>
    </x:row>
    <x:row r="1610" ht="10.050000190734863" customHeight="1">
      <x:c r="A1610" s="21" t="s">
        <x:v>7395</x:v>
      </x:c>
      <x:c r="B1610" s="20" t="s">
        <x:v>7395</x:v>
      </x:c>
      <x:c r="C1610" s="20" t="s">
        <x:v>1751</x:v>
      </x:c>
      <x:c r="D1610" s="24">
        <x:v>98</x:v>
      </x:c>
      <x:c r="E1610" s="24" t="s">
        <x:v>96</x:v>
      </x:c>
      <x:c r="F1610" s="20" t="s">
        <x:v>97</x:v>
      </x:c>
      <x:c r="G1610" s="26">
        <x:v>44606</x:v>
      </x:c>
      <x:c r="H1610" s="24" t="s">
        <x:v>7396</x:v>
      </x:c>
      <x:c r="I1610" s="28" t="s">
        <x:v>7397</x:v>
      </x:c>
      <x:c r="J1610" s="29" t="s">
        <x:v>7398</x:v>
      </x:c>
    </x:row>
    <x:row r="1611" ht="10.050000190734863" customHeight="1">
      <x:c r="A1611" s="21" t="s">
        <x:v>7399</x:v>
      </x:c>
      <x:c r="B1611" s="20" t="s">
        <x:v>7399</x:v>
      </x:c>
      <x:c r="C1611" s="20" t="s">
        <x:v>6692</x:v>
      </x:c>
      <x:c r="D1611" s="24">
        <x:v>96</x:v>
      </x:c>
      <x:c r="E1611" s="24" t="s">
        <x:v>103</x:v>
      </x:c>
      <x:c r="F1611" s="20" t="s">
        <x:v>97</x:v>
      </x:c>
      <x:c r="G1611" s="26">
        <x:v>44522</x:v>
      </x:c>
      <x:c r="H1611" s="24" t="s">
        <x:v>7400</x:v>
      </x:c>
      <x:c r="I1611" s="28" t="s">
        <x:v>7401</x:v>
      </x:c>
      <x:c r="J1611" s="29" t="s">
        <x:v>7402</x:v>
      </x:c>
    </x:row>
    <x:row r="1612" ht="10.050000190734863" customHeight="1">
      <x:c r="A1612" s="21" t="s">
        <x:v>7403</x:v>
      </x:c>
      <x:c r="B1612" s="20" t="s">
        <x:v>7403</x:v>
      </x:c>
      <x:c r="C1612" s="20" t="s">
        <x:v>7404</x:v>
      </x:c>
      <x:c r="D1612" s="24">
        <x:v>55</x:v>
      </x:c>
      <x:c r="E1612" s="24" t="s">
        <x:v>96</x:v>
      </x:c>
      <x:c r="F1612" s="20" t="s">
        <x:v>97</x:v>
      </x:c>
      <x:c r="G1612" s="26">
        <x:v>42213</x:v>
      </x:c>
      <x:c r="H1612" s="24" t="s">
        <x:v>7405</x:v>
      </x:c>
      <x:c r="I1612" s="28" t="s">
        <x:v>7406</x:v>
      </x:c>
      <x:c r="J1612" s="29" t="s">
        <x:v>7407</x:v>
      </x:c>
    </x:row>
    <x:row r="1613" ht="10.050000190734863" customHeight="1">
      <x:c r="A1613" s="21" t="s">
        <x:v>7408</x:v>
      </x:c>
      <x:c r="B1613" s="20" t="s">
        <x:v>7408</x:v>
      </x:c>
      <x:c r="C1613" s="20" t="s">
        <x:v>7404</x:v>
      </x:c>
      <x:c r="D1613" s="24">
        <x:v>73</x:v>
      </x:c>
      <x:c r="E1613" s="24" t="s">
        <x:v>103</x:v>
      </x:c>
      <x:c r="F1613" s="20" t="s">
        <x:v>97</x:v>
      </x:c>
      <x:c r="G1613" s="26">
        <x:v>41465</x:v>
      </x:c>
      <x:c r="H1613" s="24" t="s">
        <x:v>7409</x:v>
      </x:c>
      <x:c r="I1613" s="28" t="s">
        <x:v>7410</x:v>
      </x:c>
      <x:c r="J1613" s="29" t="s">
        <x:v>7411</x:v>
      </x:c>
    </x:row>
    <x:row r="1614" ht="10.050000190734863" customHeight="1">
      <x:c r="A1614" s="21" t="s">
        <x:v>7412</x:v>
      </x:c>
      <x:c r="B1614" s="20" t="s">
        <x:v>7412</x:v>
      </x:c>
      <x:c r="C1614" s="20" t="s">
        <x:v>7413</x:v>
      </x:c>
      <x:c r="D1614" s="24">
        <x:v>48</x:v>
      </x:c>
      <x:c r="E1614" s="24" t="s">
        <x:v>103</x:v>
      </x:c>
      <x:c r="F1614" s="20" t="s">
        <x:v>97</x:v>
      </x:c>
      <x:c r="G1614" s="26">
        <x:v>42211</x:v>
      </x:c>
      <x:c r="H1614" s="24" t="s">
        <x:v>7414</x:v>
      </x:c>
      <x:c r="I1614" s="28" t="s">
        <x:v>7415</x:v>
      </x:c>
      <x:c r="J1614" s="29" t="s">
        <x:v>7416</x:v>
      </x:c>
    </x:row>
    <x:row r="1615" ht="10.050000190734863" customHeight="1">
      <x:c r="A1615" s="21" t="s">
        <x:v>7417</x:v>
      </x:c>
      <x:c r="B1615" s="20" t="s">
        <x:v>7417</x:v>
      </x:c>
      <x:c r="C1615" s="20" t="s">
        <x:v>2306</x:v>
      </x:c>
      <x:c r="D1615" s="24">
        <x:v>12</x:v>
      </x:c>
      <x:c r="E1615" s="24" t="s">
        <x:v>198</x:v>
      </x:c>
      <x:c r="F1615" s="20" t="s">
        <x:v>610</x:v>
      </x:c>
      <x:c r="G1615" s="26">
        <x:v>43567</x:v>
      </x:c>
      <x:c r="H1615" s="24" t="s">
        <x:v>7418</x:v>
      </x:c>
      <x:c r="I1615" s="28" t="s">
        <x:v>7419</x:v>
      </x:c>
      <x:c r="J1615" s="29" t="s">
        <x:v>7420</x:v>
      </x:c>
    </x:row>
    <x:row r="1616" ht="10.050000190734863" customHeight="1">
      <x:c r="A1616" s="21" t="s">
        <x:v>7421</x:v>
      </x:c>
      <x:c r="B1616" s="20" t="s">
        <x:v>7421</x:v>
      </x:c>
      <x:c r="C1616" s="20" t="s">
        <x:v>2306</x:v>
      </x:c>
      <x:c r="D1616" s="24">
        <x:v>3</x:v>
      </x:c>
      <x:c r="E1616" s="24" t="s">
        <x:v>198</x:v>
      </x:c>
      <x:c r="F1616" s="20" t="s">
        <x:v>610</x:v>
      </x:c>
      <x:c r="G1616" s="26">
        <x:v>43948</x:v>
      </x:c>
      <x:c r="H1616" s="24" t="s">
        <x:v>7422</x:v>
      </x:c>
      <x:c r="I1616" s="28" t="s">
        <x:v>7423</x:v>
      </x:c>
      <x:c r="J1616" s="29" t="s">
        <x:v>7424</x:v>
      </x:c>
    </x:row>
    <x:row r="1617" ht="10.050000190734863" customHeight="1">
      <x:c r="A1617" s="21" t="s">
        <x:v>7425</x:v>
      </x:c>
      <x:c r="B1617" s="20" t="s">
        <x:v>7425</x:v>
      </x:c>
      <x:c r="C1617" s="20" t="s">
        <x:v>4210</x:v>
      </x:c>
      <x:c r="D1617" s="24">
        <x:v>16</x:v>
      </x:c>
      <x:c r="E1617" s="24" t="s">
        <x:v>96</x:v>
      </x:c>
      <x:c r="F1617" s="20" t="s">
        <x:v>97</x:v>
      </x:c>
      <x:c r="G1617" s="26">
        <x:v>42283</x:v>
      </x:c>
      <x:c r="H1617" s="24" t="s">
        <x:v>7426</x:v>
      </x:c>
      <x:c r="I1617" s="28" t="s">
        <x:v>7427</x:v>
      </x:c>
      <x:c r="J1617" s="29" t="s">
        <x:v>7428</x:v>
      </x:c>
    </x:row>
    <x:row r="1618" ht="10.050000190734863" customHeight="1">
      <x:c r="A1618" s="21" t="s">
        <x:v>7429</x:v>
      </x:c>
      <x:c r="B1618" s="20" t="s">
        <x:v>7429</x:v>
      </x:c>
      <x:c r="C1618" s="20" t="s">
        <x:v>1751</x:v>
      </x:c>
      <x:c r="D1618" s="24">
        <x:v>112</x:v>
      </x:c>
      <x:c r="E1618" s="24" t="s">
        <x:v>96</x:v>
      </x:c>
      <x:c r="F1618" s="20" t="s">
        <x:v>97</x:v>
      </x:c>
      <x:c r="G1618" s="26">
        <x:v>44464</x:v>
      </x:c>
      <x:c r="H1618" s="24" t="s">
        <x:v>7430</x:v>
      </x:c>
      <x:c r="I1618" s="28" t="s">
        <x:v>7431</x:v>
      </x:c>
      <x:c r="J1618" s="29" t="s">
        <x:v>7432</x:v>
      </x:c>
    </x:row>
    <x:row r="1619" ht="10.050000190734863" customHeight="1">
      <x:c r="A1619" s="21" t="s">
        <x:v>7433</x:v>
      </x:c>
      <x:c r="B1619" s="20" t="s">
        <x:v>7433</x:v>
      </x:c>
      <x:c r="C1619" s="20" t="s">
        <x:v>7434</x:v>
      </x:c>
      <x:c r="D1619" s="24">
        <x:v>22</x:v>
      </x:c>
      <x:c r="E1619" s="24" t="s">
        <x:v>103</x:v>
      </x:c>
      <x:c r="F1619" s="20" t="s">
        <x:v>97</x:v>
      </x:c>
      <x:c r="G1619" s="26">
        <x:v>42311</x:v>
      </x:c>
      <x:c r="H1619" s="24" t="s">
        <x:v>7435</x:v>
      </x:c>
      <x:c r="I1619" s="28" t="s">
        <x:v>7436</x:v>
      </x:c>
      <x:c r="J1619" s="29" t="s">
        <x:v>7437</x:v>
      </x:c>
    </x:row>
    <x:row r="1620" ht="10.050000190734863" customHeight="1">
      <x:c r="A1620" s="21" t="s">
        <x:v>7438</x:v>
      </x:c>
      <x:c r="B1620" s="20" t="s">
        <x:v>7438</x:v>
      </x:c>
      <x:c r="C1620" s="20" t="s">
        <x:v>1751</x:v>
      </x:c>
      <x:c r="D1620" s="24">
        <x:v>116</x:v>
      </x:c>
      <x:c r="E1620" s="24" t="s">
        <x:v>96</x:v>
      </x:c>
      <x:c r="F1620" s="20" t="s">
        <x:v>97</x:v>
      </x:c>
      <x:c r="G1620" s="26">
        <x:v>44752</x:v>
      </x:c>
      <x:c r="H1620" s="24" t="s">
        <x:v>7439</x:v>
      </x:c>
      <x:c r="I1620" s="28" t="s">
        <x:v>7440</x:v>
      </x:c>
      <x:c r="J1620" s="29" t="s">
        <x:v>7441</x:v>
      </x:c>
    </x:row>
    <x:row r="1621" ht="10.050000190734863" customHeight="1">
      <x:c r="A1621" s="21" t="s">
        <x:v>7442</x:v>
      </x:c>
      <x:c r="B1621" s="20" t="s">
        <x:v>7442</x:v>
      </x:c>
      <x:c r="C1621" s="20" t="s">
        <x:v>1751</x:v>
      </x:c>
      <x:c r="D1621" s="24">
        <x:v>116</x:v>
      </x:c>
      <x:c r="E1621" s="24" t="s">
        <x:v>96</x:v>
      </x:c>
      <x:c r="F1621" s="20" t="s">
        <x:v>97</x:v>
      </x:c>
      <x:c r="G1621" s="26">
        <x:v>44777</x:v>
      </x:c>
      <x:c r="H1621" s="24" t="s">
        <x:v>7443</x:v>
      </x:c>
      <x:c r="I1621" s="28" t="s">
        <x:v>7444</x:v>
      </x:c>
      <x:c r="J1621" s="29" t="s">
        <x:v>7445</x:v>
      </x:c>
    </x:row>
    <x:row r="1622" ht="10.050000190734863" customHeight="1">
      <x:c r="A1622" s="21" t="s">
        <x:v>7446</x:v>
      </x:c>
      <x:c r="B1622" s="20" t="s">
        <x:v>7446</x:v>
      </x:c>
      <x:c r="C1622" s="20" t="s">
        <x:v>1751</x:v>
      </x:c>
      <x:c r="D1622" s="24">
        <x:v>120</x:v>
      </x:c>
      <x:c r="E1622" s="24" t="s">
        <x:v>96</x:v>
      </x:c>
      <x:c r="F1622" s="20" t="s">
        <x:v>97</x:v>
      </x:c>
      <x:c r="G1622" s="26">
        <x:v>45267</x:v>
      </x:c>
      <x:c r="H1622" s="24" t="s">
        <x:v>7447</x:v>
      </x:c>
      <x:c r="I1622" s="28" t="s">
        <x:v>7448</x:v>
      </x:c>
      <x:c r="J1622" s="29" t="s">
        <x:v>7449</x:v>
      </x:c>
    </x:row>
    <x:row r="1623" ht="10.050000190734863" customHeight="1">
      <x:c r="A1623" s="21" t="s">
        <x:v>7450</x:v>
      </x:c>
      <x:c r="B1623" s="20" t="s">
        <x:v>7450</x:v>
      </x:c>
      <x:c r="C1623" s="20" t="s">
        <x:v>7451</x:v>
      </x:c>
      <x:c r="D1623" s="24">
        <x:v>11</x:v>
      </x:c>
      <x:c r="E1623" s="24" t="s">
        <x:v>96</x:v>
      </x:c>
      <x:c r="F1623" s="20" t="s">
        <x:v>97</x:v>
      </x:c>
      <x:c r="G1623" s="26">
        <x:v>43959</x:v>
      </x:c>
      <x:c r="H1623" s="24" t="s">
        <x:v>7452</x:v>
      </x:c>
      <x:c r="I1623" s="28" t="s">
        <x:v>7453</x:v>
      </x:c>
      <x:c r="J1623" s="29" t="s">
        <x:v>7454</x:v>
      </x:c>
    </x:row>
    <x:row r="1624" ht="10.050000190734863" customHeight="1">
      <x:c r="A1624" s="21" t="s">
        <x:v>7455</x:v>
      </x:c>
      <x:c r="B1624" s="20" t="s">
        <x:v>7455</x:v>
      </x:c>
      <x:c r="C1624" s="20" t="s">
        <x:v>7456</x:v>
      </x:c>
      <x:c r="D1624" s="24">
        <x:v>96</x:v>
      </x:c>
      <x:c r="E1624" s="24" t="s">
        <x:v>103</x:v>
      </x:c>
      <x:c r="F1624" s="20" t="s">
        <x:v>97</x:v>
      </x:c>
      <x:c r="G1624" s="26">
        <x:v>42902</x:v>
      </x:c>
      <x:c r="H1624" s="24" t="s">
        <x:v>7457</x:v>
      </x:c>
      <x:c r="I1624" s="28" t="s">
        <x:v>7458</x:v>
      </x:c>
      <x:c r="J1624" s="29" t="s">
        <x:v>7459</x:v>
      </x:c>
    </x:row>
    <x:row r="1625" ht="10.050000190734863" customHeight="1">
      <x:c r="A1625" s="21" t="s">
        <x:v>7460</x:v>
      </x:c>
      <x:c r="B1625" s="20" t="s">
        <x:v>7460</x:v>
      </x:c>
      <x:c r="C1625" s="20" t="s">
        <x:v>6904</x:v>
      </x:c>
      <x:c r="D1625" s="24">
        <x:v>92</x:v>
      </x:c>
      <x:c r="E1625" s="24" t="s">
        <x:v>103</x:v>
      </x:c>
      <x:c r="F1625" s="20" t="s">
        <x:v>97</x:v>
      </x:c>
      <x:c r="G1625" s="26">
        <x:v>44864</x:v>
      </x:c>
      <x:c r="H1625" s="24" t="s">
        <x:v>7461</x:v>
      </x:c>
      <x:c r="I1625" s="28" t="s">
        <x:v>7462</x:v>
      </x:c>
      <x:c r="J1625" s="29" t="s">
        <x:v>7463</x:v>
      </x:c>
    </x:row>
    <x:row r="1626" ht="10.050000190734863" customHeight="1">
      <x:c r="A1626" s="21" t="s">
        <x:v>7464</x:v>
      </x:c>
      <x:c r="B1626" s="20" t="s">
        <x:v>7464</x:v>
      </x:c>
      <x:c r="C1626" s="20" t="s">
        <x:v>7465</x:v>
      </x:c>
      <x:c r="D1626" s="24">
        <x:v>96</x:v>
      </x:c>
      <x:c r="E1626" s="24" t="s">
        <x:v>103</x:v>
      </x:c>
      <x:c r="F1626" s="20" t="s">
        <x:v>97</x:v>
      </x:c>
      <x:c r="G1626" s="26">
        <x:v>44871</x:v>
      </x:c>
      <x:c r="H1626" s="24" t="s">
        <x:v>7466</x:v>
      </x:c>
      <x:c r="I1626" s="28" t="s">
        <x:v>7467</x:v>
      </x:c>
      <x:c r="J1626" s="29" t="s">
        <x:v>7468</x:v>
      </x:c>
    </x:row>
    <x:row r="1627" ht="10.050000190734863" customHeight="1">
      <x:c r="A1627" s="21" t="s">
        <x:v>7469</x:v>
      </x:c>
      <x:c r="B1627" s="20" t="s">
        <x:v>7469</x:v>
      </x:c>
      <x:c r="C1627" s="20" t="s">
        <x:v>7465</x:v>
      </x:c>
      <x:c r="D1627" s="24">
        <x:v>76</x:v>
      </x:c>
      <x:c r="E1627" s="24" t="s">
        <x:v>257</x:v>
      </x:c>
      <x:c r="F1627" s="20" t="s">
        <x:v>97</x:v>
      </x:c>
      <x:c r="G1627" s="26">
        <x:v>45061</x:v>
      </x:c>
      <x:c r="H1627" s="24" t="s">
        <x:v>7470</x:v>
      </x:c>
      <x:c r="I1627" s="28" t="s">
        <x:v>7471</x:v>
      </x:c>
      <x:c r="J1627" s="29" t="s">
        <x:v>7472</x:v>
      </x:c>
    </x:row>
    <x:row r="1628" ht="10.050000190734863" customHeight="1">
      <x:c r="A1628" s="21" t="s">
        <x:v>7473</x:v>
      </x:c>
      <x:c r="B1628" s="20" t="s">
        <x:v>7473</x:v>
      </x:c>
      <x:c r="C1628" s="20" t="s">
        <x:v>7474</x:v>
      </x:c>
      <x:c r="D1628" s="24">
        <x:v>19</x:v>
      </x:c>
      <x:c r="E1628" s="24" t="s">
        <x:v>103</x:v>
      </x:c>
      <x:c r="F1628" s="20" t="s">
        <x:v>97</x:v>
      </x:c>
      <x:c r="G1628" s="26">
        <x:v>44880</x:v>
      </x:c>
      <x:c r="H1628" s="24" t="s">
        <x:v>7475</x:v>
      </x:c>
      <x:c r="I1628" s="28" t="s">
        <x:v>7476</x:v>
      </x:c>
      <x:c r="J1628" s="29" t="s">
        <x:v>7477</x:v>
      </x:c>
    </x:row>
    <x:row r="1629" ht="10.050000190734863" customHeight="1">
      <x:c r="A1629" s="21" t="s">
        <x:v>7478</x:v>
      </x:c>
      <x:c r="B1629" s="20" t="s">
        <x:v>7478</x:v>
      </x:c>
      <x:c r="C1629" s="20" t="s">
        <x:v>7479</x:v>
      </x:c>
      <x:c r="D1629" s="24">
        <x:v>5</x:v>
      </x:c>
      <x:c r="E1629" s="24" t="s">
        <x:v>96</x:v>
      </x:c>
      <x:c r="F1629" s="20" t="s">
        <x:v>97</x:v>
      </x:c>
      <x:c r="G1629" s="26">
        <x:v>43219</x:v>
      </x:c>
      <x:c r="H1629" s="24" t="s">
        <x:v>7480</x:v>
      </x:c>
      <x:c r="I1629" s="28" t="s">
        <x:v>7481</x:v>
      </x:c>
      <x:c r="J1629" s="29" t="s">
        <x:v>7482</x:v>
      </x:c>
    </x:row>
    <x:row r="1630" ht="10.050000190734863" customHeight="1">
      <x:c r="A1630" s="21" t="s">
        <x:v>7483</x:v>
      </x:c>
      <x:c r="B1630" s="20" t="s">
        <x:v>7483</x:v>
      </x:c>
      <x:c r="C1630" s="20" t="s">
        <x:v>7484</x:v>
      </x:c>
      <x:c r="D1630" s="24">
        <x:v>5</x:v>
      </x:c>
      <x:c r="E1630" s="24" t="s">
        <x:v>257</x:v>
      </x:c>
      <x:c r="F1630" s="20" t="s">
        <x:v>97</x:v>
      </x:c>
      <x:c r="G1630" s="26">
        <x:v>42298</x:v>
      </x:c>
      <x:c r="H1630" s="24" t="s">
        <x:v>7485</x:v>
      </x:c>
      <x:c r="I1630" s="28" t="s">
        <x:v>7486</x:v>
      </x:c>
      <x:c r="J1630" s="29" t="s">
        <x:v>7487</x:v>
      </x:c>
    </x:row>
    <x:row r="1631" ht="10.050000190734863" customHeight="1">
      <x:c r="A1631" s="21" t="s">
        <x:v>7488</x:v>
      </x:c>
      <x:c r="B1631" s="20" t="s">
        <x:v>7488</x:v>
      </x:c>
      <x:c r="C1631" s="20" t="s">
        <x:v>1167</x:v>
      </x:c>
      <x:c r="D1631" s="24">
        <x:v>45</x:v>
      </x:c>
      <x:c r="E1631" s="24" t="s">
        <x:v>103</x:v>
      </x:c>
      <x:c r="F1631" s="20" t="s">
        <x:v>97</x:v>
      </x:c>
      <x:c r="G1631" s="26">
        <x:v>44190</x:v>
      </x:c>
      <x:c r="H1631" s="24" t="s">
        <x:v>7489</x:v>
      </x:c>
      <x:c r="I1631" s="28" t="s">
        <x:v>7490</x:v>
      </x:c>
      <x:c r="J1631" s="29" t="s">
        <x:v>7491</x:v>
      </x:c>
    </x:row>
    <x:row r="1632" ht="10.050000190734863" customHeight="1">
      <x:c r="A1632" s="21" t="s">
        <x:v>7492</x:v>
      </x:c>
      <x:c r="B1632" s="20" t="s">
        <x:v>7492</x:v>
      </x:c>
      <x:c r="C1632" s="20" t="s">
        <x:v>7493</x:v>
      </x:c>
      <x:c r="D1632" s="24">
        <x:v>124</x:v>
      </x:c>
      <x:c r="E1632" s="24" t="s">
        <x:v>198</x:v>
      </x:c>
      <x:c r="F1632" s="20" t="s">
        <x:v>97</x:v>
      </x:c>
      <x:c r="G1632" s="26">
        <x:v>44300</x:v>
      </x:c>
      <x:c r="H1632" s="24" t="s">
        <x:v>7494</x:v>
      </x:c>
      <x:c r="I1632" s="28" t="s">
        <x:v>7495</x:v>
      </x:c>
      <x:c r="J1632" s="29" t="s">
        <x:v>7496</x:v>
      </x:c>
    </x:row>
    <x:row r="1633" ht="10.050000190734863" customHeight="1">
      <x:c r="A1633" s="21" t="s">
        <x:v>7497</x:v>
      </x:c>
      <x:c r="B1633" s="20" t="s">
        <x:v>7497</x:v>
      </x:c>
      <x:c r="C1633" s="20" t="s">
        <x:v>6904</x:v>
      </x:c>
      <x:c r="D1633" s="24">
        <x:v>31</x:v>
      </x:c>
      <x:c r="E1633" s="24" t="s">
        <x:v>96</x:v>
      </x:c>
      <x:c r="F1633" s="20" t="s">
        <x:v>97</x:v>
      </x:c>
      <x:c r="G1633" s="26">
        <x:v>46032</x:v>
      </x:c>
      <x:c r="H1633" s="24" t="s">
        <x:v>7498</x:v>
      </x:c>
      <x:c r="I1633" s="28" t="s">
        <x:v>7499</x:v>
      </x:c>
      <x:c r="J1633" s="29" t="s">
        <x:v>7500</x:v>
      </x:c>
    </x:row>
    <x:row r="1634" ht="10.050000190734863" customHeight="1">
      <x:c r="A1634" s="21" t="s">
        <x:v>7501</x:v>
      </x:c>
      <x:c r="B1634" s="20" t="s">
        <x:v>7501</x:v>
      </x:c>
      <x:c r="C1634" s="20" t="s">
        <x:v>7502</x:v>
      </x:c>
      <x:c r="D1634" s="24">
        <x:v>17</x:v>
      </x:c>
      <x:c r="E1634" s="24" t="s">
        <x:v>257</x:v>
      </x:c>
      <x:c r="F1634" s="20" t="s">
        <x:v>97</x:v>
      </x:c>
      <x:c r="G1634" s="26">
        <x:v>42294</x:v>
      </x:c>
      <x:c r="H1634" s="24" t="s">
        <x:v>7503</x:v>
      </x:c>
      <x:c r="I1634" s="28" t="s">
        <x:v>7504</x:v>
      </x:c>
      <x:c r="J1634" s="29" t="s">
        <x:v>7505</x:v>
      </x:c>
    </x:row>
    <x:row r="1635" ht="10.050000190734863" customHeight="1">
      <x:c r="A1635" s="21" t="s">
        <x:v>7506</x:v>
      </x:c>
      <x:c r="B1635" s="20" t="s">
        <x:v>7506</x:v>
      </x:c>
      <x:c r="C1635" s="20" t="s">
        <x:v>5619</x:v>
      </x:c>
      <x:c r="D1635" s="24">
        <x:v>40</x:v>
      </x:c>
      <x:c r="E1635" s="24" t="s">
        <x:v>257</x:v>
      </x:c>
      <x:c r="F1635" s="20" t="s">
        <x:v>97</x:v>
      </x:c>
      <x:c r="G1635" s="26">
        <x:v>41870</x:v>
      </x:c>
      <x:c r="H1635" s="24" t="s">
        <x:v>7507</x:v>
      </x:c>
      <x:c r="I1635" s="28" t="s">
        <x:v>7508</x:v>
      </x:c>
      <x:c r="J1635" s="29" t="s">
        <x:v>7509</x:v>
      </x:c>
    </x:row>
    <x:row r="1636" ht="10.050000190734863" customHeight="1">
      <x:c r="A1636" s="21" t="s">
        <x:v>7510</x:v>
      </x:c>
      <x:c r="B1636" s="20" t="s">
        <x:v>7510</x:v>
      </x:c>
      <x:c r="C1636" s="20" t="s">
        <x:v>7511</x:v>
      </x:c>
      <x:c r="D1636" s="24">
        <x:v>44</x:v>
      </x:c>
      <x:c r="E1636" s="24" t="s">
        <x:v>103</x:v>
      </x:c>
      <x:c r="F1636" s="20" t="s">
        <x:v>97</x:v>
      </x:c>
      <x:c r="G1636" s="26">
        <x:v>45684</x:v>
      </x:c>
      <x:c r="H1636" s="24" t="s">
        <x:v>7512</x:v>
      </x:c>
      <x:c r="I1636" s="28" t="s">
        <x:v>7513</x:v>
      </x:c>
      <x:c r="J1636" s="29" t="s">
        <x:v>7514</x:v>
      </x:c>
    </x:row>
    <x:row r="1637" ht="10.050000190734863" customHeight="1">
      <x:c r="A1637" s="21" t="s">
        <x:v>7515</x:v>
      </x:c>
      <x:c r="B1637" s="20" t="s">
        <x:v>7515</x:v>
      </x:c>
      <x:c r="C1637" s="20" t="s">
        <x:v>7516</x:v>
      </x:c>
      <x:c r="D1637" s="24">
        <x:v>12</x:v>
      </x:c>
      <x:c r="E1637" s="24" t="s">
        <x:v>103</x:v>
      </x:c>
      <x:c r="F1637" s="20" t="s">
        <x:v>97</x:v>
      </x:c>
      <x:c r="G1637" s="26">
        <x:v>42043</x:v>
      </x:c>
      <x:c r="H1637" s="24" t="s">
        <x:v>7517</x:v>
      </x:c>
      <x:c r="I1637" s="28" t="s">
        <x:v>7518</x:v>
      </x:c>
      <x:c r="J1637" s="29" t="s">
        <x:v>7519</x:v>
      </x:c>
    </x:row>
    <x:row r="1638" ht="10.050000190734863" customHeight="1">
      <x:c r="A1638" s="21" t="s">
        <x:v>7520</x:v>
      </x:c>
      <x:c r="B1638" s="20" t="s">
        <x:v>7520</x:v>
      </x:c>
      <x:c r="C1638" s="20" t="s">
        <x:v>7521</x:v>
      </x:c>
      <x:c r="D1638" s="24">
        <x:v>10</x:v>
      </x:c>
      <x:c r="E1638" s="24" t="s">
        <x:v>96</x:v>
      </x:c>
      <x:c r="F1638" s="20" t="s">
        <x:v>97</x:v>
      </x:c>
      <x:c r="G1638" s="26">
        <x:v>42639</x:v>
      </x:c>
      <x:c r="H1638" s="24" t="s">
        <x:v>7522</x:v>
      </x:c>
      <x:c r="I1638" s="28" t="s">
        <x:v>7523</x:v>
      </x:c>
      <x:c r="J1638" s="29" t="s">
        <x:v>7524</x:v>
      </x:c>
    </x:row>
    <x:row r="1639" ht="10.050000190734863" customHeight="1">
      <x:c r="A1639" s="21" t="s">
        <x:v>7525</x:v>
      </x:c>
      <x:c r="B1639" s="20" t="s">
        <x:v>7525</x:v>
      </x:c>
      <x:c r="C1639" s="20" t="s">
        <x:v>7526</x:v>
      </x:c>
      <x:c r="D1639" s="24">
        <x:v>20</x:v>
      </x:c>
      <x:c r="E1639" s="24" t="s">
        <x:v>96</x:v>
      </x:c>
      <x:c r="F1639" s="20" t="s">
        <x:v>97</x:v>
      </x:c>
      <x:c r="G1639" s="26">
        <x:v>44118</x:v>
      </x:c>
      <x:c r="H1639" s="24" t="s">
        <x:v>7527</x:v>
      </x:c>
      <x:c r="I1639" s="28" t="s">
        <x:v>7528</x:v>
      </x:c>
      <x:c r="J1639" s="29" t="s">
        <x:v>7529</x:v>
      </x:c>
    </x:row>
    <x:row r="1640" ht="10.050000190734863" customHeight="1">
      <x:c r="A1640" s="21" t="s">
        <x:v>7530</x:v>
      </x:c>
      <x:c r="B1640" s="20" t="s">
        <x:v>7530</x:v>
      </x:c>
      <x:c r="C1640" s="20" t="s">
        <x:v>7531</x:v>
      </x:c>
      <x:c r="D1640" s="24">
        <x:v>6</x:v>
      </x:c>
      <x:c r="E1640" s="24" t="s">
        <x:v>103</x:v>
      </x:c>
      <x:c r="F1640" s="20" t="s">
        <x:v>97</x:v>
      </x:c>
      <x:c r="G1640" s="26">
        <x:v>41543</x:v>
      </x:c>
      <x:c r="H1640" s="24" t="s">
        <x:v>7532</x:v>
      </x:c>
      <x:c r="I1640" s="28" t="s">
        <x:v>7533</x:v>
      </x:c>
      <x:c r="J1640" s="29" t="s">
        <x:v>7534</x:v>
      </x:c>
    </x:row>
    <x:row r="1641" ht="10.050000190734863" customHeight="1">
      <x:c r="A1641" s="21" t="s">
        <x:v>7535</x:v>
      </x:c>
      <x:c r="B1641" s="20" t="s">
        <x:v>7535</x:v>
      </x:c>
      <x:c r="C1641" s="20" t="s">
        <x:v>1688</x:v>
      </x:c>
      <x:c r="D1641" s="24">
        <x:v>12</x:v>
      </x:c>
      <x:c r="E1641" s="24" t="s">
        <x:v>89</x:v>
      </x:c>
      <x:c r="F1641" s="20" t="s">
        <x:v>90</x:v>
      </x:c>
      <x:c r="G1641" s="26">
        <x:v>44005</x:v>
      </x:c>
      <x:c r="H1641" s="24" t="s">
        <x:v>7536</x:v>
      </x:c>
      <x:c r="I1641" s="28" t="s">
        <x:v>7537</x:v>
      </x:c>
      <x:c r="J1641" s="29" t="s">
        <x:v>7538</x:v>
      </x:c>
    </x:row>
    <x:row r="1642" ht="10.050000190734863" customHeight="1">
      <x:c r="A1642" s="21" t="s">
        <x:v>7539</x:v>
      </x:c>
      <x:c r="B1642" s="20" t="s">
        <x:v>7539</x:v>
      </x:c>
      <x:c r="C1642" s="20" t="s">
        <x:v>933</x:v>
      </x:c>
      <x:c r="D1642" s="24">
        <x:v>1</x:v>
      </x:c>
      <x:c r="E1642" s="24" t="s">
        <x:v>96</x:v>
      </x:c>
      <x:c r="F1642" s="20" t="s">
        <x:v>97</x:v>
      </x:c>
      <x:c r="G1642" s="26">
        <x:v>42972</x:v>
      </x:c>
      <x:c r="H1642" s="24" t="s">
        <x:v>7540</x:v>
      </x:c>
      <x:c r="I1642" s="28" t="s">
        <x:v>7541</x:v>
      </x:c>
      <x:c r="J1642" s="29" t="s">
        <x:v>7542</x:v>
      </x:c>
    </x:row>
    <x:row r="1643" ht="10.050000190734863" customHeight="1">
      <x:c r="A1643" s="21" t="s">
        <x:v>7543</x:v>
      </x:c>
      <x:c r="B1643" s="20" t="s">
        <x:v>7543</x:v>
      </x:c>
      <x:c r="C1643" s="20" t="s">
        <x:v>7544</x:v>
      </x:c>
      <x:c r="D1643" s="24">
        <x:v>5</x:v>
      </x:c>
      <x:c r="E1643" s="24" t="s">
        <x:v>89</x:v>
      </x:c>
      <x:c r="F1643" s="20" t="s">
        <x:v>90</x:v>
      </x:c>
      <x:c r="G1643" s="26">
        <x:v>43856</x:v>
      </x:c>
      <x:c r="H1643" s="24" t="s">
        <x:v>7545</x:v>
      </x:c>
      <x:c r="I1643" s="28" t="s">
        <x:v>7546</x:v>
      </x:c>
      <x:c r="J1643" s="29" t="s">
        <x:v>7547</x:v>
      </x:c>
    </x:row>
    <x:row r="1644" ht="10.050000190734863" customHeight="1">
      <x:c r="A1644" s="21" t="s">
        <x:v>7548</x:v>
      </x:c>
      <x:c r="B1644" s="20" t="s">
        <x:v>7548</x:v>
      </x:c>
      <x:c r="C1644" s="20" t="s">
        <x:v>7549</x:v>
      </x:c>
      <x:c r="D1644" s="24">
        <x:v>47</x:v>
      </x:c>
      <x:c r="E1644" s="24" t="s">
        <x:v>96</x:v>
      </x:c>
      <x:c r="F1644" s="20" t="s">
        <x:v>97</x:v>
      </x:c>
      <x:c r="G1644" s="26">
        <x:v>44585</x:v>
      </x:c>
      <x:c r="H1644" s="24" t="s">
        <x:v>7550</x:v>
      </x:c>
      <x:c r="I1644" s="28" t="s">
        <x:v>7551</x:v>
      </x:c>
      <x:c r="J1644" s="29" t="s">
        <x:v>7552</x:v>
      </x:c>
    </x:row>
    <x:row r="1645" ht="10.050000190734863" customHeight="1">
      <x:c r="A1645" s="21" t="s">
        <x:v>7553</x:v>
      </x:c>
      <x:c r="B1645" s="20" t="s">
        <x:v>7553</x:v>
      </x:c>
      <x:c r="C1645" s="20" t="s">
        <x:v>7549</x:v>
      </x:c>
      <x:c r="D1645" s="24">
        <x:v>69</x:v>
      </x:c>
      <x:c r="E1645" s="24" t="s">
        <x:v>89</x:v>
      </x:c>
      <x:c r="F1645" s="20" t="s">
        <x:v>97</x:v>
      </x:c>
      <x:c r="G1645" s="26">
        <x:v>41691</x:v>
      </x:c>
      <x:c r="H1645" s="24" t="s">
        <x:v>7554</x:v>
      </x:c>
      <x:c r="I1645" s="28" t="s">
        <x:v>7555</x:v>
      </x:c>
      <x:c r="J1645" s="29" t="s">
        <x:v>7556</x:v>
      </x:c>
    </x:row>
    <x:row r="1646" ht="10.050000190734863" customHeight="1">
      <x:c r="A1646" s="21" t="s">
        <x:v>7557</x:v>
      </x:c>
      <x:c r="B1646" s="20" t="s">
        <x:v>7557</x:v>
      </x:c>
      <x:c r="C1646" s="20" t="s">
        <x:v>7558</x:v>
      </x:c>
      <x:c r="D1646" s="24">
        <x:v>9</x:v>
      </x:c>
      <x:c r="E1646" s="24" t="s">
        <x:v>198</x:v>
      </x:c>
      <x:c r="F1646" s="20" t="s">
        <x:v>90</x:v>
      </x:c>
      <x:c r="G1646" s="26">
        <x:v>46073</x:v>
      </x:c>
      <x:c r="H1646" s="24" t="s">
        <x:v>7559</x:v>
      </x:c>
      <x:c r="I1646" s="28" t="s">
        <x:v>7560</x:v>
      </x:c>
      <x:c r="J1646" s="29" t="s">
        <x:v>7561</x:v>
      </x:c>
    </x:row>
    <x:row r="1647" ht="10.050000190734863" customHeight="1">
      <x:c r="A1647" s="21" t="s">
        <x:v>7562</x:v>
      </x:c>
      <x:c r="B1647" s="20" t="s">
        <x:v>7562</x:v>
      </x:c>
      <x:c r="C1647" s="20" t="s">
        <x:v>983</x:v>
      </x:c>
      <x:c r="D1647" s="24">
        <x:v>8</x:v>
      </x:c>
      <x:c r="E1647" s="24" t="s">
        <x:v>198</x:v>
      </x:c>
      <x:c r="F1647" s="20" t="s">
        <x:v>90</x:v>
      </x:c>
      <x:c r="G1647" s="26">
        <x:v>45428</x:v>
      </x:c>
      <x:c r="H1647" s="24" t="s">
        <x:v>7563</x:v>
      </x:c>
      <x:c r="I1647" s="28" t="s">
        <x:v>7564</x:v>
      </x:c>
      <x:c r="J1647" s="29" t="s">
        <x:v>7565</x:v>
      </x:c>
    </x:row>
    <x:row r="1648" ht="10.050000190734863" customHeight="1">
      <x:c r="A1648" s="21" t="s">
        <x:v>7566</x:v>
      </x:c>
      <x:c r="B1648" s="20" t="s">
        <x:v>7566</x:v>
      </x:c>
      <x:c r="C1648" s="20" t="s">
        <x:v>983</x:v>
      </x:c>
      <x:c r="D1648" s="24">
        <x:v>21</x:v>
      </x:c>
      <x:c r="E1648" s="24" t="s">
        <x:v>198</x:v>
      </x:c>
      <x:c r="F1648" s="20" t="s">
        <x:v>90</x:v>
      </x:c>
      <x:c r="G1648" s="26">
        <x:v>46197</x:v>
      </x:c>
      <x:c r="H1648" s="24" t="s">
        <x:v>7567</x:v>
      </x:c>
      <x:c r="I1648" s="28" t="s">
        <x:v>7568</x:v>
      </x:c>
      <x:c r="J1648" s="29" t="s">
        <x:v>7569</x:v>
      </x:c>
    </x:row>
    <x:row r="1649" ht="10.050000190734863" customHeight="1">
      <x:c r="A1649" s="21" t="s">
        <x:v>7570</x:v>
      </x:c>
      <x:c r="B1649" s="20" t="s">
        <x:v>7570</x:v>
      </x:c>
      <x:c r="C1649" s="20" t="s">
        <x:v>983</x:v>
      </x:c>
      <x:c r="D1649" s="24">
        <x:v>22</x:v>
      </x:c>
      <x:c r="E1649" s="24" t="s">
        <x:v>198</x:v>
      </x:c>
      <x:c r="F1649" s="20" t="s">
        <x:v>90</x:v>
      </x:c>
      <x:c r="G1649" s="26">
        <x:v>45437</x:v>
      </x:c>
      <x:c r="H1649" s="24" t="s">
        <x:v>7571</x:v>
      </x:c>
      <x:c r="I1649" s="28" t="s">
        <x:v>7572</x:v>
      </x:c>
      <x:c r="J1649" s="29" t="s">
        <x:v>7573</x:v>
      </x:c>
    </x:row>
    <x:row r="1650" ht="10.050000190734863" customHeight="1">
      <x:c r="A1650" s="21" t="s">
        <x:v>7574</x:v>
      </x:c>
      <x:c r="B1650" s="20" t="s">
        <x:v>7574</x:v>
      </x:c>
      <x:c r="C1650" s="20" t="s">
        <x:v>983</x:v>
      </x:c>
      <x:c r="D1650" s="24">
        <x:v>19</x:v>
      </x:c>
      <x:c r="E1650" s="24" t="s">
        <x:v>198</x:v>
      </x:c>
      <x:c r="F1650" s="20" t="s">
        <x:v>90</x:v>
      </x:c>
      <x:c r="G1650" s="26">
        <x:v>45702</x:v>
      </x:c>
      <x:c r="H1650" s="24" t="s">
        <x:v>7575</x:v>
      </x:c>
      <x:c r="I1650" s="28" t="s">
        <x:v>7576</x:v>
      </x:c>
      <x:c r="J1650" s="29" t="s">
        <x:v>7577</x:v>
      </x:c>
    </x:row>
    <x:row r="1651" ht="10.050000190734863" customHeight="1">
      <x:c r="A1651" s="21" t="s">
        <x:v>7578</x:v>
      </x:c>
      <x:c r="B1651" s="20" t="s">
        <x:v>7578</x:v>
      </x:c>
      <x:c r="C1651" s="20" t="s">
        <x:v>7579</x:v>
      </x:c>
      <x:c r="D1651" s="24">
        <x:v>13</x:v>
      </x:c>
      <x:c r="E1651" s="24" t="s">
        <x:v>96</x:v>
      </x:c>
      <x:c r="F1651" s="20" t="s">
        <x:v>90</x:v>
      </x:c>
      <x:c r="G1651" s="26">
        <x:v>44503</x:v>
      </x:c>
      <x:c r="H1651" s="24" t="s">
        <x:v>7580</x:v>
      </x:c>
      <x:c r="I1651" s="28" t="s">
        <x:v>7581</x:v>
      </x:c>
      <x:c r="J1651" s="29" t="s">
        <x:v>7582</x:v>
      </x:c>
    </x:row>
    <x:row r="1652" ht="10.050000190734863" customHeight="1">
      <x:c r="A1652" s="21" t="s">
        <x:v>7583</x:v>
      </x:c>
      <x:c r="B1652" s="20" t="s">
        <x:v>7583</x:v>
      </x:c>
      <x:c r="C1652" s="20" t="s">
        <x:v>7584</x:v>
      </x:c>
      <x:c r="D1652" s="24">
        <x:v>15</x:v>
      </x:c>
      <x:c r="E1652" s="24" t="s">
        <x:v>198</x:v>
      </x:c>
      <x:c r="F1652" s="20" t="s">
        <x:v>90</x:v>
      </x:c>
      <x:c r="G1652" s="26">
        <x:v>44369</x:v>
      </x:c>
      <x:c r="H1652" s="24" t="s">
        <x:v>7585</x:v>
      </x:c>
      <x:c r="I1652" s="28" t="s">
        <x:v>7586</x:v>
      </x:c>
      <x:c r="J1652" s="29" t="s">
        <x:v>7587</x:v>
      </x:c>
    </x:row>
    <x:row r="1653" ht="10.050000190734863" customHeight="1">
      <x:c r="A1653" s="21" t="s">
        <x:v>7588</x:v>
      </x:c>
      <x:c r="B1653" s="20" t="s">
        <x:v>7588</x:v>
      </x:c>
      <x:c r="C1653" s="20" t="s">
        <x:v>7589</x:v>
      </x:c>
      <x:c r="D1653" s="24">
        <x:v>19</x:v>
      </x:c>
      <x:c r="E1653" s="24" t="s">
        <x:v>125</x:v>
      </x:c>
      <x:c r="F1653" s="20" t="s">
        <x:v>90</x:v>
      </x:c>
      <x:c r="G1653" s="26">
        <x:v>44863</x:v>
      </x:c>
      <x:c r="H1653" s="24" t="s">
        <x:v>7590</x:v>
      </x:c>
      <x:c r="I1653" s="28" t="s">
        <x:v>7591</x:v>
      </x:c>
      <x:c r="J1653" s="29" t="s">
        <x:v>7592</x:v>
      </x:c>
    </x:row>
    <x:row r="1654" ht="10.050000190734863" customHeight="1">
      <x:c r="A1654" s="21" t="s">
        <x:v>7593</x:v>
      </x:c>
      <x:c r="B1654" s="20" t="s">
        <x:v>7593</x:v>
      </x:c>
      <x:c r="C1654" s="20" t="s">
        <x:v>2179</x:v>
      </x:c>
      <x:c r="D1654" s="24">
        <x:v>9</x:v>
      </x:c>
      <x:c r="E1654" s="24" t="s">
        <x:v>114</x:v>
      </x:c>
      <x:c r="F1654" s="20" t="s">
        <x:v>90</x:v>
      </x:c>
      <x:c r="G1654" s="26">
        <x:v>44822</x:v>
      </x:c>
      <x:c r="H1654" s="24" t="s">
        <x:v>7594</x:v>
      </x:c>
      <x:c r="I1654" s="28" t="s">
        <x:v>7595</x:v>
      </x:c>
      <x:c r="J1654" s="29" t="s">
        <x:v>7596</x:v>
      </x:c>
    </x:row>
    <x:row r="1655" ht="10.050000190734863" customHeight="1">
      <x:c r="A1655" s="21" t="s">
        <x:v>7597</x:v>
      </x:c>
      <x:c r="B1655" s="20" t="s">
        <x:v>7597</x:v>
      </x:c>
      <x:c r="C1655" s="20" t="s">
        <x:v>466</x:v>
      </x:c>
      <x:c r="D1655" s="24">
        <x:v>14</x:v>
      </x:c>
      <x:c r="E1655" s="24" t="s">
        <x:v>89</x:v>
      </x:c>
      <x:c r="F1655" s="20" t="s">
        <x:v>90</x:v>
      </x:c>
      <x:c r="G1655" s="26">
        <x:v>43839</x:v>
      </x:c>
      <x:c r="H1655" s="24" t="s">
        <x:v>7598</x:v>
      </x:c>
      <x:c r="I1655" s="28" t="s">
        <x:v>7599</x:v>
      </x:c>
      <x:c r="J1655" s="29" t="s">
        <x:v>7600</x:v>
      </x:c>
    </x:row>
    <x:row r="1656" ht="10.050000190734863" customHeight="1">
      <x:c r="A1656" s="21" t="s">
        <x:v>7601</x:v>
      </x:c>
      <x:c r="B1656" s="20" t="s">
        <x:v>7601</x:v>
      </x:c>
      <x:c r="C1656" s="20" t="s">
        <x:v>6121</x:v>
      </x:c>
      <x:c r="D1656" s="24">
        <x:v>1</x:v>
      </x:c>
      <x:c r="E1656" s="24" t="s">
        <x:v>198</x:v>
      </x:c>
      <x:c r="F1656" s="20" t="s">
        <x:v>3171</x:v>
      </x:c>
      <x:c r="G1656" s="26">
        <x:v>44599</x:v>
      </x:c>
      <x:c r="H1656" s="24" t="s">
        <x:v>7602</x:v>
      </x:c>
      <x:c r="I1656" s="28" t="s">
        <x:v>7603</x:v>
      </x:c>
      <x:c r="J1656" s="29" t="s">
        <x:v>7604</x:v>
      </x:c>
    </x:row>
    <x:row r="1657" ht="10.050000190734863" customHeight="1">
      <x:c r="A1657" s="21" t="s">
        <x:v>7605</x:v>
      </x:c>
      <x:c r="B1657" s="20" t="s">
        <x:v>7605</x:v>
      </x:c>
      <x:c r="C1657" s="20" t="s">
        <x:v>7606</x:v>
      </x:c>
      <x:c r="D1657" s="24">
        <x:v>6</x:v>
      </x:c>
      <x:c r="E1657" s="24" t="s">
        <x:v>89</x:v>
      </x:c>
      <x:c r="F1657" s="20" t="s">
        <x:v>90</x:v>
      </x:c>
      <x:c r="G1657" s="26">
        <x:v>46004</x:v>
      </x:c>
      <x:c r="H1657" s="24" t="s">
        <x:v>7607</x:v>
      </x:c>
      <x:c r="I1657" s="28" t="s">
        <x:v>7608</x:v>
      </x:c>
      <x:c r="J1657" s="29" t="s">
        <x:v>7609</x:v>
      </x:c>
    </x:row>
    <x:row r="1658" ht="10.050000190734863" customHeight="1">
      <x:c r="A1658" s="21" t="s">
        <x:v>7610</x:v>
      </x:c>
      <x:c r="B1658" s="20" t="s">
        <x:v>7610</x:v>
      </x:c>
      <x:c r="C1658" s="20" t="s">
        <x:v>394</x:v>
      </x:c>
      <x:c r="D1658" s="24">
        <x:v>60</x:v>
      </x:c>
      <x:c r="E1658" s="24" t="s">
        <x:v>96</x:v>
      </x:c>
      <x:c r="F1658" s="20" t="s">
        <x:v>97</x:v>
      </x:c>
      <x:c r="G1658" s="26">
        <x:v>45470</x:v>
      </x:c>
      <x:c r="H1658" s="24" t="s">
        <x:v>7611</x:v>
      </x:c>
      <x:c r="I1658" s="28" t="s">
        <x:v>7612</x:v>
      </x:c>
      <x:c r="J1658" s="29" t="s">
        <x:v>7613</x:v>
      </x:c>
    </x:row>
    <x:row r="1659" ht="10.050000190734863" customHeight="1">
      <x:c r="A1659" s="21" t="s">
        <x:v>7614</x:v>
      </x:c>
      <x:c r="B1659" s="20" t="s">
        <x:v>7614</x:v>
      </x:c>
      <x:c r="C1659" s="20" t="s">
        <x:v>7615</x:v>
      </x:c>
      <x:c r="D1659" s="24">
        <x:v>5</x:v>
      </x:c>
      <x:c r="E1659" s="24" t="s">
        <x:v>125</x:v>
      </x:c>
      <x:c r="F1659" s="20" t="s">
        <x:v>90</x:v>
      </x:c>
      <x:c r="G1659" s="26">
        <x:v>46063</x:v>
      </x:c>
      <x:c r="H1659" s="24" t="s">
        <x:v>7616</x:v>
      </x:c>
      <x:c r="I1659" s="28" t="s">
        <x:v>7617</x:v>
      </x:c>
      <x:c r="J1659" s="29" t="s">
        <x:v>7618</x:v>
      </x:c>
    </x:row>
    <x:row r="1660" ht="10.050000190734863" customHeight="1">
      <x:c r="A1660" s="21" t="s">
        <x:v>7619</x:v>
      </x:c>
      <x:c r="B1660" s="20" t="s">
        <x:v>7619</x:v>
      </x:c>
      <x:c r="C1660" s="20" t="s">
        <x:v>1417</x:v>
      </x:c>
      <x:c r="D1660" s="24">
        <x:v>5</x:v>
      </x:c>
      <x:c r="E1660" s="24" t="s">
        <x:v>89</x:v>
      </x:c>
      <x:c r="F1660" s="20" t="s">
        <x:v>90</x:v>
      </x:c>
      <x:c r="G1660" s="26">
        <x:v>46023</x:v>
      </x:c>
      <x:c r="H1660" s="24" t="s">
        <x:v>7620</x:v>
      </x:c>
      <x:c r="I1660" s="28" t="s">
        <x:v>7621</x:v>
      </x:c>
      <x:c r="J1660" s="29" t="s">
        <x:v>7622</x:v>
      </x:c>
    </x:row>
    <x:row r="1661" ht="10.050000190734863" customHeight="1">
      <x:c r="A1661" s="21" t="s">
        <x:v>7623</x:v>
      </x:c>
      <x:c r="B1661" s="20" t="s">
        <x:v>7623</x:v>
      </x:c>
      <x:c r="C1661" s="20" t="s">
        <x:v>4099</x:v>
      </x:c>
      <x:c r="D1661" s="24">
        <x:v>8</x:v>
      </x:c>
      <x:c r="E1661" s="24" t="s">
        <x:v>103</x:v>
      </x:c>
      <x:c r="F1661" s="20" t="s">
        <x:v>97</x:v>
      </x:c>
      <x:c r="G1661" s="26">
        <x:v>42207</x:v>
      </x:c>
      <x:c r="H1661" s="24" t="s">
        <x:v>7624</x:v>
      </x:c>
      <x:c r="I1661" s="28" t="s">
        <x:v>7625</x:v>
      </x:c>
      <x:c r="J1661" s="29" t="s">
        <x:v>7626</x:v>
      </x:c>
    </x:row>
    <x:row r="1662" ht="10.050000190734863" customHeight="1">
      <x:c r="A1662" s="21" t="s">
        <x:v>7627</x:v>
      </x:c>
      <x:c r="B1662" s="20" t="s">
        <x:v>7627</x:v>
      </x:c>
      <x:c r="C1662" s="20" t="s">
        <x:v>5303</x:v>
      </x:c>
      <x:c r="D1662" s="24">
        <x:v>5</x:v>
      </x:c>
      <x:c r="E1662" s="24" t="s">
        <x:v>96</x:v>
      </x:c>
      <x:c r="F1662" s="20" t="s">
        <x:v>610</x:v>
      </x:c>
      <x:c r="G1662" s="26">
        <x:v>41824</x:v>
      </x:c>
      <x:c r="H1662" s="24" t="s">
        <x:v>7628</x:v>
      </x:c>
      <x:c r="I1662" s="28" t="s">
        <x:v>7629</x:v>
      </x:c>
      <x:c r="J1662" s="29" t="s">
        <x:v>7630</x:v>
      </x:c>
    </x:row>
    <x:row r="1663" ht="10.050000190734863" customHeight="1">
      <x:c r="A1663" s="21" t="s">
        <x:v>7631</x:v>
      </x:c>
      <x:c r="B1663" s="20" t="s">
        <x:v>7631</x:v>
      </x:c>
      <x:c r="C1663" s="20" t="s">
        <x:v>6754</x:v>
      </x:c>
      <x:c r="D1663" s="24">
        <x:v>1</x:v>
      </x:c>
      <x:c r="E1663" s="24" t="s">
        <x:v>198</x:v>
      </x:c>
      <x:c r="F1663" s="20" t="s">
        <x:v>90</x:v>
      </x:c>
      <x:c r="G1663" s="26">
        <x:v>44264</x:v>
      </x:c>
      <x:c r="H1663" s="24" t="s">
        <x:v>7632</x:v>
      </x:c>
      <x:c r="I1663" s="28" t="s">
        <x:v>7633</x:v>
      </x:c>
      <x:c r="J1663" s="29" t="s">
        <x:v>7634</x:v>
      </x:c>
    </x:row>
    <x:row r="1664" ht="10.050000190734863" customHeight="1">
      <x:c r="A1664" s="21" t="s">
        <x:v>7635</x:v>
      </x:c>
      <x:c r="B1664" s="20" t="s">
        <x:v>7635</x:v>
      </x:c>
      <x:c r="C1664" s="20" t="s">
        <x:v>723</x:v>
      </x:c>
      <x:c r="D1664" s="24">
        <x:v>8</x:v>
      </x:c>
      <x:c r="E1664" s="24" t="s">
        <x:v>96</x:v>
      </x:c>
      <x:c r="F1664" s="20" t="s">
        <x:v>97</x:v>
      </x:c>
      <x:c r="G1664" s="26">
        <x:v>44763</x:v>
      </x:c>
      <x:c r="H1664" s="24" t="s">
        <x:v>7636</x:v>
      </x:c>
      <x:c r="I1664" s="28" t="s">
        <x:v>7637</x:v>
      </x:c>
      <x:c r="J1664" s="29" t="s">
        <x:v>7638</x:v>
      </x:c>
    </x:row>
    <x:row r="1665" ht="10.050000190734863" customHeight="1">
      <x:c r="A1665" s="21" t="s">
        <x:v>7639</x:v>
      </x:c>
      <x:c r="B1665" s="20" t="s">
        <x:v>7639</x:v>
      </x:c>
      <x:c r="C1665" s="20" t="s">
        <x:v>723</x:v>
      </x:c>
      <x:c r="D1665" s="24">
        <x:v>24</x:v>
      </x:c>
      <x:c r="E1665" s="24" t="s">
        <x:v>96</x:v>
      </x:c>
      <x:c r="F1665" s="20" t="s">
        <x:v>97</x:v>
      </x:c>
      <x:c r="G1665" s="26">
        <x:v>45893</x:v>
      </x:c>
      <x:c r="H1665" s="24" t="s">
        <x:v>7640</x:v>
      </x:c>
      <x:c r="I1665" s="28" t="s">
        <x:v>7641</x:v>
      </x:c>
      <x:c r="J1665" s="29" t="s">
        <x:v>7642</x:v>
      </x:c>
    </x:row>
    <x:row r="1666" ht="10.050000190734863" customHeight="1">
      <x:c r="A1666" s="21" t="s">
        <x:v>7643</x:v>
      </x:c>
      <x:c r="B1666" s="20" t="s">
        <x:v>7643</x:v>
      </x:c>
      <x:c r="C1666" s="20" t="s">
        <x:v>7644</x:v>
      </x:c>
      <x:c r="D1666" s="24">
        <x:v>8</x:v>
      </x:c>
      <x:c r="E1666" s="24" t="s">
        <x:v>103</x:v>
      </x:c>
      <x:c r="F1666" s="20" t="s">
        <x:v>97</x:v>
      </x:c>
      <x:c r="G1666" s="26">
        <x:v>41545</x:v>
      </x:c>
      <x:c r="H1666" s="24" t="s">
        <x:v>7645</x:v>
      </x:c>
      <x:c r="I1666" s="28" t="s">
        <x:v>7646</x:v>
      </x:c>
      <x:c r="J1666" s="29" t="s">
        <x:v>7647</x:v>
      </x:c>
    </x:row>
    <x:row r="1667" ht="10.050000190734863" customHeight="1">
      <x:c r="A1667" s="21" t="s">
        <x:v>7648</x:v>
      </x:c>
      <x:c r="B1667" s="20" t="s">
        <x:v>7648</x:v>
      </x:c>
      <x:c r="C1667" s="20" t="s">
        <x:v>7644</x:v>
      </x:c>
      <x:c r="D1667" s="24">
        <x:v>12</x:v>
      </x:c>
      <x:c r="E1667" s="24" t="s">
        <x:v>96</x:v>
      </x:c>
      <x:c r="F1667" s="20" t="s">
        <x:v>97</x:v>
      </x:c>
      <x:c r="G1667" s="26">
        <x:v>42699</x:v>
      </x:c>
      <x:c r="H1667" s="24" t="s">
        <x:v>7649</x:v>
      </x:c>
      <x:c r="I1667" s="28" t="s">
        <x:v>7650</x:v>
      </x:c>
      <x:c r="J1667" s="29" t="s">
        <x:v>7651</x:v>
      </x:c>
    </x:row>
    <x:row r="1668" ht="10.050000190734863" customHeight="1">
      <x:c r="A1668" s="21" t="s">
        <x:v>7652</x:v>
      </x:c>
      <x:c r="B1668" s="20" t="s">
        <x:v>7652</x:v>
      </x:c>
      <x:c r="C1668" s="20" t="s">
        <x:v>1344</x:v>
      </x:c>
      <x:c r="D1668" s="24">
        <x:v>69</x:v>
      </x:c>
      <x:c r="E1668" s="24" t="s">
        <x:v>198</x:v>
      </x:c>
      <x:c r="F1668" s="20" t="s">
        <x:v>152</x:v>
      </x:c>
      <x:c r="G1668" s="26">
        <x:v>45512</x:v>
      </x:c>
      <x:c r="H1668" s="24" t="s">
        <x:v>7653</x:v>
      </x:c>
      <x:c r="I1668" s="28" t="s">
        <x:v>7654</x:v>
      </x:c>
      <x:c r="J1668" s="29" t="s">
        <x:v>7655</x:v>
      </x:c>
    </x:row>
    <x:row r="1669" ht="10.050000190734863" customHeight="1">
      <x:c r="A1669" s="21" t="s">
        <x:v>7656</x:v>
      </x:c>
      <x:c r="B1669" s="20" t="s">
        <x:v>7656</x:v>
      </x:c>
      <x:c r="C1669" s="20" t="s">
        <x:v>7657</x:v>
      </x:c>
      <x:c r="D1669" s="24">
        <x:v>4</x:v>
      </x:c>
      <x:c r="E1669" s="24" t="s">
        <x:v>96</x:v>
      </x:c>
      <x:c r="F1669" s="20" t="s">
        <x:v>97</x:v>
      </x:c>
      <x:c r="G1669" s="26">
        <x:v>45527</x:v>
      </x:c>
      <x:c r="H1669" s="24" t="s">
        <x:v>7658</x:v>
      </x:c>
      <x:c r="I1669" s="28" t="s">
        <x:v>7659</x:v>
      </x:c>
      <x:c r="J1669" s="29" t="s">
        <x:v>7660</x:v>
      </x:c>
    </x:row>
    <x:row r="1670" ht="10.050000190734863" customHeight="1">
      <x:c r="A1670" s="21" t="s">
        <x:v>7661</x:v>
      </x:c>
      <x:c r="B1670" s="20" t="s">
        <x:v>7661</x:v>
      </x:c>
      <x:c r="C1670" s="20" t="s">
        <x:v>272</x:v>
      </x:c>
      <x:c r="D1670" s="24">
        <x:v>12</x:v>
      </x:c>
      <x:c r="E1670" s="24" t="s">
        <x:v>89</x:v>
      </x:c>
      <x:c r="F1670" s="20" t="s">
        <x:v>97</x:v>
      </x:c>
      <x:c r="G1670" s="26">
        <x:v>45349</x:v>
      </x:c>
      <x:c r="H1670" s="24" t="s">
        <x:v>7662</x:v>
      </x:c>
      <x:c r="I1670" s="28" t="s">
        <x:v>7663</x:v>
      </x:c>
      <x:c r="J1670" s="29" t="s">
        <x:v>7664</x:v>
      </x:c>
    </x:row>
    <x:row r="1671" ht="10.050000190734863" customHeight="1">
      <x:c r="A1671" s="21" t="s">
        <x:v>7665</x:v>
      </x:c>
      <x:c r="B1671" s="20" t="s">
        <x:v>7665</x:v>
      </x:c>
      <x:c r="C1671" s="20" t="s">
        <x:v>1861</x:v>
      </x:c>
      <x:c r="D1671" s="24">
        <x:v>96</x:v>
      </x:c>
      <x:c r="E1671" s="24" t="s">
        <x:v>89</x:v>
      </x:c>
      <x:c r="F1671" s="20" t="s">
        <x:v>152</x:v>
      </x:c>
      <x:c r="G1671" s="26">
        <x:v>45401</x:v>
      </x:c>
      <x:c r="H1671" s="24" t="s">
        <x:v>7666</x:v>
      </x:c>
      <x:c r="I1671" s="28" t="s">
        <x:v>7667</x:v>
      </x:c>
      <x:c r="J1671" s="29" t="s">
        <x:v>7668</x:v>
      </x:c>
    </x:row>
    <x:row r="1672" ht="10.050000190734863" customHeight="1">
      <x:c r="A1672" s="21" t="s">
        <x:v>7669</x:v>
      </x:c>
      <x:c r="B1672" s="20" t="s">
        <x:v>7669</x:v>
      </x:c>
      <x:c r="C1672" s="20" t="s">
        <x:v>4392</x:v>
      </x:c>
      <x:c r="D1672" s="24">
        <x:v>9</x:v>
      </x:c>
      <x:c r="E1672" s="24" t="s">
        <x:v>198</x:v>
      </x:c>
      <x:c r="F1672" s="20" t="s">
        <x:v>90</x:v>
      </x:c>
      <x:c r="G1672" s="26">
        <x:v>43922</x:v>
      </x:c>
      <x:c r="H1672" s="24" t="s">
        <x:v>7670</x:v>
      </x:c>
      <x:c r="I1672" s="28" t="s">
        <x:v>7671</x:v>
      </x:c>
      <x:c r="J1672" s="29" t="s">
        <x:v>7672</x:v>
      </x:c>
    </x:row>
    <x:row r="1673" ht="10.050000190734863" customHeight="1">
      <x:c r="A1673" s="21" t="s">
        <x:v>7673</x:v>
      </x:c>
      <x:c r="B1673" s="20" t="s">
        <x:v>7673</x:v>
      </x:c>
      <x:c r="C1673" s="20" t="s">
        <x:v>3170</x:v>
      </x:c>
      <x:c r="D1673" s="24">
        <x:v>6</x:v>
      </x:c>
      <x:c r="E1673" s="24" t="s">
        <x:v>198</x:v>
      </x:c>
      <x:c r="F1673" s="20" t="s">
        <x:v>90</x:v>
      </x:c>
      <x:c r="G1673" s="26">
        <x:v>45565</x:v>
      </x:c>
      <x:c r="H1673" s="24" t="s">
        <x:v>7674</x:v>
      </x:c>
      <x:c r="I1673" s="28" t="s">
        <x:v>7675</x:v>
      </x:c>
      <x:c r="J1673" s="29" t="s">
        <x:v>7676</x:v>
      </x:c>
    </x:row>
    <x:row r="1674" ht="10.050000190734863" customHeight="1">
      <x:c r="A1674" s="21" t="s">
        <x:v>7677</x:v>
      </x:c>
      <x:c r="B1674" s="20" t="s">
        <x:v>7677</x:v>
      </x:c>
      <x:c r="C1674" s="20" t="s">
        <x:v>2567</x:v>
      </x:c>
      <x:c r="D1674" s="24">
        <x:v>14</x:v>
      </x:c>
      <x:c r="E1674" s="24" t="s">
        <x:v>114</x:v>
      </x:c>
      <x:c r="F1674" s="20" t="s">
        <x:v>90</x:v>
      </x:c>
      <x:c r="G1674" s="26">
        <x:v>44476</x:v>
      </x:c>
      <x:c r="H1674" s="24" t="s">
        <x:v>7678</x:v>
      </x:c>
      <x:c r="I1674" s="28" t="s">
        <x:v>7679</x:v>
      </x:c>
      <x:c r="J1674" s="29" t="s">
        <x:v>7680</x:v>
      </x:c>
    </x:row>
    <x:row r="1675" ht="10.050000190734863" customHeight="1">
      <x:c r="A1675" s="21" t="s">
        <x:v>7681</x:v>
      </x:c>
      <x:c r="B1675" s="20" t="s">
        <x:v>7681</x:v>
      </x:c>
      <x:c r="C1675" s="20" t="s">
        <x:v>491</x:v>
      </x:c>
      <x:c r="D1675" s="24">
        <x:v>1</x:v>
      </x:c>
      <x:c r="E1675" s="24" t="s">
        <x:v>89</x:v>
      </x:c>
      <x:c r="F1675" s="20" t="s">
        <x:v>90</x:v>
      </x:c>
      <x:c r="G1675" s="26">
        <x:v>45722</x:v>
      </x:c>
      <x:c r="H1675" s="24" t="s">
        <x:v>7682</x:v>
      </x:c>
      <x:c r="I1675" s="28" t="s">
        <x:v>7683</x:v>
      </x:c>
      <x:c r="J1675" s="29" t="s">
        <x:v>7684</x:v>
      </x:c>
    </x:row>
    <x:row r="1676" ht="10.050000190734863" customHeight="1">
      <x:c r="A1676" s="21" t="s">
        <x:v>7685</x:v>
      </x:c>
      <x:c r="B1676" s="20" t="s">
        <x:v>7685</x:v>
      </x:c>
      <x:c r="C1676" s="20" t="s">
        <x:v>7686</x:v>
      </x:c>
      <x:c r="D1676" s="24">
        <x:v>8</x:v>
      </x:c>
      <x:c r="E1676" s="24" t="s">
        <x:v>96</x:v>
      </x:c>
      <x:c r="F1676" s="20" t="s">
        <x:v>97</x:v>
      </x:c>
      <x:c r="G1676" s="26">
        <x:v>46025</x:v>
      </x:c>
      <x:c r="H1676" s="24" t="s">
        <x:v>7687</x:v>
      </x:c>
      <x:c r="I1676" s="28" t="s">
        <x:v>7688</x:v>
      </x:c>
      <x:c r="J1676" s="29" t="s">
        <x:v>7689</x:v>
      </x:c>
    </x:row>
    <x:row r="1677" ht="10.050000190734863" customHeight="1">
      <x:c r="A1677" s="21" t="s">
        <x:v>7690</x:v>
      </x:c>
      <x:c r="B1677" s="20" t="s">
        <x:v>7690</x:v>
      </x:c>
      <x:c r="C1677" s="20" t="s">
        <x:v>2562</x:v>
      </x:c>
      <x:c r="D1677" s="24">
        <x:v>10</x:v>
      </x:c>
      <x:c r="E1677" s="24" t="s">
        <x:v>114</x:v>
      </x:c>
      <x:c r="F1677" s="20" t="s">
        <x:v>90</x:v>
      </x:c>
      <x:c r="G1677" s="26">
        <x:v>44067</x:v>
      </x:c>
      <x:c r="H1677" s="24" t="s">
        <x:v>7691</x:v>
      </x:c>
      <x:c r="I1677" s="28" t="s">
        <x:v>7692</x:v>
      </x:c>
      <x:c r="J1677" s="29" t="s">
        <x:v>7693</x:v>
      </x:c>
    </x:row>
    <x:row r="1678" ht="10.050000190734863" customHeight="1">
      <x:c r="A1678" s="21" t="s">
        <x:v>7694</x:v>
      </x:c>
      <x:c r="B1678" s="20" t="s">
        <x:v>7694</x:v>
      </x:c>
      <x:c r="C1678" s="20" t="s">
        <x:v>7695</x:v>
      </x:c>
      <x:c r="D1678" s="24">
        <x:v>4</x:v>
      </x:c>
      <x:c r="E1678" s="24" t="s">
        <x:v>103</x:v>
      </x:c>
      <x:c r="F1678" s="20" t="s">
        <x:v>97</x:v>
      </x:c>
      <x:c r="G1678" s="26">
        <x:v>44012</x:v>
      </x:c>
      <x:c r="H1678" s="24" t="s">
        <x:v>7696</x:v>
      </x:c>
      <x:c r="I1678" s="28" t="s">
        <x:v>7697</x:v>
      </x:c>
      <x:c r="J1678" s="29" t="s">
        <x:v>7698</x:v>
      </x:c>
    </x:row>
    <x:row r="1679" ht="10.050000190734863" customHeight="1">
      <x:c r="A1679" s="21" t="s">
        <x:v>7699</x:v>
      </x:c>
      <x:c r="B1679" s="20" t="s">
        <x:v>7699</x:v>
      </x:c>
      <x:c r="C1679" s="20" t="s">
        <x:v>3791</x:v>
      </x:c>
      <x:c r="D1679" s="24">
        <x:v>4</x:v>
      </x:c>
      <x:c r="E1679" s="24" t="s">
        <x:v>89</x:v>
      </x:c>
      <x:c r="F1679" s="20" t="s">
        <x:v>90</x:v>
      </x:c>
      <x:c r="G1679" s="26">
        <x:v>44326</x:v>
      </x:c>
      <x:c r="H1679" s="24" t="s">
        <x:v>7700</x:v>
      </x:c>
      <x:c r="I1679" s="28" t="s">
        <x:v>7701</x:v>
      </x:c>
      <x:c r="J1679" s="29" t="s">
        <x:v>7702</x:v>
      </x:c>
    </x:row>
    <x:row r="1680" ht="10.050000190734863" customHeight="1">
      <x:c r="A1680" s="21" t="s">
        <x:v>7703</x:v>
      </x:c>
      <x:c r="B1680" s="20" t="s">
        <x:v>7703</x:v>
      </x:c>
      <x:c r="C1680" s="20" t="s">
        <x:v>1502</x:v>
      </x:c>
      <x:c r="D1680" s="24">
        <x:v>5</x:v>
      </x:c>
      <x:c r="E1680" s="24" t="s">
        <x:v>96</x:v>
      </x:c>
      <x:c r="F1680" s="20" t="s">
        <x:v>90</x:v>
      </x:c>
      <x:c r="G1680" s="26">
        <x:v>45895</x:v>
      </x:c>
      <x:c r="H1680" s="24" t="s">
        <x:v>7704</x:v>
      </x:c>
      <x:c r="I1680" s="28" t="s">
        <x:v>7705</x:v>
      </x:c>
      <x:c r="J1680" s="29" t="s">
        <x:v>7706</x:v>
      </x:c>
    </x:row>
    <x:row r="1681" ht="10.050000190734863" customHeight="1">
      <x:c r="A1681" s="21" t="s">
        <x:v>7707</x:v>
      </x:c>
      <x:c r="B1681" s="20" t="s">
        <x:v>7707</x:v>
      </x:c>
      <x:c r="C1681" s="20" t="s">
        <x:v>1502</x:v>
      </x:c>
      <x:c r="D1681" s="24">
        <x:v>10</x:v>
      </x:c>
      <x:c r="E1681" s="24" t="s">
        <x:v>96</x:v>
      </x:c>
      <x:c r="F1681" s="20" t="s">
        <x:v>90</x:v>
      </x:c>
      <x:c r="G1681" s="26">
        <x:v>46179</x:v>
      </x:c>
      <x:c r="H1681" s="24" t="s">
        <x:v>7708</x:v>
      </x:c>
      <x:c r="I1681" s="28" t="s">
        <x:v>7709</x:v>
      </x:c>
      <x:c r="J1681" s="29" t="s">
        <x:v>7710</x:v>
      </x:c>
    </x:row>
    <x:row r="1682" ht="10.050000190734863" customHeight="1">
      <x:c r="A1682" s="21" t="s">
        <x:v>76</x:v>
      </x:c>
      <x:c r="B1682" s="20" t="s">
        <x:v>76</x:v>
      </x:c>
      <x:c r="C1682" s="20" t="s">
        <x:v>7711</x:v>
      </x:c>
      <x:c r="D1682" s="24">
        <x:v>22</x:v>
      </x:c>
      <x:c r="E1682" s="24" t="s">
        <x:v>198</x:v>
      </x:c>
      <x:c r="F1682" s="20" t="s">
        <x:v>90</x:v>
      </x:c>
      <x:c r="G1682" s="26">
        <x:v>46032</x:v>
      </x:c>
      <x:c r="H1682" s="24" t="s">
        <x:v>7712</x:v>
      </x:c>
      <x:c r="I1682" s="28" t="s">
        <x:v>7713</x:v>
      </x:c>
      <x:c r="J1682" s="29" t="s">
        <x:v>7714</x:v>
      </x:c>
    </x:row>
    <x:row r="1683" ht="10.050000190734863" customHeight="1">
      <x:c r="A1683" s="21" t="s">
        <x:v>7715</x:v>
      </x:c>
      <x:c r="B1683" s="20" t="s">
        <x:v>7715</x:v>
      </x:c>
      <x:c r="C1683" s="20" t="s">
        <x:v>4751</x:v>
      </x:c>
      <x:c r="D1683" s="24">
        <x:v>7</x:v>
      </x:c>
      <x:c r="E1683" s="24" t="s">
        <x:v>257</x:v>
      </x:c>
      <x:c r="F1683" s="20" t="s">
        <x:v>97</x:v>
      </x:c>
      <x:c r="G1683" s="26">
        <x:v>44749</x:v>
      </x:c>
      <x:c r="H1683" s="24" t="s">
        <x:v>7716</x:v>
      </x:c>
      <x:c r="I1683" s="28" t="s">
        <x:v>7717</x:v>
      </x:c>
      <x:c r="J1683" s="29" t="s">
        <x:v>7718</x:v>
      </x:c>
    </x:row>
    <x:row r="1684" ht="10.050000190734863" customHeight="1">
      <x:c r="A1684" s="21" t="s">
        <x:v>7719</x:v>
      </x:c>
      <x:c r="B1684" s="20" t="s">
        <x:v>7719</x:v>
      </x:c>
      <x:c r="C1684" s="20" t="s">
        <x:v>7720</x:v>
      </x:c>
      <x:c r="D1684" s="24">
        <x:v>8</x:v>
      </x:c>
      <x:c r="E1684" s="24" t="s">
        <x:v>103</x:v>
      </x:c>
      <x:c r="F1684" s="20" t="s">
        <x:v>97</x:v>
      </x:c>
      <x:c r="G1684" s="26">
        <x:v>45010</x:v>
      </x:c>
      <x:c r="H1684" s="24" t="s">
        <x:v>7721</x:v>
      </x:c>
      <x:c r="I1684" s="28" t="s">
        <x:v>7722</x:v>
      </x:c>
      <x:c r="J1684" s="29" t="s">
        <x:v>7723</x:v>
      </x:c>
    </x:row>
    <x:row r="1685" ht="10.050000190734863" customHeight="1">
      <x:c r="A1685" s="21" t="s">
        <x:v>7724</x:v>
      </x:c>
      <x:c r="B1685" s="20" t="s">
        <x:v>7724</x:v>
      </x:c>
      <x:c r="C1685" s="20" t="s">
        <x:v>3924</x:v>
      </x:c>
      <x:c r="D1685" s="24">
        <x:v>23</x:v>
      </x:c>
      <x:c r="E1685" s="24" t="s">
        <x:v>103</x:v>
      </x:c>
      <x:c r="F1685" s="20" t="s">
        <x:v>97</x:v>
      </x:c>
      <x:c r="G1685" s="26">
        <x:v>45224</x:v>
      </x:c>
      <x:c r="H1685" s="24" t="s">
        <x:v>7725</x:v>
      </x:c>
      <x:c r="I1685" s="28" t="s">
        <x:v>7726</x:v>
      </x:c>
      <x:c r="J1685" s="29" t="s">
        <x:v>7727</x:v>
      </x:c>
    </x:row>
    <x:row r="1686" ht="10.050000190734863" customHeight="1">
      <x:c r="A1686" s="21" t="s">
        <x:v>7728</x:v>
      </x:c>
      <x:c r="B1686" s="20" t="s">
        <x:v>7728</x:v>
      </x:c>
      <x:c r="C1686" s="20" t="s">
        <x:v>7729</x:v>
      </x:c>
      <x:c r="D1686" s="24">
        <x:v>19</x:v>
      </x:c>
      <x:c r="E1686" s="24" t="s">
        <x:v>89</x:v>
      </x:c>
      <x:c r="F1686" s="20" t="s">
        <x:v>97</x:v>
      </x:c>
      <x:c r="G1686" s="26">
        <x:v>43140</x:v>
      </x:c>
      <x:c r="H1686" s="24" t="s">
        <x:v>7730</x:v>
      </x:c>
      <x:c r="I1686" s="28" t="s">
        <x:v>7731</x:v>
      </x:c>
      <x:c r="J1686" s="29" t="s">
        <x:v>7732</x:v>
      </x:c>
    </x:row>
    <x:row r="1687" ht="10.050000190734863" customHeight="1">
      <x:c r="A1687" s="21" t="s">
        <x:v>7733</x:v>
      </x:c>
      <x:c r="B1687" s="20" t="s">
        <x:v>7733</x:v>
      </x:c>
      <x:c r="C1687" s="20" t="s">
        <x:v>2798</x:v>
      </x:c>
      <x:c r="D1687" s="24">
        <x:v>0</x:v>
      </x:c>
      <x:c r="E1687" s="24" t="s">
        <x:v>198</x:v>
      </x:c>
      <x:c r="F1687" s="20" t="s">
        <x:v>90</x:v>
      </x:c>
      <x:c r="G1687" s="26">
        <x:v>45054</x:v>
      </x:c>
      <x:c r="H1687" s="24" t="s">
        <x:v>7734</x:v>
      </x:c>
      <x:c r="I1687" s="28" t="s">
        <x:v>7735</x:v>
      </x:c>
      <x:c r="J1687" s="29" t="s">
        <x:v>7736</x:v>
      </x:c>
    </x:row>
    <x:row r="1688" ht="10.050000190734863" customHeight="1">
      <x:c r="A1688" s="21" t="s">
        <x:v>7737</x:v>
      </x:c>
      <x:c r="B1688" s="20" t="s">
        <x:v>7737</x:v>
      </x:c>
      <x:c r="C1688" s="20" t="s">
        <x:v>2179</x:v>
      </x:c>
      <x:c r="D1688" s="24">
        <x:v>17</x:v>
      </x:c>
      <x:c r="E1688" s="24" t="s">
        <x:v>114</x:v>
      </x:c>
      <x:c r="F1688" s="20" t="s">
        <x:v>90</x:v>
      </x:c>
      <x:c r="G1688" s="26">
        <x:v>44362</x:v>
      </x:c>
      <x:c r="H1688" s="24" t="s">
        <x:v>7738</x:v>
      </x:c>
      <x:c r="I1688" s="28" t="s">
        <x:v>7739</x:v>
      </x:c>
      <x:c r="J1688" s="29" t="s">
        <x:v>7740</x:v>
      </x:c>
    </x:row>
    <x:row r="1689" ht="10.050000190734863" customHeight="1">
      <x:c r="A1689" s="21" t="s">
        <x:v>7741</x:v>
      </x:c>
      <x:c r="B1689" s="20" t="s">
        <x:v>7741</x:v>
      </x:c>
      <x:c r="C1689" s="20" t="s">
        <x:v>567</x:v>
      </x:c>
      <x:c r="D1689" s="24">
        <x:v>37</x:v>
      </x:c>
      <x:c r="E1689" s="24" t="s">
        <x:v>96</x:v>
      </x:c>
      <x:c r="F1689" s="20" t="s">
        <x:v>97</x:v>
      </x:c>
      <x:c r="G1689" s="26">
        <x:v>42342</x:v>
      </x:c>
      <x:c r="H1689" s="24" t="s">
        <x:v>7742</x:v>
      </x:c>
      <x:c r="I1689" s="28" t="s">
        <x:v>7743</x:v>
      </x:c>
      <x:c r="J1689" s="29" t="s">
        <x:v>7744</x:v>
      </x:c>
    </x:row>
    <x:row r="1690" ht="10.050000190734863" customHeight="1">
      <x:c r="A1690" s="21" t="s">
        <x:v>7745</x:v>
      </x:c>
      <x:c r="B1690" s="20" t="s">
        <x:v>7745</x:v>
      </x:c>
      <x:c r="C1690" s="20" t="s">
        <x:v>7746</x:v>
      </x:c>
      <x:c r="D1690" s="24">
        <x:v>6</x:v>
      </x:c>
      <x:c r="E1690" s="24" t="s">
        <x:v>198</x:v>
      </x:c>
      <x:c r="F1690" s="20" t="s">
        <x:v>90</x:v>
      </x:c>
      <x:c r="G1690" s="26">
        <x:v>45984</x:v>
      </x:c>
      <x:c r="H1690" s="24" t="s">
        <x:v>7747</x:v>
      </x:c>
      <x:c r="I1690" s="28" t="s">
        <x:v>7748</x:v>
      </x:c>
      <x:c r="J1690" s="29" t="s">
        <x:v>7749</x:v>
      </x:c>
    </x:row>
    <x:row r="1691" ht="10.050000190734863" customHeight="1">
      <x:c r="A1691" s="21" t="s">
        <x:v>7750</x:v>
      </x:c>
      <x:c r="B1691" s="20" t="s">
        <x:v>7750</x:v>
      </x:c>
      <x:c r="C1691" s="20" t="s">
        <x:v>6301</x:v>
      </x:c>
      <x:c r="D1691" s="24">
        <x:v>16</x:v>
      </x:c>
      <x:c r="E1691" s="24" t="s">
        <x:v>103</x:v>
      </x:c>
      <x:c r="F1691" s="20" t="s">
        <x:v>97</x:v>
      </x:c>
      <x:c r="G1691" s="26">
        <x:v>41445</x:v>
      </x:c>
      <x:c r="H1691" s="24" t="s">
        <x:v>7751</x:v>
      </x:c>
      <x:c r="I1691" s="28" t="s">
        <x:v>7752</x:v>
      </x:c>
      <x:c r="J1691" s="29" t="s">
        <x:v>7753</x:v>
      </x:c>
    </x:row>
    <x:row r="1692" ht="10.050000190734863" customHeight="1">
      <x:c r="A1692" s="21" t="s">
        <x:v>7754</x:v>
      </x:c>
      <x:c r="B1692" s="20" t="s">
        <x:v>7754</x:v>
      </x:c>
      <x:c r="C1692" s="20" t="s">
        <x:v>7755</x:v>
      </x:c>
      <x:c r="D1692" s="24">
        <x:v>6</x:v>
      </x:c>
      <x:c r="E1692" s="24" t="s">
        <x:v>103</x:v>
      </x:c>
      <x:c r="F1692" s="20" t="s">
        <x:v>97</x:v>
      </x:c>
      <x:c r="G1692" s="26">
        <x:v>42056</x:v>
      </x:c>
      <x:c r="H1692" s="24" t="s">
        <x:v>7756</x:v>
      </x:c>
      <x:c r="I1692" s="28" t="s">
        <x:v>7757</x:v>
      </x:c>
      <x:c r="J1692" s="29" t="s">
        <x:v>7758</x:v>
      </x:c>
    </x:row>
    <x:row r="1693" ht="10.050000190734863" customHeight="1">
      <x:c r="A1693" s="21" t="s">
        <x:v>7759</x:v>
      </x:c>
      <x:c r="B1693" s="20" t="s">
        <x:v>7759</x:v>
      </x:c>
      <x:c r="C1693" s="20" t="s">
        <x:v>680</x:v>
      </x:c>
      <x:c r="D1693" s="24">
        <x:v>3</x:v>
      </x:c>
      <x:c r="E1693" s="24" t="s">
        <x:v>114</x:v>
      </x:c>
      <x:c r="F1693" s="20" t="s">
        <x:v>90</x:v>
      </x:c>
      <x:c r="G1693" s="26">
        <x:v>44515</x:v>
      </x:c>
      <x:c r="H1693" s="24" t="s">
        <x:v>7760</x:v>
      </x:c>
      <x:c r="I1693" s="28" t="s">
        <x:v>7761</x:v>
      </x:c>
      <x:c r="J1693" s="29" t="s">
        <x:v>7762</x:v>
      </x:c>
    </x:row>
    <x:row r="1694" ht="10.050000190734863" customHeight="1">
      <x:c r="A1694" s="21" t="s">
        <x:v>7763</x:v>
      </x:c>
      <x:c r="B1694" s="20" t="s">
        <x:v>7763</x:v>
      </x:c>
      <x:c r="C1694" s="20" t="s">
        <x:v>3388</x:v>
      </x:c>
      <x:c r="D1694" s="24">
        <x:v>11</x:v>
      </x:c>
      <x:c r="E1694" s="24" t="s">
        <x:v>198</x:v>
      </x:c>
      <x:c r="F1694" s="20" t="s">
        <x:v>90</x:v>
      </x:c>
      <x:c r="G1694" s="26">
        <x:v>44312</x:v>
      </x:c>
      <x:c r="H1694" s="24" t="s">
        <x:v>7764</x:v>
      </x:c>
      <x:c r="I1694" s="28" t="s">
        <x:v>7765</x:v>
      </x:c>
      <x:c r="J1694" s="29" t="s">
        <x:v>7766</x:v>
      </x:c>
    </x:row>
    <x:row r="1695" ht="10.050000190734863" customHeight="1">
      <x:c r="A1695" s="21" t="s">
        <x:v>7767</x:v>
      </x:c>
      <x:c r="B1695" s="20" t="s">
        <x:v>7767</x:v>
      </x:c>
      <x:c r="C1695" s="20" t="s">
        <x:v>3388</x:v>
      </x:c>
      <x:c r="D1695" s="24">
        <x:v>11</x:v>
      </x:c>
      <x:c r="E1695" s="24" t="s">
        <x:v>198</x:v>
      </x:c>
      <x:c r="F1695" s="20" t="s">
        <x:v>90</x:v>
      </x:c>
      <x:c r="G1695" s="26">
        <x:v>44374</x:v>
      </x:c>
      <x:c r="H1695" s="24" t="s">
        <x:v>7768</x:v>
      </x:c>
      <x:c r="I1695" s="28" t="s">
        <x:v>7769</x:v>
      </x:c>
      <x:c r="J1695" s="29" t="s">
        <x:v>7770</x:v>
      </x:c>
    </x:row>
    <x:row r="1696" ht="10.050000190734863" customHeight="1">
      <x:c r="A1696" s="21" t="s">
        <x:v>7771</x:v>
      </x:c>
      <x:c r="B1696" s="20" t="s">
        <x:v>7771</x:v>
      </x:c>
      <x:c r="C1696" s="20" t="s">
        <x:v>1594</x:v>
      </x:c>
      <x:c r="D1696" s="24">
        <x:v>1</x:v>
      </x:c>
      <x:c r="E1696" s="24" t="s">
        <x:v>125</x:v>
      </x:c>
      <x:c r="F1696" s="20" t="s">
        <x:v>90</x:v>
      </x:c>
      <x:c r="G1696" s="26">
        <x:v>44481</x:v>
      </x:c>
      <x:c r="H1696" s="24" t="s">
        <x:v>7772</x:v>
      </x:c>
      <x:c r="I1696" s="28" t="s">
        <x:v>7773</x:v>
      </x:c>
      <x:c r="J1696" s="29" t="s">
        <x:v>7774</x:v>
      </x:c>
    </x:row>
    <x:row r="1697" ht="10.050000190734863" customHeight="1">
      <x:c r="A1697" s="21" t="s">
        <x:v>7775</x:v>
      </x:c>
      <x:c r="B1697" s="20" t="s">
        <x:v>7775</x:v>
      </x:c>
      <x:c r="C1697" s="20" t="s">
        <x:v>7544</x:v>
      </x:c>
      <x:c r="D1697" s="24">
        <x:v>27</x:v>
      </x:c>
      <x:c r="E1697" s="24" t="s">
        <x:v>89</x:v>
      </x:c>
      <x:c r="F1697" s="20" t="s">
        <x:v>90</x:v>
      </x:c>
      <x:c r="G1697" s="26">
        <x:v>43606</x:v>
      </x:c>
      <x:c r="H1697" s="24" t="s">
        <x:v>7776</x:v>
      </x:c>
      <x:c r="I1697" s="28" t="s">
        <x:v>7777</x:v>
      </x:c>
      <x:c r="J1697" s="29" t="s">
        <x:v>7778</x:v>
      </x:c>
    </x:row>
    <x:row r="1698" ht="10.050000190734863" customHeight="1">
      <x:c r="A1698" s="21" t="s">
        <x:v>7779</x:v>
      </x:c>
      <x:c r="B1698" s="20" t="s">
        <x:v>7779</x:v>
      </x:c>
      <x:c r="C1698" s="20" t="s">
        <x:v>938</x:v>
      </x:c>
      <x:c r="D1698" s="24">
        <x:v>14</x:v>
      </x:c>
      <x:c r="E1698" s="24" t="s">
        <x:v>114</x:v>
      </x:c>
      <x:c r="F1698" s="20" t="s">
        <x:v>90</x:v>
      </x:c>
      <x:c r="G1698" s="26">
        <x:v>45268</x:v>
      </x:c>
      <x:c r="H1698" s="24" t="s">
        <x:v>7780</x:v>
      </x:c>
      <x:c r="I1698" s="28" t="s">
        <x:v>7781</x:v>
      </x:c>
      <x:c r="J1698" s="29" t="s">
        <x:v>7782</x:v>
      </x:c>
    </x:row>
    <x:row r="1699" ht="10.050000190734863" customHeight="1">
      <x:c r="A1699" s="21" t="s">
        <x:v>7783</x:v>
      </x:c>
      <x:c r="B1699" s="20" t="s">
        <x:v>7783</x:v>
      </x:c>
      <x:c r="C1699" s="20" t="s">
        <x:v>1841</x:v>
      </x:c>
      <x:c r="D1699" s="24">
        <x:v>5</x:v>
      </x:c>
      <x:c r="E1699" s="24" t="s">
        <x:v>103</x:v>
      </x:c>
      <x:c r="F1699" s="20" t="s">
        <x:v>97</x:v>
      </x:c>
      <x:c r="G1699" s="26">
        <x:v>42616</x:v>
      </x:c>
      <x:c r="H1699" s="24" t="s">
        <x:v>7784</x:v>
      </x:c>
      <x:c r="I1699" s="28" t="s">
        <x:v>7785</x:v>
      </x:c>
      <x:c r="J1699" s="29" t="s">
        <x:v>7786</x:v>
      </x:c>
    </x:row>
    <x:row r="1700" ht="10.050000190734863" customHeight="1">
      <x:c r="A1700" s="21" t="s">
        <x:v>7787</x:v>
      </x:c>
      <x:c r="B1700" s="20" t="s">
        <x:v>7787</x:v>
      </x:c>
      <x:c r="C1700" s="20" t="s">
        <x:v>7788</x:v>
      </x:c>
      <x:c r="D1700" s="24">
        <x:v>7</x:v>
      </x:c>
      <x:c r="E1700" s="24" t="s">
        <x:v>257</x:v>
      </x:c>
      <x:c r="F1700" s="20" t="s">
        <x:v>97</x:v>
      </x:c>
      <x:c r="G1700" s="26">
        <x:v>41447</x:v>
      </x:c>
      <x:c r="H1700" s="24" t="s">
        <x:v>7789</x:v>
      </x:c>
      <x:c r="I1700" s="28" t="s">
        <x:v>7790</x:v>
      </x:c>
      <x:c r="J1700" s="29" t="s">
        <x:v>7791</x:v>
      </x:c>
    </x:row>
    <x:row r="1701" ht="10.050000190734863" customHeight="1">
      <x:c r="A1701" s="21" t="s">
        <x:v>7792</x:v>
      </x:c>
      <x:c r="B1701" s="20" t="s">
        <x:v>7792</x:v>
      </x:c>
      <x:c r="C1701" s="20" t="s">
        <x:v>5997</x:v>
      </x:c>
      <x:c r="D1701" s="24">
        <x:v>35</x:v>
      </x:c>
      <x:c r="E1701" s="24" t="s">
        <x:v>257</x:v>
      </x:c>
      <x:c r="F1701" s="20" t="s">
        <x:v>97</x:v>
      </x:c>
      <x:c r="G1701" s="26">
        <x:v>41585</x:v>
      </x:c>
      <x:c r="H1701" s="24" t="s">
        <x:v>7793</x:v>
      </x:c>
      <x:c r="I1701" s="28" t="s">
        <x:v>7794</x:v>
      </x:c>
      <x:c r="J1701" s="29" t="s">
        <x:v>7795</x:v>
      </x:c>
    </x:row>
    <x:row r="1702" ht="10.050000190734863" customHeight="1">
      <x:c r="A1702" s="21" t="s">
        <x:v>7796</x:v>
      </x:c>
      <x:c r="B1702" s="20" t="s">
        <x:v>7796</x:v>
      </x:c>
      <x:c r="C1702" s="20" t="s">
        <x:v>5997</x:v>
      </x:c>
      <x:c r="D1702" s="24">
        <x:v>87</x:v>
      </x:c>
      <x:c r="E1702" s="24" t="s">
        <x:v>96</x:v>
      </x:c>
      <x:c r="F1702" s="20" t="s">
        <x:v>97</x:v>
      </x:c>
      <x:c r="G1702" s="26">
        <x:v>42316</x:v>
      </x:c>
      <x:c r="H1702" s="24" t="s">
        <x:v>7797</x:v>
      </x:c>
      <x:c r="I1702" s="28" t="s">
        <x:v>7798</x:v>
      </x:c>
      <x:c r="J1702" s="29" t="s">
        <x:v>7799</x:v>
      </x:c>
    </x:row>
    <x:row r="1703" ht="10.050000190734863" customHeight="1">
      <x:c r="A1703" s="21" t="s">
        <x:v>7800</x:v>
      </x:c>
      <x:c r="B1703" s="20" t="s">
        <x:v>7800</x:v>
      </x:c>
      <x:c r="C1703" s="20" t="s">
        <x:v>5402</x:v>
      </x:c>
      <x:c r="D1703" s="24">
        <x:v>69</x:v>
      </x:c>
      <x:c r="E1703" s="24" t="s">
        <x:v>114</x:v>
      </x:c>
      <x:c r="F1703" s="20" t="s">
        <x:v>90</x:v>
      </x:c>
      <x:c r="G1703" s="26">
        <x:v>44939</x:v>
      </x:c>
      <x:c r="H1703" s="24" t="s">
        <x:v>7801</x:v>
      </x:c>
      <x:c r="I1703" s="28" t="s">
        <x:v>7802</x:v>
      </x:c>
      <x:c r="J1703" s="29" t="s">
        <x:v>7803</x:v>
      </x:c>
    </x:row>
    <x:row r="1704" ht="10.050000190734863" customHeight="1">
      <x:c r="A1704" s="21" t="s">
        <x:v>7804</x:v>
      </x:c>
      <x:c r="B1704" s="20" t="s">
        <x:v>7804</x:v>
      </x:c>
      <x:c r="C1704" s="20" t="s">
        <x:v>7805</x:v>
      </x:c>
      <x:c r="D1704" s="24">
        <x:v>9</x:v>
      </x:c>
      <x:c r="E1704" s="24" t="s">
        <x:v>96</x:v>
      </x:c>
      <x:c r="F1704" s="20" t="s">
        <x:v>97</x:v>
      </x:c>
      <x:c r="G1704" s="26">
        <x:v>44167</x:v>
      </x:c>
      <x:c r="H1704" s="24" t="s">
        <x:v>7806</x:v>
      </x:c>
      <x:c r="I1704" s="28" t="s">
        <x:v>7807</x:v>
      </x:c>
      <x:c r="J1704" s="29" t="s">
        <x:v>7808</x:v>
      </x:c>
    </x:row>
    <x:row r="1705" ht="10.050000190734863" customHeight="1">
      <x:c r="A1705" s="21" t="s">
        <x:v>7809</x:v>
      </x:c>
      <x:c r="B1705" s="20" t="s">
        <x:v>7809</x:v>
      </x:c>
      <x:c r="C1705" s="20" t="s">
        <x:v>7615</x:v>
      </x:c>
      <x:c r="D1705" s="24">
        <x:v>7</x:v>
      </x:c>
      <x:c r="E1705" s="24" t="s">
        <x:v>125</x:v>
      </x:c>
      <x:c r="F1705" s="20" t="s">
        <x:v>90</x:v>
      </x:c>
      <x:c r="G1705" s="26">
        <x:v>45377</x:v>
      </x:c>
      <x:c r="H1705" s="24" t="s">
        <x:v>7810</x:v>
      </x:c>
      <x:c r="I1705" s="28" t="s">
        <x:v>7811</x:v>
      </x:c>
      <x:c r="J1705" s="29" t="s">
        <x:v>7812</x:v>
      </x:c>
    </x:row>
    <x:row r="1706" ht="10.050000190734863" customHeight="1">
      <x:c r="A1706" s="21" t="s">
        <x:v>7813</x:v>
      </x:c>
      <x:c r="B1706" s="20" t="s">
        <x:v>7813</x:v>
      </x:c>
      <x:c r="C1706" s="20" t="s">
        <x:v>7814</x:v>
      </x:c>
      <x:c r="D1706" s="24">
        <x:v>7</x:v>
      </x:c>
      <x:c r="E1706" s="24" t="s">
        <x:v>103</x:v>
      </x:c>
      <x:c r="F1706" s="20" t="s">
        <x:v>97</x:v>
      </x:c>
      <x:c r="G1706" s="26">
        <x:v>46170</x:v>
      </x:c>
      <x:c r="H1706" s="24" t="s">
        <x:v>7815</x:v>
      </x:c>
      <x:c r="I1706" s="28" t="s">
        <x:v>7816</x:v>
      </x:c>
      <x:c r="J1706" s="29" t="s">
        <x:v>7817</x:v>
      </x:c>
    </x:row>
    <x:row r="1707" ht="10.050000190734863" customHeight="1">
      <x:c r="A1707" s="21" t="s">
        <x:v>7818</x:v>
      </x:c>
      <x:c r="B1707" s="20" t="s">
        <x:v>7818</x:v>
      </x:c>
      <x:c r="C1707" s="20" t="s">
        <x:v>7819</x:v>
      </x:c>
      <x:c r="D1707" s="24">
        <x:v>6</x:v>
      </x:c>
      <x:c r="E1707" s="24" t="s">
        <x:v>257</x:v>
      </x:c>
      <x:c r="F1707" s="20" t="s">
        <x:v>97</x:v>
      </x:c>
      <x:c r="G1707" s="26">
        <x:v>43575</x:v>
      </x:c>
      <x:c r="H1707" s="24" t="s">
        <x:v>7820</x:v>
      </x:c>
      <x:c r="I1707" s="28" t="s">
        <x:v>7821</x:v>
      </x:c>
      <x:c r="J1707" s="29" t="s">
        <x:v>7822</x:v>
      </x:c>
    </x:row>
    <x:row r="1708" ht="10.050000190734863" customHeight="1">
      <x:c r="A1708" s="21" t="s">
        <x:v>7823</x:v>
      </x:c>
      <x:c r="B1708" s="20" t="s">
        <x:v>7823</x:v>
      </x:c>
      <x:c r="C1708" s="20" t="s">
        <x:v>7824</x:v>
      </x:c>
      <x:c r="D1708" s="24">
        <x:v>8</x:v>
      </x:c>
      <x:c r="E1708" s="24" t="s">
        <x:v>103</x:v>
      </x:c>
      <x:c r="F1708" s="20" t="s">
        <x:v>97</x:v>
      </x:c>
      <x:c r="G1708" s="26">
        <x:v>42267</x:v>
      </x:c>
      <x:c r="H1708" s="24" t="s">
        <x:v>7825</x:v>
      </x:c>
      <x:c r="I1708" s="28" t="s">
        <x:v>7826</x:v>
      </x:c>
      <x:c r="J1708" s="29" t="s">
        <x:v>7827</x:v>
      </x:c>
    </x:row>
    <x:row r="1709" ht="10.050000190734863" customHeight="1">
      <x:c r="A1709" s="21" t="s">
        <x:v>7828</x:v>
      </x:c>
      <x:c r="B1709" s="20" t="s">
        <x:v>7828</x:v>
      </x:c>
      <x:c r="C1709" s="20" t="s">
        <x:v>466</x:v>
      </x:c>
      <x:c r="D1709" s="24">
        <x:v>36</x:v>
      </x:c>
      <x:c r="E1709" s="24" t="s">
        <x:v>198</x:v>
      </x:c>
      <x:c r="F1709" s="20" t="s">
        <x:v>90</x:v>
      </x:c>
      <x:c r="G1709" s="26">
        <x:v>44517</x:v>
      </x:c>
      <x:c r="H1709" s="24" t="s">
        <x:v>7829</x:v>
      </x:c>
      <x:c r="I1709" s="28" t="s">
        <x:v>7830</x:v>
      </x:c>
      <x:c r="J1709" s="29" t="s">
        <x:v>7831</x:v>
      </x:c>
    </x:row>
    <x:row r="1710" ht="10.050000190734863" customHeight="1">
      <x:c r="A1710" s="21" t="s">
        <x:v>7832</x:v>
      </x:c>
      <x:c r="B1710" s="20" t="s">
        <x:v>7832</x:v>
      </x:c>
      <x:c r="C1710" s="20" t="s">
        <x:v>7833</x:v>
      </x:c>
      <x:c r="D1710" s="24">
        <x:v>6</x:v>
      </x:c>
      <x:c r="E1710" s="24" t="s">
        <x:v>89</x:v>
      </x:c>
      <x:c r="F1710" s="20" t="s">
        <x:v>152</x:v>
      </x:c>
      <x:c r="G1710" s="26">
        <x:v>45374</x:v>
      </x:c>
      <x:c r="H1710" s="24" t="s">
        <x:v>7834</x:v>
      </x:c>
      <x:c r="I1710" s="28" t="s">
        <x:v>7835</x:v>
      </x:c>
      <x:c r="J1710" s="29" t="s">
        <x:v>7836</x:v>
      </x:c>
    </x:row>
    <x:row r="1711" ht="10.050000190734863" customHeight="1">
      <x:c r="A1711" s="21" t="s">
        <x:v>7837</x:v>
      </x:c>
      <x:c r="B1711" s="20" t="s">
        <x:v>7837</x:v>
      </x:c>
      <x:c r="C1711" s="20" t="s">
        <x:v>7838</x:v>
      </x:c>
      <x:c r="D1711" s="24">
        <x:v>20</x:v>
      </x:c>
      <x:c r="E1711" s="24" t="s">
        <x:v>114</x:v>
      </x:c>
      <x:c r="F1711" s="20" t="s">
        <x:v>90</x:v>
      </x:c>
      <x:c r="G1711" s="26">
        <x:v>46094</x:v>
      </x:c>
      <x:c r="H1711" s="24" t="s">
        <x:v>7839</x:v>
      </x:c>
      <x:c r="I1711" s="28" t="s">
        <x:v>7840</x:v>
      </x:c>
      <x:c r="J1711" s="29" t="s">
        <x:v>7841</x:v>
      </x:c>
    </x:row>
    <x:row r="1712" ht="10.050000190734863" customHeight="1">
      <x:c r="A1712" s="21" t="s">
        <x:v>7842</x:v>
      </x:c>
      <x:c r="B1712" s="20" t="s">
        <x:v>7842</x:v>
      </x:c>
      <x:c r="C1712" s="20" t="s">
        <x:v>7843</x:v>
      </x:c>
      <x:c r="D1712" s="24">
        <x:v>10</x:v>
      </x:c>
      <x:c r="E1712" s="24" t="s">
        <x:v>96</x:v>
      </x:c>
      <x:c r="F1712" s="20" t="s">
        <x:v>90</x:v>
      </x:c>
      <x:c r="G1712" s="26">
        <x:v>43921</x:v>
      </x:c>
      <x:c r="H1712" s="24" t="s">
        <x:v>7844</x:v>
      </x:c>
      <x:c r="I1712" s="28" t="s">
        <x:v>7845</x:v>
      </x:c>
      <x:c r="J1712" s="29" t="s">
        <x:v>7846</x:v>
      </x:c>
    </x:row>
    <x:row r="1713" ht="10.050000190734863" customHeight="1">
      <x:c r="A1713" s="21" t="s">
        <x:v>7847</x:v>
      </x:c>
      <x:c r="B1713" s="20" t="s">
        <x:v>7847</x:v>
      </x:c>
      <x:c r="C1713" s="20" t="s">
        <x:v>7848</x:v>
      </x:c>
      <x:c r="D1713" s="24">
        <x:v>15</x:v>
      </x:c>
      <x:c r="E1713" s="24" t="s">
        <x:v>89</x:v>
      </x:c>
      <x:c r="F1713" s="20" t="s">
        <x:v>90</x:v>
      </x:c>
      <x:c r="G1713" s="26">
        <x:v>44242</x:v>
      </x:c>
      <x:c r="H1713" s="24" t="s">
        <x:v>7849</x:v>
      </x:c>
      <x:c r="I1713" s="28" t="s">
        <x:v>7850</x:v>
      </x:c>
      <x:c r="J1713" s="29" t="s">
        <x:v>7851</x:v>
      </x:c>
    </x:row>
    <x:row r="1714" ht="10.050000190734863" customHeight="1">
      <x:c r="A1714" s="21" t="s">
        <x:v>7852</x:v>
      </x:c>
      <x:c r="B1714" s="20" t="s">
        <x:v>7852</x:v>
      </x:c>
      <x:c r="C1714" s="20" t="s">
        <x:v>7848</x:v>
      </x:c>
      <x:c r="D1714" s="24">
        <x:v>14</x:v>
      </x:c>
      <x:c r="E1714" s="24" t="s">
        <x:v>89</x:v>
      </x:c>
      <x:c r="F1714" s="20" t="s">
        <x:v>90</x:v>
      </x:c>
      <x:c r="G1714" s="26">
        <x:v>44145</x:v>
      </x:c>
      <x:c r="H1714" s="24" t="s">
        <x:v>7853</x:v>
      </x:c>
      <x:c r="I1714" s="28" t="s">
        <x:v>7854</x:v>
      </x:c>
      <x:c r="J1714" s="29" t="s">
        <x:v>7855</x:v>
      </x:c>
    </x:row>
    <x:row r="1715" ht="10.050000190734863" customHeight="1">
      <x:c r="A1715" s="21" t="s">
        <x:v>7856</x:v>
      </x:c>
      <x:c r="B1715" s="20" t="s">
        <x:v>7856</x:v>
      </x:c>
      <x:c r="C1715" s="20" t="s">
        <x:v>7848</x:v>
      </x:c>
      <x:c r="D1715" s="24">
        <x:v>24</x:v>
      </x:c>
      <x:c r="E1715" s="24" t="s">
        <x:v>89</x:v>
      </x:c>
      <x:c r="F1715" s="20" t="s">
        <x:v>90</x:v>
      </x:c>
      <x:c r="G1715" s="26">
        <x:v>44669</x:v>
      </x:c>
      <x:c r="H1715" s="24" t="s">
        <x:v>7857</x:v>
      </x:c>
      <x:c r="I1715" s="28" t="s">
        <x:v>7858</x:v>
      </x:c>
      <x:c r="J1715" s="29" t="s">
        <x:v>7859</x:v>
      </x:c>
    </x:row>
    <x:row r="1716" ht="10.050000190734863" customHeight="1">
      <x:c r="A1716" s="21" t="s">
        <x:v>7860</x:v>
      </x:c>
      <x:c r="B1716" s="20" t="s">
        <x:v>7860</x:v>
      </x:c>
      <x:c r="C1716" s="20" t="s">
        <x:v>7861</x:v>
      </x:c>
      <x:c r="D1716" s="24">
        <x:v>30</x:v>
      </x:c>
      <x:c r="E1716" s="24" t="s">
        <x:v>96</x:v>
      </x:c>
      <x:c r="F1716" s="20" t="s">
        <x:v>152</x:v>
      </x:c>
      <x:c r="G1716" s="26">
        <x:v>44650</x:v>
      </x:c>
      <x:c r="H1716" s="24" t="s">
        <x:v>7862</x:v>
      </x:c>
      <x:c r="I1716" s="28" t="s">
        <x:v>7863</x:v>
      </x:c>
      <x:c r="J1716" s="29" t="s">
        <x:v>7864</x:v>
      </x:c>
    </x:row>
    <x:row r="1717" ht="10.050000190734863" customHeight="1">
      <x:c r="A1717" s="21" t="s">
        <x:v>7865</x:v>
      </x:c>
      <x:c r="B1717" s="20" t="s">
        <x:v>7865</x:v>
      </x:c>
      <x:c r="C1717" s="20" t="s">
        <x:v>7866</x:v>
      </x:c>
      <x:c r="D1717" s="24">
        <x:v>11</x:v>
      </x:c>
      <x:c r="E1717" s="24" t="s">
        <x:v>103</x:v>
      </x:c>
      <x:c r="F1717" s="20" t="s">
        <x:v>97</x:v>
      </x:c>
      <x:c r="G1717" s="26">
        <x:v>42215</x:v>
      </x:c>
      <x:c r="H1717" s="24" t="s">
        <x:v>7867</x:v>
      </x:c>
      <x:c r="I1717" s="28" t="s">
        <x:v>7868</x:v>
      </x:c>
      <x:c r="J1717" s="29" t="s">
        <x:v>7869</x:v>
      </x:c>
    </x:row>
    <x:row r="1718" ht="10.050000190734863" customHeight="1">
      <x:c r="A1718" s="21" t="s">
        <x:v>7870</x:v>
      </x:c>
      <x:c r="B1718" s="20" t="s">
        <x:v>7870</x:v>
      </x:c>
      <x:c r="C1718" s="20" t="s">
        <x:v>7871</x:v>
      </x:c>
      <x:c r="D1718" s="24">
        <x:v>18</x:v>
      </x:c>
      <x:c r="E1718" s="24" t="s">
        <x:v>198</x:v>
      </x:c>
      <x:c r="F1718" s="20" t="s">
        <x:v>90</x:v>
      </x:c>
      <x:c r="G1718" s="26">
        <x:v>45547</x:v>
      </x:c>
      <x:c r="H1718" s="24" t="s">
        <x:v>7872</x:v>
      </x:c>
      <x:c r="I1718" s="28" t="s">
        <x:v>7873</x:v>
      </x:c>
      <x:c r="J1718" s="29" t="s">
        <x:v>7874</x:v>
      </x:c>
    </x:row>
    <x:row r="1719" ht="10.050000190734863" customHeight="1">
      <x:c r="A1719" s="21" t="s">
        <x:v>7875</x:v>
      </x:c>
      <x:c r="B1719" s="20" t="s">
        <x:v>7875</x:v>
      </x:c>
      <x:c r="C1719" s="20" t="s">
        <x:v>7876</x:v>
      </x:c>
      <x:c r="D1719" s="24">
        <x:v>8</x:v>
      </x:c>
      <x:c r="E1719" s="24" t="s">
        <x:v>89</x:v>
      </x:c>
      <x:c r="F1719" s="20" t="s">
        <x:v>90</x:v>
      </x:c>
      <x:c r="G1719" s="26">
        <x:v>45202</x:v>
      </x:c>
      <x:c r="H1719" s="24" t="s">
        <x:v>7877</x:v>
      </x:c>
      <x:c r="I1719" s="28" t="s">
        <x:v>7878</x:v>
      </x:c>
      <x:c r="J1719" s="29" t="s">
        <x:v>7879</x:v>
      </x:c>
    </x:row>
    <x:row r="1720" ht="10.050000190734863" customHeight="1">
      <x:c r="A1720" s="21" t="s">
        <x:v>7880</x:v>
      </x:c>
      <x:c r="B1720" s="20" t="s">
        <x:v>7880</x:v>
      </x:c>
      <x:c r="C1720" s="20" t="s">
        <x:v>2609</x:v>
      </x:c>
      <x:c r="D1720" s="24">
        <x:v>16</x:v>
      </x:c>
      <x:c r="E1720" s="24" t="s">
        <x:v>114</x:v>
      </x:c>
      <x:c r="F1720" s="20" t="s">
        <x:v>90</x:v>
      </x:c>
      <x:c r="G1720" s="26">
        <x:v>44804</x:v>
      </x:c>
      <x:c r="H1720" s="24" t="s">
        <x:v>7881</x:v>
      </x:c>
      <x:c r="I1720" s="28" t="s">
        <x:v>7882</x:v>
      </x:c>
      <x:c r="J1720" s="29" t="s">
        <x:v>7883</x:v>
      </x:c>
    </x:row>
    <x:row r="1721" ht="10.050000190734863" customHeight="1">
      <x:c r="A1721" s="21" t="s">
        <x:v>7884</x:v>
      </x:c>
      <x:c r="B1721" s="20" t="s">
        <x:v>7884</x:v>
      </x:c>
      <x:c r="C1721" s="20" t="s">
        <x:v>3280</x:v>
      </x:c>
      <x:c r="D1721" s="24">
        <x:v>15</x:v>
      </x:c>
      <x:c r="E1721" s="24" t="s">
        <x:v>89</x:v>
      </x:c>
      <x:c r="F1721" s="20" t="s">
        <x:v>90</x:v>
      </x:c>
      <x:c r="G1721" s="26">
        <x:v>45455</x:v>
      </x:c>
      <x:c r="H1721" s="24" t="s">
        <x:v>7885</x:v>
      </x:c>
      <x:c r="I1721" s="28" t="s">
        <x:v>7886</x:v>
      </x:c>
      <x:c r="J1721" s="29" t="s">
        <x:v>7887</x:v>
      </x:c>
    </x:row>
    <x:row r="1722" ht="10.050000190734863" customHeight="1">
      <x:c r="A1722" s="21" t="s">
        <x:v>7888</x:v>
      </x:c>
      <x:c r="B1722" s="20" t="s">
        <x:v>7888</x:v>
      </x:c>
      <x:c r="C1722" s="20" t="s">
        <x:v>7549</x:v>
      </x:c>
      <x:c r="D1722" s="24">
        <x:v>30</x:v>
      </x:c>
      <x:c r="E1722" s="24" t="s">
        <x:v>114</x:v>
      </x:c>
      <x:c r="F1722" s="20" t="s">
        <x:v>90</x:v>
      </x:c>
      <x:c r="G1722" s="26">
        <x:v>43303</x:v>
      </x:c>
      <x:c r="H1722" s="24" t="s">
        <x:v>7889</x:v>
      </x:c>
      <x:c r="I1722" s="28" t="s">
        <x:v>7890</x:v>
      </x:c>
      <x:c r="J1722" s="29" t="s">
        <x:v>7891</x:v>
      </x:c>
    </x:row>
    <x:row r="1723" ht="10.050000190734863" customHeight="1">
      <x:c r="A1723" s="21" t="s">
        <x:v>7892</x:v>
      </x:c>
      <x:c r="B1723" s="20" t="s">
        <x:v>7892</x:v>
      </x:c>
      <x:c r="C1723" s="20" t="s">
        <x:v>7893</x:v>
      </x:c>
      <x:c r="D1723" s="24">
        <x:v>113</x:v>
      </x:c>
      <x:c r="E1723" s="24" t="s">
        <x:v>89</x:v>
      </x:c>
      <x:c r="F1723" s="20" t="s">
        <x:v>97</x:v>
      </x:c>
      <x:c r="G1723" s="26">
        <x:v>42320</x:v>
      </x:c>
      <x:c r="H1723" s="24" t="s">
        <x:v>7894</x:v>
      </x:c>
      <x:c r="I1723" s="28" t="s">
        <x:v>7895</x:v>
      </x:c>
      <x:c r="J1723" s="29" t="s">
        <x:v>7896</x:v>
      </x:c>
    </x:row>
    <x:row r="1724" ht="10.050000190734863" customHeight="1">
      <x:c r="A1724" s="21" t="s">
        <x:v>7897</x:v>
      </x:c>
      <x:c r="B1724" s="20" t="s">
        <x:v>7897</x:v>
      </x:c>
      <x:c r="C1724" s="20" t="s">
        <x:v>7898</x:v>
      </x:c>
      <x:c r="D1724" s="24">
        <x:v>22</x:v>
      </x:c>
      <x:c r="E1724" s="24" t="s">
        <x:v>198</x:v>
      </x:c>
      <x:c r="F1724" s="20" t="s">
        <x:v>90</x:v>
      </x:c>
      <x:c r="G1724" s="26">
        <x:v>44672</x:v>
      </x:c>
      <x:c r="H1724" s="24" t="s">
        <x:v>7899</x:v>
      </x:c>
      <x:c r="I1724" s="28" t="s">
        <x:v>7900</x:v>
      </x:c>
      <x:c r="J1724" s="29" t="s">
        <x:v>7901</x:v>
      </x:c>
    </x:row>
    <x:row r="1725" ht="10.050000190734863" customHeight="1">
      <x:c r="A1725" s="21" t="s">
        <x:v>7902</x:v>
      </x:c>
      <x:c r="B1725" s="20" t="s">
        <x:v>7902</x:v>
      </x:c>
      <x:c r="C1725" s="20" t="s">
        <x:v>3800</x:v>
      </x:c>
      <x:c r="D1725" s="24">
        <x:v>25</x:v>
      </x:c>
      <x:c r="E1725" s="24" t="s">
        <x:v>198</x:v>
      </x:c>
      <x:c r="F1725" s="20" t="s">
        <x:v>90</x:v>
      </x:c>
      <x:c r="G1725" s="26">
        <x:v>43499</x:v>
      </x:c>
      <x:c r="H1725" s="24" t="s">
        <x:v>7903</x:v>
      </x:c>
      <x:c r="I1725" s="28" t="s">
        <x:v>7904</x:v>
      </x:c>
      <x:c r="J1725" s="29" t="s">
        <x:v>7905</x:v>
      </x:c>
    </x:row>
    <x:row r="1726" ht="10.050000190734863" customHeight="1">
      <x:c r="A1726" s="21" t="s">
        <x:v>7906</x:v>
      </x:c>
      <x:c r="B1726" s="20" t="s">
        <x:v>7906</x:v>
      </x:c>
      <x:c r="C1726" s="20" t="s">
        <x:v>7907</x:v>
      </x:c>
      <x:c r="D1726" s="24">
        <x:v>13</x:v>
      </x:c>
      <x:c r="E1726" s="24" t="s">
        <x:v>89</x:v>
      </x:c>
      <x:c r="F1726" s="20" t="s">
        <x:v>90</x:v>
      </x:c>
      <x:c r="G1726" s="26">
        <x:v>44163</x:v>
      </x:c>
      <x:c r="H1726" s="24" t="s">
        <x:v>7908</x:v>
      </x:c>
      <x:c r="I1726" s="28" t="s">
        <x:v>7909</x:v>
      </x:c>
      <x:c r="J1726" s="29" t="s">
        <x:v>7910</x:v>
      </x:c>
    </x:row>
    <x:row r="1727" ht="10.050000190734863" customHeight="1">
      <x:c r="A1727" s="21" t="s">
        <x:v>7911</x:v>
      </x:c>
      <x:c r="B1727" s="20" t="s">
        <x:v>7911</x:v>
      </x:c>
      <x:c r="C1727" s="20" t="s">
        <x:v>7912</x:v>
      </x:c>
      <x:c r="D1727" s="24">
        <x:v>9</x:v>
      </x:c>
      <x:c r="E1727" s="24" t="s">
        <x:v>103</x:v>
      </x:c>
      <x:c r="F1727" s="20" t="s">
        <x:v>97</x:v>
      </x:c>
      <x:c r="G1727" s="26">
        <x:v>42114</x:v>
      </x:c>
      <x:c r="H1727" s="24" t="s">
        <x:v>7913</x:v>
      </x:c>
      <x:c r="I1727" s="28" t="s">
        <x:v>7914</x:v>
      </x:c>
      <x:c r="J1727" s="29" t="s">
        <x:v>7915</x:v>
      </x:c>
    </x:row>
    <x:row r="1728" ht="10.050000190734863" customHeight="1">
      <x:c r="A1728" s="21" t="s">
        <x:v>7916</x:v>
      </x:c>
      <x:c r="B1728" s="20" t="s">
        <x:v>7916</x:v>
      </x:c>
      <x:c r="C1728" s="20" t="s">
        <x:v>317</x:v>
      </x:c>
      <x:c r="D1728" s="24">
        <x:v>14</x:v>
      </x:c>
      <x:c r="E1728" s="24" t="s">
        <x:v>96</x:v>
      </x:c>
      <x:c r="F1728" s="20" t="s">
        <x:v>90</x:v>
      </x:c>
      <x:c r="G1728" s="26">
        <x:v>44247</x:v>
      </x:c>
      <x:c r="H1728" s="24" t="s">
        <x:v>7917</x:v>
      </x:c>
      <x:c r="I1728" s="28" t="s">
        <x:v>7918</x:v>
      </x:c>
      <x:c r="J1728" s="29" t="s">
        <x:v>7919</x:v>
      </x:c>
    </x:row>
    <x:row r="1729" ht="10.050000190734863" customHeight="1">
      <x:c r="A1729" s="21" t="s">
        <x:v>7920</x:v>
      </x:c>
      <x:c r="B1729" s="20" t="s">
        <x:v>7920</x:v>
      </x:c>
      <x:c r="C1729" s="20" t="s">
        <x:v>317</x:v>
      </x:c>
      <x:c r="D1729" s="24">
        <x:v>24</x:v>
      </x:c>
      <x:c r="E1729" s="24" t="s">
        <x:v>96</x:v>
      </x:c>
      <x:c r="F1729" s="20" t="s">
        <x:v>90</x:v>
      </x:c>
      <x:c r="G1729" s="26">
        <x:v>44372</x:v>
      </x:c>
      <x:c r="H1729" s="24" t="s">
        <x:v>7921</x:v>
      </x:c>
      <x:c r="I1729" s="28" t="s">
        <x:v>7922</x:v>
      </x:c>
      <x:c r="J1729" s="29" t="s">
        <x:v>7923</x:v>
      </x:c>
    </x:row>
    <x:row r="1730" ht="10.050000190734863" customHeight="1">
      <x:c r="A1730" s="21" t="s">
        <x:v>7924</x:v>
      </x:c>
      <x:c r="B1730" s="20" t="s">
        <x:v>7924</x:v>
      </x:c>
      <x:c r="C1730" s="20" t="s">
        <x:v>317</x:v>
      </x:c>
      <x:c r="D1730" s="24">
        <x:v>29</x:v>
      </x:c>
      <x:c r="E1730" s="24" t="s">
        <x:v>96</x:v>
      </x:c>
      <x:c r="F1730" s="20" t="s">
        <x:v>90</x:v>
      </x:c>
      <x:c r="G1730" s="26">
        <x:v>44601</x:v>
      </x:c>
      <x:c r="H1730" s="24" t="s">
        <x:v>7925</x:v>
      </x:c>
      <x:c r="I1730" s="28" t="s">
        <x:v>7926</x:v>
      </x:c>
      <x:c r="J1730" s="29" t="s">
        <x:v>7927</x:v>
      </x:c>
    </x:row>
    <x:row r="1731" ht="10.050000190734863" customHeight="1">
      <x:c r="A1731" s="21" t="s">
        <x:v>7928</x:v>
      </x:c>
      <x:c r="B1731" s="20" t="s">
        <x:v>7928</x:v>
      </x:c>
      <x:c r="C1731" s="20" t="s">
        <x:v>2099</x:v>
      </x:c>
      <x:c r="D1731" s="24">
        <x:v>19</x:v>
      </x:c>
      <x:c r="E1731" s="24" t="s">
        <x:v>89</x:v>
      </x:c>
      <x:c r="F1731" s="20" t="s">
        <x:v>97</x:v>
      </x:c>
      <x:c r="G1731" s="26">
        <x:v>43798</x:v>
      </x:c>
      <x:c r="H1731" s="24" t="s">
        <x:v>7929</x:v>
      </x:c>
      <x:c r="I1731" s="28" t="s">
        <x:v>7930</x:v>
      </x:c>
      <x:c r="J1731" s="29" t="s">
        <x:v>7931</x:v>
      </x:c>
    </x:row>
    <x:row r="1732" ht="10.050000190734863" customHeight="1">
      <x:c r="A1732" s="21" t="s">
        <x:v>7932</x:v>
      </x:c>
      <x:c r="B1732" s="20" t="s">
        <x:v>7932</x:v>
      </x:c>
      <x:c r="C1732" s="20" t="s">
        <x:v>5678</x:v>
      </x:c>
      <x:c r="D1732" s="24">
        <x:v>1</x:v>
      </x:c>
      <x:c r="E1732" s="24" t="s">
        <x:v>96</x:v>
      </x:c>
      <x:c r="F1732" s="20" t="s">
        <x:v>610</x:v>
      </x:c>
      <x:c r="G1732" s="26">
        <x:v>42583</x:v>
      </x:c>
      <x:c r="H1732" s="24" t="s">
        <x:v>7933</x:v>
      </x:c>
      <x:c r="I1732" s="28" t="s">
        <x:v>7934</x:v>
      </x:c>
      <x:c r="J1732" s="29" t="s">
        <x:v>7935</x:v>
      </x:c>
    </x:row>
    <x:row r="1733" ht="10.050000190734863" customHeight="1">
      <x:c r="A1733" s="21" t="s">
        <x:v>7936</x:v>
      </x:c>
      <x:c r="B1733" s="20" t="s">
        <x:v>7936</x:v>
      </x:c>
      <x:c r="C1733" s="20" t="s">
        <x:v>5678</x:v>
      </x:c>
      <x:c r="D1733" s="24">
        <x:v>3</x:v>
      </x:c>
      <x:c r="E1733" s="24" t="s">
        <x:v>96</x:v>
      </x:c>
      <x:c r="F1733" s="20" t="s">
        <x:v>610</x:v>
      </x:c>
      <x:c r="G1733" s="26">
        <x:v>43350</x:v>
      </x:c>
      <x:c r="H1733" s="24" t="s">
        <x:v>7937</x:v>
      </x:c>
      <x:c r="I1733" s="28" t="s">
        <x:v>7938</x:v>
      </x:c>
      <x:c r="J1733" s="29" t="s">
        <x:v>7939</x:v>
      </x:c>
    </x:row>
    <x:row r="1734" ht="10.050000190734863" customHeight="1">
      <x:c r="A1734" s="21" t="s">
        <x:v>7940</x:v>
      </x:c>
      <x:c r="B1734" s="20" t="s">
        <x:v>7940</x:v>
      </x:c>
      <x:c r="C1734" s="20" t="s">
        <x:v>7941</x:v>
      </x:c>
      <x:c r="D1734" s="24">
        <x:v>24</x:v>
      </x:c>
      <x:c r="E1734" s="24" t="s">
        <x:v>198</x:v>
      </x:c>
      <x:c r="F1734" s="20" t="s">
        <x:v>90</x:v>
      </x:c>
      <x:c r="G1734" s="26">
        <x:v>43466</x:v>
      </x:c>
      <x:c r="H1734" s="24" t="s">
        <x:v>7942</x:v>
      </x:c>
      <x:c r="I1734" s="28" t="s">
        <x:v>7943</x:v>
      </x:c>
      <x:c r="J1734" s="29" t="s">
        <x:v>7944</x:v>
      </x:c>
    </x:row>
    <x:row r="1735" ht="10.050000190734863" customHeight="1">
      <x:c r="A1735" s="21" t="s">
        <x:v>7945</x:v>
      </x:c>
      <x:c r="B1735" s="20" t="s">
        <x:v>7945</x:v>
      </x:c>
      <x:c r="C1735" s="20" t="s">
        <x:v>3426</x:v>
      </x:c>
      <x:c r="D1735" s="24">
        <x:v>8</x:v>
      </x:c>
      <x:c r="E1735" s="24" t="s">
        <x:v>89</x:v>
      </x:c>
      <x:c r="F1735" s="20" t="s">
        <x:v>90</x:v>
      </x:c>
      <x:c r="G1735" s="26">
        <x:v>45725</x:v>
      </x:c>
      <x:c r="H1735" s="24" t="s">
        <x:v>7946</x:v>
      </x:c>
      <x:c r="I1735" s="28" t="s">
        <x:v>7947</x:v>
      </x:c>
      <x:c r="J1735" s="29" t="s">
        <x:v>7948</x:v>
      </x:c>
    </x:row>
    <x:row r="1736" ht="10.050000190734863" customHeight="1">
      <x:c r="A1736" s="21" t="s">
        <x:v>7949</x:v>
      </x:c>
      <x:c r="B1736" s="20" t="s">
        <x:v>7949</x:v>
      </x:c>
      <x:c r="C1736" s="20" t="s">
        <x:v>3426</x:v>
      </x:c>
      <x:c r="D1736" s="24">
        <x:v>11</x:v>
      </x:c>
      <x:c r="E1736" s="24" t="s">
        <x:v>89</x:v>
      </x:c>
      <x:c r="F1736" s="20" t="s">
        <x:v>90</x:v>
      </x:c>
      <x:c r="G1736" s="26">
        <x:v>45750</x:v>
      </x:c>
      <x:c r="H1736" s="24" t="s">
        <x:v>7950</x:v>
      </x:c>
      <x:c r="I1736" s="28" t="s">
        <x:v>7951</x:v>
      </x:c>
      <x:c r="J1736" s="29" t="s">
        <x:v>7952</x:v>
      </x:c>
    </x:row>
    <x:row r="1737" ht="10.050000190734863" customHeight="1">
      <x:c r="A1737" s="21" t="s">
        <x:v>7953</x:v>
      </x:c>
      <x:c r="B1737" s="20" t="s">
        <x:v>7953</x:v>
      </x:c>
      <x:c r="C1737" s="20" t="s">
        <x:v>3426</x:v>
      </x:c>
      <x:c r="D1737" s="24">
        <x:v>15</x:v>
      </x:c>
      <x:c r="E1737" s="24" t="s">
        <x:v>198</x:v>
      </x:c>
      <x:c r="F1737" s="20" t="s">
        <x:v>90</x:v>
      </x:c>
      <x:c r="G1737" s="26">
        <x:v>45814</x:v>
      </x:c>
      <x:c r="H1737" s="24" t="s">
        <x:v>7954</x:v>
      </x:c>
      <x:c r="I1737" s="28" t="s">
        <x:v>7955</x:v>
      </x:c>
      <x:c r="J1737" s="29" t="s">
        <x:v>7956</x:v>
      </x:c>
    </x:row>
    <x:row r="1738" ht="10.050000190734863" customHeight="1">
      <x:c r="A1738" s="21" t="s">
        <x:v>7957</x:v>
      </x:c>
      <x:c r="B1738" s="20" t="s">
        <x:v>7957</x:v>
      </x:c>
      <x:c r="C1738" s="20" t="s">
        <x:v>7958</x:v>
      </x:c>
      <x:c r="D1738" s="24">
        <x:v>0</x:v>
      </x:c>
      <x:c r="E1738" s="24" t="s">
        <x:v>257</x:v>
      </x:c>
      <x:c r="F1738" s="20" t="s">
        <x:v>97</x:v>
      </x:c>
      <x:c r="G1738" s="26">
        <x:v>42222</x:v>
      </x:c>
      <x:c r="H1738" s="24" t="s">
        <x:v>7959</x:v>
      </x:c>
      <x:c r="I1738" s="28" t="s">
        <x:v>7960</x:v>
      </x:c>
      <x:c r="J1738" s="29" t="s">
        <x:v>7961</x:v>
      </x:c>
    </x:row>
    <x:row r="1739" ht="10.050000190734863" customHeight="1">
      <x:c r="A1739" s="21" t="s">
        <x:v>7962</x:v>
      </x:c>
      <x:c r="B1739" s="20" t="s">
        <x:v>7962</x:v>
      </x:c>
      <x:c r="C1739" s="20" t="s">
        <x:v>7963</x:v>
      </x:c>
      <x:c r="D1739" s="24">
        <x:v>8</x:v>
      </x:c>
      <x:c r="E1739" s="24" t="s">
        <x:v>257</x:v>
      </x:c>
      <x:c r="F1739" s="20" t="s">
        <x:v>97</x:v>
      </x:c>
      <x:c r="G1739" s="26">
        <x:v>42338</x:v>
      </x:c>
      <x:c r="H1739" s="24" t="s">
        <x:v>7964</x:v>
      </x:c>
      <x:c r="I1739" s="28" t="s">
        <x:v>7965</x:v>
      </x:c>
      <x:c r="J1739" s="29" t="s">
        <x:v>7966</x:v>
      </x:c>
    </x:row>
    <x:row r="1740" ht="10.050000190734863" customHeight="1">
      <x:c r="A1740" s="21" t="s">
        <x:v>7967</x:v>
      </x:c>
      <x:c r="B1740" s="20" t="s">
        <x:v>7967</x:v>
      </x:c>
      <x:c r="C1740" s="20" t="s">
        <x:v>409</x:v>
      </x:c>
      <x:c r="D1740" s="24">
        <x:v>14</x:v>
      </x:c>
      <x:c r="E1740" s="24" t="s">
        <x:v>89</x:v>
      </x:c>
      <x:c r="F1740" s="20" t="s">
        <x:v>90</x:v>
      </x:c>
      <x:c r="G1740" s="26">
        <x:v>43881</x:v>
      </x:c>
      <x:c r="H1740" s="24" t="s">
        <x:v>7968</x:v>
      </x:c>
      <x:c r="I1740" s="28" t="s">
        <x:v>7969</x:v>
      </x:c>
      <x:c r="J1740" s="29" t="s">
        <x:v>7970</x:v>
      </x:c>
    </x:row>
    <x:row r="1741" ht="10.050000190734863" customHeight="1">
      <x:c r="A1741" s="21" t="s">
        <x:v>7971</x:v>
      </x:c>
      <x:c r="B1741" s="20" t="s">
        <x:v>7971</x:v>
      </x:c>
      <x:c r="C1741" s="20" t="s">
        <x:v>7972</x:v>
      </x:c>
      <x:c r="D1741" s="24">
        <x:v>16</x:v>
      </x:c>
      <x:c r="E1741" s="24" t="s">
        <x:v>198</x:v>
      </x:c>
      <x:c r="F1741" s="20" t="s">
        <x:v>90</x:v>
      </x:c>
      <x:c r="G1741" s="26">
        <x:v>45473</x:v>
      </x:c>
      <x:c r="H1741" s="24" t="s">
        <x:v>7973</x:v>
      </x:c>
      <x:c r="I1741" s="28" t="s">
        <x:v>7974</x:v>
      </x:c>
      <x:c r="J1741" s="29" t="s">
        <x:v>7975</x:v>
      </x:c>
    </x:row>
    <x:row r="1742" ht="10.050000190734863" customHeight="1">
      <x:c r="A1742" s="21" t="s">
        <x:v>7976</x:v>
      </x:c>
      <x:c r="B1742" s="20" t="s">
        <x:v>7976</x:v>
      </x:c>
      <x:c r="C1742" s="20" t="s">
        <x:v>7977</x:v>
      </x:c>
      <x:c r="D1742" s="24">
        <x:v>21</x:v>
      </x:c>
      <x:c r="E1742" s="24" t="s">
        <x:v>103</x:v>
      </x:c>
      <x:c r="F1742" s="20" t="s">
        <x:v>97</x:v>
      </x:c>
      <x:c r="G1742" s="26">
        <x:v>45948</x:v>
      </x:c>
      <x:c r="H1742" s="24" t="s">
        <x:v>7978</x:v>
      </x:c>
      <x:c r="I1742" s="28" t="s">
        <x:v>7979</x:v>
      </x:c>
      <x:c r="J1742" s="29" t="s">
        <x:v>7980</x:v>
      </x:c>
    </x:row>
    <x:row r="1743" ht="10.050000190734863" customHeight="1">
      <x:c r="A1743" s="21" t="s">
        <x:v>7981</x:v>
      </x:c>
      <x:c r="B1743" s="20" t="s">
        <x:v>7981</x:v>
      </x:c>
      <x:c r="C1743" s="20" t="s">
        <x:v>1427</x:v>
      </x:c>
      <x:c r="D1743" s="24">
        <x:v>19</x:v>
      </x:c>
      <x:c r="E1743" s="24" t="s">
        <x:v>89</x:v>
      </x:c>
      <x:c r="F1743" s="20" t="s">
        <x:v>90</x:v>
      </x:c>
      <x:c r="G1743" s="26">
        <x:v>45182</x:v>
      </x:c>
      <x:c r="H1743" s="24" t="s">
        <x:v>7982</x:v>
      </x:c>
      <x:c r="I1743" s="28" t="s">
        <x:v>7983</x:v>
      </x:c>
      <x:c r="J1743" s="29" t="s">
        <x:v>7984</x:v>
      </x:c>
    </x:row>
    <x:row r="1744" ht="10.050000190734863" customHeight="1">
      <x:c r="A1744" s="21" t="s">
        <x:v>7985</x:v>
      </x:c>
      <x:c r="B1744" s="20" t="s">
        <x:v>7985</x:v>
      </x:c>
      <x:c r="C1744" s="20" t="s">
        <x:v>7986</x:v>
      </x:c>
      <x:c r="D1744" s="24">
        <x:v>17</x:v>
      </x:c>
      <x:c r="E1744" s="24" t="s">
        <x:v>103</x:v>
      </x:c>
      <x:c r="F1744" s="20" t="s">
        <x:v>97</x:v>
      </x:c>
      <x:c r="G1744" s="26">
        <x:v>43181</x:v>
      </x:c>
      <x:c r="H1744" s="24" t="s">
        <x:v>7987</x:v>
      </x:c>
      <x:c r="I1744" s="28" t="s">
        <x:v>7988</x:v>
      </x:c>
      <x:c r="J1744" s="29" t="s">
        <x:v>7989</x:v>
      </x:c>
    </x:row>
    <x:row r="1745" ht="10.050000190734863" customHeight="1">
      <x:c r="A1745" s="21" t="s">
        <x:v>7990</x:v>
      </x:c>
      <x:c r="B1745" s="20" t="s">
        <x:v>7990</x:v>
      </x:c>
      <x:c r="C1745" s="20" t="s">
        <x:v>1613</x:v>
      </x:c>
      <x:c r="D1745" s="24">
        <x:v>17</x:v>
      </x:c>
      <x:c r="E1745" s="24" t="s">
        <x:v>198</x:v>
      </x:c>
      <x:c r="F1745" s="20" t="s">
        <x:v>90</x:v>
      </x:c>
      <x:c r="G1745" s="26">
        <x:v>44263</x:v>
      </x:c>
      <x:c r="H1745" s="24" t="s">
        <x:v>7991</x:v>
      </x:c>
      <x:c r="I1745" s="28" t="s">
        <x:v>7992</x:v>
      </x:c>
      <x:c r="J1745" s="29" t="s">
        <x:v>7993</x:v>
      </x:c>
    </x:row>
    <x:row r="1746" ht="10.050000190734863" customHeight="1">
      <x:c r="A1746" s="21" t="s">
        <x:v>7994</x:v>
      </x:c>
      <x:c r="B1746" s="20" t="s">
        <x:v>7994</x:v>
      </x:c>
      <x:c r="C1746" s="20" t="s">
        <x:v>7995</x:v>
      </x:c>
      <x:c r="D1746" s="24">
        <x:v>28</x:v>
      </x:c>
      <x:c r="E1746" s="24" t="s">
        <x:v>96</x:v>
      </x:c>
      <x:c r="F1746" s="20" t="s">
        <x:v>97</x:v>
      </x:c>
      <x:c r="G1746" s="26">
        <x:v>44850</x:v>
      </x:c>
      <x:c r="H1746" s="24" t="s">
        <x:v>7996</x:v>
      </x:c>
      <x:c r="I1746" s="28" t="s">
        <x:v>7997</x:v>
      </x:c>
      <x:c r="J1746" s="29" t="s">
        <x:v>7998</x:v>
      </x:c>
    </x:row>
    <x:row r="1747" ht="10.050000190734863" customHeight="1">
      <x:c r="A1747" s="21" t="s">
        <x:v>7999</x:v>
      </x:c>
      <x:c r="B1747" s="20" t="s">
        <x:v>7999</x:v>
      </x:c>
      <x:c r="C1747" s="20" t="s">
        <x:v>8000</x:v>
      </x:c>
      <x:c r="D1747" s="24">
        <x:v>6</x:v>
      </x:c>
      <x:c r="E1747" s="24" t="s">
        <x:v>96</x:v>
      </x:c>
      <x:c r="F1747" s="20" t="s">
        <x:v>97</x:v>
      </x:c>
      <x:c r="G1747" s="26">
        <x:v>42047</x:v>
      </x:c>
      <x:c r="H1747" s="24" t="s">
        <x:v>8001</x:v>
      </x:c>
      <x:c r="I1747" s="28" t="s">
        <x:v>8002</x:v>
      </x:c>
      <x:c r="J1747" s="29" t="s">
        <x:v>8003</x:v>
      </x:c>
    </x:row>
    <x:row r="1748" ht="10.050000190734863" customHeight="1">
      <x:c r="A1748" s="21" t="s">
        <x:v>8004</x:v>
      </x:c>
      <x:c r="B1748" s="20" t="s">
        <x:v>8004</x:v>
      </x:c>
      <x:c r="C1748" s="20" t="s">
        <x:v>8005</x:v>
      </x:c>
      <x:c r="D1748" s="24">
        <x:v>9</x:v>
      </x:c>
      <x:c r="E1748" s="24" t="s">
        <x:v>103</x:v>
      </x:c>
      <x:c r="F1748" s="20" t="s">
        <x:v>97</x:v>
      </x:c>
      <x:c r="G1748" s="26">
        <x:v>42223</x:v>
      </x:c>
      <x:c r="H1748" s="24" t="s">
        <x:v>8006</x:v>
      </x:c>
      <x:c r="I1748" s="28" t="s">
        <x:v>8007</x:v>
      </x:c>
      <x:c r="J1748" s="29" t="s">
        <x:v>8008</x:v>
      </x:c>
    </x:row>
    <x:row r="1749" ht="10.050000190734863" customHeight="1">
      <x:c r="A1749" s="21" t="s">
        <x:v>8009</x:v>
      </x:c>
      <x:c r="B1749" s="20" t="s">
        <x:v>8009</x:v>
      </x:c>
      <x:c r="C1749" s="20" t="s">
        <x:v>8010</x:v>
      </x:c>
      <x:c r="D1749" s="24">
        <x:v>120</x:v>
      </x:c>
      <x:c r="E1749" s="24" t="s">
        <x:v>89</x:v>
      </x:c>
      <x:c r="F1749" s="20" t="s">
        <x:v>97</x:v>
      </x:c>
      <x:c r="G1749" s="26">
        <x:v>42213</x:v>
      </x:c>
      <x:c r="H1749" s="24" t="s">
        <x:v>8011</x:v>
      </x:c>
      <x:c r="I1749" s="28" t="s">
        <x:v>8012</x:v>
      </x:c>
      <x:c r="J1749" s="29" t="s">
        <x:v>8013</x:v>
      </x:c>
    </x:row>
    <x:row r="1750" ht="10.050000190734863" customHeight="1">
      <x:c r="A1750" s="21" t="s">
        <x:v>8014</x:v>
      </x:c>
      <x:c r="B1750" s="20" t="s">
        <x:v>8014</x:v>
      </x:c>
      <x:c r="C1750" s="20" t="s">
        <x:v>8015</x:v>
      </x:c>
      <x:c r="D1750" s="24">
        <x:v>17</x:v>
      </x:c>
      <x:c r="E1750" s="24" t="s">
        <x:v>198</x:v>
      </x:c>
      <x:c r="F1750" s="20" t="s">
        <x:v>90</x:v>
      </x:c>
      <x:c r="G1750" s="26">
        <x:v>43388</x:v>
      </x:c>
      <x:c r="H1750" s="24" t="s">
        <x:v>8016</x:v>
      </x:c>
      <x:c r="I1750" s="28" t="s">
        <x:v>8017</x:v>
      </x:c>
      <x:c r="J1750" s="29" t="s">
        <x:v>8018</x:v>
      </x:c>
    </x:row>
    <x:row r="1751" ht="10.050000190734863" customHeight="1">
      <x:c r="A1751" s="21" t="s">
        <x:v>8019</x:v>
      </x:c>
      <x:c r="B1751" s="20" t="s">
        <x:v>8019</x:v>
      </x:c>
      <x:c r="C1751" s="20" t="s">
        <x:v>7843</x:v>
      </x:c>
      <x:c r="D1751" s="24">
        <x:v>21</x:v>
      </x:c>
      <x:c r="E1751" s="24" t="s">
        <x:v>96</x:v>
      </x:c>
      <x:c r="F1751" s="20" t="s">
        <x:v>90</x:v>
      </x:c>
      <x:c r="G1751" s="26">
        <x:v>44584</x:v>
      </x:c>
      <x:c r="H1751" s="24" t="s">
        <x:v>8020</x:v>
      </x:c>
      <x:c r="I1751" s="28" t="s">
        <x:v>8021</x:v>
      </x:c>
      <x:c r="J1751" s="29" t="s">
        <x:v>8022</x:v>
      </x:c>
    </x:row>
    <x:row r="1752" ht="10.050000190734863" customHeight="1">
      <x:c r="A1752" s="21" t="s">
        <x:v>8023</x:v>
      </x:c>
      <x:c r="B1752" s="20" t="s">
        <x:v>8023</x:v>
      </x:c>
      <x:c r="C1752" s="20" t="s">
        <x:v>756</x:v>
      </x:c>
      <x:c r="D1752" s="24">
        <x:v>32</x:v>
      </x:c>
      <x:c r="E1752" s="24" t="s">
        <x:v>89</x:v>
      </x:c>
      <x:c r="F1752" s="20" t="s">
        <x:v>90</x:v>
      </x:c>
      <x:c r="G1752" s="26">
        <x:v>43349</x:v>
      </x:c>
      <x:c r="H1752" s="24" t="s">
        <x:v>8024</x:v>
      </x:c>
      <x:c r="I1752" s="28" t="s">
        <x:v>8025</x:v>
      </x:c>
      <x:c r="J1752" s="29" t="s">
        <x:v>8026</x:v>
      </x:c>
    </x:row>
    <x:row r="1753" ht="10.050000190734863" customHeight="1">
      <x:c r="A1753" s="21" t="s">
        <x:v>8027</x:v>
      </x:c>
      <x:c r="B1753" s="20" t="s">
        <x:v>8027</x:v>
      </x:c>
      <x:c r="C1753" s="20" t="s">
        <x:v>3404</x:v>
      </x:c>
      <x:c r="D1753" s="24">
        <x:v>19</x:v>
      </x:c>
      <x:c r="E1753" s="24" t="s">
        <x:v>114</x:v>
      </x:c>
      <x:c r="F1753" s="20" t="s">
        <x:v>90</x:v>
      </x:c>
      <x:c r="G1753" s="26">
        <x:v>45927</x:v>
      </x:c>
      <x:c r="H1753" s="24" t="s">
        <x:v>8028</x:v>
      </x:c>
      <x:c r="I1753" s="28" t="s">
        <x:v>8029</x:v>
      </x:c>
      <x:c r="J1753" s="29" t="s">
        <x:v>8030</x:v>
      </x:c>
    </x:row>
    <x:row r="1754" ht="10.050000190734863" customHeight="1">
      <x:c r="A1754" s="21" t="s">
        <x:v>8031</x:v>
      </x:c>
      <x:c r="B1754" s="20" t="s">
        <x:v>8031</x:v>
      </x:c>
      <x:c r="C1754" s="20" t="s">
        <x:v>3404</x:v>
      </x:c>
      <x:c r="D1754" s="24">
        <x:v>21</x:v>
      </x:c>
      <x:c r="E1754" s="24" t="s">
        <x:v>114</x:v>
      </x:c>
      <x:c r="F1754" s="20" t="s">
        <x:v>90</x:v>
      </x:c>
      <x:c r="G1754" s="26">
        <x:v>45969</x:v>
      </x:c>
      <x:c r="H1754" s="24" t="s">
        <x:v>8032</x:v>
      </x:c>
      <x:c r="I1754" s="28" t="s">
        <x:v>8033</x:v>
      </x:c>
      <x:c r="J1754" s="29" t="s">
        <x:v>8034</x:v>
      </x:c>
    </x:row>
    <x:row r="1755" ht="10.050000190734863" customHeight="1">
      <x:c r="A1755" s="21" t="s">
        <x:v>8035</x:v>
      </x:c>
      <x:c r="B1755" s="20" t="s">
        <x:v>8035</x:v>
      </x:c>
      <x:c r="C1755" s="20" t="s">
        <x:v>3404</x:v>
      </x:c>
      <x:c r="D1755" s="24">
        <x:v>28</x:v>
      </x:c>
      <x:c r="E1755" s="24" t="s">
        <x:v>125</x:v>
      </x:c>
      <x:c r="F1755" s="20" t="s">
        <x:v>90</x:v>
      </x:c>
      <x:c r="G1755" s="26">
        <x:v>46005</x:v>
      </x:c>
      <x:c r="H1755" s="24" t="s">
        <x:v>8036</x:v>
      </x:c>
      <x:c r="I1755" s="28" t="s">
        <x:v>8037</x:v>
      </x:c>
      <x:c r="J1755" s="29" t="s">
        <x:v>8038</x:v>
      </x:c>
    </x:row>
    <x:row r="1756" ht="10.050000190734863" customHeight="1">
      <x:c r="A1756" s="21" t="s">
        <x:v>8039</x:v>
      </x:c>
      <x:c r="B1756" s="20" t="s">
        <x:v>8039</x:v>
      </x:c>
      <x:c r="C1756" s="20" t="s">
        <x:v>8040</x:v>
      </x:c>
      <x:c r="D1756" s="24">
        <x:v>12</x:v>
      </x:c>
      <x:c r="E1756" s="24" t="s">
        <x:v>89</x:v>
      </x:c>
      <x:c r="F1756" s="20" t="s">
        <x:v>90</x:v>
      </x:c>
      <x:c r="G1756" s="26">
        <x:v>43994</x:v>
      </x:c>
      <x:c r="H1756" s="24" t="s">
        <x:v>8041</x:v>
      </x:c>
      <x:c r="I1756" s="28" t="s">
        <x:v>8042</x:v>
      </x:c>
      <x:c r="J1756" s="29" t="s">
        <x:v>8043</x:v>
      </x:c>
    </x:row>
    <x:row r="1757" ht="10.050000190734863" customHeight="1">
      <x:c r="A1757" s="21" t="s">
        <x:v>8044</x:v>
      </x:c>
      <x:c r="B1757" s="20" t="s">
        <x:v>8044</x:v>
      </x:c>
      <x:c r="C1757" s="20" t="s">
        <x:v>8045</x:v>
      </x:c>
      <x:c r="D1757" s="24">
        <x:v>10</x:v>
      </x:c>
      <x:c r="E1757" s="24" t="s">
        <x:v>96</x:v>
      </x:c>
      <x:c r="F1757" s="20" t="s">
        <x:v>97</x:v>
      </x:c>
      <x:c r="G1757" s="26">
        <x:v>46066</x:v>
      </x:c>
      <x:c r="H1757" s="24" t="s">
        <x:v>8046</x:v>
      </x:c>
      <x:c r="I1757" s="28" t="s">
        <x:v>8047</x:v>
      </x:c>
      <x:c r="J1757" s="29" t="s">
        <x:v>8048</x:v>
      </x:c>
    </x:row>
    <x:row r="1758" ht="10.050000190734863" customHeight="1">
      <x:c r="A1758" s="21" t="s">
        <x:v>8049</x:v>
      </x:c>
      <x:c r="B1758" s="20" t="s">
        <x:v>8049</x:v>
      </x:c>
      <x:c r="C1758" s="20" t="s">
        <x:v>8050</x:v>
      </x:c>
      <x:c r="D1758" s="24">
        <x:v>4</x:v>
      </x:c>
      <x:c r="E1758" s="24" t="s">
        <x:v>89</x:v>
      </x:c>
      <x:c r="F1758" s="20" t="s">
        <x:v>90</x:v>
      </x:c>
      <x:c r="G1758" s="26">
        <x:v>43290</x:v>
      </x:c>
      <x:c r="H1758" s="24" t="s">
        <x:v>8051</x:v>
      </x:c>
      <x:c r="I1758" s="28" t="s">
        <x:v>8052</x:v>
      </x:c>
      <x:c r="J1758" s="29" t="s">
        <x:v>8053</x:v>
      </x:c>
    </x:row>
    <x:row r="1759" ht="10.050000190734863" customHeight="1">
      <x:c r="A1759" s="21" t="s">
        <x:v>8054</x:v>
      </x:c>
      <x:c r="B1759" s="20" t="s">
        <x:v>8054</x:v>
      </x:c>
      <x:c r="C1759" s="20" t="s">
        <x:v>1427</x:v>
      </x:c>
      <x:c r="D1759" s="24">
        <x:v>5</x:v>
      </x:c>
      <x:c r="E1759" s="24" t="s">
        <x:v>96</x:v>
      </x:c>
      <x:c r="F1759" s="20" t="s">
        <x:v>90</x:v>
      </x:c>
      <x:c r="G1759" s="26">
        <x:v>45704</x:v>
      </x:c>
      <x:c r="H1759" s="24" t="s">
        <x:v>8055</x:v>
      </x:c>
      <x:c r="I1759" s="28" t="s">
        <x:v>8056</x:v>
      </x:c>
      <x:c r="J1759" s="29" t="s">
        <x:v>8057</x:v>
      </x:c>
    </x:row>
    <x:row r="1760" ht="10.050000190734863" customHeight="1">
      <x:c r="A1760" s="21" t="s">
        <x:v>8058</x:v>
      </x:c>
      <x:c r="B1760" s="20" t="s">
        <x:v>8058</x:v>
      </x:c>
      <x:c r="C1760" s="20" t="s">
        <x:v>8059</x:v>
      </x:c>
      <x:c r="D1760" s="24">
        <x:v>35</x:v>
      </x:c>
      <x:c r="E1760" s="24" t="s">
        <x:v>96</x:v>
      </x:c>
      <x:c r="F1760" s="20" t="s">
        <x:v>97</x:v>
      </x:c>
      <x:c r="G1760" s="26">
        <x:v>44044</x:v>
      </x:c>
      <x:c r="H1760" s="24" t="s">
        <x:v>8060</x:v>
      </x:c>
      <x:c r="I1760" s="28" t="s">
        <x:v>8061</x:v>
      </x:c>
      <x:c r="J1760" s="29" t="s">
        <x:v>8062</x:v>
      </x:c>
    </x:row>
    <x:row r="1761" ht="10.050000190734863" customHeight="1">
      <x:c r="A1761" s="21" t="s">
        <x:v>8063</x:v>
      </x:c>
      <x:c r="B1761" s="20" t="s">
        <x:v>8063</x:v>
      </x:c>
      <x:c r="C1761" s="20" t="s">
        <x:v>6110</x:v>
      </x:c>
      <x:c r="D1761" s="24">
        <x:v>24</x:v>
      </x:c>
      <x:c r="E1761" s="24" t="s">
        <x:v>103</x:v>
      </x:c>
      <x:c r="F1761" s="20" t="s">
        <x:v>97</x:v>
      </x:c>
      <x:c r="G1761" s="26">
        <x:v>41572</x:v>
      </x:c>
      <x:c r="H1761" s="24" t="s">
        <x:v>8064</x:v>
      </x:c>
      <x:c r="I1761" s="28" t="s">
        <x:v>8065</x:v>
      </x:c>
      <x:c r="J1761" s="29" t="s">
        <x:v>8066</x:v>
      </x:c>
    </x:row>
    <x:row r="1762" ht="10.050000190734863" customHeight="1">
      <x:c r="A1762" s="21" t="s">
        <x:v>8067</x:v>
      </x:c>
      <x:c r="B1762" s="20" t="s">
        <x:v>8067</x:v>
      </x:c>
      <x:c r="C1762" s="20" t="s">
        <x:v>8068</x:v>
      </x:c>
      <x:c r="D1762" s="24">
        <x:v>20</x:v>
      </x:c>
      <x:c r="E1762" s="24" t="s">
        <x:v>103</x:v>
      </x:c>
      <x:c r="F1762" s="20" t="s">
        <x:v>97</x:v>
      </x:c>
      <x:c r="G1762" s="26">
        <x:v>42222</x:v>
      </x:c>
      <x:c r="H1762" s="24" t="s">
        <x:v>8069</x:v>
      </x:c>
      <x:c r="I1762" s="28" t="s">
        <x:v>8070</x:v>
      </x:c>
      <x:c r="J1762" s="29" t="s">
        <x:v>8071</x:v>
      </x:c>
    </x:row>
    <x:row r="1763" ht="10.050000190734863" customHeight="1">
      <x:c r="A1763" s="21" t="s">
        <x:v>8072</x:v>
      </x:c>
      <x:c r="B1763" s="20" t="s">
        <x:v>8072</x:v>
      </x:c>
      <x:c r="C1763" s="20" t="s">
        <x:v>8073</x:v>
      </x:c>
      <x:c r="D1763" s="24">
        <x:v>13</x:v>
      </x:c>
      <x:c r="E1763" s="24" t="s">
        <x:v>96</x:v>
      </x:c>
      <x:c r="F1763" s="20" t="s">
        <x:v>97</x:v>
      </x:c>
      <x:c r="G1763" s="26">
        <x:v>42271</x:v>
      </x:c>
      <x:c r="H1763" s="24" t="s">
        <x:v>8074</x:v>
      </x:c>
      <x:c r="I1763" s="28" t="s">
        <x:v>8075</x:v>
      </x:c>
      <x:c r="J1763" s="29" t="s">
        <x:v>8076</x:v>
      </x:c>
    </x:row>
    <x:row r="1764" ht="10.050000190734863" customHeight="1">
      <x:c r="A1764" s="21" t="s">
        <x:v>8077</x:v>
      </x:c>
      <x:c r="B1764" s="20" t="s">
        <x:v>8077</x:v>
      </x:c>
      <x:c r="C1764" s="20" t="s">
        <x:v>1768</x:v>
      </x:c>
      <x:c r="D1764" s="24">
        <x:v>15</x:v>
      </x:c>
      <x:c r="E1764" s="24" t="s">
        <x:v>114</x:v>
      </x:c>
      <x:c r="F1764" s="20" t="s">
        <x:v>90</x:v>
      </x:c>
      <x:c r="G1764" s="26">
        <x:v>43582</x:v>
      </x:c>
      <x:c r="H1764" s="24" t="s">
        <x:v>8078</x:v>
      </x:c>
      <x:c r="I1764" s="28" t="s">
        <x:v>8079</x:v>
      </x:c>
      <x:c r="J1764" s="29" t="s">
        <x:v>8080</x:v>
      </x:c>
    </x:row>
    <x:row r="1765" ht="10.050000190734863" customHeight="1">
      <x:c r="A1765" s="21" t="s">
        <x:v>8081</x:v>
      </x:c>
      <x:c r="B1765" s="20" t="s">
        <x:v>8081</x:v>
      </x:c>
      <x:c r="C1765" s="20" t="s">
        <x:v>8082</x:v>
      </x:c>
      <x:c r="D1765" s="24">
        <x:v>3</x:v>
      </x:c>
      <x:c r="E1765" s="24" t="s">
        <x:v>96</x:v>
      </x:c>
      <x:c r="F1765" s="20" t="s">
        <x:v>90</x:v>
      </x:c>
      <x:c r="G1765" s="26">
        <x:v>44254</x:v>
      </x:c>
      <x:c r="H1765" s="24" t="s">
        <x:v>8083</x:v>
      </x:c>
      <x:c r="I1765" s="28" t="s">
        <x:v>8084</x:v>
      </x:c>
      <x:c r="J1765" s="29" t="s">
        <x:v>8085</x:v>
      </x:c>
    </x:row>
    <x:row r="1766" ht="10.050000190734863" customHeight="1">
      <x:c r="A1766" s="21" t="s">
        <x:v>8086</x:v>
      </x:c>
      <x:c r="B1766" s="20" t="s">
        <x:v>8086</x:v>
      </x:c>
      <x:c r="C1766" s="20" t="s">
        <x:v>1856</x:v>
      </x:c>
      <x:c r="D1766" s="24">
        <x:v>22</x:v>
      </x:c>
      <x:c r="E1766" s="24" t="s">
        <x:v>103</x:v>
      </x:c>
      <x:c r="F1766" s="20" t="s">
        <x:v>97</x:v>
      </x:c>
      <x:c r="G1766" s="26">
        <x:v>42983</x:v>
      </x:c>
      <x:c r="H1766" s="24" t="s">
        <x:v>8087</x:v>
      </x:c>
      <x:c r="I1766" s="28" t="s">
        <x:v>8088</x:v>
      </x:c>
      <x:c r="J1766" s="29" t="s">
        <x:v>8089</x:v>
      </x:c>
    </x:row>
    <x:row r="1767" ht="10.050000190734863" customHeight="1">
      <x:c r="A1767" s="21" t="s">
        <x:v>8090</x:v>
      </x:c>
      <x:c r="B1767" s="20" t="s">
        <x:v>8090</x:v>
      </x:c>
      <x:c r="C1767" s="20" t="s">
        <x:v>8091</x:v>
      </x:c>
      <x:c r="D1767" s="24">
        <x:v>1</x:v>
      </x:c>
      <x:c r="E1767" s="24" t="s">
        <x:v>103</x:v>
      </x:c>
      <x:c r="F1767" s="20" t="s">
        <x:v>97</x:v>
      </x:c>
      <x:c r="G1767" s="26">
        <x:v>46028</x:v>
      </x:c>
      <x:c r="H1767" s="24" t="s">
        <x:v>8092</x:v>
      </x:c>
      <x:c r="I1767" s="28" t="s">
        <x:v>8093</x:v>
      </x:c>
      <x:c r="J1767" s="29" t="s">
        <x:v>8094</x:v>
      </x:c>
    </x:row>
    <x:row r="1768" ht="10.050000190734863" customHeight="1">
      <x:c r="A1768" s="21" t="s">
        <x:v>8095</x:v>
      </x:c>
      <x:c r="B1768" s="20" t="s">
        <x:v>8095</x:v>
      </x:c>
      <x:c r="C1768" s="20" t="s">
        <x:v>8096</x:v>
      </x:c>
      <x:c r="D1768" s="24">
        <x:v>20</x:v>
      </x:c>
      <x:c r="E1768" s="24" t="s">
        <x:v>198</x:v>
      </x:c>
      <x:c r="F1768" s="20" t="s">
        <x:v>90</x:v>
      </x:c>
      <x:c r="G1768" s="26">
        <x:v>44757</x:v>
      </x:c>
      <x:c r="H1768" s="24" t="s">
        <x:v>8097</x:v>
      </x:c>
      <x:c r="I1768" s="28" t="s">
        <x:v>8098</x:v>
      </x:c>
      <x:c r="J1768" s="29" t="s">
        <x:v>8099</x:v>
      </x:c>
    </x:row>
    <x:row r="1769" ht="10.050000190734863" customHeight="1">
      <x:c r="A1769" s="21" t="s">
        <x:v>8100</x:v>
      </x:c>
      <x:c r="B1769" s="20" t="s">
        <x:v>8100</x:v>
      </x:c>
      <x:c r="C1769" s="20" t="s">
        <x:v>8096</x:v>
      </x:c>
      <x:c r="D1769" s="24">
        <x:v>23</x:v>
      </x:c>
      <x:c r="E1769" s="24" t="s">
        <x:v>198</x:v>
      </x:c>
      <x:c r="F1769" s="20" t="s">
        <x:v>90</x:v>
      </x:c>
      <x:c r="G1769" s="26">
        <x:v>46089</x:v>
      </x:c>
      <x:c r="H1769" s="24" t="s">
        <x:v>8101</x:v>
      </x:c>
      <x:c r="I1769" s="28" t="s">
        <x:v>8102</x:v>
      </x:c>
      <x:c r="J1769" s="29" t="s">
        <x:v>8103</x:v>
      </x:c>
    </x:row>
    <x:row r="1770" ht="10.050000190734863" customHeight="1">
      <x:c r="A1770" s="21" t="s">
        <x:v>8104</x:v>
      </x:c>
      <x:c r="B1770" s="20" t="s">
        <x:v>8104</x:v>
      </x:c>
      <x:c r="C1770" s="20" t="s">
        <x:v>8105</x:v>
      </x:c>
      <x:c r="D1770" s="24">
        <x:v>22</x:v>
      </x:c>
      <x:c r="E1770" s="24" t="s">
        <x:v>198</x:v>
      </x:c>
      <x:c r="F1770" s="20" t="s">
        <x:v>90</x:v>
      </x:c>
      <x:c r="G1770" s="26">
        <x:v>43373</x:v>
      </x:c>
      <x:c r="H1770" s="24" t="s">
        <x:v>8106</x:v>
      </x:c>
      <x:c r="I1770" s="28" t="s">
        <x:v>8107</x:v>
      </x:c>
      <x:c r="J1770" s="29" t="s">
        <x:v>8108</x:v>
      </x:c>
    </x:row>
    <x:row r="1771" ht="10.050000190734863" customHeight="1">
      <x:c r="A1771" s="21" t="s">
        <x:v>8109</x:v>
      </x:c>
      <x:c r="B1771" s="20" t="s">
        <x:v>8109</x:v>
      </x:c>
      <x:c r="C1771" s="20" t="s">
        <x:v>4062</x:v>
      </x:c>
      <x:c r="D1771" s="24">
        <x:v>27</x:v>
      </x:c>
      <x:c r="E1771" s="24" t="s">
        <x:v>198</x:v>
      </x:c>
      <x:c r="F1771" s="20" t="s">
        <x:v>90</x:v>
      </x:c>
      <x:c r="G1771" s="26">
        <x:v>44739</x:v>
      </x:c>
      <x:c r="H1771" s="24" t="s">
        <x:v>8110</x:v>
      </x:c>
      <x:c r="I1771" s="28" t="s">
        <x:v>8111</x:v>
      </x:c>
      <x:c r="J1771" s="29" t="s">
        <x:v>8112</x:v>
      </x:c>
    </x:row>
    <x:row r="1772" ht="10.050000190734863" customHeight="1">
      <x:c r="A1772" s="21" t="s">
        <x:v>8113</x:v>
      </x:c>
      <x:c r="B1772" s="20" t="s">
        <x:v>8113</x:v>
      </x:c>
      <x:c r="C1772" s="20" t="s">
        <x:v>4062</x:v>
      </x:c>
      <x:c r="D1772" s="24">
        <x:v>9</x:v>
      </x:c>
      <x:c r="E1772" s="24" t="s">
        <x:v>89</x:v>
      </x:c>
      <x:c r="F1772" s="20" t="s">
        <x:v>90</x:v>
      </x:c>
      <x:c r="G1772" s="26">
        <x:v>45715</x:v>
      </x:c>
      <x:c r="H1772" s="24" t="s">
        <x:v>8114</x:v>
      </x:c>
      <x:c r="I1772" s="28" t="s">
        <x:v>8115</x:v>
      </x:c>
      <x:c r="J1772" s="29" t="s">
        <x:v>8116</x:v>
      </x:c>
    </x:row>
    <x:row r="1773" ht="10.050000190734863" customHeight="1">
      <x:c r="A1773" s="21" t="s">
        <x:v>8117</x:v>
      </x:c>
      <x:c r="B1773" s="20" t="s">
        <x:v>8117</x:v>
      </x:c>
      <x:c r="C1773" s="20" t="s">
        <x:v>4062</x:v>
      </x:c>
      <x:c r="D1773" s="24">
        <x:v>7</x:v>
      </x:c>
      <x:c r="E1773" s="24" t="s">
        <x:v>198</x:v>
      </x:c>
      <x:c r="F1773" s="20" t="s">
        <x:v>90</x:v>
      </x:c>
      <x:c r="G1773" s="26">
        <x:v>45162</x:v>
      </x:c>
      <x:c r="H1773" s="24" t="s">
        <x:v>8118</x:v>
      </x:c>
      <x:c r="I1773" s="28" t="s">
        <x:v>8119</x:v>
      </x:c>
      <x:c r="J1773" s="29" t="s">
        <x:v>8120</x:v>
      </x:c>
    </x:row>
    <x:row r="1774" ht="10.050000190734863" customHeight="1">
      <x:c r="A1774" s="21" t="s">
        <x:v>8121</x:v>
      </x:c>
      <x:c r="B1774" s="20" t="s">
        <x:v>8121</x:v>
      </x:c>
      <x:c r="C1774" s="20" t="s">
        <x:v>4062</x:v>
      </x:c>
      <x:c r="D1774" s="24">
        <x:v>18</x:v>
      </x:c>
      <x:c r="E1774" s="24" t="s">
        <x:v>89</x:v>
      </x:c>
      <x:c r="F1774" s="20" t="s">
        <x:v>90</x:v>
      </x:c>
      <x:c r="G1774" s="26">
        <x:v>45117</x:v>
      </x:c>
      <x:c r="H1774" s="24" t="s">
        <x:v>8122</x:v>
      </x:c>
      <x:c r="I1774" s="28" t="s">
        <x:v>8123</x:v>
      </x:c>
      <x:c r="J1774" s="29" t="s">
        <x:v>8124</x:v>
      </x:c>
    </x:row>
    <x:row r="1775" ht="10.050000190734863" customHeight="1">
      <x:c r="A1775" s="21" t="s">
        <x:v>8125</x:v>
      </x:c>
      <x:c r="B1775" s="20" t="s">
        <x:v>8125</x:v>
      </x:c>
      <x:c r="C1775" s="20" t="s">
        <x:v>4062</x:v>
      </x:c>
      <x:c r="D1775" s="24">
        <x:v>18</x:v>
      </x:c>
      <x:c r="E1775" s="24" t="s">
        <x:v>198</x:v>
      </x:c>
      <x:c r="F1775" s="20" t="s">
        <x:v>90</x:v>
      </x:c>
      <x:c r="G1775" s="26">
        <x:v>45571</x:v>
      </x:c>
      <x:c r="H1775" s="24" t="s">
        <x:v>8126</x:v>
      </x:c>
      <x:c r="I1775" s="28" t="s">
        <x:v>8127</x:v>
      </x:c>
      <x:c r="J1775" s="29" t="s">
        <x:v>8128</x:v>
      </x:c>
    </x:row>
    <x:row r="1776" ht="10.050000190734863" customHeight="1">
      <x:c r="A1776" s="21" t="s">
        <x:v>8129</x:v>
      </x:c>
      <x:c r="B1776" s="20" t="s">
        <x:v>8129</x:v>
      </x:c>
      <x:c r="C1776" s="20" t="s">
        <x:v>4062</x:v>
      </x:c>
      <x:c r="D1776" s="24">
        <x:v>13</x:v>
      </x:c>
      <x:c r="E1776" s="24" t="s">
        <x:v>198</x:v>
      </x:c>
      <x:c r="F1776" s="20" t="s">
        <x:v>90</x:v>
      </x:c>
      <x:c r="G1776" s="26">
        <x:v>44732</x:v>
      </x:c>
      <x:c r="H1776" s="24" t="s">
        <x:v>8130</x:v>
      </x:c>
      <x:c r="I1776" s="28" t="s">
        <x:v>8131</x:v>
      </x:c>
      <x:c r="J1776" s="29" t="s">
        <x:v>8132</x:v>
      </x:c>
    </x:row>
    <x:row r="1777" ht="10.050000190734863" customHeight="1">
      <x:c r="A1777" s="21" t="s">
        <x:v>8133</x:v>
      </x:c>
      <x:c r="B1777" s="20" t="s">
        <x:v>8133</x:v>
      </x:c>
      <x:c r="C1777" s="20" t="s">
        <x:v>3404</x:v>
      </x:c>
      <x:c r="D1777" s="24">
        <x:v>22</x:v>
      </x:c>
      <x:c r="E1777" s="24" t="s">
        <x:v>198</x:v>
      </x:c>
      <x:c r="F1777" s="20" t="s">
        <x:v>3171</x:v>
      </x:c>
      <x:c r="G1777" s="26">
        <x:v>42237</x:v>
      </x:c>
      <x:c r="H1777" s="24" t="s">
        <x:v>8134</x:v>
      </x:c>
      <x:c r="I1777" s="28" t="s">
        <x:v>8135</x:v>
      </x:c>
      <x:c r="J1777" s="29" t="s">
        <x:v>8136</x:v>
      </x:c>
    </x:row>
    <x:row r="1778" ht="10.050000190734863" customHeight="1">
      <x:c r="A1778" s="21" t="s">
        <x:v>8137</x:v>
      </x:c>
      <x:c r="B1778" s="20" t="s">
        <x:v>8137</x:v>
      </x:c>
      <x:c r="C1778" s="20" t="s">
        <x:v>3611</x:v>
      </x:c>
      <x:c r="D1778" s="24">
        <x:v>21</x:v>
      </x:c>
      <x:c r="E1778" s="24" t="s">
        <x:v>89</x:v>
      </x:c>
      <x:c r="F1778" s="20" t="s">
        <x:v>90</x:v>
      </x:c>
      <x:c r="G1778" s="26">
        <x:v>45152</x:v>
      </x:c>
      <x:c r="H1778" s="24" t="s">
        <x:v>8138</x:v>
      </x:c>
      <x:c r="I1778" s="28" t="s">
        <x:v>8139</x:v>
      </x:c>
      <x:c r="J1778" s="29" t="s">
        <x:v>8140</x:v>
      </x:c>
    </x:row>
    <x:row r="1779" ht="10.050000190734863" customHeight="1">
      <x:c r="A1779" s="21" t="s">
        <x:v>8141</x:v>
      </x:c>
      <x:c r="B1779" s="20" t="s">
        <x:v>8141</x:v>
      </x:c>
      <x:c r="C1779" s="20" t="s">
        <x:v>8142</x:v>
      </x:c>
      <x:c r="D1779" s="24">
        <x:v>6</x:v>
      </x:c>
      <x:c r="E1779" s="24" t="s">
        <x:v>96</x:v>
      </x:c>
      <x:c r="F1779" s="20" t="s">
        <x:v>90</x:v>
      </x:c>
      <x:c r="G1779" s="26">
        <x:v>45334</x:v>
      </x:c>
      <x:c r="H1779" s="24" t="s">
        <x:v>8143</x:v>
      </x:c>
      <x:c r="I1779" s="28" t="s">
        <x:v>8144</x:v>
      </x:c>
      <x:c r="J1779" s="29" t="s">
        <x:v>8145</x:v>
      </x:c>
    </x:row>
    <x:row r="1780" ht="10.050000190734863" customHeight="1">
      <x:c r="A1780" s="21" t="s">
        <x:v>8146</x:v>
      </x:c>
      <x:c r="B1780" s="20" t="s">
        <x:v>8146</x:v>
      </x:c>
      <x:c r="C1780" s="20" t="s">
        <x:v>8147</x:v>
      </x:c>
      <x:c r="D1780" s="24">
        <x:v>9</x:v>
      </x:c>
      <x:c r="E1780" s="24" t="s">
        <x:v>96</x:v>
      </x:c>
      <x:c r="F1780" s="20" t="s">
        <x:v>90</x:v>
      </x:c>
      <x:c r="G1780" s="26">
        <x:v>44553</x:v>
      </x:c>
      <x:c r="H1780" s="24" t="s">
        <x:v>8148</x:v>
      </x:c>
      <x:c r="I1780" s="28" t="s">
        <x:v>8149</x:v>
      </x:c>
      <x:c r="J1780" s="29" t="s">
        <x:v>8150</x:v>
      </x:c>
    </x:row>
    <x:row r="1781" ht="10.050000190734863" customHeight="1">
      <x:c r="A1781" s="21" t="s">
        <x:v>8151</x:v>
      </x:c>
      <x:c r="B1781" s="20" t="s">
        <x:v>8151</x:v>
      </x:c>
      <x:c r="C1781" s="20" t="s">
        <x:v>6301</x:v>
      </x:c>
      <x:c r="D1781" s="24">
        <x:v>22</x:v>
      </x:c>
      <x:c r="E1781" s="24" t="s">
        <x:v>103</x:v>
      </x:c>
      <x:c r="F1781" s="20" t="s">
        <x:v>97</x:v>
      </x:c>
      <x:c r="G1781" s="26">
        <x:v>42213</x:v>
      </x:c>
      <x:c r="H1781" s="24" t="s">
        <x:v>8152</x:v>
      </x:c>
      <x:c r="I1781" s="28" t="s">
        <x:v>8153</x:v>
      </x:c>
      <x:c r="J1781" s="29" t="s">
        <x:v>8154</x:v>
      </x:c>
    </x:row>
    <x:row r="1782" ht="10.050000190734863" customHeight="1">
      <x:c r="A1782" s="21" t="s">
        <x:v>8155</x:v>
      </x:c>
      <x:c r="B1782" s="20" t="s">
        <x:v>8155</x:v>
      </x:c>
      <x:c r="C1782" s="20" t="s">
        <x:v>3958</x:v>
      </x:c>
      <x:c r="D1782" s="24">
        <x:v>15</x:v>
      </x:c>
      <x:c r="E1782" s="24" t="s">
        <x:v>198</x:v>
      </x:c>
      <x:c r="F1782" s="20" t="s">
        <x:v>90</x:v>
      </x:c>
      <x:c r="G1782" s="26">
        <x:v>42812</x:v>
      </x:c>
      <x:c r="H1782" s="24" t="s">
        <x:v>8156</x:v>
      </x:c>
      <x:c r="I1782" s="28" t="s">
        <x:v>8157</x:v>
      </x:c>
      <x:c r="J1782" s="29" t="s">
        <x:v>8158</x:v>
      </x:c>
    </x:row>
    <x:row r="1783" ht="10.050000190734863" customHeight="1">
      <x:c r="A1783" s="21" t="s">
        <x:v>8159</x:v>
      </x:c>
      <x:c r="B1783" s="20" t="s">
        <x:v>8159</x:v>
      </x:c>
      <x:c r="C1783" s="20" t="s">
        <x:v>4833</x:v>
      </x:c>
      <x:c r="D1783" s="24">
        <x:v>5</x:v>
      </x:c>
      <x:c r="E1783" s="24" t="s">
        <x:v>103</x:v>
      </x:c>
      <x:c r="F1783" s="20" t="s">
        <x:v>97</x:v>
      </x:c>
      <x:c r="G1783" s="26">
        <x:v>45109</x:v>
      </x:c>
      <x:c r="H1783" s="24" t="s">
        <x:v>8160</x:v>
      </x:c>
      <x:c r="I1783" s="28" t="s">
        <x:v>8161</x:v>
      </x:c>
      <x:c r="J1783" s="29" t="s">
        <x:v>8162</x:v>
      </x:c>
    </x:row>
    <x:row r="1784" ht="10.050000190734863" customHeight="1">
      <x:c r="A1784" s="21" t="s">
        <x:v>8163</x:v>
      </x:c>
      <x:c r="B1784" s="20" t="s">
        <x:v>8163</x:v>
      </x:c>
      <x:c r="C1784" s="20" t="s">
        <x:v>8164</x:v>
      </x:c>
      <x:c r="D1784" s="24">
        <x:v>2</x:v>
      </x:c>
      <x:c r="E1784" s="24" t="s">
        <x:v>96</x:v>
      </x:c>
      <x:c r="F1784" s="20" t="s">
        <x:v>97</x:v>
      </x:c>
      <x:c r="G1784" s="26">
        <x:v>43980</x:v>
      </x:c>
      <x:c r="H1784" s="24" t="s">
        <x:v>8165</x:v>
      </x:c>
      <x:c r="I1784" s="28" t="s">
        <x:v>8166</x:v>
      </x:c>
      <x:c r="J1784" s="29" t="s">
        <x:v>8167</x:v>
      </x:c>
    </x:row>
    <x:row r="1785" ht="10.050000190734863" customHeight="1">
      <x:c r="A1785" s="21" t="s">
        <x:v>8168</x:v>
      </x:c>
      <x:c r="B1785" s="20" t="s">
        <x:v>8168</x:v>
      </x:c>
      <x:c r="C1785" s="20" t="s">
        <x:v>8169</x:v>
      </x:c>
      <x:c r="D1785" s="24">
        <x:v>7</x:v>
      </x:c>
      <x:c r="E1785" s="24" t="s">
        <x:v>198</x:v>
      </x:c>
      <x:c r="F1785" s="20" t="s">
        <x:v>90</x:v>
      </x:c>
      <x:c r="G1785" s="26">
        <x:v>45908</x:v>
      </x:c>
      <x:c r="H1785" s="24" t="s">
        <x:v>8170</x:v>
      </x:c>
      <x:c r="I1785" s="28" t="s">
        <x:v>8171</x:v>
      </x:c>
      <x:c r="J1785" s="29" t="s">
        <x:v>8172</x:v>
      </x:c>
    </x:row>
    <x:row r="1786" ht="10.050000190734863" customHeight="1">
      <x:c r="A1786" s="21" t="s">
        <x:v>8173</x:v>
      </x:c>
      <x:c r="B1786" s="20" t="s">
        <x:v>8173</x:v>
      </x:c>
      <x:c r="C1786" s="20" t="s">
        <x:v>8174</x:v>
      </x:c>
      <x:c r="D1786" s="24">
        <x:v>14</x:v>
      </x:c>
      <x:c r="E1786" s="24" t="s">
        <x:v>89</x:v>
      </x:c>
      <x:c r="F1786" s="20" t="s">
        <x:v>90</x:v>
      </x:c>
      <x:c r="G1786" s="26">
        <x:v>43213</x:v>
      </x:c>
      <x:c r="H1786" s="24" t="s">
        <x:v>8175</x:v>
      </x:c>
      <x:c r="I1786" s="28" t="s">
        <x:v>8176</x:v>
      </x:c>
      <x:c r="J1786" s="29" t="s">
        <x:v>8177</x:v>
      </x:c>
    </x:row>
    <x:row r="1787" ht="10.050000190734863" customHeight="1">
      <x:c r="A1787" s="21" t="s">
        <x:v>8178</x:v>
      </x:c>
      <x:c r="B1787" s="20" t="s">
        <x:v>8178</x:v>
      </x:c>
      <x:c r="C1787" s="20" t="s">
        <x:v>8179</x:v>
      </x:c>
      <x:c r="D1787" s="24">
        <x:v>6</x:v>
      </x:c>
      <x:c r="E1787" s="24" t="s">
        <x:v>103</x:v>
      </x:c>
      <x:c r="F1787" s="20" t="s">
        <x:v>97</x:v>
      </x:c>
      <x:c r="G1787" s="26">
        <x:v>42292</x:v>
      </x:c>
      <x:c r="H1787" s="24" t="s">
        <x:v>8180</x:v>
      </x:c>
      <x:c r="I1787" s="28" t="s">
        <x:v>8181</x:v>
      </x:c>
      <x:c r="J1787" s="29" t="s">
        <x:v>8182</x:v>
      </x:c>
    </x:row>
    <x:row r="1788" ht="10.050000190734863" customHeight="1">
      <x:c r="A1788" s="21" t="s">
        <x:v>30</x:v>
      </x:c>
      <x:c r="B1788" s="20" t="s">
        <x:v>30</x:v>
      </x:c>
      <x:c r="C1788" s="20" t="s">
        <x:v>3819</x:v>
      </x:c>
      <x:c r="D1788" s="24">
        <x:v>16</x:v>
      </x:c>
      <x:c r="E1788" s="24" t="s">
        <x:v>89</x:v>
      </x:c>
      <x:c r="F1788" s="20" t="s">
        <x:v>90</x:v>
      </x:c>
      <x:c r="G1788" s="26">
        <x:v>43193</x:v>
      </x:c>
      <x:c r="H1788" s="24" t="s">
        <x:v>8183</x:v>
      </x:c>
      <x:c r="I1788" s="28" t="s">
        <x:v>8184</x:v>
      </x:c>
      <x:c r="J1788" s="29" t="s">
        <x:v>8185</x:v>
      </x:c>
    </x:row>
    <x:row r="1789" ht="10.050000190734863" customHeight="1">
      <x:c r="A1789" s="21" t="s">
        <x:v>32</x:v>
      </x:c>
      <x:c r="B1789" s="20" t="s">
        <x:v>32</x:v>
      </x:c>
      <x:c r="C1789" s="20" t="s">
        <x:v>3819</x:v>
      </x:c>
      <x:c r="D1789" s="24">
        <x:v>24</x:v>
      </x:c>
      <x:c r="E1789" s="24" t="s">
        <x:v>198</x:v>
      </x:c>
      <x:c r="F1789" s="20" t="s">
        <x:v>90</x:v>
      </x:c>
      <x:c r="G1789" s="26">
        <x:v>45276</x:v>
      </x:c>
      <x:c r="H1789" s="24" t="s">
        <x:v>8186</x:v>
      </x:c>
      <x:c r="I1789" s="28" t="s">
        <x:v>8187</x:v>
      </x:c>
      <x:c r="J1789" s="29" t="s">
        <x:v>8188</x:v>
      </x:c>
    </x:row>
    <x:row r="1790" ht="10.050000190734863" customHeight="1">
      <x:c r="A1790" s="21" t="s">
        <x:v>8189</x:v>
      </x:c>
      <x:c r="B1790" s="20" t="s">
        <x:v>8189</x:v>
      </x:c>
      <x:c r="C1790" s="20" t="s">
        <x:v>2282</x:v>
      </x:c>
      <x:c r="D1790" s="24">
        <x:v>8</x:v>
      </x:c>
      <x:c r="E1790" s="24" t="s">
        <x:v>96</x:v>
      </x:c>
      <x:c r="F1790" s="20" t="s">
        <x:v>97</x:v>
      </x:c>
      <x:c r="G1790" s="26">
        <x:v>43534</x:v>
      </x:c>
      <x:c r="H1790" s="24" t="s">
        <x:v>8190</x:v>
      </x:c>
      <x:c r="I1790" s="28" t="s">
        <x:v>8191</x:v>
      </x:c>
      <x:c r="J1790" s="29" t="s">
        <x:v>8192</x:v>
      </x:c>
    </x:row>
    <x:row r="1791" ht="10.050000190734863" customHeight="1">
      <x:c r="A1791" s="21" t="s">
        <x:v>8193</x:v>
      </x:c>
      <x:c r="B1791" s="20" t="s">
        <x:v>8193</x:v>
      </x:c>
      <x:c r="C1791" s="20" t="s">
        <x:v>2282</x:v>
      </x:c>
      <x:c r="D1791" s="24">
        <x:v>8</x:v>
      </x:c>
      <x:c r="E1791" s="24" t="s">
        <x:v>103</x:v>
      </x:c>
      <x:c r="F1791" s="20" t="s">
        <x:v>97</x:v>
      </x:c>
      <x:c r="G1791" s="26">
        <x:v>43604</x:v>
      </x:c>
      <x:c r="H1791" s="24" t="s">
        <x:v>8194</x:v>
      </x:c>
      <x:c r="I1791" s="28" t="s">
        <x:v>8195</x:v>
      </x:c>
      <x:c r="J1791" s="29" t="s">
        <x:v>8196</x:v>
      </x:c>
    </x:row>
    <x:row r="1792" ht="10.050000190734863" customHeight="1">
      <x:c r="A1792" s="21" t="s">
        <x:v>8197</x:v>
      </x:c>
      <x:c r="B1792" s="20" t="s">
        <x:v>8197</x:v>
      </x:c>
      <x:c r="C1792" s="20" t="s">
        <x:v>2282</x:v>
      </x:c>
      <x:c r="D1792" s="24">
        <x:v>8</x:v>
      </x:c>
      <x:c r="E1792" s="24" t="s">
        <x:v>96</x:v>
      </x:c>
      <x:c r="F1792" s="20" t="s">
        <x:v>97</x:v>
      </x:c>
      <x:c r="G1792" s="26">
        <x:v>43784</x:v>
      </x:c>
      <x:c r="H1792" s="24" t="s">
        <x:v>8198</x:v>
      </x:c>
      <x:c r="I1792" s="28" t="s">
        <x:v>8199</x:v>
      </x:c>
      <x:c r="J1792" s="29" t="s">
        <x:v>8200</x:v>
      </x:c>
    </x:row>
    <x:row r="1793" ht="10.050000190734863" customHeight="1">
      <x:c r="A1793" s="21" t="s">
        <x:v>8201</x:v>
      </x:c>
      <x:c r="B1793" s="20" t="s">
        <x:v>8201</x:v>
      </x:c>
      <x:c r="C1793" s="20" t="s">
        <x:v>918</x:v>
      </x:c>
      <x:c r="D1793" s="24">
        <x:v>6</x:v>
      </x:c>
      <x:c r="E1793" s="24" t="s">
        <x:v>114</x:v>
      </x:c>
      <x:c r="F1793" s="20" t="s">
        <x:v>90</x:v>
      </x:c>
      <x:c r="G1793" s="26">
        <x:v>45125</x:v>
      </x:c>
      <x:c r="H1793" s="24" t="s">
        <x:v>8202</x:v>
      </x:c>
      <x:c r="I1793" s="28" t="s">
        <x:v>8203</x:v>
      </x:c>
      <x:c r="J1793" s="29" t="s">
        <x:v>8204</x:v>
      </x:c>
    </x:row>
    <x:row r="1794" ht="10.050000190734863" customHeight="1">
      <x:c r="A1794" s="21" t="s">
        <x:v>8205</x:v>
      </x:c>
      <x:c r="B1794" s="20" t="s">
        <x:v>8205</x:v>
      </x:c>
      <x:c r="C1794" s="20" t="s">
        <x:v>6162</x:v>
      </x:c>
      <x:c r="D1794" s="24">
        <x:v>12</x:v>
      </x:c>
      <x:c r="E1794" s="24" t="s">
        <x:v>89</x:v>
      </x:c>
      <x:c r="F1794" s="20" t="s">
        <x:v>90</x:v>
      </x:c>
      <x:c r="G1794" s="26">
        <x:v>44481</x:v>
      </x:c>
      <x:c r="H1794" s="24" t="s">
        <x:v>8206</x:v>
      </x:c>
      <x:c r="I1794" s="28" t="s">
        <x:v>8207</x:v>
      </x:c>
      <x:c r="J1794" s="29" t="s">
        <x:v>8208</x:v>
      </x:c>
    </x:row>
    <x:row r="1795" ht="10.050000190734863" customHeight="1">
      <x:c r="A1795" s="21" t="s">
        <x:v>8209</x:v>
      </x:c>
      <x:c r="B1795" s="20" t="s">
        <x:v>8209</x:v>
      </x:c>
      <x:c r="C1795" s="20" t="s">
        <x:v>6162</x:v>
      </x:c>
      <x:c r="D1795" s="24">
        <x:v>15</x:v>
      </x:c>
      <x:c r="E1795" s="24" t="s">
        <x:v>89</x:v>
      </x:c>
      <x:c r="F1795" s="20" t="s">
        <x:v>90</x:v>
      </x:c>
      <x:c r="G1795" s="26">
        <x:v>44944</x:v>
      </x:c>
      <x:c r="H1795" s="24" t="s">
        <x:v>8210</x:v>
      </x:c>
      <x:c r="I1795" s="28" t="s">
        <x:v>8211</x:v>
      </x:c>
      <x:c r="J1795" s="29" t="s">
        <x:v>8212</x:v>
      </x:c>
    </x:row>
    <x:row r="1796" ht="10.050000190734863" customHeight="1">
      <x:c r="A1796" s="21" t="s">
        <x:v>8213</x:v>
      </x:c>
      <x:c r="B1796" s="20" t="s">
        <x:v>8213</x:v>
      </x:c>
      <x:c r="C1796" s="20" t="s">
        <x:v>2483</x:v>
      </x:c>
      <x:c r="D1796" s="24">
        <x:v>14</x:v>
      </x:c>
      <x:c r="E1796" s="24" t="s">
        <x:v>198</x:v>
      </x:c>
      <x:c r="F1796" s="20" t="s">
        <x:v>90</x:v>
      </x:c>
      <x:c r="G1796" s="26">
        <x:v>45706</x:v>
      </x:c>
      <x:c r="H1796" s="24" t="s">
        <x:v>8214</x:v>
      </x:c>
      <x:c r="I1796" s="28" t="s">
        <x:v>8215</x:v>
      </x:c>
      <x:c r="J1796" s="29" t="s">
        <x:v>8216</x:v>
      </x:c>
    </x:row>
    <x:row r="1797" ht="10.050000190734863" customHeight="1">
      <x:c r="A1797" s="21" t="s">
        <x:v>8217</x:v>
      </x:c>
      <x:c r="B1797" s="20" t="s">
        <x:v>8217</x:v>
      </x:c>
      <x:c r="C1797" s="20" t="s">
        <x:v>8218</x:v>
      </x:c>
      <x:c r="D1797" s="24">
        <x:v>6</x:v>
      </x:c>
      <x:c r="E1797" s="24" t="s">
        <x:v>257</x:v>
      </x:c>
      <x:c r="F1797" s="20" t="s">
        <x:v>97</x:v>
      </x:c>
      <x:c r="G1797" s="26">
        <x:v>42236</x:v>
      </x:c>
      <x:c r="H1797" s="24" t="s">
        <x:v>8219</x:v>
      </x:c>
      <x:c r="I1797" s="28" t="s">
        <x:v>8220</x:v>
      </x:c>
      <x:c r="J1797" s="29" t="s">
        <x:v>8221</x:v>
      </x:c>
    </x:row>
    <x:row r="1798" ht="10.050000190734863" customHeight="1">
      <x:c r="A1798" s="21" t="s">
        <x:v>8222</x:v>
      </x:c>
      <x:c r="B1798" s="20" t="s">
        <x:v>8222</x:v>
      </x:c>
      <x:c r="C1798" s="20" t="s">
        <x:v>2346</x:v>
      </x:c>
      <x:c r="D1798" s="24">
        <x:v>10</x:v>
      </x:c>
      <x:c r="E1798" s="24" t="s">
        <x:v>89</x:v>
      </x:c>
      <x:c r="F1798" s="20" t="s">
        <x:v>90</x:v>
      </x:c>
      <x:c r="G1798" s="26">
        <x:v>45099</x:v>
      </x:c>
      <x:c r="H1798" s="24" t="s">
        <x:v>8223</x:v>
      </x:c>
      <x:c r="I1798" s="28" t="s">
        <x:v>8224</x:v>
      </x:c>
      <x:c r="J1798" s="29" t="s">
        <x:v>8225</x:v>
      </x:c>
    </x:row>
    <x:row r="1799" ht="10.050000190734863" customHeight="1">
      <x:c r="A1799" s="21" t="s">
        <x:v>8226</x:v>
      </x:c>
      <x:c r="B1799" s="20" t="s">
        <x:v>8226</x:v>
      </x:c>
      <x:c r="C1799" s="20" t="s">
        <x:v>680</x:v>
      </x:c>
      <x:c r="D1799" s="24">
        <x:v>1</x:v>
      </x:c>
      <x:c r="E1799" s="24" t="s">
        <x:v>89</x:v>
      </x:c>
      <x:c r="F1799" s="20" t="s">
        <x:v>152</x:v>
      </x:c>
      <x:c r="G1799" s="26">
        <x:v>44062</x:v>
      </x:c>
      <x:c r="H1799" s="24" t="s">
        <x:v>8227</x:v>
      </x:c>
      <x:c r="I1799" s="28" t="s">
        <x:v>8228</x:v>
      </x:c>
      <x:c r="J1799" s="29" t="s">
        <x:v>8229</x:v>
      </x:c>
    </x:row>
    <x:row r="1800" ht="10.050000190734863" customHeight="1">
      <x:c r="A1800" s="21" t="s">
        <x:v>8230</x:v>
      </x:c>
      <x:c r="B1800" s="20" t="s">
        <x:v>8230</x:v>
      </x:c>
      <x:c r="C1800" s="20" t="s">
        <x:v>1969</x:v>
      </x:c>
      <x:c r="D1800" s="24">
        <x:v>9</x:v>
      </x:c>
      <x:c r="E1800" s="24" t="s">
        <x:v>114</x:v>
      </x:c>
      <x:c r="F1800" s="20" t="s">
        <x:v>90</x:v>
      </x:c>
      <x:c r="G1800" s="26">
        <x:v>44580</x:v>
      </x:c>
      <x:c r="H1800" s="24" t="s">
        <x:v>8231</x:v>
      </x:c>
      <x:c r="I1800" s="28" t="s">
        <x:v>8232</x:v>
      </x:c>
      <x:c r="J1800" s="29" t="s">
        <x:v>8233</x:v>
      </x:c>
    </x:row>
    <x:row r="1801" ht="10.050000190734863" customHeight="1">
      <x:c r="A1801" s="21" t="s">
        <x:v>8234</x:v>
      </x:c>
      <x:c r="B1801" s="20" t="s">
        <x:v>8234</x:v>
      </x:c>
      <x:c r="C1801" s="20" t="s">
        <x:v>8235</x:v>
      </x:c>
      <x:c r="D1801" s="24">
        <x:v>12</x:v>
      </x:c>
      <x:c r="E1801" s="24" t="s">
        <x:v>89</x:v>
      </x:c>
      <x:c r="F1801" s="20" t="s">
        <x:v>90</x:v>
      </x:c>
      <x:c r="G1801" s="26">
        <x:v>42729</x:v>
      </x:c>
      <x:c r="H1801" s="24" t="s">
        <x:v>8236</x:v>
      </x:c>
      <x:c r="I1801" s="28" t="s">
        <x:v>8237</x:v>
      </x:c>
      <x:c r="J1801" s="29" t="s">
        <x:v>8238</x:v>
      </x:c>
    </x:row>
    <x:row r="1802" ht="10.050000190734863" customHeight="1">
      <x:c r="A1802" s="21" t="s">
        <x:v>8239</x:v>
      </x:c>
      <x:c r="B1802" s="20" t="s">
        <x:v>8239</x:v>
      </x:c>
      <x:c r="C1802" s="20" t="s">
        <x:v>8240</x:v>
      </x:c>
      <x:c r="D1802" s="24">
        <x:v>116</x:v>
      </x:c>
      <x:c r="E1802" s="24" t="s">
        <x:v>114</x:v>
      </x:c>
      <x:c r="F1802" s="20" t="s">
        <x:v>97</x:v>
      </x:c>
      <x:c r="G1802" s="26">
        <x:v>45114</x:v>
      </x:c>
      <x:c r="H1802" s="24" t="s">
        <x:v>8241</x:v>
      </x:c>
      <x:c r="I1802" s="28" t="s">
        <x:v>8242</x:v>
      </x:c>
      <x:c r="J1802" s="29" t="s">
        <x:v>8243</x:v>
      </x:c>
    </x:row>
    <x:row r="1803" ht="10.050000190734863" customHeight="1">
      <x:c r="A1803" s="21" t="s">
        <x:v>8244</x:v>
      </x:c>
      <x:c r="B1803" s="20" t="s">
        <x:v>8244</x:v>
      </x:c>
      <x:c r="C1803" s="20" t="s">
        <x:v>8096</x:v>
      </x:c>
      <x:c r="D1803" s="24">
        <x:v>11</x:v>
      </x:c>
      <x:c r="E1803" s="24" t="s">
        <x:v>89</x:v>
      </x:c>
      <x:c r="F1803" s="20" t="s">
        <x:v>90</x:v>
      </x:c>
      <x:c r="G1803" s="26">
        <x:v>45995</x:v>
      </x:c>
      <x:c r="H1803" s="24" t="s">
        <x:v>8245</x:v>
      </x:c>
      <x:c r="I1803" s="28" t="s">
        <x:v>8246</x:v>
      </x:c>
      <x:c r="J1803" s="29" t="s">
        <x:v>8247</x:v>
      </x:c>
    </x:row>
    <x:row r="1804" ht="10.050000190734863" customHeight="1">
      <x:c r="A1804" s="21" t="s">
        <x:v>8248</x:v>
      </x:c>
      <x:c r="B1804" s="20" t="s">
        <x:v>8248</x:v>
      </x:c>
      <x:c r="C1804" s="20" t="s">
        <x:v>8249</x:v>
      </x:c>
      <x:c r="D1804" s="24">
        <x:v>20</x:v>
      </x:c>
      <x:c r="E1804" s="24" t="s">
        <x:v>198</x:v>
      </x:c>
      <x:c r="F1804" s="20" t="s">
        <x:v>5659</x:v>
      </x:c>
      <x:c r="G1804" s="26">
        <x:v>46117</x:v>
      </x:c>
      <x:c r="H1804" s="24" t="s">
        <x:v>8250</x:v>
      </x:c>
      <x:c r="I1804" s="28" t="s">
        <x:v>8251</x:v>
      </x:c>
      <x:c r="J1804" s="29" t="s">
        <x:v>8252</x:v>
      </x:c>
    </x:row>
    <x:row r="1805" ht="10.050000190734863" customHeight="1">
      <x:c r="A1805" s="21" t="s">
        <x:v>62</x:v>
      </x:c>
      <x:c r="B1805" s="20" t="s">
        <x:v>62</x:v>
      </x:c>
      <x:c r="C1805" s="20" t="s">
        <x:v>8253</x:v>
      </x:c>
      <x:c r="D1805" s="24">
        <x:v>23</x:v>
      </x:c>
      <x:c r="E1805" s="24" t="s">
        <x:v>89</x:v>
      </x:c>
      <x:c r="F1805" s="20" t="s">
        <x:v>90</x:v>
      </x:c>
      <x:c r="G1805" s="26">
        <x:v>45203</x:v>
      </x:c>
      <x:c r="H1805" s="24" t="s">
        <x:v>8254</x:v>
      </x:c>
      <x:c r="I1805" s="28" t="s">
        <x:v>8255</x:v>
      </x:c>
      <x:c r="J1805" s="29" t="s">
        <x:v>8256</x:v>
      </x:c>
    </x:row>
    <x:row r="1806" ht="10.050000190734863" customHeight="1">
      <x:c r="A1806" s="21" t="s">
        <x:v>58</x:v>
      </x:c>
      <x:c r="B1806" s="20" t="s">
        <x:v>58</x:v>
      </x:c>
      <x:c r="C1806" s="20" t="s">
        <x:v>4282</x:v>
      </x:c>
      <x:c r="D1806" s="24">
        <x:v>12</x:v>
      </x:c>
      <x:c r="E1806" s="24" t="s">
        <x:v>96</x:v>
      </x:c>
      <x:c r="F1806" s="20" t="s">
        <x:v>90</x:v>
      </x:c>
      <x:c r="G1806" s="26">
        <x:v>44318</x:v>
      </x:c>
      <x:c r="H1806" s="24" t="s">
        <x:v>8257</x:v>
      </x:c>
      <x:c r="I1806" s="28" t="s">
        <x:v>8258</x:v>
      </x:c>
      <x:c r="J1806" s="29" t="s">
        <x:v>8259</x:v>
      </x:c>
    </x:row>
    <x:row r="1807" ht="10.050000190734863" customHeight="1">
      <x:c r="A1807" s="21" t="s">
        <x:v>60</x:v>
      </x:c>
      <x:c r="B1807" s="20" t="s">
        <x:v>60</x:v>
      </x:c>
      <x:c r="C1807" s="20" t="s">
        <x:v>4282</x:v>
      </x:c>
      <x:c r="D1807" s="24">
        <x:v>21</x:v>
      </x:c>
      <x:c r="E1807" s="24" t="s">
        <x:v>89</x:v>
      </x:c>
      <x:c r="F1807" s="20" t="s">
        <x:v>90</x:v>
      </x:c>
      <x:c r="G1807" s="26">
        <x:v>44791</x:v>
      </x:c>
      <x:c r="H1807" s="24" t="s">
        <x:v>8260</x:v>
      </x:c>
      <x:c r="I1807" s="28" t="s">
        <x:v>8261</x:v>
      </x:c>
      <x:c r="J1807" s="29" t="s">
        <x:v>8262</x:v>
      </x:c>
    </x:row>
    <x:row r="1808" ht="10.050000190734863" customHeight="1">
      <x:c r="A1808" s="21" t="s">
        <x:v>8263</x:v>
      </x:c>
      <x:c r="B1808" s="20" t="s">
        <x:v>8263</x:v>
      </x:c>
      <x:c r="C1808" s="20" t="s">
        <x:v>3012</x:v>
      </x:c>
      <x:c r="D1808" s="24">
        <x:v>8</x:v>
      </x:c>
      <x:c r="E1808" s="24" t="s">
        <x:v>198</x:v>
      </x:c>
      <x:c r="F1808" s="20" t="s">
        <x:v>90</x:v>
      </x:c>
      <x:c r="G1808" s="26">
        <x:v>45699</x:v>
      </x:c>
      <x:c r="H1808" s="24" t="s">
        <x:v>8264</x:v>
      </x:c>
      <x:c r="I1808" s="28" t="s">
        <x:v>8265</x:v>
      </x:c>
      <x:c r="J1808" s="29" t="s">
        <x:v>8266</x:v>
      </x:c>
    </x:row>
    <x:row r="1809" ht="10.050000190734863" customHeight="1">
      <x:c r="A1809" s="21" t="s">
        <x:v>8267</x:v>
      </x:c>
      <x:c r="B1809" s="20" t="s">
        <x:v>8267</x:v>
      </x:c>
      <x:c r="C1809" s="20" t="s">
        <x:v>8268</x:v>
      </x:c>
      <x:c r="D1809" s="24">
        <x:v>31</x:v>
      </x:c>
      <x:c r="E1809" s="24" t="s">
        <x:v>89</x:v>
      </x:c>
      <x:c r="F1809" s="20" t="s">
        <x:v>97</x:v>
      </x:c>
      <x:c r="G1809" s="26">
        <x:v>45278</x:v>
      </x:c>
      <x:c r="H1809" s="24" t="s">
        <x:v>8269</x:v>
      </x:c>
      <x:c r="I1809" s="28" t="s">
        <x:v>8270</x:v>
      </x:c>
      <x:c r="J1809" s="29" t="s">
        <x:v>8271</x:v>
      </x:c>
    </x:row>
    <x:row r="1810" ht="10.050000190734863" customHeight="1">
      <x:c r="A1810" s="21" t="s">
        <x:v>8272</x:v>
      </x:c>
      <x:c r="B1810" s="20" t="s">
        <x:v>8272</x:v>
      </x:c>
      <x:c r="C1810" s="20" t="s">
        <x:v>399</x:v>
      </x:c>
      <x:c r="D1810" s="24">
        <x:v>13</x:v>
      </x:c>
      <x:c r="E1810" s="24" t="s">
        <x:v>96</x:v>
      </x:c>
      <x:c r="F1810" s="20" t="s">
        <x:v>97</x:v>
      </x:c>
      <x:c r="G1810" s="26">
        <x:v>43692</x:v>
      </x:c>
      <x:c r="H1810" s="24" t="s">
        <x:v>8273</x:v>
      </x:c>
      <x:c r="I1810" s="28" t="s">
        <x:v>8274</x:v>
      </x:c>
      <x:c r="J1810" s="29" t="s">
        <x:v>8275</x:v>
      </x:c>
    </x:row>
    <x:row r="1811" ht="10.050000190734863" customHeight="1">
      <x:c r="A1811" s="21" t="s">
        <x:v>8276</x:v>
      </x:c>
      <x:c r="B1811" s="20" t="s">
        <x:v>8276</x:v>
      </x:c>
      <x:c r="C1811" s="20" t="s">
        <x:v>399</x:v>
      </x:c>
      <x:c r="D1811" s="24">
        <x:v>12</x:v>
      </x:c>
      <x:c r="E1811" s="24" t="s">
        <x:v>96</x:v>
      </x:c>
      <x:c r="F1811" s="20" t="s">
        <x:v>97</x:v>
      </x:c>
      <x:c r="G1811" s="26">
        <x:v>44168</x:v>
      </x:c>
      <x:c r="H1811" s="24" t="s">
        <x:v>8277</x:v>
      </x:c>
      <x:c r="I1811" s="28" t="s">
        <x:v>8278</x:v>
      </x:c>
      <x:c r="J1811" s="29" t="s">
        <x:v>8279</x:v>
      </x:c>
    </x:row>
    <x:row r="1812" ht="10.050000190734863" customHeight="1">
      <x:c r="A1812" s="21" t="s">
        <x:v>8280</x:v>
      </x:c>
      <x:c r="B1812" s="20" t="s">
        <x:v>8280</x:v>
      </x:c>
      <x:c r="C1812" s="20" t="s">
        <x:v>399</x:v>
      </x:c>
      <x:c r="D1812" s="24">
        <x:v>16</x:v>
      </x:c>
      <x:c r="E1812" s="24" t="s">
        <x:v>96</x:v>
      </x:c>
      <x:c r="F1812" s="20" t="s">
        <x:v>97</x:v>
      </x:c>
      <x:c r="G1812" s="26">
        <x:v>43301</x:v>
      </x:c>
      <x:c r="H1812" s="24" t="s">
        <x:v>8281</x:v>
      </x:c>
      <x:c r="I1812" s="28" t="s">
        <x:v>8282</x:v>
      </x:c>
      <x:c r="J1812" s="29" t="s">
        <x:v>8283</x:v>
      </x:c>
    </x:row>
    <x:row r="1813" ht="10.050000190734863" customHeight="1">
      <x:c r="A1813" s="21" t="s">
        <x:v>8284</x:v>
      </x:c>
      <x:c r="B1813" s="20" t="s">
        <x:v>8284</x:v>
      </x:c>
      <x:c r="C1813" s="20" t="s">
        <x:v>8285</x:v>
      </x:c>
      <x:c r="D1813" s="24">
        <x:v>17</x:v>
      </x:c>
      <x:c r="E1813" s="24" t="s">
        <x:v>198</x:v>
      </x:c>
      <x:c r="F1813" s="20" t="s">
        <x:v>90</x:v>
      </x:c>
      <x:c r="G1813" s="26">
        <x:v>43600</x:v>
      </x:c>
      <x:c r="H1813" s="24" t="s">
        <x:v>8286</x:v>
      </x:c>
      <x:c r="I1813" s="28" t="s">
        <x:v>8287</x:v>
      </x:c>
      <x:c r="J1813" s="29" t="s">
        <x:v>8288</x:v>
      </x:c>
    </x:row>
    <x:row r="1814" ht="10.050000190734863" customHeight="1">
      <x:c r="A1814" s="21" t="s">
        <x:v>8289</x:v>
      </x:c>
      <x:c r="B1814" s="20" t="s">
        <x:v>8289</x:v>
      </x:c>
      <x:c r="C1814" s="20" t="s">
        <x:v>8290</x:v>
      </x:c>
      <x:c r="D1814" s="24">
        <x:v>8</x:v>
      </x:c>
      <x:c r="E1814" s="24" t="s">
        <x:v>103</x:v>
      </x:c>
      <x:c r="F1814" s="20" t="s">
        <x:v>97</x:v>
      </x:c>
      <x:c r="G1814" s="26">
        <x:v>42258</x:v>
      </x:c>
      <x:c r="H1814" s="24" t="s">
        <x:v>8291</x:v>
      </x:c>
      <x:c r="I1814" s="28" t="s">
        <x:v>8292</x:v>
      </x:c>
      <x:c r="J1814" s="29" t="s">
        <x:v>8293</x:v>
      </x:c>
    </x:row>
    <x:row r="1815" ht="10.050000190734863" customHeight="1">
      <x:c r="A1815" s="21" t="s">
        <x:v>8294</x:v>
      </x:c>
      <x:c r="B1815" s="20" t="s">
        <x:v>8294</x:v>
      </x:c>
      <x:c r="C1815" s="20" t="s">
        <x:v>2863</x:v>
      </x:c>
      <x:c r="D1815" s="24">
        <x:v>13</x:v>
      </x:c>
      <x:c r="E1815" s="24" t="s">
        <x:v>89</x:v>
      </x:c>
      <x:c r="F1815" s="20" t="s">
        <x:v>90</x:v>
      </x:c>
      <x:c r="G1815" s="26">
        <x:v>43077</x:v>
      </x:c>
      <x:c r="H1815" s="24" t="s">
        <x:v>8295</x:v>
      </x:c>
      <x:c r="I1815" s="28" t="s">
        <x:v>8296</x:v>
      </x:c>
      <x:c r="J1815" s="29" t="s">
        <x:v>8297</x:v>
      </x:c>
    </x:row>
    <x:row r="1816" ht="10.050000190734863" customHeight="1">
      <x:c r="A1816" s="21" t="s">
        <x:v>8298</x:v>
      </x:c>
      <x:c r="B1816" s="20" t="s">
        <x:v>8298</x:v>
      </x:c>
      <x:c r="C1816" s="20" t="s">
        <x:v>1511</x:v>
      </x:c>
      <x:c r="D1816" s="24">
        <x:v>14</x:v>
      </x:c>
      <x:c r="E1816" s="24" t="s">
        <x:v>198</x:v>
      </x:c>
      <x:c r="F1816" s="20" t="s">
        <x:v>90</x:v>
      </x:c>
      <x:c r="G1816" s="26">
        <x:v>45078</x:v>
      </x:c>
      <x:c r="H1816" s="24" t="s">
        <x:v>8299</x:v>
      </x:c>
      <x:c r="I1816" s="28" t="s">
        <x:v>8300</x:v>
      </x:c>
      <x:c r="J1816" s="29" t="s">
        <x:v>8301</x:v>
      </x:c>
    </x:row>
    <x:row r="1817" ht="10.050000190734863" customHeight="1">
      <x:c r="A1817" s="21" t="s">
        <x:v>8302</x:v>
      </x:c>
      <x:c r="B1817" s="20" t="s">
        <x:v>8302</x:v>
      </x:c>
      <x:c r="C1817" s="20" t="s">
        <x:v>8303</x:v>
      </x:c>
      <x:c r="D1817" s="24">
        <x:v>14</x:v>
      </x:c>
      <x:c r="E1817" s="24" t="s">
        <x:v>89</x:v>
      </x:c>
      <x:c r="F1817" s="20" t="s">
        <x:v>90</x:v>
      </x:c>
      <x:c r="G1817" s="26">
        <x:v>44503</x:v>
      </x:c>
      <x:c r="H1817" s="24" t="s">
        <x:v>8304</x:v>
      </x:c>
      <x:c r="I1817" s="28" t="s">
        <x:v>8305</x:v>
      </x:c>
      <x:c r="J1817" s="29" t="s">
        <x:v>8306</x:v>
      </x:c>
    </x:row>
    <x:row r="1818" ht="10.050000190734863" customHeight="1">
      <x:c r="A1818" s="21" t="s">
        <x:v>8307</x:v>
      </x:c>
      <x:c r="B1818" s="20" t="s">
        <x:v>8307</x:v>
      </x:c>
      <x:c r="C1818" s="20" t="s">
        <x:v>6203</x:v>
      </x:c>
      <x:c r="D1818" s="24">
        <x:v>14</x:v>
      </x:c>
      <x:c r="E1818" s="24" t="s">
        <x:v>114</x:v>
      </x:c>
      <x:c r="F1818" s="20" t="s">
        <x:v>90</x:v>
      </x:c>
      <x:c r="G1818" s="26">
        <x:v>43107</x:v>
      </x:c>
      <x:c r="H1818" s="24" t="s">
        <x:v>8308</x:v>
      </x:c>
      <x:c r="I1818" s="28" t="s">
        <x:v>8309</x:v>
      </x:c>
      <x:c r="J1818" s="29" t="s">
        <x:v>8310</x:v>
      </x:c>
    </x:row>
    <x:row r="1819" ht="10.050000190734863" customHeight="1">
      <x:c r="A1819" s="21" t="s">
        <x:v>8311</x:v>
      </x:c>
      <x:c r="B1819" s="20" t="s">
        <x:v>8311</x:v>
      </x:c>
      <x:c r="C1819" s="20" t="s">
        <x:v>2189</x:v>
      </x:c>
      <x:c r="D1819" s="24">
        <x:v>76</x:v>
      </x:c>
      <x:c r="E1819" s="24" t="s">
        <x:v>257</x:v>
      </x:c>
      <x:c r="F1819" s="20" t="s">
        <x:v>97</x:v>
      </x:c>
      <x:c r="G1819" s="26">
        <x:v>45822</x:v>
      </x:c>
      <x:c r="H1819" s="24" t="s">
        <x:v>8312</x:v>
      </x:c>
      <x:c r="I1819" s="28" t="s">
        <x:v>8313</x:v>
      </x:c>
      <x:c r="J1819" s="29" t="s">
        <x:v>8314</x:v>
      </x:c>
    </x:row>
    <x:row r="1820" ht="10.050000190734863" customHeight="1">
      <x:c r="A1820" s="21" t="s">
        <x:v>8315</x:v>
      </x:c>
      <x:c r="B1820" s="20" t="s">
        <x:v>8315</x:v>
      </x:c>
      <x:c r="C1820" s="20" t="s">
        <x:v>88</x:v>
      </x:c>
      <x:c r="D1820" s="24">
        <x:v>24</x:v>
      </x:c>
      <x:c r="E1820" s="24" t="s">
        <x:v>198</x:v>
      </x:c>
      <x:c r="F1820" s="20" t="s">
        <x:v>90</x:v>
      </x:c>
      <x:c r="G1820" s="26">
        <x:v>44318</x:v>
      </x:c>
      <x:c r="H1820" s="24" t="s">
        <x:v>8316</x:v>
      </x:c>
      <x:c r="I1820" s="28" t="s">
        <x:v>8317</x:v>
      </x:c>
      <x:c r="J1820" s="29" t="s">
        <x:v>8318</x:v>
      </x:c>
    </x:row>
    <x:row r="1821" ht="10.050000190734863" customHeight="1">
      <x:c r="A1821" s="21" t="s">
        <x:v>8319</x:v>
      </x:c>
      <x:c r="B1821" s="20" t="s">
        <x:v>8319</x:v>
      </x:c>
      <x:c r="C1821" s="20" t="s">
        <x:v>88</x:v>
      </x:c>
      <x:c r="D1821" s="24">
        <x:v>21</x:v>
      </x:c>
      <x:c r="E1821" s="24" t="s">
        <x:v>198</x:v>
      </x:c>
      <x:c r="F1821" s="20" t="s">
        <x:v>90</x:v>
      </x:c>
      <x:c r="G1821" s="26">
        <x:v>44343</x:v>
      </x:c>
      <x:c r="H1821" s="24" t="s">
        <x:v>8320</x:v>
      </x:c>
      <x:c r="I1821" s="28" t="s">
        <x:v>8321</x:v>
      </x:c>
      <x:c r="J1821" s="29" t="s">
        <x:v>8322</x:v>
      </x:c>
    </x:row>
    <x:row r="1822" ht="10.050000190734863" customHeight="1">
      <x:c r="A1822" s="21" t="s">
        <x:v>8323</x:v>
      </x:c>
      <x:c r="B1822" s="20" t="s">
        <x:v>8323</x:v>
      </x:c>
      <x:c r="C1822" s="20" t="s">
        <x:v>88</x:v>
      </x:c>
      <x:c r="D1822" s="24">
        <x:v>35</x:v>
      </x:c>
      <x:c r="E1822" s="24" t="s">
        <x:v>198</x:v>
      </x:c>
      <x:c r="F1822" s="20" t="s">
        <x:v>90</x:v>
      </x:c>
      <x:c r="G1822" s="26">
        <x:v>45579</x:v>
      </x:c>
      <x:c r="H1822" s="24" t="s">
        <x:v>8324</x:v>
      </x:c>
      <x:c r="I1822" s="28" t="s">
        <x:v>8325</x:v>
      </x:c>
      <x:c r="J1822" s="29" t="s">
        <x:v>8326</x:v>
      </x:c>
    </x:row>
    <x:row r="1823" ht="10.050000190734863" customHeight="1">
      <x:c r="A1823" s="21" t="s">
        <x:v>8327</x:v>
      </x:c>
      <x:c r="B1823" s="20" t="s">
        <x:v>8327</x:v>
      </x:c>
      <x:c r="C1823" s="20" t="s">
        <x:v>394</x:v>
      </x:c>
      <x:c r="D1823" s="24">
        <x:v>10</x:v>
      </x:c>
      <x:c r="E1823" s="24" t="s">
        <x:v>114</x:v>
      </x:c>
      <x:c r="F1823" s="20" t="s">
        <x:v>90</x:v>
      </x:c>
      <x:c r="G1823" s="26">
        <x:v>42438</x:v>
      </x:c>
      <x:c r="H1823" s="24" t="s">
        <x:v>8328</x:v>
      </x:c>
      <x:c r="I1823" s="28" t="s">
        <x:v>8329</x:v>
      </x:c>
      <x:c r="J1823" s="29" t="s">
        <x:v>8330</x:v>
      </x:c>
    </x:row>
    <x:row r="1824" ht="10.050000190734863" customHeight="1">
      <x:c r="A1824" s="21" t="s">
        <x:v>8331</x:v>
      </x:c>
      <x:c r="B1824" s="20" t="s">
        <x:v>8331</x:v>
      </x:c>
      <x:c r="C1824" s="20" t="s">
        <x:v>2118</x:v>
      </x:c>
      <x:c r="D1824" s="24">
        <x:v>0</x:v>
      </x:c>
      <x:c r="E1824" s="24" t="s">
        <x:v>198</x:v>
      </x:c>
      <x:c r="F1824" s="20" t="s">
        <x:v>90</x:v>
      </x:c>
      <x:c r="G1824" s="26">
        <x:v>45869</x:v>
      </x:c>
      <x:c r="H1824" s="24" t="s">
        <x:v>8332</x:v>
      </x:c>
      <x:c r="I1824" s="28" t="s">
        <x:v>8333</x:v>
      </x:c>
      <x:c r="J1824" s="29" t="s">
        <x:v>8334</x:v>
      </x:c>
    </x:row>
    <x:row r="1825" ht="10.050000190734863" customHeight="1">
      <x:c r="A1825" s="21" t="s">
        <x:v>8335</x:v>
      </x:c>
      <x:c r="B1825" s="20" t="s">
        <x:v>8335</x:v>
      </x:c>
      <x:c r="C1825" s="20" t="s">
        <x:v>8336</x:v>
      </x:c>
      <x:c r="D1825" s="24">
        <x:v>83</x:v>
      </x:c>
      <x:c r="E1825" s="24" t="s">
        <x:v>257</x:v>
      </x:c>
      <x:c r="F1825" s="20" t="s">
        <x:v>152</x:v>
      </x:c>
      <x:c r="G1825" s="26">
        <x:v>44906</x:v>
      </x:c>
      <x:c r="H1825" s="24" t="s">
        <x:v>8337</x:v>
      </x:c>
      <x:c r="I1825" s="28" t="s">
        <x:v>8338</x:v>
      </x:c>
      <x:c r="J1825" s="29" t="s">
        <x:v>8339</x:v>
      </x:c>
    </x:row>
    <x:row r="1826" ht="10.050000190734863" customHeight="1">
      <x:c r="A1826" s="21" t="s">
        <x:v>8340</x:v>
      </x:c>
      <x:c r="B1826" s="20" t="s">
        <x:v>8340</x:v>
      </x:c>
      <x:c r="C1826" s="20" t="s">
        <x:v>8336</x:v>
      </x:c>
      <x:c r="D1826" s="24">
        <x:v>21</x:v>
      </x:c>
      <x:c r="E1826" s="24" t="s">
        <x:v>257</x:v>
      </x:c>
      <x:c r="F1826" s="20" t="s">
        <x:v>97</x:v>
      </x:c>
      <x:c r="G1826" s="26">
        <x:v>44599</x:v>
      </x:c>
      <x:c r="H1826" s="24" t="s">
        <x:v>8341</x:v>
      </x:c>
      <x:c r="I1826" s="28" t="s">
        <x:v>8342</x:v>
      </x:c>
      <x:c r="J1826" s="29" t="s">
        <x:v>8343</x:v>
      </x:c>
    </x:row>
    <x:row r="1827" ht="10.050000190734863" customHeight="1">
      <x:c r="A1827" s="21" t="s">
        <x:v>8344</x:v>
      </x:c>
      <x:c r="B1827" s="20" t="s">
        <x:v>8344</x:v>
      </x:c>
      <x:c r="C1827" s="20" t="s">
        <x:v>8345</x:v>
      </x:c>
      <x:c r="D1827" s="24">
        <x:v>7</x:v>
      </x:c>
      <x:c r="E1827" s="24" t="s">
        <x:v>103</x:v>
      </x:c>
      <x:c r="F1827" s="20" t="s">
        <x:v>97</x:v>
      </x:c>
      <x:c r="G1827" s="26">
        <x:v>45145</x:v>
      </x:c>
      <x:c r="H1827" s="24" t="s">
        <x:v>8346</x:v>
      </x:c>
      <x:c r="I1827" s="28" t="s">
        <x:v>8347</x:v>
      </x:c>
      <x:c r="J1827" s="29" t="s">
        <x:v>8348</x:v>
      </x:c>
    </x:row>
    <x:row r="1828" ht="10.050000190734863" customHeight="1">
      <x:c r="A1828" s="21" t="s">
        <x:v>8349</x:v>
      </x:c>
      <x:c r="B1828" s="20" t="s">
        <x:v>8349</x:v>
      </x:c>
      <x:c r="C1828" s="20" t="s">
        <x:v>2567</x:v>
      </x:c>
      <x:c r="D1828" s="24">
        <x:v>11</x:v>
      </x:c>
      <x:c r="E1828" s="24" t="s">
        <x:v>198</x:v>
      </x:c>
      <x:c r="F1828" s="20" t="s">
        <x:v>90</x:v>
      </x:c>
      <x:c r="G1828" s="26">
        <x:v>44692</x:v>
      </x:c>
      <x:c r="H1828" s="24" t="s">
        <x:v>8350</x:v>
      </x:c>
      <x:c r="I1828" s="28" t="s">
        <x:v>8351</x:v>
      </x:c>
      <x:c r="J1828" s="29" t="s">
        <x:v>8352</x:v>
      </x:c>
    </x:row>
    <x:row r="1829" ht="10.050000190734863" customHeight="1">
      <x:c r="A1829" s="21" t="s">
        <x:v>8353</x:v>
      </x:c>
      <x:c r="B1829" s="20" t="s">
        <x:v>8353</x:v>
      </x:c>
      <x:c r="C1829" s="20" t="s">
        <x:v>2567</x:v>
      </x:c>
      <x:c r="D1829" s="24">
        <x:v>30</x:v>
      </x:c>
      <x:c r="E1829" s="24" t="s">
        <x:v>114</x:v>
      </x:c>
      <x:c r="F1829" s="20" t="s">
        <x:v>90</x:v>
      </x:c>
      <x:c r="G1829" s="26">
        <x:v>45020</x:v>
      </x:c>
      <x:c r="H1829" s="24" t="s">
        <x:v>8354</x:v>
      </x:c>
      <x:c r="I1829" s="28" t="s">
        <x:v>8355</x:v>
      </x:c>
      <x:c r="J1829" s="29" t="s">
        <x:v>8356</x:v>
      </x:c>
    </x:row>
    <x:row r="1830" ht="10.050000190734863" customHeight="1">
      <x:c r="A1830" s="21" t="s">
        <x:v>8357</x:v>
      </x:c>
      <x:c r="B1830" s="20" t="s">
        <x:v>8357</x:v>
      </x:c>
      <x:c r="C1830" s="20" t="s">
        <x:v>1516</x:v>
      </x:c>
      <x:c r="D1830" s="24">
        <x:v>15</x:v>
      </x:c>
      <x:c r="E1830" s="24" t="s">
        <x:v>96</x:v>
      </x:c>
      <x:c r="F1830" s="20" t="s">
        <x:v>90</x:v>
      </x:c>
      <x:c r="G1830" s="26">
        <x:v>44238</x:v>
      </x:c>
      <x:c r="H1830" s="24" t="s">
        <x:v>8358</x:v>
      </x:c>
      <x:c r="I1830" s="28" t="s">
        <x:v>8359</x:v>
      </x:c>
      <x:c r="J1830" s="29" t="s">
        <x:v>8360</x:v>
      </x:c>
    </x:row>
    <x:row r="1831" ht="10.050000190734863" customHeight="1">
      <x:c r="A1831" s="21" t="s">
        <x:v>8361</x:v>
      </x:c>
      <x:c r="B1831" s="20" t="s">
        <x:v>8361</x:v>
      </x:c>
      <x:c r="C1831" s="20" t="s">
        <x:v>1516</x:v>
      </x:c>
      <x:c r="D1831" s="24">
        <x:v>6</x:v>
      </x:c>
      <x:c r="E1831" s="24" t="s">
        <x:v>198</x:v>
      </x:c>
      <x:c r="F1831" s="20" t="s">
        <x:v>90</x:v>
      </x:c>
      <x:c r="G1831" s="26">
        <x:v>44992</x:v>
      </x:c>
      <x:c r="H1831" s="24" t="s">
        <x:v>8362</x:v>
      </x:c>
      <x:c r="I1831" s="28" t="s">
        <x:v>8363</x:v>
      </x:c>
      <x:c r="J1831" s="29" t="s">
        <x:v>8364</x:v>
      </x:c>
    </x:row>
    <x:row r="1832" ht="10.050000190734863" customHeight="1">
      <x:c r="A1832" s="21" t="s">
        <x:v>8365</x:v>
      </x:c>
      <x:c r="B1832" s="20" t="s">
        <x:v>8365</x:v>
      </x:c>
      <x:c r="C1832" s="20" t="s">
        <x:v>1535</x:v>
      </x:c>
      <x:c r="D1832" s="24">
        <x:v>24</x:v>
      </x:c>
      <x:c r="E1832" s="24" t="s">
        <x:v>96</x:v>
      </x:c>
      <x:c r="F1832" s="20" t="s">
        <x:v>97</x:v>
      </x:c>
      <x:c r="G1832" s="26">
        <x:v>42890</x:v>
      </x:c>
      <x:c r="H1832" s="24" t="s">
        <x:v>8366</x:v>
      </x:c>
      <x:c r="I1832" s="28" t="s">
        <x:v>8367</x:v>
      </x:c>
      <x:c r="J1832" s="29" t="s">
        <x:v>8368</x:v>
      </x:c>
    </x:row>
    <x:row r="1833" ht="10.050000190734863" customHeight="1">
      <x:c r="A1833" s="21" t="s">
        <x:v>8369</x:v>
      </x:c>
      <x:c r="B1833" s="20" t="s">
        <x:v>8369</x:v>
      </x:c>
      <x:c r="C1833" s="20" t="s">
        <x:v>5738</x:v>
      </x:c>
      <x:c r="D1833" s="24">
        <x:v>37</x:v>
      </x:c>
      <x:c r="E1833" s="24" t="s">
        <x:v>103</x:v>
      </x:c>
      <x:c r="F1833" s="20" t="s">
        <x:v>97</x:v>
      </x:c>
      <x:c r="G1833" s="26">
        <x:v>41599</x:v>
      </x:c>
      <x:c r="H1833" s="24" t="s">
        <x:v>8370</x:v>
      </x:c>
      <x:c r="I1833" s="28" t="s">
        <x:v>8371</x:v>
      </x:c>
      <x:c r="J1833" s="29" t="s">
        <x:v>8372</x:v>
      </x:c>
    </x:row>
    <x:row r="1834" ht="10.050000190734863" customHeight="1">
      <x:c r="A1834" s="21" t="s">
        <x:v>8373</x:v>
      </x:c>
      <x:c r="B1834" s="20" t="s">
        <x:v>8373</x:v>
      </x:c>
      <x:c r="C1834" s="20" t="s">
        <x:v>543</x:v>
      </x:c>
      <x:c r="D1834" s="24">
        <x:v>108</x:v>
      </x:c>
      <x:c r="E1834" s="24" t="s">
        <x:v>103</x:v>
      </x:c>
      <x:c r="F1834" s="20" t="s">
        <x:v>97</x:v>
      </x:c>
      <x:c r="G1834" s="26">
        <x:v>43799</x:v>
      </x:c>
      <x:c r="H1834" s="24" t="s">
        <x:v>8374</x:v>
      </x:c>
      <x:c r="I1834" s="28" t="s">
        <x:v>8375</x:v>
      </x:c>
      <x:c r="J1834" s="29" t="s">
        <x:v>8376</x:v>
      </x:c>
    </x:row>
    <x:row r="1835" ht="10.050000190734863" customHeight="1">
      <x:c r="A1835" s="21" t="s">
        <x:v>8377</x:v>
      </x:c>
      <x:c r="B1835" s="20" t="s">
        <x:v>8377</x:v>
      </x:c>
      <x:c r="C1835" s="20" t="s">
        <x:v>543</x:v>
      </x:c>
      <x:c r="D1835" s="24">
        <x:v>64</x:v>
      </x:c>
      <x:c r="E1835" s="24" t="s">
        <x:v>103</x:v>
      </x:c>
      <x:c r="F1835" s="20" t="s">
        <x:v>97</x:v>
      </x:c>
      <x:c r="G1835" s="26">
        <x:v>46066</x:v>
      </x:c>
      <x:c r="H1835" s="24" t="s">
        <x:v>8378</x:v>
      </x:c>
      <x:c r="I1835" s="28" t="s">
        <x:v>8379</x:v>
      </x:c>
      <x:c r="J1835" s="29" t="s">
        <x:v>8380</x:v>
      </x:c>
    </x:row>
    <x:row r="1836" ht="10.050000190734863" customHeight="1">
      <x:c r="A1836" s="21" t="s">
        <x:v>8381</x:v>
      </x:c>
      <x:c r="B1836" s="20" t="s">
        <x:v>8381</x:v>
      </x:c>
      <x:c r="C1836" s="20" t="s">
        <x:v>8382</x:v>
      </x:c>
      <x:c r="D1836" s="24">
        <x:v>5</x:v>
      </x:c>
      <x:c r="E1836" s="24" t="s">
        <x:v>96</x:v>
      </x:c>
      <x:c r="F1836" s="20" t="s">
        <x:v>97</x:v>
      </x:c>
      <x:c r="G1836" s="26">
        <x:v>42062</x:v>
      </x:c>
      <x:c r="H1836" s="24" t="s">
        <x:v>8383</x:v>
      </x:c>
      <x:c r="I1836" s="28" t="s">
        <x:v>8384</x:v>
      </x:c>
      <x:c r="J1836" s="29" t="s">
        <x:v>8385</x:v>
      </x:c>
    </x:row>
    <x:row r="1837" ht="10.050000190734863" customHeight="1">
      <x:c r="A1837" s="21" t="s">
        <x:v>8386</x:v>
      </x:c>
      <x:c r="B1837" s="20" t="s">
        <x:v>8386</x:v>
      </x:c>
      <x:c r="C1837" s="20" t="s">
        <x:v>8387</x:v>
      </x:c>
      <x:c r="D1837" s="24">
        <x:v>24</x:v>
      </x:c>
      <x:c r="E1837" s="24" t="s">
        <x:v>96</x:v>
      </x:c>
      <x:c r="F1837" s="20" t="s">
        <x:v>97</x:v>
      </x:c>
      <x:c r="G1837" s="26">
        <x:v>45285</x:v>
      </x:c>
      <x:c r="H1837" s="24" t="s">
        <x:v>8388</x:v>
      </x:c>
      <x:c r="I1837" s="28" t="s">
        <x:v>8389</x:v>
      </x:c>
      <x:c r="J1837" s="29" t="s">
        <x:v>8390</x:v>
      </x:c>
    </x:row>
    <x:row r="1838" ht="10.050000190734863" customHeight="1">
      <x:c r="A1838" s="21" t="s">
        <x:v>8391</x:v>
      </x:c>
      <x:c r="B1838" s="20" t="s">
        <x:v>8391</x:v>
      </x:c>
      <x:c r="C1838" s="20" t="s">
        <x:v>8392</x:v>
      </x:c>
      <x:c r="D1838" s="24">
        <x:v>34</x:v>
      </x:c>
      <x:c r="E1838" s="24" t="s">
        <x:v>103</x:v>
      </x:c>
      <x:c r="F1838" s="20" t="s">
        <x:v>97</x:v>
      </x:c>
      <x:c r="G1838" s="26">
        <x:v>45897</x:v>
      </x:c>
      <x:c r="H1838" s="24" t="s">
        <x:v>8393</x:v>
      </x:c>
      <x:c r="I1838" s="28" t="s">
        <x:v>8394</x:v>
      </x:c>
      <x:c r="J1838" s="29" t="s">
        <x:v>8395</x:v>
      </x:c>
    </x:row>
    <x:row r="1839" ht="10.050000190734863" customHeight="1">
      <x:c r="A1839" s="21" t="s">
        <x:v>8396</x:v>
      </x:c>
      <x:c r="B1839" s="20" t="s">
        <x:v>8396</x:v>
      </x:c>
      <x:c r="C1839" s="20" t="s">
        <x:v>8397</x:v>
      </x:c>
      <x:c r="D1839" s="24">
        <x:v>18</x:v>
      </x:c>
      <x:c r="E1839" s="24" t="s">
        <x:v>96</x:v>
      </x:c>
      <x:c r="F1839" s="20" t="s">
        <x:v>97</x:v>
      </x:c>
      <x:c r="G1839" s="26">
        <x:v>42130</x:v>
      </x:c>
      <x:c r="H1839" s="24" t="s">
        <x:v>8398</x:v>
      </x:c>
      <x:c r="I1839" s="28" t="s">
        <x:v>8399</x:v>
      </x:c>
      <x:c r="J1839" s="29" t="s">
        <x:v>8400</x:v>
      </x:c>
    </x:row>
    <x:row r="1840" ht="10.050000190734863" customHeight="1">
      <x:c r="A1840" s="21" t="s">
        <x:v>8401</x:v>
      </x:c>
      <x:c r="B1840" s="20" t="s">
        <x:v>8401</x:v>
      </x:c>
      <x:c r="C1840" s="20" t="s">
        <x:v>8402</x:v>
      </x:c>
      <x:c r="D1840" s="24">
        <x:v>96</x:v>
      </x:c>
      <x:c r="E1840" s="24" t="s">
        <x:v>96</x:v>
      </x:c>
      <x:c r="F1840" s="20" t="s">
        <x:v>97</x:v>
      </x:c>
      <x:c r="G1840" s="26">
        <x:v>42337</x:v>
      </x:c>
      <x:c r="H1840" s="24" t="s">
        <x:v>8403</x:v>
      </x:c>
      <x:c r="I1840" s="28" t="s">
        <x:v>8404</x:v>
      </x:c>
      <x:c r="J1840" s="29" t="s">
        <x:v>8405</x:v>
      </x:c>
    </x:row>
    <x:row r="1841" ht="10.050000190734863" customHeight="1">
      <x:c r="A1841" s="21" t="s">
        <x:v>8406</x:v>
      </x:c>
      <x:c r="B1841" s="20" t="s">
        <x:v>8406</x:v>
      </x:c>
      <x:c r="C1841" s="20" t="s">
        <x:v>8407</x:v>
      </x:c>
      <x:c r="D1841" s="24">
        <x:v>12</x:v>
      </x:c>
      <x:c r="E1841" s="24" t="s">
        <x:v>96</x:v>
      </x:c>
      <x:c r="F1841" s="20" t="s">
        <x:v>97</x:v>
      </x:c>
      <x:c r="G1841" s="26">
        <x:v>44571</x:v>
      </x:c>
      <x:c r="H1841" s="24" t="s">
        <x:v>8408</x:v>
      </x:c>
      <x:c r="I1841" s="28" t="s">
        <x:v>8409</x:v>
      </x:c>
      <x:c r="J1841" s="29" t="s">
        <x:v>8410</x:v>
      </x:c>
    </x:row>
    <x:row r="1842" ht="10.050000190734863" customHeight="1">
      <x:c r="A1842" s="21" t="s">
        <x:v>8411</x:v>
      </x:c>
      <x:c r="B1842" s="20" t="s">
        <x:v>8411</x:v>
      </x:c>
      <x:c r="C1842" s="20" t="s">
        <x:v>8412</x:v>
      </x:c>
      <x:c r="D1842" s="24">
        <x:v>6</x:v>
      </x:c>
      <x:c r="E1842" s="24" t="s">
        <x:v>257</x:v>
      </x:c>
      <x:c r="F1842" s="20" t="s">
        <x:v>97</x:v>
      </x:c>
      <x:c r="G1842" s="26">
        <x:v>42334</x:v>
      </x:c>
      <x:c r="H1842" s="24" t="s">
        <x:v>8413</x:v>
      </x:c>
      <x:c r="I1842" s="28" t="s">
        <x:v>8414</x:v>
      </x:c>
      <x:c r="J1842" s="29" t="s">
        <x:v>8415</x:v>
      </x:c>
    </x:row>
    <x:row r="1843" ht="10.050000190734863" customHeight="1">
      <x:c r="A1843" s="21" t="s">
        <x:v>8416</x:v>
      </x:c>
      <x:c r="B1843" s="20" t="s">
        <x:v>8416</x:v>
      </x:c>
      <x:c r="C1843" s="20" t="s">
        <x:v>8417</x:v>
      </x:c>
      <x:c r="D1843" s="24">
        <x:v>11</x:v>
      </x:c>
      <x:c r="E1843" s="24" t="s">
        <x:v>89</x:v>
      </x:c>
      <x:c r="F1843" s="20" t="s">
        <x:v>90</x:v>
      </x:c>
      <x:c r="G1843" s="26">
        <x:v>43305</x:v>
      </x:c>
      <x:c r="H1843" s="24" t="s">
        <x:v>8418</x:v>
      </x:c>
      <x:c r="I1843" s="28" t="s">
        <x:v>8419</x:v>
      </x:c>
      <x:c r="J1843" s="29" t="s">
        <x:v>8420</x:v>
      </x:c>
    </x:row>
    <x:row r="1844" ht="10.050000190734863" customHeight="1">
      <x:c r="A1844" s="21" t="s">
        <x:v>8421</x:v>
      </x:c>
      <x:c r="B1844" s="20" t="s">
        <x:v>8421</x:v>
      </x:c>
      <x:c r="C1844" s="20" t="s">
        <x:v>1417</x:v>
      </x:c>
      <x:c r="D1844" s="24">
        <x:v>4</x:v>
      </x:c>
      <x:c r="E1844" s="24" t="s">
        <x:v>89</x:v>
      </x:c>
      <x:c r="F1844" s="20" t="s">
        <x:v>610</x:v>
      </x:c>
      <x:c r="G1844" s="26">
        <x:v>45811</x:v>
      </x:c>
      <x:c r="H1844" s="24" t="s">
        <x:v>8422</x:v>
      </x:c>
      <x:c r="I1844" s="28" t="s">
        <x:v>8423</x:v>
      </x:c>
      <x:c r="J1844" s="29" t="s">
        <x:v>8424</x:v>
      </x:c>
    </x:row>
    <x:row r="1845" ht="10.050000190734863" customHeight="1">
      <x:c r="A1845" s="21" t="s">
        <x:v>8425</x:v>
      </x:c>
      <x:c r="B1845" s="20" t="s">
        <x:v>8425</x:v>
      </x:c>
      <x:c r="C1845" s="20" t="s">
        <x:v>1417</x:v>
      </x:c>
      <x:c r="D1845" s="24">
        <x:v>4</x:v>
      </x:c>
      <x:c r="E1845" s="24" t="s">
        <x:v>96</x:v>
      </x:c>
      <x:c r="F1845" s="20" t="s">
        <x:v>90</x:v>
      </x:c>
      <x:c r="G1845" s="26">
        <x:v>45942</x:v>
      </x:c>
      <x:c r="H1845" s="24" t="s">
        <x:v>8426</x:v>
      </x:c>
      <x:c r="I1845" s="28" t="s">
        <x:v>8427</x:v>
      </x:c>
      <x:c r="J1845" s="29" t="s">
        <x:v>8428</x:v>
      </x:c>
    </x:row>
    <x:row r="1846" ht="10.050000190734863" customHeight="1">
      <x:c r="A1846" s="21" t="s">
        <x:v>8429</x:v>
      </x:c>
      <x:c r="B1846" s="20" t="s">
        <x:v>8429</x:v>
      </x:c>
      <x:c r="C1846" s="20" t="s">
        <x:v>8430</x:v>
      </x:c>
      <x:c r="D1846" s="24">
        <x:v>10</x:v>
      </x:c>
      <x:c r="E1846" s="24" t="s">
        <x:v>89</x:v>
      </x:c>
      <x:c r="F1846" s="20" t="s">
        <x:v>90</x:v>
      </x:c>
      <x:c r="G1846" s="26">
        <x:v>46185</x:v>
      </x:c>
      <x:c r="H1846" s="24" t="s">
        <x:v>8431</x:v>
      </x:c>
      <x:c r="I1846" s="28" t="s">
        <x:v>8432</x:v>
      </x:c>
      <x:c r="J1846" s="29" t="s">
        <x:v>8433</x:v>
      </x:c>
    </x:row>
    <x:row r="1847" ht="10.050000190734863" customHeight="1">
      <x:c r="A1847" s="21" t="s">
        <x:v>8434</x:v>
      </x:c>
      <x:c r="B1847" s="20" t="s">
        <x:v>8434</x:v>
      </x:c>
      <x:c r="C1847" s="20" t="s">
        <x:v>8435</x:v>
      </x:c>
      <x:c r="D1847" s="24">
        <x:v>71</x:v>
      </x:c>
      <x:c r="E1847" s="24" t="s">
        <x:v>96</x:v>
      </x:c>
      <x:c r="F1847" s="20" t="s">
        <x:v>97</x:v>
      </x:c>
      <x:c r="G1847" s="26">
        <x:v>43140</x:v>
      </x:c>
      <x:c r="H1847" s="24" t="s">
        <x:v>8436</x:v>
      </x:c>
      <x:c r="I1847" s="28" t="s">
        <x:v>8437</x:v>
      </x:c>
      <x:c r="J1847" s="29" t="s">
        <x:v>8438</x:v>
      </x:c>
    </x:row>
    <x:row r="1848" ht="10.050000190734863" customHeight="1">
      <x:c r="A1848" s="21" t="s">
        <x:v>8439</x:v>
      </x:c>
      <x:c r="B1848" s="20" t="s">
        <x:v>8439</x:v>
      </x:c>
      <x:c r="C1848" s="20" t="s">
        <x:v>8435</x:v>
      </x:c>
      <x:c r="D1848" s="24">
        <x:v>11</x:v>
      </x:c>
      <x:c r="E1848" s="24" t="s">
        <x:v>114</x:v>
      </x:c>
      <x:c r="F1848" s="20" t="s">
        <x:v>90</x:v>
      </x:c>
      <x:c r="G1848" s="26">
        <x:v>43112</x:v>
      </x:c>
      <x:c r="H1848" s="24" t="s">
        <x:v>8440</x:v>
      </x:c>
      <x:c r="I1848" s="28" t="s">
        <x:v>8441</x:v>
      </x:c>
      <x:c r="J1848" s="29" t="s">
        <x:v>8442</x:v>
      </x:c>
    </x:row>
    <x:row r="1849" ht="10.050000190734863" customHeight="1">
      <x:c r="A1849" s="21" t="s">
        <x:v>8443</x:v>
      </x:c>
      <x:c r="B1849" s="20" t="s">
        <x:v>8443</x:v>
      </x:c>
      <x:c r="C1849" s="20" t="s">
        <x:v>8444</x:v>
      </x:c>
      <x:c r="D1849" s="24">
        <x:v>8</x:v>
      </x:c>
      <x:c r="E1849" s="24" t="s">
        <x:v>89</x:v>
      </x:c>
      <x:c r="F1849" s="20" t="s">
        <x:v>90</x:v>
      </x:c>
      <x:c r="G1849" s="26">
        <x:v>43849</x:v>
      </x:c>
      <x:c r="H1849" s="24" t="s">
        <x:v>8445</x:v>
      </x:c>
      <x:c r="I1849" s="28" t="s">
        <x:v>8446</x:v>
      </x:c>
      <x:c r="J1849" s="29" t="s">
        <x:v>8447</x:v>
      </x:c>
    </x:row>
    <x:row r="1850" ht="10.050000190734863" customHeight="1">
      <x:c r="A1850" s="21" t="s">
        <x:v>8448</x:v>
      </x:c>
      <x:c r="B1850" s="20" t="s">
        <x:v>8448</x:v>
      </x:c>
      <x:c r="C1850" s="20" t="s">
        <x:v>8449</x:v>
      </x:c>
      <x:c r="D1850" s="24">
        <x:v>100</x:v>
      </x:c>
      <x:c r="E1850" s="24" t="s">
        <x:v>89</x:v>
      </x:c>
      <x:c r="F1850" s="20" t="s">
        <x:v>97</x:v>
      </x:c>
      <x:c r="G1850" s="26">
        <x:v>43877</x:v>
      </x:c>
      <x:c r="H1850" s="24" t="s">
        <x:v>8450</x:v>
      </x:c>
      <x:c r="I1850" s="28" t="s">
        <x:v>8451</x:v>
      </x:c>
      <x:c r="J1850" s="29" t="s">
        <x:v>8452</x:v>
      </x:c>
    </x:row>
    <x:row r="1851" ht="10.050000190734863" customHeight="1">
      <x:c r="A1851" s="21" t="s">
        <x:v>8453</x:v>
      </x:c>
      <x:c r="B1851" s="20" t="s">
        <x:v>8453</x:v>
      </x:c>
      <x:c r="C1851" s="20" t="s">
        <x:v>8454</x:v>
      </x:c>
      <x:c r="D1851" s="24">
        <x:v>7</x:v>
      </x:c>
      <x:c r="E1851" s="24" t="s">
        <x:v>257</x:v>
      </x:c>
      <x:c r="F1851" s="20" t="s">
        <x:v>97</x:v>
      </x:c>
      <x:c r="G1851" s="26">
        <x:v>41493</x:v>
      </x:c>
      <x:c r="H1851" s="24" t="s">
        <x:v>8455</x:v>
      </x:c>
      <x:c r="I1851" s="28" t="s">
        <x:v>8456</x:v>
      </x:c>
      <x:c r="J1851" s="29" t="s">
        <x:v>8457</x:v>
      </x:c>
    </x:row>
    <x:row r="1852" ht="10.050000190734863" customHeight="1">
      <x:c r="A1852" s="21" t="s">
        <x:v>8458</x:v>
      </x:c>
      <x:c r="B1852" s="20" t="s">
        <x:v>8458</x:v>
      </x:c>
      <x:c r="C1852" s="20" t="s">
        <x:v>8459</x:v>
      </x:c>
      <x:c r="D1852" s="24">
        <x:v>7</x:v>
      </x:c>
      <x:c r="E1852" s="24" t="s">
        <x:v>257</x:v>
      </x:c>
      <x:c r="F1852" s="20" t="s">
        <x:v>97</x:v>
      </x:c>
      <x:c r="G1852" s="26">
        <x:v>42293</x:v>
      </x:c>
      <x:c r="H1852" s="24" t="s">
        <x:v>8460</x:v>
      </x:c>
      <x:c r="I1852" s="28" t="s">
        <x:v>8461</x:v>
      </x:c>
      <x:c r="J1852" s="29" t="s">
        <x:v>8462</x:v>
      </x:c>
    </x:row>
    <x:row r="1853" ht="10.050000190734863" customHeight="1">
      <x:c r="A1853" s="21" t="s">
        <x:v>8463</x:v>
      </x:c>
      <x:c r="B1853" s="20" t="s">
        <x:v>8463</x:v>
      </x:c>
      <x:c r="C1853" s="20" t="s">
        <x:v>8464</x:v>
      </x:c>
      <x:c r="D1853" s="24">
        <x:v>32</x:v>
      </x:c>
      <x:c r="E1853" s="24" t="s">
        <x:v>96</x:v>
      </x:c>
      <x:c r="F1853" s="20" t="s">
        <x:v>97</x:v>
      </x:c>
      <x:c r="G1853" s="26">
        <x:v>44474</x:v>
      </x:c>
      <x:c r="H1853" s="24" t="s">
        <x:v>8465</x:v>
      </x:c>
      <x:c r="I1853" s="28" t="s">
        <x:v>8466</x:v>
      </x:c>
      <x:c r="J1853" s="29" t="s">
        <x:v>8467</x:v>
      </x:c>
    </x:row>
    <x:row r="1854" ht="10.050000190734863" customHeight="1">
      <x:c r="A1854" s="21" t="s">
        <x:v>8468</x:v>
      </x:c>
      <x:c r="B1854" s="20" t="s">
        <x:v>8468</x:v>
      </x:c>
      <x:c r="C1854" s="20" t="s">
        <x:v>8469</x:v>
      </x:c>
      <x:c r="D1854" s="24">
        <x:v>5</x:v>
      </x:c>
      <x:c r="E1854" s="24" t="s">
        <x:v>257</x:v>
      </x:c>
      <x:c r="F1854" s="20" t="s">
        <x:v>97</x:v>
      </x:c>
      <x:c r="G1854" s="26">
        <x:v>42302</x:v>
      </x:c>
      <x:c r="H1854" s="24" t="s">
        <x:v>8470</x:v>
      </x:c>
      <x:c r="I1854" s="28" t="s">
        <x:v>8471</x:v>
      </x:c>
      <x:c r="J1854" s="29" t="s">
        <x:v>8472</x:v>
      </x:c>
    </x:row>
    <x:row r="1855" ht="10.050000190734863" customHeight="1">
      <x:c r="A1855" s="21" t="s">
        <x:v>8473</x:v>
      </x:c>
      <x:c r="B1855" s="20" t="s">
        <x:v>8473</x:v>
      </x:c>
      <x:c r="C1855" s="20" t="s">
        <x:v>8474</x:v>
      </x:c>
      <x:c r="D1855" s="24">
        <x:v>77</x:v>
      </x:c>
      <x:c r="E1855" s="24" t="s">
        <x:v>103</x:v>
      </x:c>
      <x:c r="F1855" s="20" t="s">
        <x:v>97</x:v>
      </x:c>
      <x:c r="G1855" s="26">
        <x:v>45789</x:v>
      </x:c>
      <x:c r="H1855" s="24" t="s">
        <x:v>8475</x:v>
      </x:c>
      <x:c r="I1855" s="28" t="s">
        <x:v>8476</x:v>
      </x:c>
      <x:c r="J1855" s="29" t="s">
        <x:v>8477</x:v>
      </x:c>
    </x:row>
    <x:row r="1856" ht="10.050000190734863" customHeight="1">
      <x:c r="A1856" s="21" t="s">
        <x:v>8478</x:v>
      </x:c>
      <x:c r="B1856" s="20" t="s">
        <x:v>8478</x:v>
      </x:c>
      <x:c r="C1856" s="20" t="s">
        <x:v>8474</x:v>
      </x:c>
      <x:c r="D1856" s="24">
        <x:v>87</x:v>
      </x:c>
      <x:c r="E1856" s="24" t="s">
        <x:v>103</x:v>
      </x:c>
      <x:c r="F1856" s="20" t="s">
        <x:v>97</x:v>
      </x:c>
      <x:c r="G1856" s="26">
        <x:v>41654</x:v>
      </x:c>
      <x:c r="H1856" s="24" t="s">
        <x:v>8479</x:v>
      </x:c>
      <x:c r="I1856" s="28" t="s">
        <x:v>8480</x:v>
      </x:c>
      <x:c r="J1856" s="29" t="s">
        <x:v>8481</x:v>
      </x:c>
    </x:row>
    <x:row r="1857" ht="10.050000190734863" customHeight="1">
      <x:c r="A1857" s="21" t="s">
        <x:v>8482</x:v>
      </x:c>
      <x:c r="B1857" s="20" t="s">
        <x:v>8482</x:v>
      </x:c>
      <x:c r="C1857" s="20" t="s">
        <x:v>8464</x:v>
      </x:c>
      <x:c r="D1857" s="24">
        <x:v>31</x:v>
      </x:c>
      <x:c r="E1857" s="24" t="s">
        <x:v>103</x:v>
      </x:c>
      <x:c r="F1857" s="20" t="s">
        <x:v>97</x:v>
      </x:c>
      <x:c r="G1857" s="26">
        <x:v>44041</x:v>
      </x:c>
      <x:c r="H1857" s="24" t="s">
        <x:v>8483</x:v>
      </x:c>
      <x:c r="I1857" s="28" t="s">
        <x:v>8484</x:v>
      </x:c>
      <x:c r="J1857" s="29" t="s">
        <x:v>8485</x:v>
      </x:c>
    </x:row>
    <x:row r="1858" ht="10.050000190734863" customHeight="1">
      <x:c r="A1858" s="21" t="s">
        <x:v>8486</x:v>
      </x:c>
      <x:c r="B1858" s="20" t="s">
        <x:v>8486</x:v>
      </x:c>
      <x:c r="C1858" s="20" t="s">
        <x:v>8464</x:v>
      </x:c>
      <x:c r="D1858" s="24">
        <x:v>33</x:v>
      </x:c>
      <x:c r="E1858" s="24" t="s">
        <x:v>96</x:v>
      </x:c>
      <x:c r="F1858" s="20" t="s">
        <x:v>97</x:v>
      </x:c>
      <x:c r="G1858" s="26">
        <x:v>44068</x:v>
      </x:c>
      <x:c r="H1858" s="24" t="s">
        <x:v>8487</x:v>
      </x:c>
      <x:c r="I1858" s="28" t="s">
        <x:v>8488</x:v>
      </x:c>
      <x:c r="J1858" s="29" t="s">
        <x:v>8489</x:v>
      </x:c>
    </x:row>
    <x:row r="1859" ht="10.050000190734863" customHeight="1">
      <x:c r="A1859" s="21" t="s">
        <x:v>8490</x:v>
      </x:c>
      <x:c r="B1859" s="20" t="s">
        <x:v>8490</x:v>
      </x:c>
      <x:c r="C1859" s="20" t="s">
        <x:v>8491</x:v>
      </x:c>
      <x:c r="D1859" s="24">
        <x:v>6</x:v>
      </x:c>
      <x:c r="E1859" s="24" t="s">
        <x:v>257</x:v>
      </x:c>
      <x:c r="F1859" s="20" t="s">
        <x:v>97</x:v>
      </x:c>
      <x:c r="G1859" s="26">
        <x:v>41531</x:v>
      </x:c>
      <x:c r="H1859" s="24" t="s">
        <x:v>8492</x:v>
      </x:c>
      <x:c r="I1859" s="28" t="s">
        <x:v>8493</x:v>
      </x:c>
      <x:c r="J1859" s="29" t="s">
        <x:v>8494</x:v>
      </x:c>
    </x:row>
    <x:row r="1860" ht="10.050000190734863" customHeight="1">
      <x:c r="A1860" s="21" t="s">
        <x:v>8495</x:v>
      </x:c>
      <x:c r="B1860" s="20" t="s">
        <x:v>8495</x:v>
      </x:c>
      <x:c r="C1860" s="20" t="s">
        <x:v>5854</x:v>
      </x:c>
      <x:c r="D1860" s="24">
        <x:v>14</x:v>
      </x:c>
      <x:c r="E1860" s="24" t="s">
        <x:v>257</x:v>
      </x:c>
      <x:c r="F1860" s="20" t="s">
        <x:v>97</x:v>
      </x:c>
      <x:c r="G1860" s="26">
        <x:v>41648</x:v>
      </x:c>
      <x:c r="H1860" s="24" t="s">
        <x:v>8496</x:v>
      </x:c>
      <x:c r="I1860" s="28" t="s">
        <x:v>8497</x:v>
      </x:c>
      <x:c r="J1860" s="29" t="s">
        <x:v>8498</x:v>
      </x:c>
    </x:row>
    <x:row r="1861" ht="10.050000190734863" customHeight="1">
      <x:c r="A1861" s="21" t="s">
        <x:v>8499</x:v>
      </x:c>
      <x:c r="B1861" s="20" t="s">
        <x:v>8500</x:v>
      </x:c>
      <x:c r="C1861" s="20" t="s">
        <x:v>8501</x:v>
      </x:c>
      <x:c r="D1861" s="24">
        <x:v>8</x:v>
      </x:c>
      <x:c r="E1861" s="24" t="s">
        <x:v>257</x:v>
      </x:c>
      <x:c r="F1861" s="20" t="s">
        <x:v>97</x:v>
      </x:c>
      <x:c r="G1861" s="26">
        <x:v>41544</x:v>
      </x:c>
      <x:c r="H1861" s="24" t="s">
        <x:v>8502</x:v>
      </x:c>
      <x:c r="I1861" s="28" t="s">
        <x:v>8503</x:v>
      </x:c>
      <x:c r="J1861" s="29" t="s">
        <x:v>8504</x:v>
      </x:c>
    </x:row>
    <x:row r="1862" ht="10.050000190734863" customHeight="1">
      <x:c r="A1862" s="21" t="s">
        <x:v>8505</x:v>
      </x:c>
      <x:c r="B1862" s="20" t="s">
        <x:v>8500</x:v>
      </x:c>
      <x:c r="C1862" s="20" t="s">
        <x:v>8506</x:v>
      </x:c>
      <x:c r="D1862" s="24">
        <x:v>0</x:v>
      </x:c>
      <x:c r="E1862" s="24" t="s">
        <x:v>103</x:v>
      </x:c>
      <x:c r="F1862" s="20" t="s">
        <x:v>97</x:v>
      </x:c>
      <x:c r="G1862" s="26">
        <x:v>42310</x:v>
      </x:c>
      <x:c r="H1862" s="24" t="s">
        <x:v>8507</x:v>
      </x:c>
      <x:c r="I1862" s="28" t="s">
        <x:v>8508</x:v>
      </x:c>
      <x:c r="J1862" s="29" t="s">
        <x:v>8509</x:v>
      </x:c>
    </x:row>
    <x:row r="1863" ht="10.050000190734863" customHeight="1">
      <x:c r="A1863" s="21" t="s">
        <x:v>8510</x:v>
      </x:c>
      <x:c r="B1863" s="20" t="s">
        <x:v>8510</x:v>
      </x:c>
      <x:c r="C1863" s="20" t="s">
        <x:v>8511</x:v>
      </x:c>
      <x:c r="D1863" s="24">
        <x:v>7</x:v>
      </x:c>
      <x:c r="E1863" s="24" t="s">
        <x:v>103</x:v>
      </x:c>
      <x:c r="F1863" s="20" t="s">
        <x:v>97</x:v>
      </x:c>
      <x:c r="G1863" s="26">
        <x:v>41666</x:v>
      </x:c>
      <x:c r="H1863" s="24" t="s">
        <x:v>8512</x:v>
      </x:c>
      <x:c r="I1863" s="28" t="s">
        <x:v>8513</x:v>
      </x:c>
      <x:c r="J1863" s="29" t="s">
        <x:v>8514</x:v>
      </x:c>
    </x:row>
    <x:row r="1864" ht="10.050000190734863" customHeight="1">
      <x:c r="A1864" s="21" t="s">
        <x:v>8515</x:v>
      </x:c>
      <x:c r="B1864" s="20" t="s">
        <x:v>8515</x:v>
      </x:c>
      <x:c r="C1864" s="20" t="s">
        <x:v>3252</x:v>
      </x:c>
      <x:c r="D1864" s="24">
        <x:v>12</x:v>
      </x:c>
      <x:c r="E1864" s="24" t="s">
        <x:v>96</x:v>
      </x:c>
      <x:c r="F1864" s="20" t="s">
        <x:v>90</x:v>
      </x:c>
      <x:c r="G1864" s="26">
        <x:v>46212</x:v>
      </x:c>
      <x:c r="H1864" s="24" t="s">
        <x:v>8516</x:v>
      </x:c>
      <x:c r="I1864" s="28" t="s">
        <x:v>8517</x:v>
      </x:c>
      <x:c r="J1864" s="29" t="s">
        <x:v>8518</x:v>
      </x:c>
    </x:row>
    <x:row r="1865" ht="10.050000190734863" customHeight="1">
      <x:c r="A1865" s="21" t="s">
        <x:v>8519</x:v>
      </x:c>
      <x:c r="B1865" s="20" t="s">
        <x:v>8519</x:v>
      </x:c>
      <x:c r="C1865" s="20" t="s">
        <x:v>8520</x:v>
      </x:c>
      <x:c r="D1865" s="24">
        <x:v>9</x:v>
      </x:c>
      <x:c r="E1865" s="24" t="s">
        <x:v>257</x:v>
      </x:c>
      <x:c r="F1865" s="20" t="s">
        <x:v>97</x:v>
      </x:c>
      <x:c r="G1865" s="26">
        <x:v>42279</x:v>
      </x:c>
      <x:c r="H1865" s="24" t="s">
        <x:v>8521</x:v>
      </x:c>
      <x:c r="I1865" s="28" t="s">
        <x:v>8522</x:v>
      </x:c>
      <x:c r="J1865" s="29" t="s">
        <x:v>8523</x:v>
      </x:c>
    </x:row>
    <x:row r="1866" ht="10.050000190734863" customHeight="1">
      <x:c r="A1866" s="21" t="s">
        <x:v>8524</x:v>
      </x:c>
      <x:c r="B1866" s="20" t="s">
        <x:v>8524</x:v>
      </x:c>
      <x:c r="C1866" s="20" t="s">
        <x:v>8525</x:v>
      </x:c>
      <x:c r="D1866" s="24">
        <x:v>20</x:v>
      </x:c>
      <x:c r="E1866" s="24" t="s">
        <x:v>198</x:v>
      </x:c>
      <x:c r="F1866" s="20" t="s">
        <x:v>90</x:v>
      </x:c>
      <x:c r="G1866" s="26">
        <x:v>43631</x:v>
      </x:c>
      <x:c r="H1866" s="24" t="s">
        <x:v>8526</x:v>
      </x:c>
      <x:c r="I1866" s="28" t="s">
        <x:v>8527</x:v>
      </x:c>
      <x:c r="J1866" s="29" t="s">
        <x:v>8528</x:v>
      </x:c>
    </x:row>
    <x:row r="1867" ht="10.050000190734863" customHeight="1">
      <x:c r="A1867" s="21" t="s">
        <x:v>8529</x:v>
      </x:c>
      <x:c r="B1867" s="20" t="s">
        <x:v>8529</x:v>
      </x:c>
      <x:c r="C1867" s="20" t="s">
        <x:v>2858</x:v>
      </x:c>
      <x:c r="D1867" s="24">
        <x:v>8</x:v>
      </x:c>
      <x:c r="E1867" s="24" t="s">
        <x:v>96</x:v>
      </x:c>
      <x:c r="F1867" s="20" t="s">
        <x:v>97</x:v>
      </x:c>
      <x:c r="G1867" s="26">
        <x:v>41541</x:v>
      </x:c>
      <x:c r="H1867" s="24" t="s">
        <x:v>8530</x:v>
      </x:c>
      <x:c r="I1867" s="28" t="s">
        <x:v>8531</x:v>
      </x:c>
      <x:c r="J1867" s="29" t="s">
        <x:v>8532</x:v>
      </x:c>
    </x:row>
    <x:row r="1868" ht="10.050000190734863" customHeight="1">
      <x:c r="A1868" s="21" t="s">
        <x:v>8533</x:v>
      </x:c>
      <x:c r="B1868" s="20" t="s">
        <x:v>8533</x:v>
      </x:c>
      <x:c r="C1868" s="20" t="s">
        <x:v>8534</x:v>
      </x:c>
      <x:c r="D1868" s="24">
        <x:v>7</x:v>
      </x:c>
      <x:c r="E1868" s="24" t="s">
        <x:v>103</x:v>
      </x:c>
      <x:c r="F1868" s="20" t="s">
        <x:v>97</x:v>
      </x:c>
      <x:c r="G1868" s="26">
        <x:v>42297</x:v>
      </x:c>
      <x:c r="H1868" s="24" t="s">
        <x:v>8535</x:v>
      </x:c>
      <x:c r="I1868" s="28" t="s">
        <x:v>8536</x:v>
      </x:c>
      <x:c r="J1868" s="29" t="s">
        <x:v>8537</x:v>
      </x:c>
    </x:row>
    <x:row r="1869" ht="10.050000190734863" customHeight="1">
      <x:c r="A1869" s="21" t="s">
        <x:v>8538</x:v>
      </x:c>
      <x:c r="B1869" s="20" t="s">
        <x:v>8538</x:v>
      </x:c>
      <x:c r="C1869" s="20" t="s">
        <x:v>4160</x:v>
      </x:c>
      <x:c r="D1869" s="24">
        <x:v>70</x:v>
      </x:c>
      <x:c r="E1869" s="24" t="s">
        <x:v>103</x:v>
      </x:c>
      <x:c r="F1869" s="20" t="s">
        <x:v>97</x:v>
      </x:c>
      <x:c r="G1869" s="26">
        <x:v>43910</x:v>
      </x:c>
      <x:c r="H1869" s="24" t="s">
        <x:v>8539</x:v>
      </x:c>
      <x:c r="I1869" s="28" t="s">
        <x:v>8540</x:v>
      </x:c>
      <x:c r="J1869" s="29" t="s">
        <x:v>8541</x:v>
      </x:c>
    </x:row>
    <x:row r="1870" ht="10.050000190734863" customHeight="1">
      <x:c r="A1870" s="21" t="s">
        <x:v>8542</x:v>
      </x:c>
      <x:c r="B1870" s="20" t="s">
        <x:v>8542</x:v>
      </x:c>
      <x:c r="C1870" s="20" t="s">
        <x:v>4160</x:v>
      </x:c>
      <x:c r="D1870" s="24">
        <x:v>19</x:v>
      </x:c>
      <x:c r="E1870" s="24" t="s">
        <x:v>103</x:v>
      </x:c>
      <x:c r="F1870" s="20" t="s">
        <x:v>97</x:v>
      </x:c>
      <x:c r="G1870" s="26">
        <x:v>46074</x:v>
      </x:c>
      <x:c r="H1870" s="24" t="s">
        <x:v>8543</x:v>
      </x:c>
      <x:c r="I1870" s="28" t="s">
        <x:v>8544</x:v>
      </x:c>
      <x:c r="J1870" s="29" t="s">
        <x:v>8545</x:v>
      </x:c>
    </x:row>
    <x:row r="1871" ht="10.050000190734863" customHeight="1">
      <x:c r="A1871" s="21" t="s">
        <x:v>8546</x:v>
      </x:c>
      <x:c r="B1871" s="20" t="s">
        <x:v>8546</x:v>
      </x:c>
      <x:c r="C1871" s="20" t="s">
        <x:v>8547</x:v>
      </x:c>
      <x:c r="D1871" s="24">
        <x:v>24</x:v>
      </x:c>
      <x:c r="E1871" s="24" t="s">
        <x:v>89</x:v>
      </x:c>
      <x:c r="F1871" s="20" t="s">
        <x:v>97</x:v>
      </x:c>
      <x:c r="G1871" s="26">
        <x:v>45192</x:v>
      </x:c>
      <x:c r="H1871" s="24" t="s">
        <x:v>8548</x:v>
      </x:c>
      <x:c r="I1871" s="28" t="s">
        <x:v>8549</x:v>
      </x:c>
      <x:c r="J1871" s="29" t="s">
        <x:v>8550</x:v>
      </x:c>
    </x:row>
    <x:row r="1872" ht="10.050000190734863" customHeight="1">
      <x:c r="A1872" s="21" t="s">
        <x:v>8551</x:v>
      </x:c>
      <x:c r="B1872" s="20" t="s">
        <x:v>8551</x:v>
      </x:c>
      <x:c r="C1872" s="20" t="s">
        <x:v>1535</x:v>
      </x:c>
      <x:c r="D1872" s="24">
        <x:v>24</x:v>
      </x:c>
      <x:c r="E1872" s="24" t="s">
        <x:v>96</x:v>
      </x:c>
      <x:c r="F1872" s="20" t="s">
        <x:v>97</x:v>
      </x:c>
      <x:c r="G1872" s="26">
        <x:v>42847</x:v>
      </x:c>
      <x:c r="H1872" s="24" t="s">
        <x:v>8552</x:v>
      </x:c>
      <x:c r="I1872" s="28" t="s">
        <x:v>8553</x:v>
      </x:c>
      <x:c r="J1872" s="29" t="s">
        <x:v>8554</x:v>
      </x:c>
    </x:row>
    <x:row r="1873" ht="10.050000190734863" customHeight="1">
      <x:c r="A1873" s="21" t="s">
        <x:v>8555</x:v>
      </x:c>
      <x:c r="B1873" s="20" t="s">
        <x:v>8555</x:v>
      </x:c>
      <x:c r="C1873" s="20" t="s">
        <x:v>8556</x:v>
      </x:c>
      <x:c r="D1873" s="24">
        <x:v>44</x:v>
      </x:c>
      <x:c r="E1873" s="24" t="s">
        <x:v>96</x:v>
      </x:c>
      <x:c r="F1873" s="20" t="s">
        <x:v>97</x:v>
      </x:c>
      <x:c r="G1873" s="26">
        <x:v>43861</x:v>
      </x:c>
      <x:c r="H1873" s="24" t="s">
        <x:v>8557</x:v>
      </x:c>
      <x:c r="I1873" s="28" t="s">
        <x:v>8558</x:v>
      </x:c>
      <x:c r="J1873" s="29" t="s">
        <x:v>8559</x:v>
      </x:c>
    </x:row>
    <x:row r="1874" ht="10.050000190734863" customHeight="1">
      <x:c r="A1874" s="21" t="s">
        <x:v>8560</x:v>
      </x:c>
      <x:c r="B1874" s="20" t="s">
        <x:v>8560</x:v>
      </x:c>
      <x:c r="C1874" s="20" t="s">
        <x:v>3295</x:v>
      </x:c>
      <x:c r="D1874" s="24">
        <x:v>8</x:v>
      </x:c>
      <x:c r="E1874" s="24" t="s">
        <x:v>103</x:v>
      </x:c>
      <x:c r="F1874" s="20" t="s">
        <x:v>97</x:v>
      </x:c>
      <x:c r="G1874" s="26">
        <x:v>43155</x:v>
      </x:c>
      <x:c r="H1874" s="24" t="s">
        <x:v>8561</x:v>
      </x:c>
      <x:c r="I1874" s="28" t="s">
        <x:v>8562</x:v>
      </x:c>
      <x:c r="J1874" s="29" t="s">
        <x:v>8563</x:v>
      </x:c>
    </x:row>
    <x:row r="1875" ht="10.050000190734863" customHeight="1">
      <x:c r="A1875" s="21" t="s">
        <x:v>8564</x:v>
      </x:c>
      <x:c r="B1875" s="20" t="s">
        <x:v>8564</x:v>
      </x:c>
      <x:c r="C1875" s="20" t="s">
        <x:v>3987</x:v>
      </x:c>
      <x:c r="D1875" s="24">
        <x:v>79</x:v>
      </x:c>
      <x:c r="E1875" s="24" t="s">
        <x:v>89</x:v>
      </x:c>
      <x:c r="F1875" s="20" t="s">
        <x:v>97</x:v>
      </x:c>
      <x:c r="G1875" s="26">
        <x:v>44213</x:v>
      </x:c>
      <x:c r="H1875" s="24" t="s">
        <x:v>8565</x:v>
      </x:c>
      <x:c r="I1875" s="28" t="s">
        <x:v>8566</x:v>
      </x:c>
      <x:c r="J1875" s="29" t="s">
        <x:v>8567</x:v>
      </x:c>
    </x:row>
    <x:row r="1876" ht="10.050000190734863" customHeight="1">
      <x:c r="A1876" s="21" t="s">
        <x:v>8568</x:v>
      </x:c>
      <x:c r="B1876" s="20" t="s">
        <x:v>8568</x:v>
      </x:c>
      <x:c r="C1876" s="20" t="s">
        <x:v>8569</x:v>
      </x:c>
      <x:c r="D1876" s="24">
        <x:v>29</x:v>
      </x:c>
      <x:c r="E1876" s="24" t="s">
        <x:v>103</x:v>
      </x:c>
      <x:c r="F1876" s="20" t="s">
        <x:v>97</x:v>
      </x:c>
      <x:c r="G1876" s="26">
        <x:v>42213</x:v>
      </x:c>
      <x:c r="H1876" s="24" t="s">
        <x:v>8570</x:v>
      </x:c>
      <x:c r="I1876" s="28" t="s">
        <x:v>8571</x:v>
      </x:c>
      <x:c r="J1876" s="29" t="s">
        <x:v>8572</x:v>
      </x:c>
    </x:row>
    <x:row r="1877" ht="10.050000190734863" customHeight="1">
      <x:c r="A1877" s="21" t="s">
        <x:v>8573</x:v>
      </x:c>
      <x:c r="B1877" s="20" t="s">
        <x:v>8573</x:v>
      </x:c>
      <x:c r="C1877" s="20" t="s">
        <x:v>8574</x:v>
      </x:c>
      <x:c r="D1877" s="24">
        <x:v>17</x:v>
      </x:c>
      <x:c r="E1877" s="24" t="s">
        <x:v>103</x:v>
      </x:c>
      <x:c r="F1877" s="20" t="s">
        <x:v>97</x:v>
      </x:c>
      <x:c r="G1877" s="26">
        <x:v>42223</x:v>
      </x:c>
      <x:c r="H1877" s="24" t="s">
        <x:v>8575</x:v>
      </x:c>
      <x:c r="I1877" s="28" t="s">
        <x:v>8576</x:v>
      </x:c>
      <x:c r="J1877" s="29" t="s">
        <x:v>8577</x:v>
      </x:c>
    </x:row>
    <x:row r="1878" ht="10.050000190734863" customHeight="1">
      <x:c r="A1878" s="21" t="s">
        <x:v>8578</x:v>
      </x:c>
      <x:c r="B1878" s="20" t="s">
        <x:v>8578</x:v>
      </x:c>
      <x:c r="C1878" s="20" t="s">
        <x:v>7644</x:v>
      </x:c>
      <x:c r="D1878" s="24">
        <x:v>5</x:v>
      </x:c>
      <x:c r="E1878" s="24" t="s">
        <x:v>257</x:v>
      </x:c>
      <x:c r="F1878" s="20" t="s">
        <x:v>97</x:v>
      </x:c>
      <x:c r="G1878" s="26">
        <x:v>41528</x:v>
      </x:c>
      <x:c r="H1878" s="24" t="s">
        <x:v>8579</x:v>
      </x:c>
      <x:c r="I1878" s="28" t="s">
        <x:v>8580</x:v>
      </x:c>
      <x:c r="J1878" s="29" t="s">
        <x:v>8581</x:v>
      </x:c>
    </x:row>
    <x:row r="1879" ht="10.050000190734863" customHeight="1">
      <x:c r="A1879" s="21" t="s">
        <x:v>8582</x:v>
      </x:c>
      <x:c r="B1879" s="20" t="s">
        <x:v>8582</x:v>
      </x:c>
      <x:c r="C1879" s="20" t="s">
        <x:v>8583</x:v>
      </x:c>
      <x:c r="D1879" s="24">
        <x:v>31</x:v>
      </x:c>
      <x:c r="E1879" s="24" t="s">
        <x:v>103</x:v>
      </x:c>
      <x:c r="F1879" s="20" t="s">
        <x:v>97</x:v>
      </x:c>
      <x:c r="G1879" s="26">
        <x:v>45333</x:v>
      </x:c>
      <x:c r="H1879" s="24" t="s">
        <x:v>8584</x:v>
      </x:c>
      <x:c r="I1879" s="28" t="s">
        <x:v>8585</x:v>
      </x:c>
      <x:c r="J1879" s="29" t="s">
        <x:v>8586</x:v>
      </x:c>
    </x:row>
    <x:row r="1880" ht="10.050000190734863" customHeight="1">
      <x:c r="A1880" s="21" t="s">
        <x:v>8587</x:v>
      </x:c>
      <x:c r="B1880" s="20" t="s">
        <x:v>8587</x:v>
      </x:c>
      <x:c r="C1880" s="20" t="s">
        <x:v>8474</x:v>
      </x:c>
      <x:c r="D1880" s="24">
        <x:v>22</x:v>
      </x:c>
      <x:c r="E1880" s="24" t="s">
        <x:v>96</x:v>
      </x:c>
      <x:c r="F1880" s="20" t="s">
        <x:v>97</x:v>
      </x:c>
      <x:c r="G1880" s="26">
        <x:v>41571</x:v>
      </x:c>
      <x:c r="H1880" s="24" t="s">
        <x:v>8588</x:v>
      </x:c>
      <x:c r="I1880" s="28" t="s">
        <x:v>8589</x:v>
      </x:c>
      <x:c r="J1880" s="29" t="s">
        <x:v>8590</x:v>
      </x:c>
    </x:row>
    <x:row r="1881" ht="10.050000190734863" customHeight="1">
      <x:c r="A1881" s="21" t="s">
        <x:v>8591</x:v>
      </x:c>
      <x:c r="B1881" s="20" t="s">
        <x:v>8591</x:v>
      </x:c>
      <x:c r="C1881" s="20" t="s">
        <x:v>8474</x:v>
      </x:c>
      <x:c r="D1881" s="24">
        <x:v>75</x:v>
      </x:c>
      <x:c r="E1881" s="24" t="s">
        <x:v>103</x:v>
      </x:c>
      <x:c r="F1881" s="20" t="s">
        <x:v>97</x:v>
      </x:c>
      <x:c r="G1881" s="26">
        <x:v>43271</x:v>
      </x:c>
      <x:c r="H1881" s="24" t="s">
        <x:v>8592</x:v>
      </x:c>
      <x:c r="I1881" s="28" t="s">
        <x:v>8593</x:v>
      </x:c>
      <x:c r="J1881" s="29" t="s">
        <x:v>8594</x:v>
      </x:c>
    </x:row>
    <x:row r="1882" ht="10.050000190734863" customHeight="1">
      <x:c r="A1882" s="21" t="s">
        <x:v>8595</x:v>
      </x:c>
      <x:c r="B1882" s="20" t="s">
        <x:v>8595</x:v>
      </x:c>
      <x:c r="C1882" s="20" t="s">
        <x:v>8596</x:v>
      </x:c>
      <x:c r="D1882" s="24">
        <x:v>120</x:v>
      </x:c>
      <x:c r="E1882" s="24" t="s">
        <x:v>89</x:v>
      </x:c>
      <x:c r="F1882" s="20" t="s">
        <x:v>97</x:v>
      </x:c>
      <x:c r="G1882" s="26">
        <x:v>46168</x:v>
      </x:c>
      <x:c r="H1882" s="24" t="s">
        <x:v>8597</x:v>
      </x:c>
      <x:c r="I1882" s="28" t="s">
        <x:v>8598</x:v>
      </x:c>
      <x:c r="J1882" s="29" t="s">
        <x:v>8599</x:v>
      </x:c>
    </x:row>
    <x:row r="1883" ht="10.050000190734863" customHeight="1">
      <x:c r="A1883" s="21" t="s">
        <x:v>8600</x:v>
      </x:c>
      <x:c r="B1883" s="20" t="s">
        <x:v>8600</x:v>
      </x:c>
      <x:c r="C1883" s="20" t="s">
        <x:v>8601</x:v>
      </x:c>
      <x:c r="D1883" s="24">
        <x:v>2</x:v>
      </x:c>
      <x:c r="E1883" s="24" t="s">
        <x:v>103</x:v>
      </x:c>
      <x:c r="F1883" s="20" t="s">
        <x:v>97</x:v>
      </x:c>
      <x:c r="G1883" s="26">
        <x:v>42209</x:v>
      </x:c>
      <x:c r="H1883" s="24" t="s">
        <x:v>8602</x:v>
      </x:c>
      <x:c r="I1883" s="28" t="s">
        <x:v>8603</x:v>
      </x:c>
      <x:c r="J1883" s="29" t="s">
        <x:v>8604</x:v>
      </x:c>
    </x:row>
    <x:row r="1884" ht="10.050000190734863" customHeight="1">
      <x:c r="A1884" s="21" t="s">
        <x:v>8605</x:v>
      </x:c>
      <x:c r="B1884" s="20" t="s">
        <x:v>8605</x:v>
      </x:c>
      <x:c r="C1884" s="20" t="s">
        <x:v>3591</x:v>
      </x:c>
      <x:c r="D1884" s="24">
        <x:v>19</x:v>
      </x:c>
      <x:c r="E1884" s="24" t="s">
        <x:v>103</x:v>
      </x:c>
      <x:c r="F1884" s="20" t="s">
        <x:v>97</x:v>
      </x:c>
      <x:c r="G1884" s="26">
        <x:v>42221</x:v>
      </x:c>
      <x:c r="H1884" s="24" t="s">
        <x:v>8606</x:v>
      </x:c>
      <x:c r="I1884" s="28" t="s">
        <x:v>8607</x:v>
      </x:c>
      <x:c r="J1884" s="29" t="s">
        <x:v>8608</x:v>
      </x:c>
    </x:row>
    <x:row r="1885" ht="10.050000190734863" customHeight="1">
      <x:c r="A1885" s="21" t="s">
        <x:v>8609</x:v>
      </x:c>
      <x:c r="B1885" s="20" t="s">
        <x:v>8609</x:v>
      </x:c>
      <x:c r="C1885" s="20" t="s">
        <x:v>1440</x:v>
      </x:c>
      <x:c r="D1885" s="24">
        <x:v>89</x:v>
      </x:c>
      <x:c r="E1885" s="24" t="s">
        <x:v>96</x:v>
      </x:c>
      <x:c r="F1885" s="20" t="s">
        <x:v>97</x:v>
      </x:c>
      <x:c r="G1885" s="26">
        <x:v>45364</x:v>
      </x:c>
      <x:c r="H1885" s="24" t="s">
        <x:v>8610</x:v>
      </x:c>
      <x:c r="I1885" s="28" t="s">
        <x:v>8611</x:v>
      </x:c>
      <x:c r="J1885" s="29" t="s">
        <x:v>8612</x:v>
      </x:c>
    </x:row>
    <x:row r="1886" ht="10.050000190734863" customHeight="1">
      <x:c r="A1886" s="21" t="s">
        <x:v>8613</x:v>
      </x:c>
      <x:c r="B1886" s="20" t="s">
        <x:v>8613</x:v>
      </x:c>
      <x:c r="C1886" s="20" t="s">
        <x:v>8614</x:v>
      </x:c>
      <x:c r="D1886" s="24">
        <x:v>14</x:v>
      </x:c>
      <x:c r="E1886" s="24" t="s">
        <x:v>103</x:v>
      </x:c>
      <x:c r="F1886" s="20" t="s">
        <x:v>97</x:v>
      </x:c>
      <x:c r="G1886" s="26">
        <x:v>42222</x:v>
      </x:c>
      <x:c r="H1886" s="24" t="s">
        <x:v>8615</x:v>
      </x:c>
      <x:c r="I1886" s="28" t="s">
        <x:v>8616</x:v>
      </x:c>
      <x:c r="J1886" s="29" t="s">
        <x:v>8617</x:v>
      </x:c>
    </x:row>
    <x:row r="1887" ht="10.050000190734863" customHeight="1">
      <x:c r="A1887" s="21" t="s">
        <x:v>8618</x:v>
      </x:c>
      <x:c r="B1887" s="20" t="s">
        <x:v>8618</x:v>
      </x:c>
      <x:c r="C1887" s="20" t="s">
        <x:v>8619</x:v>
      </x:c>
      <x:c r="D1887" s="24">
        <x:v>66</x:v>
      </x:c>
      <x:c r="E1887" s="24" t="s">
        <x:v>103</x:v>
      </x:c>
      <x:c r="F1887" s="20" t="s">
        <x:v>97</x:v>
      </x:c>
      <x:c r="G1887" s="26">
        <x:v>43338</x:v>
      </x:c>
      <x:c r="H1887" s="24" t="s">
        <x:v>8620</x:v>
      </x:c>
      <x:c r="I1887" s="28" t="s">
        <x:v>8621</x:v>
      </x:c>
      <x:c r="J1887" s="29" t="s">
        <x:v>8622</x:v>
      </x:c>
    </x:row>
    <x:row r="1888" ht="10.050000190734863" customHeight="1">
      <x:c r="A1888" s="21" t="s">
        <x:v>8623</x:v>
      </x:c>
      <x:c r="B1888" s="20" t="s">
        <x:v>8623</x:v>
      </x:c>
      <x:c r="C1888" s="20" t="s">
        <x:v>8624</x:v>
      </x:c>
      <x:c r="D1888" s="24">
        <x:v>24</x:v>
      </x:c>
      <x:c r="E1888" s="24" t="s">
        <x:v>103</x:v>
      </x:c>
      <x:c r="F1888" s="20" t="s">
        <x:v>97</x:v>
      </x:c>
      <x:c r="G1888" s="26">
        <x:v>42220</x:v>
      </x:c>
      <x:c r="H1888" s="24" t="s">
        <x:v>8625</x:v>
      </x:c>
      <x:c r="I1888" s="28" t="s">
        <x:v>8626</x:v>
      </x:c>
      <x:c r="J1888" s="29" t="s">
        <x:v>8627</x:v>
      </x:c>
    </x:row>
    <x:row r="1889" ht="10.050000190734863" customHeight="1">
      <x:c r="A1889" s="21" t="s">
        <x:v>8628</x:v>
      </x:c>
      <x:c r="B1889" s="20" t="s">
        <x:v>8628</x:v>
      </x:c>
      <x:c r="C1889" s="20" t="s">
        <x:v>6301</x:v>
      </x:c>
      <x:c r="D1889" s="24">
        <x:v>0</x:v>
      </x:c>
      <x:c r="E1889" s="24" t="s">
        <x:v>257</x:v>
      </x:c>
      <x:c r="F1889" s="20" t="s">
        <x:v>97</x:v>
      </x:c>
      <x:c r="G1889" s="26">
        <x:v>42213</x:v>
      </x:c>
      <x:c r="H1889" s="24" t="s">
        <x:v>8629</x:v>
      </x:c>
      <x:c r="I1889" s="28" t="s">
        <x:v>8630</x:v>
      </x:c>
      <x:c r="J1889" s="29" t="s">
        <x:v>8631</x:v>
      </x:c>
    </x:row>
    <x:row r="1890" ht="10.050000190734863" customHeight="1">
      <x:c r="A1890" s="21" t="s">
        <x:v>8632</x:v>
      </x:c>
      <x:c r="B1890" s="20" t="s">
        <x:v>8632</x:v>
      </x:c>
      <x:c r="C1890" s="20" t="s">
        <x:v>8619</x:v>
      </x:c>
      <x:c r="D1890" s="24">
        <x:v>70</x:v>
      </x:c>
      <x:c r="E1890" s="24" t="s">
        <x:v>103</x:v>
      </x:c>
      <x:c r="F1890" s="20" t="s">
        <x:v>97</x:v>
      </x:c>
      <x:c r="G1890" s="26">
        <x:v>41818</x:v>
      </x:c>
      <x:c r="H1890" s="24" t="s">
        <x:v>8633</x:v>
      </x:c>
      <x:c r="I1890" s="28" t="s">
        <x:v>8634</x:v>
      </x:c>
      <x:c r="J1890" s="29" t="s">
        <x:v>8635</x:v>
      </x:c>
    </x:row>
    <x:row r="1891" ht="10.050000190734863" customHeight="1">
      <x:c r="A1891" s="21" t="s">
        <x:v>8636</x:v>
      </x:c>
      <x:c r="B1891" s="20" t="s">
        <x:v>8636</x:v>
      </x:c>
      <x:c r="C1891" s="20" t="s">
        <x:v>3697</x:v>
      </x:c>
      <x:c r="D1891" s="24">
        <x:v>88</x:v>
      </x:c>
      <x:c r="E1891" s="24" t="s">
        <x:v>103</x:v>
      </x:c>
      <x:c r="F1891" s="20" t="s">
        <x:v>97</x:v>
      </x:c>
      <x:c r="G1891" s="26">
        <x:v>42218</x:v>
      </x:c>
      <x:c r="H1891" s="24" t="s">
        <x:v>8637</x:v>
      </x:c>
      <x:c r="I1891" s="28" t="s">
        <x:v>8638</x:v>
      </x:c>
      <x:c r="J1891" s="29" t="s">
        <x:v>8639</x:v>
      </x:c>
    </x:row>
    <x:row r="1892" ht="10.050000190734863" customHeight="1">
      <x:c r="A1892" s="21" t="s">
        <x:v>8640</x:v>
      </x:c>
      <x:c r="B1892" s="20" t="s">
        <x:v>8640</x:v>
      </x:c>
      <x:c r="C1892" s="20" t="s">
        <x:v>8641</x:v>
      </x:c>
      <x:c r="D1892" s="24">
        <x:v>27</x:v>
      </x:c>
      <x:c r="E1892" s="24" t="s">
        <x:v>96</x:v>
      </x:c>
      <x:c r="F1892" s="20" t="s">
        <x:v>97</x:v>
      </x:c>
      <x:c r="G1892" s="26">
        <x:v>41690</x:v>
      </x:c>
      <x:c r="H1892" s="24" t="s">
        <x:v>8642</x:v>
      </x:c>
      <x:c r="I1892" s="28" t="s">
        <x:v>8643</x:v>
      </x:c>
      <x:c r="J1892" s="29" t="s">
        <x:v>8644</x:v>
      </x:c>
    </x:row>
    <x:row r="1893" ht="10.050000190734863" customHeight="1">
      <x:c r="A1893" s="21" t="s">
        <x:v>8645</x:v>
      </x:c>
      <x:c r="B1893" s="20" t="s">
        <x:v>8645</x:v>
      </x:c>
      <x:c r="C1893" s="20" t="s">
        <x:v>5738</x:v>
      </x:c>
      <x:c r="D1893" s="24">
        <x:v>76</x:v>
      </x:c>
      <x:c r="E1893" s="24" t="s">
        <x:v>103</x:v>
      </x:c>
      <x:c r="F1893" s="20" t="s">
        <x:v>97</x:v>
      </x:c>
      <x:c r="G1893" s="26">
        <x:v>42280</x:v>
      </x:c>
      <x:c r="H1893" s="24" t="s">
        <x:v>8646</x:v>
      </x:c>
      <x:c r="I1893" s="28" t="s">
        <x:v>8647</x:v>
      </x:c>
      <x:c r="J1893" s="29" t="s">
        <x:v>8648</x:v>
      </x:c>
    </x:row>
    <x:row r="1894" ht="10.050000190734863" customHeight="1">
      <x:c r="A1894" s="21" t="s">
        <x:v>8649</x:v>
      </x:c>
      <x:c r="B1894" s="20" t="s">
        <x:v>8649</x:v>
      </x:c>
      <x:c r="C1894" s="20" t="s">
        <x:v>8650</x:v>
      </x:c>
      <x:c r="D1894" s="24">
        <x:v>18</x:v>
      </x:c>
      <x:c r="E1894" s="24" t="s">
        <x:v>103</x:v>
      </x:c>
      <x:c r="F1894" s="20" t="s">
        <x:v>97</x:v>
      </x:c>
      <x:c r="G1894" s="26">
        <x:v>44739</x:v>
      </x:c>
      <x:c r="H1894" s="24" t="s">
        <x:v>8651</x:v>
      </x:c>
      <x:c r="I1894" s="28" t="s">
        <x:v>8652</x:v>
      </x:c>
      <x:c r="J1894" s="29" t="s">
        <x:v>8653</x:v>
      </x:c>
    </x:row>
    <x:row r="1895" ht="10.050000190734863" customHeight="1">
      <x:c r="A1895" s="21" t="s">
        <x:v>8654</x:v>
      </x:c>
      <x:c r="B1895" s="20" t="s">
        <x:v>8654</x:v>
      </x:c>
      <x:c r="C1895" s="20" t="s">
        <x:v>543</x:v>
      </x:c>
      <x:c r="D1895" s="24">
        <x:v>85</x:v>
      </x:c>
      <x:c r="E1895" s="24" t="s">
        <x:v>257</x:v>
      </x:c>
      <x:c r="F1895" s="20" t="s">
        <x:v>97</x:v>
      </x:c>
      <x:c r="G1895" s="26">
        <x:v>42288</x:v>
      </x:c>
      <x:c r="H1895" s="24" t="s">
        <x:v>8655</x:v>
      </x:c>
      <x:c r="I1895" s="28" t="s">
        <x:v>8656</x:v>
      </x:c>
      <x:c r="J1895" s="29" t="s">
        <x:v>8657</x:v>
      </x:c>
    </x:row>
    <x:row r="1896" ht="10.050000190734863" customHeight="1">
      <x:c r="A1896" s="21" t="s">
        <x:v>8658</x:v>
      </x:c>
      <x:c r="B1896" s="20" t="s">
        <x:v>8658</x:v>
      </x:c>
      <x:c r="C1896" s="20" t="s">
        <x:v>3195</x:v>
      </x:c>
      <x:c r="D1896" s="24">
        <x:v>10</x:v>
      </x:c>
      <x:c r="E1896" s="24" t="s">
        <x:v>103</x:v>
      </x:c>
      <x:c r="F1896" s="20" t="s">
        <x:v>97</x:v>
      </x:c>
      <x:c r="G1896" s="26">
        <x:v>44190</x:v>
      </x:c>
      <x:c r="H1896" s="24" t="s">
        <x:v>8659</x:v>
      </x:c>
      <x:c r="I1896" s="28" t="s">
        <x:v>8660</x:v>
      </x:c>
      <x:c r="J1896" s="29" t="s">
        <x:v>8661</x:v>
      </x:c>
    </x:row>
    <x:row r="1897" ht="10.050000190734863" customHeight="1">
      <x:c r="A1897" s="21" t="s">
        <x:v>8662</x:v>
      </x:c>
      <x:c r="B1897" s="20" t="s">
        <x:v>8662</x:v>
      </x:c>
      <x:c r="C1897" s="20" t="s">
        <x:v>8619</x:v>
      </x:c>
      <x:c r="D1897" s="24">
        <x:v>8</x:v>
      </x:c>
      <x:c r="E1897" s="24" t="s">
        <x:v>257</x:v>
      </x:c>
      <x:c r="F1897" s="20" t="s">
        <x:v>97</x:v>
      </x:c>
      <x:c r="G1897" s="26">
        <x:v>41511</x:v>
      </x:c>
      <x:c r="H1897" s="24" t="s">
        <x:v>8663</x:v>
      </x:c>
      <x:c r="I1897" s="28" t="s">
        <x:v>8664</x:v>
      </x:c>
      <x:c r="J1897" s="29" t="s">
        <x:v>8665</x:v>
      </x:c>
    </x:row>
    <x:row r="1898" ht="10.050000190734863" customHeight="1">
      <x:c r="A1898" s="21" t="s">
        <x:v>8666</x:v>
      </x:c>
      <x:c r="B1898" s="20" t="s">
        <x:v>8666</x:v>
      </x:c>
      <x:c r="C1898" s="20" t="s">
        <x:v>2094</x:v>
      </x:c>
      <x:c r="D1898" s="24">
        <x:v>1</x:v>
      </x:c>
      <x:c r="E1898" s="24" t="s">
        <x:v>257</x:v>
      </x:c>
      <x:c r="F1898" s="20" t="s">
        <x:v>97</x:v>
      </x:c>
      <x:c r="G1898" s="26">
        <x:v>42207</x:v>
      </x:c>
      <x:c r="H1898" s="24" t="s">
        <x:v>8667</x:v>
      </x:c>
      <x:c r="I1898" s="28" t="s">
        <x:v>8668</x:v>
      </x:c>
      <x:c r="J1898" s="29" t="s">
        <x:v>8669</x:v>
      </x:c>
    </x:row>
    <x:row r="1899" ht="10.050000190734863" customHeight="1">
      <x:c r="A1899" s="21" t="s">
        <x:v>8670</x:v>
      </x:c>
      <x:c r="B1899" s="20" t="s">
        <x:v>8670</x:v>
      </x:c>
      <x:c r="C1899" s="20" t="s">
        <x:v>8671</x:v>
      </x:c>
      <x:c r="D1899" s="24">
        <x:v>42</x:v>
      </x:c>
      <x:c r="E1899" s="24" t="s">
        <x:v>103</x:v>
      </x:c>
      <x:c r="F1899" s="20" t="s">
        <x:v>97</x:v>
      </x:c>
      <x:c r="G1899" s="26">
        <x:v>42298</x:v>
      </x:c>
      <x:c r="H1899" s="24" t="s">
        <x:v>8672</x:v>
      </x:c>
      <x:c r="I1899" s="28" t="s">
        <x:v>8673</x:v>
      </x:c>
      <x:c r="J1899" s="29" t="s">
        <x:v>8674</x:v>
      </x:c>
    </x:row>
    <x:row r="1900" ht="10.050000190734863" customHeight="1">
      <x:c r="A1900" s="21" t="s">
        <x:v>8675</x:v>
      </x:c>
      <x:c r="B1900" s="20" t="s">
        <x:v>8675</x:v>
      </x:c>
      <x:c r="C1900" s="20" t="s">
        <x:v>8676</x:v>
      </x:c>
      <x:c r="D1900" s="24">
        <x:v>36</x:v>
      </x:c>
      <x:c r="E1900" s="24" t="s">
        <x:v>89</x:v>
      </x:c>
      <x:c r="F1900" s="20" t="s">
        <x:v>97</x:v>
      </x:c>
      <x:c r="G1900" s="26">
        <x:v>44558</x:v>
      </x:c>
      <x:c r="H1900" s="24" t="s">
        <x:v>8677</x:v>
      </x:c>
      <x:c r="I1900" s="28" t="s">
        <x:v>8678</x:v>
      </x:c>
      <x:c r="J1900" s="29" t="s">
        <x:v>8679</x:v>
      </x:c>
    </x:row>
    <x:row r="1901" ht="10.050000190734863" customHeight="1">
      <x:c r="A1901" s="21" t="s">
        <x:v>8680</x:v>
      </x:c>
      <x:c r="B1901" s="20" t="s">
        <x:v>8680</x:v>
      </x:c>
      <x:c r="C1901" s="20" t="s">
        <x:v>8681</x:v>
      </x:c>
      <x:c r="D1901" s="24">
        <x:v>61</x:v>
      </x:c>
      <x:c r="E1901" s="24" t="s">
        <x:v>103</x:v>
      </x:c>
      <x:c r="F1901" s="20" t="s">
        <x:v>97</x:v>
      </x:c>
      <x:c r="G1901" s="26">
        <x:v>44239</x:v>
      </x:c>
      <x:c r="H1901" s="24" t="s">
        <x:v>8682</x:v>
      </x:c>
      <x:c r="I1901" s="28" t="s">
        <x:v>8683</x:v>
      </x:c>
      <x:c r="J1901" s="29" t="s">
        <x:v>8684</x:v>
      </x:c>
    </x:row>
    <x:row r="1902" ht="10.050000190734863" customHeight="1">
      <x:c r="A1902" s="21" t="s">
        <x:v>8685</x:v>
      </x:c>
      <x:c r="B1902" s="20" t="s">
        <x:v>8685</x:v>
      </x:c>
      <x:c r="C1902" s="20" t="s">
        <x:v>8686</x:v>
      </x:c>
      <x:c r="D1902" s="24">
        <x:v>14</x:v>
      </x:c>
      <x:c r="E1902" s="24" t="s">
        <x:v>96</x:v>
      </x:c>
      <x:c r="F1902" s="20" t="s">
        <x:v>97</x:v>
      </x:c>
      <x:c r="G1902" s="26">
        <x:v>42306</x:v>
      </x:c>
      <x:c r="H1902" s="24" t="s">
        <x:v>8687</x:v>
      </x:c>
      <x:c r="I1902" s="28" t="s">
        <x:v>8688</x:v>
      </x:c>
      <x:c r="J1902" s="29" t="s">
        <x:v>8689</x:v>
      </x:c>
    </x:row>
    <x:row r="1903" ht="10.050000190734863" customHeight="1">
      <x:c r="A1903" s="21" t="s">
        <x:v>8690</x:v>
      </x:c>
      <x:c r="B1903" s="20" t="s">
        <x:v>8690</x:v>
      </x:c>
      <x:c r="C1903" s="20" t="s">
        <x:v>8474</x:v>
      </x:c>
      <x:c r="D1903" s="24">
        <x:v>120</x:v>
      </x:c>
      <x:c r="E1903" s="24" t="s">
        <x:v>103</x:v>
      </x:c>
      <x:c r="F1903" s="20" t="s">
        <x:v>97</x:v>
      </x:c>
      <x:c r="G1903" s="26">
        <x:v>41982</x:v>
      </x:c>
      <x:c r="H1903" s="24" t="s">
        <x:v>8691</x:v>
      </x:c>
      <x:c r="I1903" s="28" t="s">
        <x:v>8692</x:v>
      </x:c>
      <x:c r="J1903" s="29" t="s">
        <x:v>8693</x:v>
      </x:c>
    </x:row>
    <x:row r="1904" ht="10.050000190734863" customHeight="1">
      <x:c r="A1904" s="21" t="s">
        <x:v>8694</x:v>
      </x:c>
      <x:c r="B1904" s="20" t="s">
        <x:v>8694</x:v>
      </x:c>
      <x:c r="C1904" s="20" t="s">
        <x:v>8474</x:v>
      </x:c>
      <x:c r="D1904" s="24">
        <x:v>58</x:v>
      </x:c>
      <x:c r="E1904" s="24" t="s">
        <x:v>103</x:v>
      </x:c>
      <x:c r="F1904" s="20" t="s">
        <x:v>97</x:v>
      </x:c>
      <x:c r="G1904" s="26">
        <x:v>42091</x:v>
      </x:c>
      <x:c r="H1904" s="24" t="s">
        <x:v>8695</x:v>
      </x:c>
      <x:c r="I1904" s="28" t="s">
        <x:v>8696</x:v>
      </x:c>
      <x:c r="J1904" s="29" t="s">
        <x:v>8697</x:v>
      </x:c>
    </x:row>
    <x:row r="1905" ht="10.050000190734863" customHeight="1">
      <x:c r="A1905" s="21" t="s">
        <x:v>8698</x:v>
      </x:c>
      <x:c r="B1905" s="20" t="s">
        <x:v>8698</x:v>
      </x:c>
      <x:c r="C1905" s="20" t="s">
        <x:v>572</x:v>
      </x:c>
      <x:c r="D1905" s="24">
        <x:v>7</x:v>
      </x:c>
      <x:c r="E1905" s="24" t="s">
        <x:v>257</x:v>
      </x:c>
      <x:c r="F1905" s="20" t="s">
        <x:v>97</x:v>
      </x:c>
      <x:c r="G1905" s="26">
        <x:v>42279</x:v>
      </x:c>
      <x:c r="H1905" s="24" t="s">
        <x:v>8699</x:v>
      </x:c>
      <x:c r="I1905" s="28" t="s">
        <x:v>8700</x:v>
      </x:c>
      <x:c r="J1905" s="29" t="s">
        <x:v>8701</x:v>
      </x:c>
    </x:row>
    <x:row r="1906" ht="10.050000190734863" customHeight="1">
      <x:c r="A1906" s="21" t="s">
        <x:v>8702</x:v>
      </x:c>
      <x:c r="B1906" s="20" t="s">
        <x:v>8702</x:v>
      </x:c>
      <x:c r="C1906" s="20" t="s">
        <x:v>4352</x:v>
      </x:c>
      <x:c r="D1906" s="24">
        <x:v>7</x:v>
      </x:c>
      <x:c r="E1906" s="24" t="s">
        <x:v>103</x:v>
      </x:c>
      <x:c r="F1906" s="20" t="s">
        <x:v>97</x:v>
      </x:c>
      <x:c r="G1906" s="26">
        <x:v>42062</x:v>
      </x:c>
      <x:c r="H1906" s="24" t="s">
        <x:v>8703</x:v>
      </x:c>
      <x:c r="I1906" s="28" t="s">
        <x:v>8704</x:v>
      </x:c>
      <x:c r="J1906" s="29" t="s">
        <x:v>8705</x:v>
      </x:c>
    </x:row>
    <x:row r="1907" ht="10.050000190734863" customHeight="1">
      <x:c r="A1907" s="21" t="s">
        <x:v>8706</x:v>
      </x:c>
      <x:c r="B1907" s="20" t="s">
        <x:v>8706</x:v>
      </x:c>
      <x:c r="C1907" s="20" t="s">
        <x:v>3591</x:v>
      </x:c>
      <x:c r="D1907" s="24">
        <x:v>3</x:v>
      </x:c>
      <x:c r="E1907" s="24" t="s">
        <x:v>96</x:v>
      </x:c>
      <x:c r="F1907" s="20" t="s">
        <x:v>97</x:v>
      </x:c>
      <x:c r="G1907" s="26">
        <x:v>42323</x:v>
      </x:c>
      <x:c r="H1907" s="24" t="s">
        <x:v>8707</x:v>
      </x:c>
      <x:c r="I1907" s="28" t="s">
        <x:v>8708</x:v>
      </x:c>
      <x:c r="J1907" s="29" t="s">
        <x:v>8709</x:v>
      </x:c>
    </x:row>
    <x:row r="1908" ht="10.050000190734863" customHeight="1">
      <x:c r="A1908" s="21" t="s">
        <x:v>8710</x:v>
      </x:c>
      <x:c r="B1908" s="20" t="s">
        <x:v>8710</x:v>
      </x:c>
      <x:c r="C1908" s="20" t="s">
        <x:v>8711</x:v>
      </x:c>
      <x:c r="D1908" s="24">
        <x:v>32</x:v>
      </x:c>
      <x:c r="E1908" s="24" t="s">
        <x:v>257</x:v>
      </x:c>
      <x:c r="F1908" s="20" t="s">
        <x:v>97</x:v>
      </x:c>
      <x:c r="G1908" s="26">
        <x:v>42288</x:v>
      </x:c>
      <x:c r="H1908" s="24" t="s">
        <x:v>8712</x:v>
      </x:c>
      <x:c r="I1908" s="28" t="s">
        <x:v>8713</x:v>
      </x:c>
      <x:c r="J1908" s="29" t="s">
        <x:v>8714</x:v>
      </x:c>
    </x:row>
    <x:row r="1909" ht="10.050000190734863" customHeight="1">
      <x:c r="A1909" s="21" t="s">
        <x:v>8715</x:v>
      </x:c>
      <x:c r="B1909" s="20" t="s">
        <x:v>8715</x:v>
      </x:c>
      <x:c r="C1909" s="20" t="s">
        <x:v>7502</x:v>
      </x:c>
      <x:c r="D1909" s="24">
        <x:v>4</x:v>
      </x:c>
      <x:c r="E1909" s="24" t="s">
        <x:v>103</x:v>
      </x:c>
      <x:c r="F1909" s="20" t="s">
        <x:v>97</x:v>
      </x:c>
      <x:c r="G1909" s="26">
        <x:v>42345</x:v>
      </x:c>
      <x:c r="H1909" s="24" t="s">
        <x:v>8716</x:v>
      </x:c>
      <x:c r="I1909" s="28" t="s">
        <x:v>8717</x:v>
      </x:c>
      <x:c r="J1909" s="29" t="s">
        <x:v>8718</x:v>
      </x:c>
    </x:row>
    <x:row r="1910" ht="10.050000190734863" customHeight="1">
      <x:c r="A1910" s="21" t="s">
        <x:v>8719</x:v>
      </x:c>
      <x:c r="B1910" s="20" t="s">
        <x:v>8719</x:v>
      </x:c>
      <x:c r="C1910" s="20" t="s">
        <x:v>5389</x:v>
      </x:c>
      <x:c r="D1910" s="24">
        <x:v>17</x:v>
      </x:c>
      <x:c r="E1910" s="24" t="s">
        <x:v>257</x:v>
      </x:c>
      <x:c r="F1910" s="20" t="s">
        <x:v>97</x:v>
      </x:c>
      <x:c r="G1910" s="26">
        <x:v>41551</x:v>
      </x:c>
      <x:c r="H1910" s="24" t="s">
        <x:v>8720</x:v>
      </x:c>
      <x:c r="I1910" s="28" t="s">
        <x:v>8721</x:v>
      </x:c>
      <x:c r="J1910" s="29" t="s">
        <x:v>8722</x:v>
      </x:c>
    </x:row>
    <x:row r="1911" ht="10.050000190734863" customHeight="1">
      <x:c r="A1911" s="21" t="s">
        <x:v>8723</x:v>
      </x:c>
      <x:c r="B1911" s="20" t="s">
        <x:v>8723</x:v>
      </x:c>
      <x:c r="C1911" s="20" t="s">
        <x:v>8601</x:v>
      </x:c>
      <x:c r="D1911" s="24">
        <x:v>0</x:v>
      </x:c>
      <x:c r="E1911" s="24" t="s">
        <x:v>103</x:v>
      </x:c>
      <x:c r="F1911" s="20" t="s">
        <x:v>97</x:v>
      </x:c>
      <x:c r="G1911" s="26">
        <x:v>42222</x:v>
      </x:c>
      <x:c r="H1911" s="24" t="s">
        <x:v>8724</x:v>
      </x:c>
      <x:c r="I1911" s="28" t="s">
        <x:v>8725</x:v>
      </x:c>
      <x:c r="J1911" s="29" t="s">
        <x:v>8726</x:v>
      </x:c>
    </x:row>
    <x:row r="1912" ht="10.050000190734863" customHeight="1">
      <x:c r="A1912" s="21" t="s">
        <x:v>8727</x:v>
      </x:c>
      <x:c r="B1912" s="20" t="s">
        <x:v>8727</x:v>
      </x:c>
      <x:c r="C1912" s="20" t="s">
        <x:v>543</x:v>
      </x:c>
      <x:c r="D1912" s="24">
        <x:v>47</x:v>
      </x:c>
      <x:c r="E1912" s="24" t="s">
        <x:v>103</x:v>
      </x:c>
      <x:c r="F1912" s="20" t="s">
        <x:v>97</x:v>
      </x:c>
      <x:c r="G1912" s="26">
        <x:v>42947</x:v>
      </x:c>
      <x:c r="H1912" s="24" t="s">
        <x:v>8728</x:v>
      </x:c>
      <x:c r="I1912" s="28" t="s">
        <x:v>8729</x:v>
      </x:c>
      <x:c r="J1912" s="29" t="s">
        <x:v>8730</x:v>
      </x:c>
    </x:row>
    <x:row r="1913" ht="10.050000190734863" customHeight="1">
      <x:c r="A1913" s="21" t="s">
        <x:v>8731</x:v>
      </x:c>
      <x:c r="B1913" s="20" t="s">
        <x:v>8731</x:v>
      </x:c>
      <x:c r="C1913" s="20" t="s">
        <x:v>865</x:v>
      </x:c>
      <x:c r="D1913" s="24">
        <x:v>3</x:v>
      </x:c>
      <x:c r="E1913" s="24" t="s">
        <x:v>103</x:v>
      </x:c>
      <x:c r="F1913" s="20" t="s">
        <x:v>97</x:v>
      </x:c>
      <x:c r="G1913" s="26">
        <x:v>44652</x:v>
      </x:c>
      <x:c r="H1913" s="24" t="s">
        <x:v>8732</x:v>
      </x:c>
      <x:c r="I1913" s="28" t="s">
        <x:v>8733</x:v>
      </x:c>
      <x:c r="J1913" s="29" t="s">
        <x:v>8734</x:v>
      </x:c>
    </x:row>
    <x:row r="1914" ht="10.050000190734863" customHeight="1">
      <x:c r="A1914" s="21" t="s">
        <x:v>8735</x:v>
      </x:c>
      <x:c r="B1914" s="20" t="s">
        <x:v>8735</x:v>
      </x:c>
      <x:c r="C1914" s="20" t="s">
        <x:v>543</x:v>
      </x:c>
      <x:c r="D1914" s="24">
        <x:v>32</x:v>
      </x:c>
      <x:c r="E1914" s="24" t="s">
        <x:v>103</x:v>
      </x:c>
      <x:c r="F1914" s="20" t="s">
        <x:v>97</x:v>
      </x:c>
      <x:c r="G1914" s="26">
        <x:v>44324</x:v>
      </x:c>
      <x:c r="H1914" s="24" t="s">
        <x:v>8736</x:v>
      </x:c>
      <x:c r="I1914" s="28" t="s">
        <x:v>8737</x:v>
      </x:c>
      <x:c r="J1914" s="29" t="s">
        <x:v>8738</x:v>
      </x:c>
    </x:row>
    <x:row r="1915" ht="10.050000190734863" customHeight="1">
      <x:c r="A1915" s="21" t="s">
        <x:v>8739</x:v>
      </x:c>
      <x:c r="B1915" s="20" t="s">
        <x:v>8739</x:v>
      </x:c>
      <x:c r="C1915" s="20" t="s">
        <x:v>8740</x:v>
      </x:c>
      <x:c r="D1915" s="24">
        <x:v>9</x:v>
      </x:c>
      <x:c r="E1915" s="24" t="s">
        <x:v>103</x:v>
      </x:c>
      <x:c r="F1915" s="20" t="s">
        <x:v>97</x:v>
      </x:c>
      <x:c r="G1915" s="26">
        <x:v>42240</x:v>
      </x:c>
      <x:c r="H1915" s="24" t="s">
        <x:v>8741</x:v>
      </x:c>
      <x:c r="I1915" s="28" t="s">
        <x:v>8742</x:v>
      </x:c>
      <x:c r="J1915" s="29" t="s">
        <x:v>8743</x:v>
      </x:c>
    </x:row>
    <x:row r="1916" ht="10.050000190734863" customHeight="1">
      <x:c r="A1916" s="21" t="s">
        <x:v>8744</x:v>
      </x:c>
      <x:c r="B1916" s="20" t="s">
        <x:v>8744</x:v>
      </x:c>
      <x:c r="C1916" s="20" t="s">
        <x:v>8745</x:v>
      </x:c>
      <x:c r="D1916" s="24">
        <x:v>34</x:v>
      </x:c>
      <x:c r="E1916" s="24" t="s">
        <x:v>96</x:v>
      </x:c>
      <x:c r="F1916" s="20" t="s">
        <x:v>97</x:v>
      </x:c>
      <x:c r="G1916" s="26">
        <x:v>44383</x:v>
      </x:c>
      <x:c r="H1916" s="24" t="s">
        <x:v>8746</x:v>
      </x:c>
      <x:c r="I1916" s="28" t="s">
        <x:v>8747</x:v>
      </x:c>
      <x:c r="J1916" s="29" t="s">
        <x:v>8748</x:v>
      </x:c>
    </x:row>
    <x:row r="1917" ht="10.050000190734863" customHeight="1">
      <x:c r="A1917" s="21" t="s">
        <x:v>8749</x:v>
      </x:c>
      <x:c r="B1917" s="20" t="s">
        <x:v>8749</x:v>
      </x:c>
      <x:c r="C1917" s="20" t="s">
        <x:v>8750</x:v>
      </x:c>
      <x:c r="D1917" s="24">
        <x:v>7</x:v>
      </x:c>
      <x:c r="E1917" s="24" t="s">
        <x:v>103</x:v>
      </x:c>
      <x:c r="F1917" s="20" t="s">
        <x:v>97</x:v>
      </x:c>
      <x:c r="G1917" s="26">
        <x:v>43624</x:v>
      </x:c>
      <x:c r="H1917" s="24" t="s">
        <x:v>8751</x:v>
      </x:c>
      <x:c r="I1917" s="28" t="s">
        <x:v>8752</x:v>
      </x:c>
      <x:c r="J1917" s="29" t="s">
        <x:v>8753</x:v>
      </x:c>
    </x:row>
    <x:row r="1918" ht="10.050000190734863" customHeight="1">
      <x:c r="A1918" s="21" t="s">
        <x:v>8754</x:v>
      </x:c>
      <x:c r="B1918" s="20" t="s">
        <x:v>8754</x:v>
      </x:c>
      <x:c r="C1918" s="20" t="s">
        <x:v>8755</x:v>
      </x:c>
      <x:c r="D1918" s="24">
        <x:v>9</x:v>
      </x:c>
      <x:c r="E1918" s="24" t="s">
        <x:v>103</x:v>
      </x:c>
      <x:c r="F1918" s="20" t="s">
        <x:v>97</x:v>
      </x:c>
      <x:c r="G1918" s="26">
        <x:v>42065</x:v>
      </x:c>
      <x:c r="H1918" s="24" t="s">
        <x:v>8756</x:v>
      </x:c>
      <x:c r="I1918" s="28" t="s">
        <x:v>8757</x:v>
      </x:c>
      <x:c r="J1918" s="29" t="s">
        <x:v>8758</x:v>
      </x:c>
    </x:row>
    <x:row r="1919" ht="10.050000190734863" customHeight="1">
      <x:c r="A1919" s="21" t="s">
        <x:v>8759</x:v>
      </x:c>
      <x:c r="B1919" s="20" t="s">
        <x:v>8759</x:v>
      </x:c>
      <x:c r="C1919" s="20" t="s">
        <x:v>8760</x:v>
      </x:c>
      <x:c r="D1919" s="24">
        <x:v>46</x:v>
      </x:c>
      <x:c r="E1919" s="24" t="s">
        <x:v>103</x:v>
      </x:c>
      <x:c r="F1919" s="20" t="s">
        <x:v>97</x:v>
      </x:c>
      <x:c r="G1919" s="26">
        <x:v>42228</x:v>
      </x:c>
      <x:c r="H1919" s="24" t="s">
        <x:v>8761</x:v>
      </x:c>
      <x:c r="I1919" s="28" t="s">
        <x:v>8762</x:v>
      </x:c>
      <x:c r="J1919" s="29" t="s">
        <x:v>8763</x:v>
      </x:c>
    </x:row>
    <x:row r="1920" ht="10.050000190734863" customHeight="1">
      <x:c r="A1920" s="21" t="s">
        <x:v>8764</x:v>
      </x:c>
      <x:c r="B1920" s="20" t="s">
        <x:v>8764</x:v>
      </x:c>
      <x:c r="C1920" s="20" t="s">
        <x:v>4374</x:v>
      </x:c>
      <x:c r="D1920" s="24">
        <x:v>6</x:v>
      </x:c>
      <x:c r="E1920" s="24" t="s">
        <x:v>257</x:v>
      </x:c>
      <x:c r="F1920" s="20" t="s">
        <x:v>97</x:v>
      </x:c>
      <x:c r="G1920" s="26">
        <x:v>42246</x:v>
      </x:c>
      <x:c r="H1920" s="24" t="s">
        <x:v>8765</x:v>
      </x:c>
      <x:c r="I1920" s="28" t="s">
        <x:v>8766</x:v>
      </x:c>
      <x:c r="J1920" s="29" t="s">
        <x:v>8767</x:v>
      </x:c>
    </x:row>
    <x:row r="1921" ht="10.050000190734863" customHeight="1">
      <x:c r="A1921" s="21" t="s">
        <x:v>8768</x:v>
      </x:c>
      <x:c r="B1921" s="20" t="s">
        <x:v>8768</x:v>
      </x:c>
      <x:c r="C1921" s="20" t="s">
        <x:v>510</x:v>
      </x:c>
      <x:c r="D1921" s="24">
        <x:v>59</x:v>
      </x:c>
      <x:c r="E1921" s="24" t="s">
        <x:v>103</x:v>
      </x:c>
      <x:c r="F1921" s="20" t="s">
        <x:v>97</x:v>
      </x:c>
      <x:c r="G1921" s="26">
        <x:v>42726</x:v>
      </x:c>
      <x:c r="H1921" s="24" t="s">
        <x:v>8769</x:v>
      </x:c>
      <x:c r="I1921" s="28" t="s">
        <x:v>8770</x:v>
      </x:c>
      <x:c r="J1921" s="29" t="s">
        <x:v>8771</x:v>
      </x:c>
    </x:row>
    <x:row r="1922" ht="10.050000190734863" customHeight="1">
      <x:c r="A1922" s="21" t="s">
        <x:v>8772</x:v>
      </x:c>
      <x:c r="B1922" s="20" t="s">
        <x:v>8772</x:v>
      </x:c>
      <x:c r="C1922" s="20" t="s">
        <x:v>4533</x:v>
      </x:c>
      <x:c r="D1922" s="24">
        <x:v>48</x:v>
      </x:c>
      <x:c r="E1922" s="24" t="s">
        <x:v>103</x:v>
      </x:c>
      <x:c r="F1922" s="20" t="s">
        <x:v>97</x:v>
      </x:c>
      <x:c r="G1922" s="26">
        <x:v>46015</x:v>
      </x:c>
      <x:c r="H1922" s="24" t="s">
        <x:v>8773</x:v>
      </x:c>
      <x:c r="I1922" s="28" t="s">
        <x:v>8774</x:v>
      </x:c>
      <x:c r="J1922" s="29" t="s">
        <x:v>8775</x:v>
      </x:c>
    </x:row>
    <x:row r="1923" ht="10.050000190734863" customHeight="1">
      <x:c r="A1923" s="21" t="s">
        <x:v>8776</x:v>
      </x:c>
      <x:c r="B1923" s="20" t="s">
        <x:v>8776</x:v>
      </x:c>
      <x:c r="C1923" s="20" t="s">
        <x:v>8777</x:v>
      </x:c>
      <x:c r="D1923" s="24">
        <x:v>12</x:v>
      </x:c>
      <x:c r="E1923" s="24" t="s">
        <x:v>103</x:v>
      </x:c>
      <x:c r="F1923" s="20" t="s">
        <x:v>97</x:v>
      </x:c>
      <x:c r="G1923" s="26">
        <x:v>42873</x:v>
      </x:c>
      <x:c r="H1923" s="24" t="s">
        <x:v>8778</x:v>
      </x:c>
      <x:c r="I1923" s="28" t="s">
        <x:v>8779</x:v>
      </x:c>
      <x:c r="J1923" s="29" t="s">
        <x:v>8780</x:v>
      </x:c>
    </x:row>
    <x:row r="1924" ht="10.050000190734863" customHeight="1">
      <x:c r="A1924" s="21" t="s">
        <x:v>8781</x:v>
      </x:c>
      <x:c r="B1924" s="20" t="s">
        <x:v>8781</x:v>
      </x:c>
      <x:c r="C1924" s="20" t="s">
        <x:v>8782</x:v>
      </x:c>
      <x:c r="D1924" s="24">
        <x:v>25</x:v>
      </x:c>
      <x:c r="E1924" s="24" t="s">
        <x:v>257</x:v>
      </x:c>
      <x:c r="F1924" s="20" t="s">
        <x:v>97</x:v>
      </x:c>
      <x:c r="G1924" s="26">
        <x:v>42293</x:v>
      </x:c>
      <x:c r="H1924" s="24" t="s">
        <x:v>8783</x:v>
      </x:c>
      <x:c r="I1924" s="28" t="s">
        <x:v>8784</x:v>
      </x:c>
      <x:c r="J1924" s="29" t="s">
        <x:v>8785</x:v>
      </x:c>
    </x:row>
    <x:row r="1925" ht="10.050000190734863" customHeight="1">
      <x:c r="A1925" s="21" t="s">
        <x:v>8786</x:v>
      </x:c>
      <x:c r="B1925" s="20" t="s">
        <x:v>8786</x:v>
      </x:c>
      <x:c r="C1925" s="20" t="s">
        <x:v>8787</x:v>
      </x:c>
      <x:c r="D1925" s="24">
        <x:v>12</x:v>
      </x:c>
      <x:c r="E1925" s="24" t="s">
        <x:v>103</x:v>
      </x:c>
      <x:c r="F1925" s="20" t="s">
        <x:v>97</x:v>
      </x:c>
      <x:c r="G1925" s="26">
        <x:v>43726</x:v>
      </x:c>
      <x:c r="H1925" s="24" t="s">
        <x:v>8788</x:v>
      </x:c>
      <x:c r="I1925" s="28" t="s">
        <x:v>8789</x:v>
      </x:c>
      <x:c r="J1925" s="29" t="s">
        <x:v>8790</x:v>
      </x:c>
    </x:row>
    <x:row r="1926" ht="10.050000190734863" customHeight="1">
      <x:c r="A1926" s="21" t="s">
        <x:v>8791</x:v>
      </x:c>
      <x:c r="B1926" s="20" t="s">
        <x:v>8791</x:v>
      </x:c>
      <x:c r="C1926" s="20" t="s">
        <x:v>8792</x:v>
      </x:c>
      <x:c r="D1926" s="24">
        <x:v>7</x:v>
      </x:c>
      <x:c r="E1926" s="24" t="s">
        <x:v>103</x:v>
      </x:c>
      <x:c r="F1926" s="20" t="s">
        <x:v>97</x:v>
      </x:c>
      <x:c r="G1926" s="26">
        <x:v>42421</x:v>
      </x:c>
      <x:c r="H1926" s="24" t="s">
        <x:v>8793</x:v>
      </x:c>
      <x:c r="I1926" s="28" t="s">
        <x:v>8794</x:v>
      </x:c>
      <x:c r="J1926" s="29" t="s">
        <x:v>8795</x:v>
      </x:c>
    </x:row>
    <x:row r="1927" ht="10.050000190734863" customHeight="1">
      <x:c r="A1927" s="21" t="s">
        <x:v>8796</x:v>
      </x:c>
      <x:c r="B1927" s="20" t="s">
        <x:v>8796</x:v>
      </x:c>
      <x:c r="C1927" s="20" t="s">
        <x:v>5293</x:v>
      </x:c>
      <x:c r="D1927" s="24">
        <x:v>8</x:v>
      </x:c>
      <x:c r="E1927" s="24" t="s">
        <x:v>257</x:v>
      </x:c>
      <x:c r="F1927" s="20" t="s">
        <x:v>97</x:v>
      </x:c>
      <x:c r="G1927" s="26">
        <x:v>42314</x:v>
      </x:c>
      <x:c r="H1927" s="24" t="s">
        <x:v>8797</x:v>
      </x:c>
      <x:c r="I1927" s="28" t="s">
        <x:v>8798</x:v>
      </x:c>
      <x:c r="J1927" s="29" t="s">
        <x:v>8799</x:v>
      </x:c>
    </x:row>
    <x:row r="1928" ht="10.050000190734863" customHeight="1">
      <x:c r="A1928" s="21" t="s">
        <x:v>8800</x:v>
      </x:c>
      <x:c r="B1928" s="20" t="s">
        <x:v>8800</x:v>
      </x:c>
      <x:c r="C1928" s="20" t="s">
        <x:v>8801</x:v>
      </x:c>
      <x:c r="D1928" s="24">
        <x:v>73</x:v>
      </x:c>
      <x:c r="E1928" s="24" t="s">
        <x:v>96</x:v>
      </x:c>
      <x:c r="F1928" s="20" t="s">
        <x:v>97</x:v>
      </x:c>
      <x:c r="G1928" s="26">
        <x:v>44950</x:v>
      </x:c>
      <x:c r="H1928" s="24" t="s">
        <x:v>8802</x:v>
      </x:c>
      <x:c r="I1928" s="28" t="s">
        <x:v>8803</x:v>
      </x:c>
      <x:c r="J1928" s="29" t="s">
        <x:v>8804</x:v>
      </x:c>
    </x:row>
    <x:row r="1929" ht="10.050000190734863" customHeight="1">
      <x:c r="A1929" s="21" t="s">
        <x:v>8805</x:v>
      </x:c>
      <x:c r="B1929" s="20" t="s">
        <x:v>8805</x:v>
      </x:c>
      <x:c r="C1929" s="20" t="s">
        <x:v>8806</x:v>
      </x:c>
      <x:c r="D1929" s="24">
        <x:v>20</x:v>
      </x:c>
      <x:c r="E1929" s="24" t="s">
        <x:v>103</x:v>
      </x:c>
      <x:c r="F1929" s="20" t="s">
        <x:v>97</x:v>
      </x:c>
      <x:c r="G1929" s="26">
        <x:v>44384</x:v>
      </x:c>
      <x:c r="H1929" s="24" t="s">
        <x:v>8807</x:v>
      </x:c>
      <x:c r="I1929" s="28" t="s">
        <x:v>8808</x:v>
      </x:c>
      <x:c r="J1929" s="29" t="s">
        <x:v>8809</x:v>
      </x:c>
    </x:row>
    <x:row r="1930" ht="10.050000190734863" customHeight="1">
      <x:c r="A1930" s="21" t="s">
        <x:v>8810</x:v>
      </x:c>
      <x:c r="B1930" s="20" t="s">
        <x:v>8810</x:v>
      </x:c>
      <x:c r="C1930" s="20" t="s">
        <x:v>8811</x:v>
      </x:c>
      <x:c r="D1930" s="24">
        <x:v>10</x:v>
      </x:c>
      <x:c r="E1930" s="24" t="s">
        <x:v>96</x:v>
      </x:c>
      <x:c r="F1930" s="20" t="s">
        <x:v>97</x:v>
      </x:c>
      <x:c r="G1930" s="26">
        <x:v>45135</x:v>
      </x:c>
      <x:c r="H1930" s="24" t="s">
        <x:v>8812</x:v>
      </x:c>
      <x:c r="I1930" s="28" t="s">
        <x:v>8813</x:v>
      </x:c>
      <x:c r="J1930" s="29" t="s">
        <x:v>8814</x:v>
      </x:c>
    </x:row>
    <x:row r="1931" ht="10.050000190734863" customHeight="1">
      <x:c r="A1931" s="21" t="s">
        <x:v>8815</x:v>
      </x:c>
      <x:c r="B1931" s="20" t="s">
        <x:v>8815</x:v>
      </x:c>
      <x:c r="C1931" s="20" t="s">
        <x:v>8816</x:v>
      </x:c>
      <x:c r="D1931" s="24">
        <x:v>8</x:v>
      </x:c>
      <x:c r="E1931" s="24" t="s">
        <x:v>103</x:v>
      </x:c>
      <x:c r="F1931" s="20" t="s">
        <x:v>97</x:v>
      </x:c>
      <x:c r="G1931" s="26">
        <x:v>43558</x:v>
      </x:c>
      <x:c r="H1931" s="24" t="s">
        <x:v>8817</x:v>
      </x:c>
      <x:c r="I1931" s="28" t="s">
        <x:v>8818</x:v>
      </x:c>
      <x:c r="J1931" s="29" t="s">
        <x:v>8819</x:v>
      </x:c>
    </x:row>
    <x:row r="1932" ht="10.050000190734863" customHeight="1">
      <x:c r="A1932" s="21" t="s">
        <x:v>8820</x:v>
      </x:c>
      <x:c r="B1932" s="20" t="s">
        <x:v>8820</x:v>
      </x:c>
      <x:c r="C1932" s="20" t="s">
        <x:v>3061</x:v>
      </x:c>
      <x:c r="D1932" s="24">
        <x:v>28</x:v>
      </x:c>
      <x:c r="E1932" s="24" t="s">
        <x:v>89</x:v>
      </x:c>
      <x:c r="F1932" s="20" t="s">
        <x:v>90</x:v>
      </x:c>
      <x:c r="G1932" s="26">
        <x:v>44740</x:v>
      </x:c>
      <x:c r="H1932" s="24" t="s">
        <x:v>8821</x:v>
      </x:c>
      <x:c r="I1932" s="28" t="s">
        <x:v>8822</x:v>
      </x:c>
      <x:c r="J1932" s="29" t="s">
        <x:v>8823</x:v>
      </x:c>
    </x:row>
    <x:row r="1933" ht="10.050000190734863" customHeight="1">
      <x:c r="A1933" s="21" t="s">
        <x:v>8824</x:v>
      </x:c>
      <x:c r="B1933" s="20" t="s">
        <x:v>8824</x:v>
      </x:c>
      <x:c r="C1933" s="20" t="s">
        <x:v>5053</x:v>
      </x:c>
      <x:c r="D1933" s="24">
        <x:v>8</x:v>
      </x:c>
      <x:c r="E1933" s="24" t="s">
        <x:v>103</x:v>
      </x:c>
      <x:c r="F1933" s="20" t="s">
        <x:v>97</x:v>
      </x:c>
      <x:c r="G1933" s="26">
        <x:v>42846</x:v>
      </x:c>
      <x:c r="H1933" s="24" t="s">
        <x:v>8825</x:v>
      </x:c>
      <x:c r="I1933" s="28" t="s">
        <x:v>8826</x:v>
      </x:c>
      <x:c r="J1933" s="29" t="s">
        <x:v>8827</x:v>
      </x:c>
    </x:row>
    <x:row r="1934" ht="10.050000190734863" customHeight="1">
      <x:c r="A1934" s="21" t="s">
        <x:v>8828</x:v>
      </x:c>
      <x:c r="B1934" s="20" t="s">
        <x:v>8828</x:v>
      </x:c>
      <x:c r="C1934" s="20" t="s">
        <x:v>8464</x:v>
      </x:c>
      <x:c r="D1934" s="24">
        <x:v>33</x:v>
      </x:c>
      <x:c r="E1934" s="24" t="s">
        <x:v>96</x:v>
      </x:c>
      <x:c r="F1934" s="20" t="s">
        <x:v>97</x:v>
      </x:c>
      <x:c r="G1934" s="26">
        <x:v>44466</x:v>
      </x:c>
      <x:c r="H1934" s="24" t="s">
        <x:v>8829</x:v>
      </x:c>
      <x:c r="I1934" s="28" t="s">
        <x:v>8830</x:v>
      </x:c>
      <x:c r="J1934" s="29" t="s">
        <x:v>8831</x:v>
      </x:c>
    </x:row>
    <x:row r="1935" ht="10.050000190734863" customHeight="1">
      <x:c r="A1935" s="21" t="s">
        <x:v>8832</x:v>
      </x:c>
      <x:c r="B1935" s="20" t="s">
        <x:v>8832</x:v>
      </x:c>
      <x:c r="C1935" s="20" t="s">
        <x:v>8833</x:v>
      </x:c>
      <x:c r="D1935" s="24">
        <x:v>2</x:v>
      </x:c>
      <x:c r="E1935" s="24" t="s">
        <x:v>257</x:v>
      </x:c>
      <x:c r="F1935" s="20" t="s">
        <x:v>97</x:v>
      </x:c>
      <x:c r="G1935" s="26">
        <x:v>42037</x:v>
      </x:c>
      <x:c r="H1935" s="24" t="s">
        <x:v>8834</x:v>
      </x:c>
      <x:c r="I1935" s="28" t="s">
        <x:v>8835</x:v>
      </x:c>
      <x:c r="J1935" s="29" t="s">
        <x:v>8836</x:v>
      </x:c>
    </x:row>
    <x:row r="1936" ht="10.050000190734863" customHeight="1">
      <x:c r="A1936" s="21" t="s">
        <x:v>8837</x:v>
      </x:c>
      <x:c r="B1936" s="20" t="s">
        <x:v>8837</x:v>
      </x:c>
      <x:c r="C1936" s="20" t="s">
        <x:v>8838</x:v>
      </x:c>
      <x:c r="D1936" s="24">
        <x:v>57</x:v>
      </x:c>
      <x:c r="E1936" s="24" t="s">
        <x:v>96</x:v>
      </x:c>
      <x:c r="F1936" s="20" t="s">
        <x:v>97</x:v>
      </x:c>
      <x:c r="G1936" s="26">
        <x:v>45215</x:v>
      </x:c>
      <x:c r="H1936" s="24" t="s">
        <x:v>8839</x:v>
      </x:c>
      <x:c r="I1936" s="28" t="s">
        <x:v>8840</x:v>
      </x:c>
      <x:c r="J1936" s="29" t="s">
        <x:v>8841</x:v>
      </x:c>
    </x:row>
    <x:row r="1937" ht="10.050000190734863" customHeight="1">
      <x:c r="A1937" s="21" t="s">
        <x:v>8842</x:v>
      </x:c>
      <x:c r="B1937" s="20" t="s">
        <x:v>8842</x:v>
      </x:c>
      <x:c r="C1937" s="20" t="s">
        <x:v>8843</x:v>
      </x:c>
      <x:c r="D1937" s="24">
        <x:v>19</x:v>
      </x:c>
      <x:c r="E1937" s="24" t="s">
        <x:v>103</x:v>
      </x:c>
      <x:c r="F1937" s="20" t="s">
        <x:v>97</x:v>
      </x:c>
      <x:c r="G1937" s="26">
        <x:v>42282</x:v>
      </x:c>
      <x:c r="H1937" s="24" t="s">
        <x:v>8844</x:v>
      </x:c>
      <x:c r="I1937" s="28" t="s">
        <x:v>8845</x:v>
      </x:c>
      <x:c r="J1937" s="29" t="s">
        <x:v>8846</x:v>
      </x:c>
    </x:row>
    <x:row r="1938" ht="10.050000190734863" customHeight="1">
      <x:c r="A1938" s="21" t="s">
        <x:v>8847</x:v>
      </x:c>
      <x:c r="B1938" s="20" t="s">
        <x:v>8847</x:v>
      </x:c>
      <x:c r="C1938" s="20" t="s">
        <x:v>4886</x:v>
      </x:c>
      <x:c r="D1938" s="24">
        <x:v>32</x:v>
      </x:c>
      <x:c r="E1938" s="24" t="s">
        <x:v>103</x:v>
      </x:c>
      <x:c r="F1938" s="20" t="s">
        <x:v>97</x:v>
      </x:c>
      <x:c r="G1938" s="26">
        <x:v>41814</x:v>
      </x:c>
      <x:c r="H1938" s="24" t="s">
        <x:v>8848</x:v>
      </x:c>
      <x:c r="I1938" s="28" t="s">
        <x:v>8849</x:v>
      </x:c>
      <x:c r="J1938" s="29" t="s">
        <x:v>8850</x:v>
      </x:c>
    </x:row>
    <x:row r="1939" ht="10.050000190734863" customHeight="1">
      <x:c r="A1939" s="21" t="s">
        <x:v>8851</x:v>
      </x:c>
      <x:c r="B1939" s="20" t="s">
        <x:v>8851</x:v>
      </x:c>
      <x:c r="C1939" s="20" t="s">
        <x:v>4886</x:v>
      </x:c>
      <x:c r="D1939" s="24">
        <x:v>7</x:v>
      </x:c>
      <x:c r="E1939" s="24" t="s">
        <x:v>257</x:v>
      </x:c>
      <x:c r="F1939" s="20" t="s">
        <x:v>97</x:v>
      </x:c>
      <x:c r="G1939" s="26">
        <x:v>41819</x:v>
      </x:c>
      <x:c r="H1939" s="24" t="s">
        <x:v>8852</x:v>
      </x:c>
      <x:c r="I1939" s="28" t="s">
        <x:v>8853</x:v>
      </x:c>
      <x:c r="J1939" s="29" t="s">
        <x:v>8854</x:v>
      </x:c>
    </x:row>
    <x:row r="1940" ht="10.050000190734863" customHeight="1">
      <x:c r="A1940" s="21" t="s">
        <x:v>8855</x:v>
      </x:c>
      <x:c r="B1940" s="20" t="s">
        <x:v>8855</x:v>
      </x:c>
      <x:c r="C1940" s="20" t="s">
        <x:v>2137</x:v>
      </x:c>
      <x:c r="D1940" s="24">
        <x:v>5</x:v>
      </x:c>
      <x:c r="E1940" s="24" t="s">
        <x:v>96</x:v>
      </x:c>
      <x:c r="F1940" s="20" t="s">
        <x:v>97</x:v>
      </x:c>
      <x:c r="G1940" s="26">
        <x:v>42160</x:v>
      </x:c>
      <x:c r="H1940" s="24" t="s">
        <x:v>8856</x:v>
      </x:c>
      <x:c r="I1940" s="28" t="s">
        <x:v>8857</x:v>
      </x:c>
      <x:c r="J1940" s="29" t="s">
        <x:v>8858</x:v>
      </x:c>
    </x:row>
    <x:row r="1941" ht="10.050000190734863" customHeight="1">
      <x:c r="A1941" s="21" t="s">
        <x:v>8859</x:v>
      </x:c>
      <x:c r="B1941" s="20" t="s">
        <x:v>8859</x:v>
      </x:c>
      <x:c r="C1941" s="20" t="s">
        <x:v>8860</x:v>
      </x:c>
      <x:c r="D1941" s="24">
        <x:v>4</x:v>
      </x:c>
      <x:c r="E1941" s="24" t="s">
        <x:v>257</x:v>
      </x:c>
      <x:c r="F1941" s="20" t="s">
        <x:v>97</x:v>
      </x:c>
      <x:c r="G1941" s="26">
        <x:v>43123</x:v>
      </x:c>
      <x:c r="H1941" s="24" t="s">
        <x:v>8861</x:v>
      </x:c>
      <x:c r="I1941" s="28" t="s">
        <x:v>8862</x:v>
      </x:c>
      <x:c r="J1941" s="29" t="s">
        <x:v>8863</x:v>
      </x:c>
    </x:row>
    <x:row r="1942" ht="10.050000190734863" customHeight="1">
      <x:c r="A1942" s="21" t="s">
        <x:v>8864</x:v>
      </x:c>
      <x:c r="B1942" s="20" t="s">
        <x:v>8864</x:v>
      </x:c>
      <x:c r="C1942" s="20" t="s">
        <x:v>8865</x:v>
      </x:c>
      <x:c r="D1942" s="24">
        <x:v>2</x:v>
      </x:c>
      <x:c r="E1942" s="24" t="s">
        <x:v>96</x:v>
      </x:c>
      <x:c r="F1942" s="20" t="s">
        <x:v>97</x:v>
      </x:c>
      <x:c r="G1942" s="26">
        <x:v>42044</x:v>
      </x:c>
      <x:c r="H1942" s="24" t="s">
        <x:v>8866</x:v>
      </x:c>
      <x:c r="I1942" s="28" t="s">
        <x:v>8867</x:v>
      </x:c>
      <x:c r="J1942" s="29" t="s">
        <x:v>8868</x:v>
      </x:c>
    </x:row>
    <x:row r="1943" ht="10.050000190734863" customHeight="1">
      <x:c r="A1943" s="21" t="s">
        <x:v>8869</x:v>
      </x:c>
      <x:c r="B1943" s="20" t="s">
        <x:v>8869</x:v>
      </x:c>
      <x:c r="C1943" s="20" t="s">
        <x:v>8870</x:v>
      </x:c>
      <x:c r="D1943" s="24">
        <x:v>13</x:v>
      </x:c>
      <x:c r="E1943" s="24" t="s">
        <x:v>103</x:v>
      </x:c>
      <x:c r="F1943" s="20" t="s">
        <x:v>97</x:v>
      </x:c>
      <x:c r="G1943" s="26">
        <x:v>41559</x:v>
      </x:c>
      <x:c r="H1943" s="24" t="s">
        <x:v>8871</x:v>
      </x:c>
      <x:c r="I1943" s="28" t="s">
        <x:v>8872</x:v>
      </x:c>
      <x:c r="J1943" s="29" t="s">
        <x:v>8873</x:v>
      </x:c>
    </x:row>
    <x:row r="1944" ht="10.050000190734863" customHeight="1">
      <x:c r="A1944" s="21" t="s">
        <x:v>8874</x:v>
      </x:c>
      <x:c r="B1944" s="20" t="s">
        <x:v>8874</x:v>
      </x:c>
      <x:c r="C1944" s="20" t="s">
        <x:v>2277</x:v>
      </x:c>
      <x:c r="D1944" s="24">
        <x:v>53</x:v>
      </x:c>
      <x:c r="E1944" s="24" t="s">
        <x:v>103</x:v>
      </x:c>
      <x:c r="F1944" s="20" t="s">
        <x:v>97</x:v>
      </x:c>
      <x:c r="G1944" s="26">
        <x:v>42308</x:v>
      </x:c>
      <x:c r="H1944" s="24" t="s">
        <x:v>8875</x:v>
      </x:c>
      <x:c r="I1944" s="28" t="s">
        <x:v>8876</x:v>
      </x:c>
      <x:c r="J1944" s="29" t="s">
        <x:v>8877</x:v>
      </x:c>
    </x:row>
    <x:row r="1945" ht="10.050000190734863" customHeight="1">
      <x:c r="A1945" s="21" t="s">
        <x:v>8878</x:v>
      </x:c>
      <x:c r="B1945" s="20" t="s">
        <x:v>8878</x:v>
      </x:c>
      <x:c r="C1945" s="20" t="s">
        <x:v>8879</x:v>
      </x:c>
      <x:c r="D1945" s="24">
        <x:v>114</x:v>
      </x:c>
      <x:c r="E1945" s="24" t="s">
        <x:v>198</x:v>
      </x:c>
      <x:c r="F1945" s="20" t="s">
        <x:v>97</x:v>
      </x:c>
      <x:c r="G1945" s="26">
        <x:v>43690</x:v>
      </x:c>
      <x:c r="H1945" s="24" t="s">
        <x:v>8880</x:v>
      </x:c>
      <x:c r="I1945" s="28" t="s">
        <x:v>8881</x:v>
      </x:c>
      <x:c r="J1945" s="29" t="s">
        <x:v>8882</x:v>
      </x:c>
    </x:row>
    <x:row r="1946" ht="10.050000190734863" customHeight="1">
      <x:c r="A1946" s="21" t="s">
        <x:v>8883</x:v>
      </x:c>
      <x:c r="B1946" s="20" t="s">
        <x:v>8883</x:v>
      </x:c>
      <x:c r="C1946" s="20" t="s">
        <x:v>8879</x:v>
      </x:c>
      <x:c r="D1946" s="24">
        <x:v>114</x:v>
      </x:c>
      <x:c r="E1946" s="24" t="s">
        <x:v>89</x:v>
      </x:c>
      <x:c r="F1946" s="20" t="s">
        <x:v>97</x:v>
      </x:c>
      <x:c r="G1946" s="26">
        <x:v>43575</x:v>
      </x:c>
      <x:c r="H1946" s="24" t="s">
        <x:v>8884</x:v>
      </x:c>
      <x:c r="I1946" s="28" t="s">
        <x:v>8885</x:v>
      </x:c>
      <x:c r="J1946" s="29" t="s">
        <x:v>8886</x:v>
      </x:c>
    </x:row>
    <x:row r="1947" ht="10.050000190734863" customHeight="1">
      <x:c r="A1947" s="21" t="s">
        <x:v>8887</x:v>
      </x:c>
      <x:c r="B1947" s="20" t="s">
        <x:v>8887</x:v>
      </x:c>
      <x:c r="C1947" s="20" t="s">
        <x:v>8888</x:v>
      </x:c>
      <x:c r="D1947" s="24">
        <x:v>8</x:v>
      </x:c>
      <x:c r="E1947" s="24" t="s">
        <x:v>257</x:v>
      </x:c>
      <x:c r="F1947" s="20" t="s">
        <x:v>97</x:v>
      </x:c>
      <x:c r="G1947" s="26">
        <x:v>42066</x:v>
      </x:c>
      <x:c r="H1947" s="24" t="s">
        <x:v>8889</x:v>
      </x:c>
      <x:c r="I1947" s="28" t="s">
        <x:v>8890</x:v>
      </x:c>
      <x:c r="J1947" s="29" t="s">
        <x:v>8891</x:v>
      </x:c>
    </x:row>
    <x:row r="1948" ht="10.050000190734863" customHeight="1">
      <x:c r="A1948" s="21" t="s">
        <x:v>8892</x:v>
      </x:c>
      <x:c r="B1948" s="20" t="s">
        <x:v>8892</x:v>
      </x:c>
      <x:c r="C1948" s="20" t="s">
        <x:v>8893</x:v>
      </x:c>
      <x:c r="D1948" s="24">
        <x:v>13</x:v>
      </x:c>
      <x:c r="E1948" s="24" t="s">
        <x:v>103</x:v>
      </x:c>
      <x:c r="F1948" s="20" t="s">
        <x:v>97</x:v>
      </x:c>
      <x:c r="G1948" s="26">
        <x:v>41895</x:v>
      </x:c>
      <x:c r="H1948" s="24" t="s">
        <x:v>8894</x:v>
      </x:c>
      <x:c r="I1948" s="28" t="s">
        <x:v>8895</x:v>
      </x:c>
      <x:c r="J1948" s="29" t="s">
        <x:v>8896</x:v>
      </x:c>
    </x:row>
    <x:row r="1949" ht="10.050000190734863" customHeight="1">
      <x:c r="A1949" s="21" t="s">
        <x:v>8897</x:v>
      </x:c>
      <x:c r="B1949" s="20" t="s">
        <x:v>8897</x:v>
      </x:c>
      <x:c r="C1949" s="20" t="s">
        <x:v>5738</x:v>
      </x:c>
      <x:c r="D1949" s="24">
        <x:v>57</x:v>
      </x:c>
      <x:c r="E1949" s="24" t="s">
        <x:v>96</x:v>
      </x:c>
      <x:c r="F1949" s="20" t="s">
        <x:v>97</x:v>
      </x:c>
      <x:c r="G1949" s="26">
        <x:v>42607</x:v>
      </x:c>
      <x:c r="H1949" s="24" t="s">
        <x:v>8898</x:v>
      </x:c>
      <x:c r="I1949" s="28" t="s">
        <x:v>8899</x:v>
      </x:c>
      <x:c r="J1949" s="29" t="s">
        <x:v>8900</x:v>
      </x:c>
    </x:row>
    <x:row r="1950" ht="10.050000190734863" customHeight="1">
      <x:c r="A1950" s="21" t="s">
        <x:v>8901</x:v>
      </x:c>
      <x:c r="B1950" s="20" t="s">
        <x:v>8901</x:v>
      </x:c>
      <x:c r="C1950" s="20" t="s">
        <x:v>543</x:v>
      </x:c>
      <x:c r="D1950" s="24">
        <x:v>70</x:v>
      </x:c>
      <x:c r="E1950" s="24" t="s">
        <x:v>103</x:v>
      </x:c>
      <x:c r="F1950" s="20" t="s">
        <x:v>97</x:v>
      </x:c>
      <x:c r="G1950" s="26">
        <x:v>42502</x:v>
      </x:c>
      <x:c r="H1950" s="24" t="s">
        <x:v>8902</x:v>
      </x:c>
      <x:c r="I1950" s="28" t="s">
        <x:v>8903</x:v>
      </x:c>
      <x:c r="J1950" s="29" t="s">
        <x:v>8904</x:v>
      </x:c>
    </x:row>
    <x:row r="1951" ht="10.050000190734863" customHeight="1">
      <x:c r="A1951" s="21" t="s">
        <x:v>8905</x:v>
      </x:c>
      <x:c r="B1951" s="20" t="s">
        <x:v>8905</x:v>
      </x:c>
      <x:c r="C1951" s="20" t="s">
        <x:v>5738</x:v>
      </x:c>
      <x:c r="D1951" s="24">
        <x:v>28</x:v>
      </x:c>
      <x:c r="E1951" s="24" t="s">
        <x:v>103</x:v>
      </x:c>
      <x:c r="F1951" s="20" t="s">
        <x:v>97</x:v>
      </x:c>
      <x:c r="G1951" s="26">
        <x:v>42329</x:v>
      </x:c>
      <x:c r="H1951" s="24" t="s">
        <x:v>8906</x:v>
      </x:c>
      <x:c r="I1951" s="28" t="s">
        <x:v>8907</x:v>
      </x:c>
      <x:c r="J1951" s="29" t="s">
        <x:v>8908</x:v>
      </x:c>
    </x:row>
    <x:row r="1952" ht="10.050000190734863" customHeight="1">
      <x:c r="A1952" s="21" t="s">
        <x:v>8909</x:v>
      </x:c>
      <x:c r="B1952" s="20" t="s">
        <x:v>8909</x:v>
      </x:c>
      <x:c r="C1952" s="20" t="s">
        <x:v>8910</x:v>
      </x:c>
      <x:c r="D1952" s="24">
        <x:v>3</x:v>
      </x:c>
      <x:c r="E1952" s="24" t="s">
        <x:v>257</x:v>
      </x:c>
      <x:c r="F1952" s="20" t="s">
        <x:v>97</x:v>
      </x:c>
      <x:c r="G1952" s="26">
        <x:v>42153</x:v>
      </x:c>
      <x:c r="H1952" s="24" t="s">
        <x:v>8911</x:v>
      </x:c>
      <x:c r="I1952" s="28" t="s">
        <x:v>8912</x:v>
      </x:c>
      <x:c r="J1952" s="29" t="s">
        <x:v>8913</x:v>
      </x:c>
    </x:row>
    <x:row r="1953" ht="10.050000190734863" customHeight="1">
      <x:c r="A1953" s="21" t="s">
        <x:v>8914</x:v>
      </x:c>
      <x:c r="B1953" s="20" t="s">
        <x:v>8914</x:v>
      </x:c>
      <x:c r="C1953" s="20" t="s">
        <x:v>491</x:v>
      </x:c>
      <x:c r="D1953" s="24">
        <x:v>13</x:v>
      </x:c>
      <x:c r="E1953" s="24" t="s">
        <x:v>103</x:v>
      </x:c>
      <x:c r="F1953" s="20" t="s">
        <x:v>97</x:v>
      </x:c>
      <x:c r="G1953" s="26">
        <x:v>45497</x:v>
      </x:c>
      <x:c r="H1953" s="24" t="s">
        <x:v>8915</x:v>
      </x:c>
      <x:c r="I1953" s="28" t="s">
        <x:v>8916</x:v>
      </x:c>
      <x:c r="J1953" s="29" t="s">
        <x:v>8917</x:v>
      </x:c>
    </x:row>
    <x:row r="1954" ht="10.050000190734863" customHeight="1">
      <x:c r="A1954" s="21" t="s">
        <x:v>8918</x:v>
      </x:c>
      <x:c r="B1954" s="20" t="s">
        <x:v>8918</x:v>
      </x:c>
      <x:c r="C1954" s="20" t="s">
        <x:v>8919</x:v>
      </x:c>
      <x:c r="D1954" s="24">
        <x:v>140</x:v>
      </x:c>
      <x:c r="E1954" s="24" t="s">
        <x:v>96</x:v>
      </x:c>
      <x:c r="F1954" s="20" t="s">
        <x:v>97</x:v>
      </x:c>
      <x:c r="G1954" s="26">
        <x:v>43247</x:v>
      </x:c>
      <x:c r="H1954" s="24" t="s">
        <x:v>8920</x:v>
      </x:c>
      <x:c r="I1954" s="28" t="s">
        <x:v>8921</x:v>
      </x:c>
      <x:c r="J1954" s="29" t="s">
        <x:v>8922</x:v>
      </x:c>
    </x:row>
    <x:row r="1955" ht="10.050000190734863" customHeight="1">
      <x:c r="A1955" s="21" t="s">
        <x:v>8923</x:v>
      </x:c>
      <x:c r="B1955" s="20" t="s">
        <x:v>8923</x:v>
      </x:c>
      <x:c r="C1955" s="20" t="s">
        <x:v>8924</x:v>
      </x:c>
      <x:c r="D1955" s="24">
        <x:v>94</x:v>
      </x:c>
      <x:c r="E1955" s="24" t="s">
        <x:v>103</x:v>
      </x:c>
      <x:c r="F1955" s="20" t="s">
        <x:v>2469</x:v>
      </x:c>
      <x:c r="G1955" s="26">
        <x:v>43121</x:v>
      </x:c>
      <x:c r="H1955" s="24" t="s">
        <x:v>8925</x:v>
      </x:c>
      <x:c r="I1955" s="28" t="s">
        <x:v>8926</x:v>
      </x:c>
      <x:c r="J1955" s="29" t="s">
        <x:v>8927</x:v>
      </x:c>
    </x:row>
    <x:row r="1956" ht="10.050000190734863" customHeight="1">
      <x:c r="A1956" s="21" t="s">
        <x:v>8928</x:v>
      </x:c>
      <x:c r="B1956" s="20" t="s">
        <x:v>8928</x:v>
      </x:c>
      <x:c r="C1956" s="20" t="s">
        <x:v>8929</x:v>
      </x:c>
      <x:c r="D1956" s="24">
        <x:v>16</x:v>
      </x:c>
      <x:c r="E1956" s="24" t="s">
        <x:v>103</x:v>
      </x:c>
      <x:c r="F1956" s="20" t="s">
        <x:v>97</x:v>
      </x:c>
      <x:c r="G1956" s="26">
        <x:v>42312</x:v>
      </x:c>
      <x:c r="H1956" s="24" t="s">
        <x:v>8930</x:v>
      </x:c>
      <x:c r="I1956" s="28" t="s">
        <x:v>8931</x:v>
      </x:c>
      <x:c r="J1956" s="29" t="s">
        <x:v>8932</x:v>
      </x:c>
    </x:row>
    <x:row r="1957" ht="10.050000190734863" customHeight="1">
      <x:c r="A1957" s="21" t="s">
        <x:v>8933</x:v>
      </x:c>
      <x:c r="B1957" s="20" t="s">
        <x:v>8933</x:v>
      </x:c>
      <x:c r="C1957" s="20" t="s">
        <x:v>8934</x:v>
      </x:c>
      <x:c r="D1957" s="24">
        <x:v>10</x:v>
      </x:c>
      <x:c r="E1957" s="24" t="s">
        <x:v>89</x:v>
      </x:c>
      <x:c r="F1957" s="20" t="s">
        <x:v>97</x:v>
      </x:c>
      <x:c r="G1957" s="26">
        <x:v>42964</x:v>
      </x:c>
      <x:c r="H1957" s="24" t="s">
        <x:v>8935</x:v>
      </x:c>
      <x:c r="I1957" s="28" t="s">
        <x:v>8936</x:v>
      </x:c>
      <x:c r="J1957" s="29" t="s">
        <x:v>8937</x:v>
      </x:c>
    </x:row>
    <x:row r="1958" ht="10.050000190734863" customHeight="1">
      <x:c r="A1958" s="21" t="s">
        <x:v>8938</x:v>
      </x:c>
      <x:c r="B1958" s="20" t="s">
        <x:v>8938</x:v>
      </x:c>
      <x:c r="C1958" s="20" t="s">
        <x:v>8939</x:v>
      </x:c>
      <x:c r="D1958" s="24">
        <x:v>21</x:v>
      </x:c>
      <x:c r="E1958" s="24" t="s">
        <x:v>198</x:v>
      </x:c>
      <x:c r="F1958" s="20" t="s">
        <x:v>152</x:v>
      </x:c>
      <x:c r="G1958" s="26">
        <x:v>46063</x:v>
      </x:c>
      <x:c r="H1958" s="24" t="s">
        <x:v>8940</x:v>
      </x:c>
      <x:c r="I1958" s="28" t="s">
        <x:v>8941</x:v>
      </x:c>
      <x:c r="J1958" s="29" t="s">
        <x:v>8942</x:v>
      </x:c>
    </x:row>
    <x:row r="1959" ht="10.050000190734863" customHeight="1">
      <x:c r="A1959" s="21" t="s">
        <x:v>8943</x:v>
      </x:c>
      <x:c r="B1959" s="20" t="s">
        <x:v>8943</x:v>
      </x:c>
      <x:c r="C1959" s="20" t="s">
        <x:v>8944</x:v>
      </x:c>
      <x:c r="D1959" s="24">
        <x:v>9</x:v>
      </x:c>
      <x:c r="E1959" s="24" t="s">
        <x:v>103</x:v>
      </x:c>
      <x:c r="F1959" s="20" t="s">
        <x:v>97</x:v>
      </x:c>
      <x:c r="G1959" s="26">
        <x:v>46136</x:v>
      </x:c>
      <x:c r="H1959" s="24" t="s">
        <x:v>8945</x:v>
      </x:c>
      <x:c r="I1959" s="28" t="s">
        <x:v>8946</x:v>
      </x:c>
      <x:c r="J1959" s="29" t="s">
        <x:v>8947</x:v>
      </x:c>
    </x:row>
    <x:row r="1960" ht="10.050000190734863" customHeight="1">
      <x:c r="A1960" s="21" t="s">
        <x:v>8948</x:v>
      </x:c>
      <x:c r="B1960" s="20" t="s">
        <x:v>8948</x:v>
      </x:c>
      <x:c r="C1960" s="20" t="s">
        <x:v>8949</x:v>
      </x:c>
      <x:c r="D1960" s="24">
        <x:v>4</x:v>
      </x:c>
      <x:c r="E1960" s="24" t="s">
        <x:v>257</x:v>
      </x:c>
      <x:c r="F1960" s="20" t="s">
        <x:v>97</x:v>
      </x:c>
      <x:c r="G1960" s="26">
        <x:v>42338</x:v>
      </x:c>
      <x:c r="H1960" s="24" t="s">
        <x:v>8950</x:v>
      </x:c>
      <x:c r="I1960" s="28" t="s">
        <x:v>8951</x:v>
      </x:c>
      <x:c r="J1960" s="29" t="s">
        <x:v>8952</x:v>
      </x:c>
    </x:row>
    <x:row r="1961" ht="10.050000190734863" customHeight="1">
      <x:c r="A1961" s="21" t="s">
        <x:v>8953</x:v>
      </x:c>
      <x:c r="B1961" s="20" t="s">
        <x:v>8953</x:v>
      </x:c>
      <x:c r="C1961" s="20" t="s">
        <x:v>7549</x:v>
      </x:c>
      <x:c r="D1961" s="24">
        <x:v>36</x:v>
      </x:c>
      <x:c r="E1961" s="24" t="s">
        <x:v>103</x:v>
      </x:c>
      <x:c r="F1961" s="20" t="s">
        <x:v>97</x:v>
      </x:c>
      <x:c r="G1961" s="26">
        <x:v>42215</x:v>
      </x:c>
      <x:c r="H1961" s="24" t="s">
        <x:v>8954</x:v>
      </x:c>
      <x:c r="I1961" s="28" t="s">
        <x:v>8955</x:v>
      </x:c>
      <x:c r="J1961" s="29" t="s">
        <x:v>8956</x:v>
      </x:c>
    </x:row>
    <x:row r="1962" ht="10.050000190734863" customHeight="1">
      <x:c r="A1962" s="21" t="s">
        <x:v>8957</x:v>
      </x:c>
      <x:c r="B1962" s="20" t="s">
        <x:v>8957</x:v>
      </x:c>
      <x:c r="C1962" s="20" t="s">
        <x:v>8958</x:v>
      </x:c>
      <x:c r="D1962" s="24">
        <x:v>20</x:v>
      </x:c>
      <x:c r="E1962" s="24" t="s">
        <x:v>103</x:v>
      </x:c>
      <x:c r="F1962" s="20" t="s">
        <x:v>97</x:v>
      </x:c>
      <x:c r="G1962" s="26">
        <x:v>41448</x:v>
      </x:c>
      <x:c r="H1962" s="24" t="s">
        <x:v>8959</x:v>
      </x:c>
      <x:c r="I1962" s="28" t="s">
        <x:v>8960</x:v>
      </x:c>
      <x:c r="J1962" s="29" t="s">
        <x:v>8961</x:v>
      </x:c>
    </x:row>
    <x:row r="1963" ht="10.050000190734863" customHeight="1">
      <x:c r="A1963" s="21" t="s">
        <x:v>8962</x:v>
      </x:c>
      <x:c r="B1963" s="20" t="s">
        <x:v>8962</x:v>
      </x:c>
      <x:c r="C1963" s="20" t="s">
        <x:v>8963</x:v>
      </x:c>
      <x:c r="D1963" s="24">
        <x:v>100</x:v>
      </x:c>
      <x:c r="E1963" s="24" t="s">
        <x:v>96</x:v>
      </x:c>
      <x:c r="F1963" s="20" t="s">
        <x:v>97</x:v>
      </x:c>
      <x:c r="G1963" s="26">
        <x:v>41531</x:v>
      </x:c>
      <x:c r="H1963" s="24" t="s">
        <x:v>8964</x:v>
      </x:c>
      <x:c r="I1963" s="28" t="s">
        <x:v>8965</x:v>
      </x:c>
      <x:c r="J1963" s="29" t="s">
        <x:v>8966</x:v>
      </x:c>
    </x:row>
    <x:row r="1964" ht="10.050000190734863" customHeight="1">
      <x:c r="A1964" s="21" t="s">
        <x:v>8967</x:v>
      </x:c>
      <x:c r="B1964" s="20" t="s">
        <x:v>8967</x:v>
      </x:c>
      <x:c r="C1964" s="20" t="s">
        <x:v>543</x:v>
      </x:c>
      <x:c r="D1964" s="24">
        <x:v>20</x:v>
      </x:c>
      <x:c r="E1964" s="24" t="s">
        <x:v>103</x:v>
      </x:c>
      <x:c r="F1964" s="20" t="s">
        <x:v>97</x:v>
      </x:c>
      <x:c r="G1964" s="26">
        <x:v>43961</x:v>
      </x:c>
      <x:c r="H1964" s="24" t="s">
        <x:v>8968</x:v>
      </x:c>
      <x:c r="I1964" s="28" t="s">
        <x:v>8969</x:v>
      </x:c>
      <x:c r="J1964" s="29" t="s">
        <x:v>8970</x:v>
      </x:c>
    </x:row>
    <x:row r="1965" ht="10.050000190734863" customHeight="1">
      <x:c r="A1965" s="21" t="s">
        <x:v>8971</x:v>
      </x:c>
      <x:c r="B1965" s="20" t="s">
        <x:v>8971</x:v>
      </x:c>
      <x:c r="C1965" s="20" t="s">
        <x:v>8972</x:v>
      </x:c>
      <x:c r="D1965" s="24">
        <x:v>13</x:v>
      </x:c>
      <x:c r="E1965" s="24" t="s">
        <x:v>198</x:v>
      </x:c>
      <x:c r="F1965" s="20" t="s">
        <x:v>90</x:v>
      </x:c>
      <x:c r="G1965" s="26">
        <x:v>43260</x:v>
      </x:c>
      <x:c r="H1965" s="24" t="s">
        <x:v>8973</x:v>
      </x:c>
      <x:c r="I1965" s="28" t="s">
        <x:v>8974</x:v>
      </x:c>
      <x:c r="J1965" s="29" t="s">
        <x:v>8975</x:v>
      </x:c>
    </x:row>
    <x:row r="1966" ht="10.050000190734863" customHeight="1">
      <x:c r="A1966" s="21" t="s">
        <x:v>8976</x:v>
      </x:c>
      <x:c r="B1966" s="20" t="s">
        <x:v>8976</x:v>
      </x:c>
      <x:c r="C1966" s="20" t="s">
        <x:v>4197</x:v>
      </x:c>
      <x:c r="D1966" s="24">
        <x:v>7</x:v>
      </x:c>
      <x:c r="E1966" s="24" t="s">
        <x:v>198</x:v>
      </x:c>
      <x:c r="F1966" s="20" t="s">
        <x:v>90</x:v>
      </x:c>
      <x:c r="G1966" s="26">
        <x:v>43017</x:v>
      </x:c>
      <x:c r="H1966" s="24" t="s">
        <x:v>8977</x:v>
      </x:c>
      <x:c r="I1966" s="28" t="s">
        <x:v>8978</x:v>
      </x:c>
      <x:c r="J1966" s="29" t="s">
        <x:v>8979</x:v>
      </x:c>
    </x:row>
    <x:row r="1967" ht="10.050000190734863" customHeight="1">
      <x:c r="A1967" s="21" t="s">
        <x:v>8980</x:v>
      </x:c>
      <x:c r="B1967" s="20" t="s">
        <x:v>8980</x:v>
      </x:c>
      <x:c r="C1967" s="20" t="s">
        <x:v>8981</x:v>
      </x:c>
      <x:c r="D1967" s="24">
        <x:v>81</x:v>
      </x:c>
      <x:c r="E1967" s="24" t="s">
        <x:v>96</x:v>
      </x:c>
      <x:c r="F1967" s="20" t="s">
        <x:v>97</x:v>
      </x:c>
      <x:c r="G1967" s="26">
        <x:v>41531</x:v>
      </x:c>
      <x:c r="H1967" s="24" t="s">
        <x:v>8982</x:v>
      </x:c>
      <x:c r="I1967" s="28" t="s">
        <x:v>8983</x:v>
      </x:c>
      <x:c r="J1967" s="29" t="s">
        <x:v>8984</x:v>
      </x:c>
    </x:row>
    <x:row r="1968" ht="10.050000190734863" customHeight="1">
      <x:c r="A1968" s="21" t="s">
        <x:v>8985</x:v>
      </x:c>
      <x:c r="B1968" s="20" t="s">
        <x:v>8985</x:v>
      </x:c>
      <x:c r="C1968" s="20" t="s">
        <x:v>8986</x:v>
      </x:c>
      <x:c r="D1968" s="24">
        <x:v>7</x:v>
      </x:c>
      <x:c r="E1968" s="24" t="s">
        <x:v>103</x:v>
      </x:c>
      <x:c r="F1968" s="20" t="s">
        <x:v>97</x:v>
      </x:c>
      <x:c r="G1968" s="26">
        <x:v>41517</x:v>
      </x:c>
      <x:c r="H1968" s="24" t="s">
        <x:v>8987</x:v>
      </x:c>
      <x:c r="I1968" s="28" t="s">
        <x:v>8988</x:v>
      </x:c>
      <x:c r="J1968" s="29" t="s">
        <x:v>8989</x:v>
      </x:c>
    </x:row>
    <x:row r="1969" ht="10.050000190734863" customHeight="1">
      <x:c r="A1969" s="21" t="s">
        <x:v>8990</x:v>
      </x:c>
      <x:c r="B1969" s="20" t="s">
        <x:v>8990</x:v>
      </x:c>
      <x:c r="C1969" s="20" t="s">
        <x:v>6477</x:v>
      </x:c>
      <x:c r="D1969" s="24">
        <x:v>19</x:v>
      </x:c>
      <x:c r="E1969" s="24" t="s">
        <x:v>103</x:v>
      </x:c>
      <x:c r="F1969" s="20" t="s">
        <x:v>97</x:v>
      </x:c>
      <x:c r="G1969" s="26">
        <x:v>42166</x:v>
      </x:c>
      <x:c r="H1969" s="24" t="s">
        <x:v>8991</x:v>
      </x:c>
      <x:c r="I1969" s="28" t="s">
        <x:v>8992</x:v>
      </x:c>
      <x:c r="J1969" s="29" t="s">
        <x:v>8993</x:v>
      </x:c>
    </x:row>
    <x:row r="1970" ht="10.050000190734863" customHeight="1">
      <x:c r="A1970" s="21" t="s">
        <x:v>8994</x:v>
      </x:c>
      <x:c r="B1970" s="20" t="s">
        <x:v>8994</x:v>
      </x:c>
      <x:c r="C1970" s="20" t="s">
        <x:v>8995</x:v>
      </x:c>
      <x:c r="D1970" s="24">
        <x:v>88</x:v>
      </x:c>
      <x:c r="E1970" s="24" t="s">
        <x:v>89</x:v>
      </x:c>
      <x:c r="F1970" s="20" t="s">
        <x:v>97</x:v>
      </x:c>
      <x:c r="G1970" s="26">
        <x:v>44208</x:v>
      </x:c>
      <x:c r="H1970" s="24" t="s">
        <x:v>8996</x:v>
      </x:c>
      <x:c r="I1970" s="28" t="s">
        <x:v>8997</x:v>
      </x:c>
      <x:c r="J1970" s="29" t="s">
        <x:v>8998</x:v>
      </x:c>
    </x:row>
    <x:row r="1971" ht="10.050000190734863" customHeight="1">
      <x:c r="A1971" s="21" t="s">
        <x:v>8999</x:v>
      </x:c>
      <x:c r="B1971" s="20" t="s">
        <x:v>8999</x:v>
      </x:c>
      <x:c r="C1971" s="20" t="s">
        <x:v>5298</x:v>
      </x:c>
      <x:c r="D1971" s="24">
        <x:v>62</x:v>
      </x:c>
      <x:c r="E1971" s="24" t="s">
        <x:v>103</x:v>
      </x:c>
      <x:c r="F1971" s="20" t="s">
        <x:v>97</x:v>
      </x:c>
      <x:c r="G1971" s="26">
        <x:v>42304</x:v>
      </x:c>
      <x:c r="H1971" s="24" t="s">
        <x:v>9000</x:v>
      </x:c>
      <x:c r="I1971" s="28" t="s">
        <x:v>9001</x:v>
      </x:c>
      <x:c r="J1971" s="29" t="s">
        <x:v>9002</x:v>
      </x:c>
    </x:row>
    <x:row r="1972" ht="10.050000190734863" customHeight="1">
      <x:c r="A1972" s="21" t="s">
        <x:v>9003</x:v>
      </x:c>
      <x:c r="B1972" s="20" t="s">
        <x:v>9003</x:v>
      </x:c>
      <x:c r="C1972" s="20" t="s">
        <x:v>9004</x:v>
      </x:c>
      <x:c r="D1972" s="24">
        <x:v>12</x:v>
      </x:c>
      <x:c r="E1972" s="24" t="s">
        <x:v>103</x:v>
      </x:c>
      <x:c r="F1972" s="20" t="s">
        <x:v>97</x:v>
      </x:c>
      <x:c r="G1972" s="26">
        <x:v>42065</x:v>
      </x:c>
      <x:c r="H1972" s="24" t="s">
        <x:v>9005</x:v>
      </x:c>
      <x:c r="I1972" s="28" t="s">
        <x:v>9006</x:v>
      </x:c>
      <x:c r="J1972" s="29" t="s">
        <x:v>9007</x:v>
      </x:c>
    </x:row>
    <x:row r="1973" ht="10.050000190734863" customHeight="1">
      <x:c r="A1973" s="21" t="s">
        <x:v>9008</x:v>
      </x:c>
      <x:c r="B1973" s="20" t="s">
        <x:v>9008</x:v>
      </x:c>
      <x:c r="C1973" s="20" t="s">
        <x:v>9009</x:v>
      </x:c>
      <x:c r="D1973" s="24">
        <x:v>8</x:v>
      </x:c>
      <x:c r="E1973" s="24" t="s">
        <x:v>103</x:v>
      </x:c>
      <x:c r="F1973" s="20" t="s">
        <x:v>97</x:v>
      </x:c>
      <x:c r="G1973" s="26">
        <x:v>41517</x:v>
      </x:c>
      <x:c r="H1973" s="24" t="s">
        <x:v>9010</x:v>
      </x:c>
      <x:c r="I1973" s="28" t="s">
        <x:v>9011</x:v>
      </x:c>
      <x:c r="J1973" s="29" t="s">
        <x:v>9012</x:v>
      </x:c>
    </x:row>
    <x:row r="1974" ht="10.050000190734863" customHeight="1">
      <x:c r="A1974" s="21" t="s">
        <x:v>9013</x:v>
      </x:c>
      <x:c r="B1974" s="20" t="s">
        <x:v>9013</x:v>
      </x:c>
      <x:c r="C1974" s="20" t="s">
        <x:v>9014</x:v>
      </x:c>
      <x:c r="D1974" s="24">
        <x:v>34</x:v>
      </x:c>
      <x:c r="E1974" s="24" t="s">
        <x:v>103</x:v>
      </x:c>
      <x:c r="F1974" s="20" t="s">
        <x:v>97</x:v>
      </x:c>
      <x:c r="G1974" s="26">
        <x:v>43281</x:v>
      </x:c>
      <x:c r="H1974" s="24" t="s">
        <x:v>9015</x:v>
      </x:c>
      <x:c r="I1974" s="28" t="s">
        <x:v>9016</x:v>
      </x:c>
      <x:c r="J1974" s="29" t="s">
        <x:v>9017</x:v>
      </x:c>
    </x:row>
    <x:row r="1975" ht="10.050000190734863" customHeight="1">
      <x:c r="A1975" s="21" t="s">
        <x:v>9018</x:v>
      </x:c>
      <x:c r="B1975" s="20" t="s">
        <x:v>9018</x:v>
      </x:c>
      <x:c r="C1975" s="20" t="s">
        <x:v>9014</x:v>
      </x:c>
      <x:c r="D1975" s="24">
        <x:v>32</x:v>
      </x:c>
      <x:c r="E1975" s="24" t="s">
        <x:v>96</x:v>
      </x:c>
      <x:c r="F1975" s="20" t="s">
        <x:v>97</x:v>
      </x:c>
      <x:c r="G1975" s="26">
        <x:v>44242</x:v>
      </x:c>
      <x:c r="H1975" s="24" t="s">
        <x:v>9019</x:v>
      </x:c>
      <x:c r="I1975" s="28" t="s">
        <x:v>9020</x:v>
      </x:c>
      <x:c r="J1975" s="29" t="s">
        <x:v>9021</x:v>
      </x:c>
    </x:row>
    <x:row r="1976" ht="10.050000190734863" customHeight="1">
      <x:c r="A1976" s="21" t="s">
        <x:v>9022</x:v>
      </x:c>
      <x:c r="B1976" s="20" t="s">
        <x:v>9022</x:v>
      </x:c>
      <x:c r="C1976" s="20" t="s">
        <x:v>5011</x:v>
      </x:c>
      <x:c r="D1976" s="24">
        <x:v>30</x:v>
      </x:c>
      <x:c r="E1976" s="24" t="s">
        <x:v>96</x:v>
      </x:c>
      <x:c r="F1976" s="20" t="s">
        <x:v>97</x:v>
      </x:c>
      <x:c r="G1976" s="26">
        <x:v>45206</x:v>
      </x:c>
      <x:c r="H1976" s="24" t="s">
        <x:v>9023</x:v>
      </x:c>
      <x:c r="I1976" s="28" t="s">
        <x:v>9024</x:v>
      </x:c>
      <x:c r="J1976" s="29" t="s">
        <x:v>9025</x:v>
      </x:c>
    </x:row>
    <x:row r="1977" ht="10.050000190734863" customHeight="1">
      <x:c r="A1977" s="21" t="s">
        <x:v>9026</x:v>
      </x:c>
      <x:c r="B1977" s="20" t="s">
        <x:v>9026</x:v>
      </x:c>
      <x:c r="C1977" s="20" t="s">
        <x:v>543</x:v>
      </x:c>
      <x:c r="D1977" s="24">
        <x:v>96</x:v>
      </x:c>
      <x:c r="E1977" s="24" t="s">
        <x:v>257</x:v>
      </x:c>
      <x:c r="F1977" s="20" t="s">
        <x:v>97</x:v>
      </x:c>
      <x:c r="G1977" s="26">
        <x:v>42292</x:v>
      </x:c>
      <x:c r="H1977" s="24" t="s">
        <x:v>9027</x:v>
      </x:c>
      <x:c r="I1977" s="28" t="s">
        <x:v>9028</x:v>
      </x:c>
      <x:c r="J1977" s="29" t="s">
        <x:v>9029</x:v>
      </x:c>
    </x:row>
    <x:row r="1978" ht="10.050000190734863" customHeight="1">
      <x:c r="A1978" s="21" t="s">
        <x:v>9030</x:v>
      </x:c>
      <x:c r="B1978" s="20" t="s">
        <x:v>9030</x:v>
      </x:c>
      <x:c r="C1978" s="20" t="s">
        <x:v>4746</x:v>
      </x:c>
      <x:c r="D1978" s="24">
        <x:v>1</x:v>
      </x:c>
      <x:c r="E1978" s="24" t="s">
        <x:v>114</x:v>
      </x:c>
      <x:c r="F1978" s="20" t="s">
        <x:v>90</x:v>
      </x:c>
      <x:c r="G1978" s="26">
        <x:v>45487</x:v>
      </x:c>
      <x:c r="H1978" s="24" t="s">
        <x:v>9031</x:v>
      </x:c>
      <x:c r="I1978" s="28" t="s">
        <x:v>9032</x:v>
      </x:c>
      <x:c r="J1978" s="29" t="s">
        <x:v>9033</x:v>
      </x:c>
    </x:row>
    <x:row r="1979" ht="10.050000190734863" customHeight="1">
      <x:c r="A1979" s="21" t="s">
        <x:v>9034</x:v>
      </x:c>
      <x:c r="B1979" s="20" t="s">
        <x:v>9034</x:v>
      </x:c>
      <x:c r="C1979" s="20" t="s">
        <x:v>9035</x:v>
      </x:c>
      <x:c r="D1979" s="24">
        <x:v>20</x:v>
      </x:c>
      <x:c r="E1979" s="24" t="s">
        <x:v>103</x:v>
      </x:c>
      <x:c r="F1979" s="20" t="s">
        <x:v>97</x:v>
      </x:c>
      <x:c r="G1979" s="26">
        <x:v>45980</x:v>
      </x:c>
      <x:c r="H1979" s="24" t="s">
        <x:v>9036</x:v>
      </x:c>
      <x:c r="I1979" s="28" t="s">
        <x:v>9037</x:v>
      </x:c>
      <x:c r="J1979" s="29" t="s">
        <x:v>9038</x:v>
      </x:c>
    </x:row>
    <x:row r="1980" ht="10.050000190734863" customHeight="1">
      <x:c r="A1980" s="21" t="s">
        <x:v>9039</x:v>
      </x:c>
      <x:c r="B1980" s="20" t="s">
        <x:v>9039</x:v>
      </x:c>
      <x:c r="C1980" s="20" t="s">
        <x:v>9040</x:v>
      </x:c>
      <x:c r="D1980" s="24">
        <x:v>8</x:v>
      </x:c>
      <x:c r="E1980" s="24" t="s">
        <x:v>103</x:v>
      </x:c>
      <x:c r="F1980" s="20" t="s">
        <x:v>97</x:v>
      </x:c>
      <x:c r="G1980" s="26">
        <x:v>42209</x:v>
      </x:c>
      <x:c r="H1980" s="24" t="s">
        <x:v>9041</x:v>
      </x:c>
      <x:c r="I1980" s="28" t="s">
        <x:v>9042</x:v>
      </x:c>
      <x:c r="J1980" s="29" t="s">
        <x:v>9043</x:v>
      </x:c>
    </x:row>
    <x:row r="1981" ht="10.050000190734863" customHeight="1">
      <x:c r="A1981" s="21" t="s">
        <x:v>9044</x:v>
      </x:c>
      <x:c r="B1981" s="20" t="s">
        <x:v>9044</x:v>
      </x:c>
      <x:c r="C1981" s="20" t="s">
        <x:v>9045</x:v>
      </x:c>
      <x:c r="D1981" s="24">
        <x:v>6</x:v>
      </x:c>
      <x:c r="E1981" s="24" t="s">
        <x:v>257</x:v>
      </x:c>
      <x:c r="F1981" s="20" t="s">
        <x:v>97</x:v>
      </x:c>
      <x:c r="G1981" s="26">
        <x:v>41530</x:v>
      </x:c>
      <x:c r="H1981" s="24" t="s">
        <x:v>9046</x:v>
      </x:c>
      <x:c r="I1981" s="28" t="s">
        <x:v>9047</x:v>
      </x:c>
      <x:c r="J1981" s="29" t="s">
        <x:v>9048</x:v>
      </x:c>
    </x:row>
    <x:row r="1982" ht="10.050000190734863" customHeight="1">
      <x:c r="A1982" s="21" t="s">
        <x:v>9049</x:v>
      </x:c>
      <x:c r="B1982" s="20" t="s">
        <x:v>9049</x:v>
      </x:c>
      <x:c r="C1982" s="20" t="s">
        <x:v>9050</x:v>
      </x:c>
      <x:c r="D1982" s="24">
        <x:v>75</x:v>
      </x:c>
      <x:c r="E1982" s="24" t="s">
        <x:v>103</x:v>
      </x:c>
      <x:c r="F1982" s="20" t="s">
        <x:v>97</x:v>
      </x:c>
      <x:c r="G1982" s="26">
        <x:v>44693</x:v>
      </x:c>
      <x:c r="H1982" s="24" t="s">
        <x:v>9051</x:v>
      </x:c>
      <x:c r="I1982" s="28" t="s">
        <x:v>9052</x:v>
      </x:c>
      <x:c r="J1982" s="29" t="s">
        <x:v>9053</x:v>
      </x:c>
    </x:row>
    <x:row r="1983" ht="10.050000190734863" customHeight="1">
      <x:c r="A1983" s="21" t="s">
        <x:v>9054</x:v>
      </x:c>
      <x:c r="B1983" s="20" t="s">
        <x:v>9054</x:v>
      </x:c>
      <x:c r="C1983" s="20" t="s">
        <x:v>9055</x:v>
      </x:c>
      <x:c r="D1983" s="24">
        <x:v>17</x:v>
      </x:c>
      <x:c r="E1983" s="24" t="s">
        <x:v>257</x:v>
      </x:c>
      <x:c r="F1983" s="20" t="s">
        <x:v>97</x:v>
      </x:c>
      <x:c r="G1983" s="26">
        <x:v>42227</x:v>
      </x:c>
      <x:c r="H1983" s="24" t="s">
        <x:v>9056</x:v>
      </x:c>
      <x:c r="I1983" s="28" t="s">
        <x:v>9057</x:v>
      </x:c>
      <x:c r="J1983" s="29" t="s">
        <x:v>9058</x:v>
      </x:c>
    </x:row>
    <x:row r="1984" ht="10.050000190734863" customHeight="1">
      <x:c r="A1984" s="21" t="s">
        <x:v>9059</x:v>
      </x:c>
      <x:c r="B1984" s="20" t="s">
        <x:v>9059</x:v>
      </x:c>
      <x:c r="C1984" s="20" t="s">
        <x:v>9060</x:v>
      </x:c>
      <x:c r="D1984" s="24">
        <x:v>17</x:v>
      </x:c>
      <x:c r="E1984" s="24" t="s">
        <x:v>103</x:v>
      </x:c>
      <x:c r="F1984" s="20" t="s">
        <x:v>97</x:v>
      </x:c>
      <x:c r="G1984" s="26">
        <x:v>41447</x:v>
      </x:c>
      <x:c r="H1984" s="24" t="s">
        <x:v>9061</x:v>
      </x:c>
      <x:c r="I1984" s="28" t="s">
        <x:v>9062</x:v>
      </x:c>
      <x:c r="J1984" s="29" t="s">
        <x:v>9063</x:v>
      </x:c>
    </x:row>
    <x:row r="1985" ht="10.050000190734863" customHeight="1">
      <x:c r="A1985" s="21" t="s">
        <x:v>9064</x:v>
      </x:c>
      <x:c r="B1985" s="20" t="s">
        <x:v>9064</x:v>
      </x:c>
      <x:c r="C1985" s="20" t="s">
        <x:v>9065</x:v>
      </x:c>
      <x:c r="D1985" s="24">
        <x:v>7</x:v>
      </x:c>
      <x:c r="E1985" s="24" t="s">
        <x:v>103</x:v>
      </x:c>
      <x:c r="F1985" s="20" t="s">
        <x:v>97</x:v>
      </x:c>
      <x:c r="G1985" s="26">
        <x:v>43029</x:v>
      </x:c>
      <x:c r="H1985" s="24" t="s">
        <x:v>9066</x:v>
      </x:c>
      <x:c r="I1985" s="28" t="s">
        <x:v>9067</x:v>
      </x:c>
      <x:c r="J1985" s="29" t="s">
        <x:v>9068</x:v>
      </x:c>
    </x:row>
    <x:row r="1986" ht="10.050000190734863" customHeight="1">
      <x:c r="A1986" s="21" t="s">
        <x:v>9069</x:v>
      </x:c>
      <x:c r="B1986" s="20" t="s">
        <x:v>9069</x:v>
      </x:c>
      <x:c r="C1986" s="20" t="s">
        <x:v>9070</x:v>
      </x:c>
      <x:c r="D1986" s="24">
        <x:v>3</x:v>
      </x:c>
      <x:c r="E1986" s="24" t="s">
        <x:v>96</x:v>
      </x:c>
      <x:c r="F1986" s="20" t="s">
        <x:v>97</x:v>
      </x:c>
      <x:c r="G1986" s="26">
        <x:v>42066</x:v>
      </x:c>
      <x:c r="H1986" s="24" t="s">
        <x:v>9071</x:v>
      </x:c>
      <x:c r="I1986" s="28" t="s">
        <x:v>9072</x:v>
      </x:c>
      <x:c r="J1986" s="29" t="s">
        <x:v>9073</x:v>
      </x:c>
    </x:row>
    <x:row r="1987" ht="10.050000190734863" customHeight="1">
      <x:c r="A1987" s="21" t="s">
        <x:v>9074</x:v>
      </x:c>
      <x:c r="B1987" s="20" t="s">
        <x:v>9074</x:v>
      </x:c>
      <x:c r="C1987" s="20" t="s">
        <x:v>9075</x:v>
      </x:c>
      <x:c r="D1987" s="24">
        <x:v>9</x:v>
      </x:c>
      <x:c r="E1987" s="24" t="s">
        <x:v>257</x:v>
      </x:c>
      <x:c r="F1987" s="20" t="s">
        <x:v>97</x:v>
      </x:c>
      <x:c r="G1987" s="26">
        <x:v>44508</x:v>
      </x:c>
      <x:c r="H1987" s="24" t="s">
        <x:v>9076</x:v>
      </x:c>
      <x:c r="I1987" s="28" t="s">
        <x:v>9077</x:v>
      </x:c>
      <x:c r="J1987" s="29" t="s">
        <x:v>9078</x:v>
      </x:c>
    </x:row>
    <x:row r="1988" ht="10.050000190734863" customHeight="1">
      <x:c r="A1988" s="21" t="s">
        <x:v>9079</x:v>
      </x:c>
      <x:c r="B1988" s="20" t="s">
        <x:v>9079</x:v>
      </x:c>
      <x:c r="C1988" s="20" t="s">
        <x:v>9080</x:v>
      </x:c>
      <x:c r="D1988" s="24">
        <x:v>4</x:v>
      </x:c>
      <x:c r="E1988" s="24" t="s">
        <x:v>103</x:v>
      </x:c>
      <x:c r="F1988" s="20" t="s">
        <x:v>97</x:v>
      </x:c>
      <x:c r="G1988" s="26">
        <x:v>41530</x:v>
      </x:c>
      <x:c r="H1988" s="24" t="s">
        <x:v>9081</x:v>
      </x:c>
      <x:c r="I1988" s="28" t="s">
        <x:v>9082</x:v>
      </x:c>
      <x:c r="J1988" s="29" t="s">
        <x:v>9083</x:v>
      </x:c>
    </x:row>
    <x:row r="1989" ht="10.050000190734863" customHeight="1">
      <x:c r="A1989" s="21" t="s">
        <x:v>9084</x:v>
      </x:c>
      <x:c r="B1989" s="20" t="s">
        <x:v>9085</x:v>
      </x:c>
      <x:c r="C1989" s="20" t="s">
        <x:v>9086</x:v>
      </x:c>
      <x:c r="D1989" s="24">
        <x:v>80</x:v>
      </x:c>
      <x:c r="E1989" s="24" t="s">
        <x:v>103</x:v>
      </x:c>
      <x:c r="F1989" s="20" t="s">
        <x:v>97</x:v>
      </x:c>
      <x:c r="G1989" s="26">
        <x:v>42236</x:v>
      </x:c>
      <x:c r="H1989" s="24" t="s">
        <x:v>9087</x:v>
      </x:c>
      <x:c r="I1989" s="28" t="s">
        <x:v>9088</x:v>
      </x:c>
      <x:c r="J1989" s="29" t="s">
        <x:v>9089</x:v>
      </x:c>
    </x:row>
    <x:row r="1990" ht="10.050000190734863" customHeight="1">
      <x:c r="A1990" s="21" t="s">
        <x:v>9090</x:v>
      </x:c>
      <x:c r="B1990" s="20" t="s">
        <x:v>9085</x:v>
      </x:c>
      <x:c r="C1990" s="20" t="s">
        <x:v>5011</x:v>
      </x:c>
      <x:c r="D1990" s="24">
        <x:v>30</x:v>
      </x:c>
      <x:c r="E1990" s="24" t="s">
        <x:v>103</x:v>
      </x:c>
      <x:c r="F1990" s="20" t="s">
        <x:v>97</x:v>
      </x:c>
      <x:c r="G1990" s="26">
        <x:v>44189</x:v>
      </x:c>
      <x:c r="H1990" s="24" t="s">
        <x:v>9091</x:v>
      </x:c>
      <x:c r="I1990" s="28" t="s">
        <x:v>9092</x:v>
      </x:c>
      <x:c r="J1990" s="29" t="s">
        <x:v>9093</x:v>
      </x:c>
    </x:row>
    <x:row r="1991" ht="10.050000190734863" customHeight="1">
      <x:c r="A1991" s="21" t="s">
        <x:v>9094</x:v>
      </x:c>
      <x:c r="B1991" s="20" t="s">
        <x:v>9094</x:v>
      </x:c>
      <x:c r="C1991" s="20" t="s">
        <x:v>9095</x:v>
      </x:c>
      <x:c r="D1991" s="24">
        <x:v>62</x:v>
      </x:c>
      <x:c r="E1991" s="24" t="s">
        <x:v>257</x:v>
      </x:c>
      <x:c r="F1991" s="20" t="s">
        <x:v>97</x:v>
      </x:c>
      <x:c r="G1991" s="26">
        <x:v>42213</x:v>
      </x:c>
      <x:c r="H1991" s="24" t="s">
        <x:v>9096</x:v>
      </x:c>
      <x:c r="I1991" s="28" t="s">
        <x:v>9097</x:v>
      </x:c>
      <x:c r="J1991" s="29" t="s">
        <x:v>9098</x:v>
      </x:c>
    </x:row>
    <x:row r="1992" ht="10.050000190734863" customHeight="1">
      <x:c r="A1992" s="21" t="s">
        <x:v>9099</x:v>
      </x:c>
      <x:c r="B1992" s="20" t="s">
        <x:v>9099</x:v>
      </x:c>
      <x:c r="C1992" s="20" t="s">
        <x:v>5011</x:v>
      </x:c>
      <x:c r="D1992" s="24">
        <x:v>40</x:v>
      </x:c>
      <x:c r="E1992" s="24" t="s">
        <x:v>103</x:v>
      </x:c>
      <x:c r="F1992" s="20" t="s">
        <x:v>97</x:v>
      </x:c>
      <x:c r="G1992" s="26">
        <x:v>44621</x:v>
      </x:c>
      <x:c r="H1992" s="24" t="s">
        <x:v>9100</x:v>
      </x:c>
      <x:c r="I1992" s="28" t="s">
        <x:v>9101</x:v>
      </x:c>
      <x:c r="J1992" s="29" t="s">
        <x:v>9102</x:v>
      </x:c>
    </x:row>
    <x:row r="1993" ht="10.050000190734863" customHeight="1">
      <x:c r="A1993" s="21" t="s">
        <x:v>9103</x:v>
      </x:c>
      <x:c r="B1993" s="20" t="s">
        <x:v>9103</x:v>
      </x:c>
      <x:c r="C1993" s="20" t="s">
        <x:v>7549</x:v>
      </x:c>
      <x:c r="D1993" s="24">
        <x:v>19</x:v>
      </x:c>
      <x:c r="E1993" s="24" t="s">
        <x:v>103</x:v>
      </x:c>
      <x:c r="F1993" s="20" t="s">
        <x:v>97</x:v>
      </x:c>
      <x:c r="G1993" s="26">
        <x:v>41508</x:v>
      </x:c>
      <x:c r="H1993" s="24" t="s">
        <x:v>9104</x:v>
      </x:c>
      <x:c r="I1993" s="28" t="s">
        <x:v>9105</x:v>
      </x:c>
      <x:c r="J1993" s="29" t="s">
        <x:v>9106</x:v>
      </x:c>
    </x:row>
    <x:row r="1994" ht="10.050000190734863" customHeight="1">
      <x:c r="A1994" s="21" t="s">
        <x:v>9107</x:v>
      </x:c>
      <x:c r="B1994" s="20" t="s">
        <x:v>9107</x:v>
      </x:c>
      <x:c r="C1994" s="20" t="s">
        <x:v>8811</x:v>
      </x:c>
      <x:c r="D1994" s="24">
        <x:v>5</x:v>
      </x:c>
      <x:c r="E1994" s="24" t="s">
        <x:v>103</x:v>
      </x:c>
      <x:c r="F1994" s="20" t="s">
        <x:v>97</x:v>
      </x:c>
      <x:c r="G1994" s="26">
        <x:v>43536</x:v>
      </x:c>
      <x:c r="H1994" s="24" t="s">
        <x:v>9108</x:v>
      </x:c>
      <x:c r="I1994" s="28" t="s">
        <x:v>9109</x:v>
      </x:c>
      <x:c r="J1994" s="29" t="s">
        <x:v>9110</x:v>
      </x:c>
    </x:row>
    <x:row r="1995" ht="10.050000190734863" customHeight="1">
      <x:c r="A1995" s="21" t="s">
        <x:v>9111</x:v>
      </x:c>
      <x:c r="B1995" s="20" t="s">
        <x:v>9111</x:v>
      </x:c>
      <x:c r="C1995" s="20" t="s">
        <x:v>713</x:v>
      </x:c>
      <x:c r="D1995" s="24">
        <x:v>96</x:v>
      </x:c>
      <x:c r="E1995" s="24" t="s">
        <x:v>103</x:v>
      </x:c>
      <x:c r="F1995" s="20" t="s">
        <x:v>97</x:v>
      </x:c>
      <x:c r="G1995" s="26">
        <x:v>42841</x:v>
      </x:c>
      <x:c r="H1995" s="24" t="s">
        <x:v>9112</x:v>
      </x:c>
      <x:c r="I1995" s="28" t="s">
        <x:v>9113</x:v>
      </x:c>
      <x:c r="J1995" s="29" t="s">
        <x:v>9114</x:v>
      </x:c>
    </x:row>
    <x:row r="1996" ht="10.050000190734863" customHeight="1">
      <x:c r="A1996" s="21" t="s">
        <x:v>9115</x:v>
      </x:c>
      <x:c r="B1996" s="20" t="s">
        <x:v>9115</x:v>
      </x:c>
      <x:c r="C1996" s="20" t="s">
        <x:v>9116</x:v>
      </x:c>
      <x:c r="D1996" s="24">
        <x:v>8</x:v>
      </x:c>
      <x:c r="E1996" s="24" t="s">
        <x:v>257</x:v>
      </x:c>
      <x:c r="F1996" s="20" t="s">
        <x:v>97</x:v>
      </x:c>
      <x:c r="G1996" s="26">
        <x:v>43031</x:v>
      </x:c>
      <x:c r="H1996" s="24" t="s">
        <x:v>9117</x:v>
      </x:c>
      <x:c r="I1996" s="28" t="s">
        <x:v>9118</x:v>
      </x:c>
      <x:c r="J1996" s="29" t="s">
        <x:v>9119</x:v>
      </x:c>
    </x:row>
    <x:row r="1997" ht="10.050000190734863" customHeight="1">
      <x:c r="A1997" s="21" t="s">
        <x:v>9120</x:v>
      </x:c>
      <x:c r="B1997" s="20" t="s">
        <x:v>9120</x:v>
      </x:c>
      <x:c r="C1997" s="20" t="s">
        <x:v>9121</x:v>
      </x:c>
      <x:c r="D1997" s="24">
        <x:v>60</x:v>
      </x:c>
      <x:c r="E1997" s="24" t="s">
        <x:v>103</x:v>
      </x:c>
      <x:c r="F1997" s="20" t="s">
        <x:v>97</x:v>
      </x:c>
      <x:c r="G1997" s="26">
        <x:v>46221</x:v>
      </x:c>
      <x:c r="H1997" s="24" t="s">
        <x:v>9122</x:v>
      </x:c>
      <x:c r="I1997" s="28" t="s">
        <x:v>9123</x:v>
      </x:c>
      <x:c r="J1997" s="29" t="s">
        <x:v>9124</x:v>
      </x:c>
    </x:row>
    <x:row r="1998" ht="10.050000190734863" customHeight="1">
      <x:c r="A1998" s="21" t="s">
        <x:v>9125</x:v>
      </x:c>
      <x:c r="B1998" s="20" t="s">
        <x:v>9125</x:v>
      </x:c>
      <x:c r="C1998" s="20" t="s">
        <x:v>5087</x:v>
      </x:c>
      <x:c r="D1998" s="24">
        <x:v>62</x:v>
      </x:c>
      <x:c r="E1998" s="24" t="s">
        <x:v>103</x:v>
      </x:c>
      <x:c r="F1998" s="20" t="s">
        <x:v>97</x:v>
      </x:c>
      <x:c r="G1998" s="26">
        <x:v>46191</x:v>
      </x:c>
      <x:c r="H1998" s="24" t="s">
        <x:v>9126</x:v>
      </x:c>
      <x:c r="I1998" s="28" t="s">
        <x:v>9127</x:v>
      </x:c>
      <x:c r="J1998" s="29" t="s">
        <x:v>9128</x:v>
      </x:c>
    </x:row>
    <x:row r="1999" ht="10.050000190734863" customHeight="1">
      <x:c r="A1999" s="21" t="s">
        <x:v>9129</x:v>
      </x:c>
      <x:c r="B1999" s="20" t="s">
        <x:v>9129</x:v>
      </x:c>
      <x:c r="C1999" s="20" t="s">
        <x:v>9130</x:v>
      </x:c>
      <x:c r="D1999" s="24">
        <x:v>96</x:v>
      </x:c>
      <x:c r="E1999" s="24" t="s">
        <x:v>103</x:v>
      </x:c>
      <x:c r="F1999" s="20" t="s">
        <x:v>97</x:v>
      </x:c>
      <x:c r="G1999" s="26">
        <x:v>45132</x:v>
      </x:c>
      <x:c r="H1999" s="24" t="s">
        <x:v>9131</x:v>
      </x:c>
      <x:c r="I1999" s="28" t="s">
        <x:v>9132</x:v>
      </x:c>
      <x:c r="J1999" s="29" t="s">
        <x:v>9133</x:v>
      </x:c>
    </x:row>
    <x:row r="2000" ht="10.050000190734863" customHeight="1">
      <x:c r="A2000" s="21" t="s">
        <x:v>9134</x:v>
      </x:c>
      <x:c r="B2000" s="20" t="s">
        <x:v>9134</x:v>
      </x:c>
      <x:c r="C2000" s="20" t="s">
        <x:v>766</x:v>
      </x:c>
      <x:c r="D2000" s="24">
        <x:v>53</x:v>
      </x:c>
      <x:c r="E2000" s="24" t="s">
        <x:v>96</x:v>
      </x:c>
      <x:c r="F2000" s="20" t="s">
        <x:v>97</x:v>
      </x:c>
      <x:c r="G2000" s="26">
        <x:v>44037</x:v>
      </x:c>
      <x:c r="H2000" s="24" t="s">
        <x:v>9135</x:v>
      </x:c>
      <x:c r="I2000" s="28" t="s">
        <x:v>9136</x:v>
      </x:c>
      <x:c r="J2000" s="29" t="s">
        <x:v>9137</x:v>
      </x:c>
    </x:row>
    <x:row r="2001" ht="10.050000190734863" customHeight="1">
      <x:c r="A2001" s="21" t="s">
        <x:v>9138</x:v>
      </x:c>
      <x:c r="B2001" s="20" t="s">
        <x:v>9138</x:v>
      </x:c>
      <x:c r="C2001" s="20" t="s">
        <x:v>9139</x:v>
      </x:c>
      <x:c r="D2001" s="24">
        <x:v>33</x:v>
      </x:c>
      <x:c r="E2001" s="24" t="s">
        <x:v>257</x:v>
      </x:c>
      <x:c r="F2001" s="20" t="s">
        <x:v>97</x:v>
      </x:c>
      <x:c r="G2001" s="26">
        <x:v>42304</x:v>
      </x:c>
      <x:c r="H2001" s="24" t="s">
        <x:v>9140</x:v>
      </x:c>
      <x:c r="I2001" s="28" t="s">
        <x:v>9141</x:v>
      </x:c>
      <x:c r="J2001" s="29" t="s">
        <x:v>9142</x:v>
      </x:c>
    </x:row>
    <x:row r="2002" ht="10.050000190734863" customHeight="1">
      <x:c r="A2002" s="21" t="s">
        <x:v>9143</x:v>
      </x:c>
      <x:c r="B2002" s="20" t="s">
        <x:v>9143</x:v>
      </x:c>
      <x:c r="C2002" s="20" t="s">
        <x:v>9144</x:v>
      </x:c>
      <x:c r="D2002" s="24">
        <x:v>6</x:v>
      </x:c>
      <x:c r="E2002" s="24" t="s">
        <x:v>257</x:v>
      </x:c>
      <x:c r="F2002" s="20" t="s">
        <x:v>97</x:v>
      </x:c>
      <x:c r="G2002" s="26">
        <x:v>42339</x:v>
      </x:c>
      <x:c r="H2002" s="24" t="s">
        <x:v>9145</x:v>
      </x:c>
      <x:c r="I2002" s="28" t="s">
        <x:v>9146</x:v>
      </x:c>
      <x:c r="J2002" s="29" t="s">
        <x:v>9147</x:v>
      </x:c>
    </x:row>
    <x:row r="2003" ht="10.050000190734863" customHeight="1">
      <x:c r="A2003" s="21" t="s">
        <x:v>9148</x:v>
      </x:c>
      <x:c r="B2003" s="20" t="s">
        <x:v>9148</x:v>
      </x:c>
      <x:c r="C2003" s="20" t="s">
        <x:v>9149</x:v>
      </x:c>
      <x:c r="D2003" s="24">
        <x:v>20</x:v>
      </x:c>
      <x:c r="E2003" s="24" t="s">
        <x:v>257</x:v>
      </x:c>
      <x:c r="F2003" s="20" t="s">
        <x:v>97</x:v>
      </x:c>
      <x:c r="G2003" s="26">
        <x:v>42214</x:v>
      </x:c>
      <x:c r="H2003" s="24" t="s">
        <x:v>9150</x:v>
      </x:c>
      <x:c r="I2003" s="28" t="s">
        <x:v>9151</x:v>
      </x:c>
      <x:c r="J2003" s="29" t="s">
        <x:v>9152</x:v>
      </x:c>
    </x:row>
    <x:row r="2004" ht="10.050000190734863" customHeight="1">
      <x:c r="A2004" s="21" t="s">
        <x:v>9153</x:v>
      </x:c>
      <x:c r="B2004" s="20" t="s">
        <x:v>9153</x:v>
      </x:c>
      <x:c r="C2004" s="20" t="s">
        <x:v>346</x:v>
      </x:c>
      <x:c r="D2004" s="24">
        <x:v>5</x:v>
      </x:c>
      <x:c r="E2004" s="24" t="s">
        <x:v>103</x:v>
      </x:c>
      <x:c r="F2004" s="20" t="s">
        <x:v>97</x:v>
      </x:c>
      <x:c r="G2004" s="26">
        <x:v>42277</x:v>
      </x:c>
      <x:c r="H2004" s="24" t="s">
        <x:v>9154</x:v>
      </x:c>
      <x:c r="I2004" s="28" t="s">
        <x:v>9155</x:v>
      </x:c>
      <x:c r="J2004" s="29" t="s">
        <x:v>9156</x:v>
      </x:c>
    </x:row>
    <x:row r="2005" ht="10.050000190734863" customHeight="1">
      <x:c r="A2005" s="21" t="s">
        <x:v>9157</x:v>
      </x:c>
      <x:c r="B2005" s="20" t="s">
        <x:v>9157</x:v>
      </x:c>
      <x:c r="C2005" s="20" t="s">
        <x:v>9158</x:v>
      </x:c>
      <x:c r="D2005" s="24">
        <x:v>19</x:v>
      </x:c>
      <x:c r="E2005" s="24" t="s">
        <x:v>198</x:v>
      </x:c>
      <x:c r="F2005" s="20" t="s">
        <x:v>90</x:v>
      </x:c>
      <x:c r="G2005" s="26">
        <x:v>42818</x:v>
      </x:c>
      <x:c r="H2005" s="24" t="s">
        <x:v>9159</x:v>
      </x:c>
      <x:c r="I2005" s="28" t="s">
        <x:v>9160</x:v>
      </x:c>
      <x:c r="J2005" s="29" t="s">
        <x:v>9161</x:v>
      </x:c>
    </x:row>
    <x:row r="2006" ht="10.050000190734863" customHeight="1">
      <x:c r="A2006" s="21" t="s">
        <x:v>9162</x:v>
      </x:c>
      <x:c r="B2006" s="20" t="s">
        <x:v>9162</x:v>
      </x:c>
      <x:c r="C2006" s="20" t="s">
        <x:v>9163</x:v>
      </x:c>
      <x:c r="D2006" s="24">
        <x:v>1</x:v>
      </x:c>
      <x:c r="E2006" s="24" t="s">
        <x:v>89</x:v>
      </x:c>
      <x:c r="F2006" s="20" t="s">
        <x:v>97</x:v>
      </x:c>
      <x:c r="G2006" s="26">
        <x:v>45667</x:v>
      </x:c>
      <x:c r="H2006" s="24" t="s">
        <x:v>9164</x:v>
      </x:c>
      <x:c r="I2006" s="28" t="s">
        <x:v>9165</x:v>
      </x:c>
      <x:c r="J2006" s="29" t="s">
        <x:v>9166</x:v>
      </x:c>
    </x:row>
    <x:row r="2007" ht="10.050000190734863" customHeight="1">
      <x:c r="A2007" s="21" t="s">
        <x:v>9167</x:v>
      </x:c>
      <x:c r="B2007" s="20" t="s">
        <x:v>9167</x:v>
      </x:c>
      <x:c r="C2007" s="20" t="s">
        <x:v>1306</x:v>
      </x:c>
      <x:c r="D2007" s="24">
        <x:v>23</x:v>
      </x:c>
      <x:c r="E2007" s="24" t="s">
        <x:v>103</x:v>
      </x:c>
      <x:c r="F2007" s="20" t="s">
        <x:v>97</x:v>
      </x:c>
      <x:c r="G2007" s="26">
        <x:v>45377</x:v>
      </x:c>
      <x:c r="H2007" s="24" t="s">
        <x:v>9168</x:v>
      </x:c>
      <x:c r="I2007" s="28" t="s">
        <x:v>9169</x:v>
      </x:c>
      <x:c r="J2007" s="29" t="s">
        <x:v>9170</x:v>
      </x:c>
    </x:row>
    <x:row r="2008" ht="10.050000190734863" customHeight="1">
      <x:c r="A2008" s="21" t="s">
        <x:v>9171</x:v>
      </x:c>
      <x:c r="B2008" s="20" t="s">
        <x:v>9171</x:v>
      </x:c>
      <x:c r="C2008" s="20" t="s">
        <x:v>9172</x:v>
      </x:c>
      <x:c r="D2008" s="24">
        <x:v>26</x:v>
      </x:c>
      <x:c r="E2008" s="24" t="s">
        <x:v>257</x:v>
      </x:c>
      <x:c r="F2008" s="20" t="s">
        <x:v>97</x:v>
      </x:c>
      <x:c r="G2008" s="26">
        <x:v>44186</x:v>
      </x:c>
      <x:c r="H2008" s="24" t="s">
        <x:v>9173</x:v>
      </x:c>
      <x:c r="I2008" s="28" t="s">
        <x:v>9174</x:v>
      </x:c>
      <x:c r="J2008" s="29" t="s">
        <x:v>9175</x:v>
      </x:c>
    </x:row>
    <x:row r="2009" ht="10.050000190734863" customHeight="1">
      <x:c r="A2009" s="21" t="s">
        <x:v>9176</x:v>
      </x:c>
      <x:c r="B2009" s="20" t="s">
        <x:v>9176</x:v>
      </x:c>
      <x:c r="C2009" s="20" t="s">
        <x:v>9177</x:v>
      </x:c>
      <x:c r="D2009" s="24">
        <x:v>9</x:v>
      </x:c>
      <x:c r="E2009" s="24" t="s">
        <x:v>103</x:v>
      </x:c>
      <x:c r="F2009" s="20" t="s">
        <x:v>97</x:v>
      </x:c>
      <x:c r="G2009" s="26">
        <x:v>44940</x:v>
      </x:c>
      <x:c r="H2009" s="24" t="s">
        <x:v>9178</x:v>
      </x:c>
      <x:c r="I2009" s="28" t="s">
        <x:v>9179</x:v>
      </x:c>
      <x:c r="J2009" s="29" t="s">
        <x:v>9180</x:v>
      </x:c>
    </x:row>
    <x:row r="2010" ht="10.050000190734863" customHeight="1">
      <x:c r="A2010" s="21" t="s">
        <x:v>9181</x:v>
      </x:c>
      <x:c r="B2010" s="20" t="s">
        <x:v>9181</x:v>
      </x:c>
      <x:c r="C2010" s="20" t="s">
        <x:v>9182</x:v>
      </x:c>
      <x:c r="D2010" s="24">
        <x:v>15</x:v>
      </x:c>
      <x:c r="E2010" s="24" t="s">
        <x:v>103</x:v>
      </x:c>
      <x:c r="F2010" s="20" t="s">
        <x:v>97</x:v>
      </x:c>
      <x:c r="G2010" s="26">
        <x:v>43560</x:v>
      </x:c>
      <x:c r="H2010" s="24" t="s">
        <x:v>9183</x:v>
      </x:c>
      <x:c r="I2010" s="28" t="s">
        <x:v>9184</x:v>
      </x:c>
      <x:c r="J2010" s="29" t="s">
        <x:v>9185</x:v>
      </x:c>
    </x:row>
    <x:row r="2011" ht="10.050000190734863" customHeight="1">
      <x:c r="A2011" s="21" t="s">
        <x:v>9186</x:v>
      </x:c>
      <x:c r="B2011" s="20" t="s">
        <x:v>9186</x:v>
      </x:c>
      <x:c r="C2011" s="20" t="s">
        <x:v>9187</x:v>
      </x:c>
      <x:c r="D2011" s="24">
        <x:v>8</x:v>
      </x:c>
      <x:c r="E2011" s="24" t="s">
        <x:v>103</x:v>
      </x:c>
      <x:c r="F2011" s="20" t="s">
        <x:v>97</x:v>
      </x:c>
      <x:c r="G2011" s="26">
        <x:v>42322</x:v>
      </x:c>
      <x:c r="H2011" s="24" t="s">
        <x:v>9188</x:v>
      </x:c>
      <x:c r="I2011" s="28" t="s">
        <x:v>9189</x:v>
      </x:c>
      <x:c r="J2011" s="29" t="s">
        <x:v>9190</x:v>
      </x:c>
    </x:row>
    <x:row r="2012" ht="10.050000190734863" customHeight="1">
      <x:c r="A2012" s="21" t="s">
        <x:v>9191</x:v>
      </x:c>
      <x:c r="B2012" s="20" t="s">
        <x:v>9191</x:v>
      </x:c>
      <x:c r="C2012" s="20" t="s">
        <x:v>9192</x:v>
      </x:c>
      <x:c r="D2012" s="24">
        <x:v>7</x:v>
      </x:c>
      <x:c r="E2012" s="24" t="s">
        <x:v>103</x:v>
      </x:c>
      <x:c r="F2012" s="20" t="s">
        <x:v>97</x:v>
      </x:c>
      <x:c r="G2012" s="26">
        <x:v>43038</x:v>
      </x:c>
      <x:c r="H2012" s="24" t="s">
        <x:v>9193</x:v>
      </x:c>
      <x:c r="I2012" s="28" t="s">
        <x:v>9194</x:v>
      </x:c>
      <x:c r="J2012" s="29" t="s">
        <x:v>9195</x:v>
      </x:c>
    </x:row>
    <x:row r="2013" ht="10.050000190734863" customHeight="1">
      <x:c r="A2013" s="21" t="s">
        <x:v>9196</x:v>
      </x:c>
      <x:c r="B2013" s="20" t="s">
        <x:v>9196</x:v>
      </x:c>
      <x:c r="C2013" s="20" t="s">
        <x:v>9197</x:v>
      </x:c>
      <x:c r="D2013" s="24">
        <x:v>3</x:v>
      </x:c>
      <x:c r="E2013" s="24" t="s">
        <x:v>257</x:v>
      </x:c>
      <x:c r="F2013" s="20" t="s">
        <x:v>97</x:v>
      </x:c>
      <x:c r="G2013" s="26">
        <x:v>42781</x:v>
      </x:c>
      <x:c r="H2013" s="24" t="s">
        <x:v>9198</x:v>
      </x:c>
      <x:c r="I2013" s="28" t="s">
        <x:v>9199</x:v>
      </x:c>
      <x:c r="J2013" s="29" t="s">
        <x:v>9200</x:v>
      </x:c>
    </x:row>
    <x:row r="2014" ht="10.050000190734863" customHeight="1">
      <x:c r="A2014" s="21" t="s">
        <x:v>9201</x:v>
      </x:c>
      <x:c r="B2014" s="20" t="s">
        <x:v>9201</x:v>
      </x:c>
      <x:c r="C2014" s="20" t="s">
        <x:v>9202</x:v>
      </x:c>
      <x:c r="D2014" s="24">
        <x:v>66</x:v>
      </x:c>
      <x:c r="E2014" s="24" t="s">
        <x:v>257</x:v>
      </x:c>
      <x:c r="F2014" s="20" t="s">
        <x:v>97</x:v>
      </x:c>
      <x:c r="G2014" s="26">
        <x:v>42210</x:v>
      </x:c>
      <x:c r="H2014" s="24" t="s">
        <x:v>9203</x:v>
      </x:c>
      <x:c r="I2014" s="28" t="s">
        <x:v>9204</x:v>
      </x:c>
      <x:c r="J2014" s="29" t="s">
        <x:v>9205</x:v>
      </x:c>
    </x:row>
    <x:row r="2015" ht="10.050000190734863" customHeight="1">
      <x:c r="A2015" s="21" t="s">
        <x:v>9206</x:v>
      </x:c>
      <x:c r="B2015" s="20" t="s">
        <x:v>9206</x:v>
      </x:c>
      <x:c r="C2015" s="20" t="s">
        <x:v>9207</x:v>
      </x:c>
      <x:c r="D2015" s="24">
        <x:v>7</x:v>
      </x:c>
      <x:c r="E2015" s="24" t="s">
        <x:v>257</x:v>
      </x:c>
      <x:c r="F2015" s="20" t="s">
        <x:v>97</x:v>
      </x:c>
      <x:c r="G2015" s="26">
        <x:v>41451</x:v>
      </x:c>
      <x:c r="H2015" s="24" t="s">
        <x:v>9208</x:v>
      </x:c>
      <x:c r="I2015" s="28" t="s">
        <x:v>9209</x:v>
      </x:c>
      <x:c r="J2015" s="29" t="s">
        <x:v>9210</x:v>
      </x:c>
    </x:row>
    <x:row r="2016" ht="10.050000190734863" customHeight="1">
      <x:c r="A2016" s="21" t="s">
        <x:v>9211</x:v>
      </x:c>
      <x:c r="B2016" s="20" t="s">
        <x:v>9211</x:v>
      </x:c>
      <x:c r="C2016" s="20" t="s">
        <x:v>9212</x:v>
      </x:c>
      <x:c r="D2016" s="24">
        <x:v>92</x:v>
      </x:c>
      <x:c r="E2016" s="24" t="s">
        <x:v>103</x:v>
      </x:c>
      <x:c r="F2016" s="20" t="s">
        <x:v>97</x:v>
      </x:c>
      <x:c r="G2016" s="26">
        <x:v>44347</x:v>
      </x:c>
      <x:c r="H2016" s="24" t="s">
        <x:v>9213</x:v>
      </x:c>
      <x:c r="I2016" s="28" t="s">
        <x:v>9214</x:v>
      </x:c>
      <x:c r="J2016" s="29" t="s">
        <x:v>9215</x:v>
      </x:c>
    </x:row>
    <x:row r="2017" ht="10.050000190734863" customHeight="1">
      <x:c r="A2017" s="21" t="s">
        <x:v>9216</x:v>
      </x:c>
      <x:c r="B2017" s="20" t="s">
        <x:v>9216</x:v>
      </x:c>
      <x:c r="C2017" s="20" t="s">
        <x:v>9217</x:v>
      </x:c>
      <x:c r="D2017" s="24">
        <x:v>93</x:v>
      </x:c>
      <x:c r="E2017" s="24" t="s">
        <x:v>103</x:v>
      </x:c>
      <x:c r="F2017" s="20" t="s">
        <x:v>97</x:v>
      </x:c>
      <x:c r="G2017" s="26">
        <x:v>45760</x:v>
      </x:c>
      <x:c r="H2017" s="24" t="s">
        <x:v>9218</x:v>
      </x:c>
      <x:c r="I2017" s="28" t="s">
        <x:v>9219</x:v>
      </x:c>
      <x:c r="J2017" s="29" t="s">
        <x:v>9220</x:v>
      </x:c>
    </x:row>
    <x:row r="2018" ht="10.050000190734863" customHeight="1">
      <x:c r="A2018" s="21" t="s">
        <x:v>9221</x:v>
      </x:c>
      <x:c r="B2018" s="20" t="s">
        <x:v>9221</x:v>
      </x:c>
      <x:c r="C2018" s="20" t="s">
        <x:v>1344</x:v>
      </x:c>
      <x:c r="D2018" s="24">
        <x:v>44</x:v>
      </x:c>
      <x:c r="E2018" s="24" t="s">
        <x:v>96</x:v>
      </x:c>
      <x:c r="F2018" s="20" t="s">
        <x:v>97</x:v>
      </x:c>
      <x:c r="G2018" s="26">
        <x:v>44520</x:v>
      </x:c>
      <x:c r="H2018" s="24" t="s">
        <x:v>9222</x:v>
      </x:c>
      <x:c r="I2018" s="28" t="s">
        <x:v>9223</x:v>
      </x:c>
      <x:c r="J2018" s="29" t="s">
        <x:v>9224</x:v>
      </x:c>
    </x:row>
    <x:row r="2019" ht="10.050000190734863" customHeight="1">
      <x:c r="A2019" s="21" t="s">
        <x:v>9225</x:v>
      </x:c>
      <x:c r="B2019" s="20" t="s">
        <x:v>9225</x:v>
      </x:c>
      <x:c r="C2019" s="20" t="s">
        <x:v>1199</x:v>
      </x:c>
      <x:c r="D2019" s="24">
        <x:v>8</x:v>
      </x:c>
      <x:c r="E2019" s="24" t="s">
        <x:v>257</x:v>
      </x:c>
      <x:c r="F2019" s="20" t="s">
        <x:v>97</x:v>
      </x:c>
      <x:c r="G2019" s="26">
        <x:v>42308</x:v>
      </x:c>
      <x:c r="H2019" s="24" t="s">
        <x:v>9226</x:v>
      </x:c>
      <x:c r="I2019" s="28" t="s">
        <x:v>9227</x:v>
      </x:c>
      <x:c r="J2019" s="29" t="s">
        <x:v>9228</x:v>
      </x:c>
    </x:row>
    <x:row r="2020" ht="10.050000190734863" customHeight="1">
      <x:c r="A2020" s="21" t="s">
        <x:v>9229</x:v>
      </x:c>
      <x:c r="B2020" s="20" t="s">
        <x:v>9229</x:v>
      </x:c>
      <x:c r="C2020" s="20" t="s">
        <x:v>9230</x:v>
      </x:c>
      <x:c r="D2020" s="24">
        <x:v>29</x:v>
      </x:c>
      <x:c r="E2020" s="24" t="s">
        <x:v>96</x:v>
      </x:c>
      <x:c r="F2020" s="20" t="s">
        <x:v>97</x:v>
      </x:c>
      <x:c r="G2020" s="26">
        <x:v>44675</x:v>
      </x:c>
      <x:c r="H2020" s="24" t="s">
        <x:v>9231</x:v>
      </x:c>
      <x:c r="I2020" s="28" t="s">
        <x:v>9232</x:v>
      </x:c>
      <x:c r="J2020" s="29" t="s">
        <x:v>9233</x:v>
      </x:c>
    </x:row>
    <x:row r="2021" ht="10.050000190734863" customHeight="1">
      <x:c r="A2021" s="21" t="s">
        <x:v>9234</x:v>
      </x:c>
      <x:c r="B2021" s="20" t="s">
        <x:v>9234</x:v>
      </x:c>
      <x:c r="C2021" s="20" t="s">
        <x:v>9235</x:v>
      </x:c>
      <x:c r="D2021" s="24">
        <x:v>10</x:v>
      </x:c>
      <x:c r="E2021" s="24" t="s">
        <x:v>257</x:v>
      </x:c>
      <x:c r="F2021" s="20" t="s">
        <x:v>97</x:v>
      </x:c>
      <x:c r="G2021" s="26">
        <x:v>41542</x:v>
      </x:c>
      <x:c r="H2021" s="24" t="s">
        <x:v>9236</x:v>
      </x:c>
      <x:c r="I2021" s="28" t="s">
        <x:v>9237</x:v>
      </x:c>
      <x:c r="J2021" s="29" t="s">
        <x:v>9238</x:v>
      </x:c>
    </x:row>
    <x:row r="2022" ht="10.050000190734863" customHeight="1">
      <x:c r="A2022" s="21" t="s">
        <x:v>9239</x:v>
      </x:c>
      <x:c r="B2022" s="20" t="s">
        <x:v>9239</x:v>
      </x:c>
      <x:c r="C2022" s="20" t="s">
        <x:v>9240</x:v>
      </x:c>
      <x:c r="D2022" s="24">
        <x:v>6</x:v>
      </x:c>
      <x:c r="E2022" s="24" t="s">
        <x:v>103</x:v>
      </x:c>
      <x:c r="F2022" s="20" t="s">
        <x:v>97</x:v>
      </x:c>
      <x:c r="G2022" s="26">
        <x:v>43637</x:v>
      </x:c>
      <x:c r="H2022" s="24" t="s">
        <x:v>9241</x:v>
      </x:c>
      <x:c r="I2022" s="28" t="s">
        <x:v>9242</x:v>
      </x:c>
      <x:c r="J2022" s="29" t="s">
        <x:v>9243</x:v>
      </x:c>
    </x:row>
    <x:row r="2023" ht="10.050000190734863" customHeight="1">
      <x:c r="A2023" s="21" t="s">
        <x:v>9244</x:v>
      </x:c>
      <x:c r="B2023" s="20" t="s">
        <x:v>9244</x:v>
      </x:c>
      <x:c r="C2023" s="20" t="s">
        <x:v>9245</x:v>
      </x:c>
      <x:c r="D2023" s="24">
        <x:v>1</x:v>
      </x:c>
      <x:c r="E2023" s="24" t="s">
        <x:v>103</x:v>
      </x:c>
      <x:c r="F2023" s="20" t="s">
        <x:v>97</x:v>
      </x:c>
      <x:c r="G2023" s="26">
        <x:v>44886</x:v>
      </x:c>
      <x:c r="H2023" s="24" t="s">
        <x:v>9246</x:v>
      </x:c>
      <x:c r="I2023" s="28" t="s">
        <x:v>9247</x:v>
      </x:c>
      <x:c r="J2023" s="29" t="s">
        <x:v>9248</x:v>
      </x:c>
    </x:row>
    <x:row r="2024" ht="10.050000190734863" customHeight="1">
      <x:c r="A2024" s="21" t="s">
        <x:v>9249</x:v>
      </x:c>
      <x:c r="B2024" s="20" t="s">
        <x:v>9249</x:v>
      </x:c>
      <x:c r="C2024" s="20" t="s">
        <x:v>2898</x:v>
      </x:c>
      <x:c r="D2024" s="24">
        <x:v>7</x:v>
      </x:c>
      <x:c r="E2024" s="24" t="s">
        <x:v>103</x:v>
      </x:c>
      <x:c r="F2024" s="20" t="s">
        <x:v>97</x:v>
      </x:c>
      <x:c r="G2024" s="26">
        <x:v>43028</x:v>
      </x:c>
      <x:c r="H2024" s="24" t="s">
        <x:v>9250</x:v>
      </x:c>
      <x:c r="I2024" s="28" t="s">
        <x:v>9251</x:v>
      </x:c>
      <x:c r="J2024" s="29" t="s">
        <x:v>9252</x:v>
      </x:c>
    </x:row>
    <x:row r="2025" ht="10.050000190734863" customHeight="1">
      <x:c r="A2025" s="21" t="s">
        <x:v>9253</x:v>
      </x:c>
      <x:c r="B2025" s="20" t="s">
        <x:v>9253</x:v>
      </x:c>
      <x:c r="C2025" s="20" t="s">
        <x:v>9254</x:v>
      </x:c>
      <x:c r="D2025" s="24">
        <x:v>76</x:v>
      </x:c>
      <x:c r="E2025" s="24" t="s">
        <x:v>103</x:v>
      </x:c>
      <x:c r="F2025" s="20" t="s">
        <x:v>97</x:v>
      </x:c>
      <x:c r="G2025" s="26">
        <x:v>42330</x:v>
      </x:c>
      <x:c r="H2025" s="24" t="s">
        <x:v>9255</x:v>
      </x:c>
      <x:c r="I2025" s="28" t="s">
        <x:v>9256</x:v>
      </x:c>
      <x:c r="J2025" s="29" t="s">
        <x:v>9257</x:v>
      </x:c>
    </x:row>
    <x:row r="2026" ht="10.050000190734863" customHeight="1">
      <x:c r="A2026" s="21" t="s">
        <x:v>9258</x:v>
      </x:c>
      <x:c r="B2026" s="20" t="s">
        <x:v>9258</x:v>
      </x:c>
      <x:c r="C2026" s="20" t="s">
        <x:v>9259</x:v>
      </x:c>
      <x:c r="D2026" s="24">
        <x:v>5</x:v>
      </x:c>
      <x:c r="E2026" s="24" t="s">
        <x:v>103</x:v>
      </x:c>
      <x:c r="F2026" s="20" t="s">
        <x:v>97</x:v>
      </x:c>
      <x:c r="G2026" s="26">
        <x:v>42843</x:v>
      </x:c>
      <x:c r="H2026" s="24" t="s">
        <x:v>9260</x:v>
      </x:c>
      <x:c r="I2026" s="28" t="s">
        <x:v>9261</x:v>
      </x:c>
      <x:c r="J2026" s="29" t="s">
        <x:v>9262</x:v>
      </x:c>
    </x:row>
    <x:row r="2027" ht="10.050000190734863" customHeight="1">
      <x:c r="A2027" s="21" t="s">
        <x:v>9263</x:v>
      </x:c>
      <x:c r="B2027" s="20" t="s">
        <x:v>9263</x:v>
      </x:c>
      <x:c r="C2027" s="20" t="s">
        <x:v>9264</x:v>
      </x:c>
      <x:c r="D2027" s="24">
        <x:v>9</x:v>
      </x:c>
      <x:c r="E2027" s="24" t="s">
        <x:v>103</x:v>
      </x:c>
      <x:c r="F2027" s="20" t="s">
        <x:v>97</x:v>
      </x:c>
      <x:c r="G2027" s="26">
        <x:v>44043</x:v>
      </x:c>
      <x:c r="H2027" s="24" t="s">
        <x:v>9265</x:v>
      </x:c>
      <x:c r="I2027" s="28" t="s">
        <x:v>9266</x:v>
      </x:c>
      <x:c r="J2027" s="29" t="s">
        <x:v>9267</x:v>
      </x:c>
    </x:row>
    <x:row r="2028" ht="10.050000190734863" customHeight="1">
      <x:c r="A2028" s="21" t="s">
        <x:v>9268</x:v>
      </x:c>
      <x:c r="B2028" s="20" t="s">
        <x:v>9268</x:v>
      </x:c>
      <x:c r="C2028" s="20" t="s">
        <x:v>9269</x:v>
      </x:c>
      <x:c r="D2028" s="24">
        <x:v>16</x:v>
      </x:c>
      <x:c r="E2028" s="24" t="s">
        <x:v>103</x:v>
      </x:c>
      <x:c r="F2028" s="20" t="s">
        <x:v>97</x:v>
      </x:c>
      <x:c r="G2028" s="26">
        <x:v>43991</x:v>
      </x:c>
      <x:c r="H2028" s="24" t="s">
        <x:v>9270</x:v>
      </x:c>
      <x:c r="I2028" s="28" t="s">
        <x:v>9271</x:v>
      </x:c>
      <x:c r="J2028" s="29" t="s">
        <x:v>9272</x:v>
      </x:c>
    </x:row>
    <x:row r="2029" ht="10.050000190734863" customHeight="1">
      <x:c r="A2029" s="21" t="s">
        <x:v>9273</x:v>
      </x:c>
      <x:c r="B2029" s="20" t="s">
        <x:v>9273</x:v>
      </x:c>
      <x:c r="C2029" s="20" t="s">
        <x:v>510</x:v>
      </x:c>
      <x:c r="D2029" s="24">
        <x:v>7</x:v>
      </x:c>
      <x:c r="E2029" s="24" t="s">
        <x:v>103</x:v>
      </x:c>
      <x:c r="F2029" s="20" t="s">
        <x:v>97</x:v>
      </x:c>
      <x:c r="G2029" s="26">
        <x:v>42868</x:v>
      </x:c>
      <x:c r="H2029" s="24" t="s">
        <x:v>9274</x:v>
      </x:c>
      <x:c r="I2029" s="28" t="s">
        <x:v>9275</x:v>
      </x:c>
      <x:c r="J2029" s="29" t="s">
        <x:v>9276</x:v>
      </x:c>
    </x:row>
    <x:row r="2030" ht="10.050000190734863" customHeight="1">
      <x:c r="A2030" s="21" t="s">
        <x:v>9277</x:v>
      </x:c>
      <x:c r="B2030" s="20" t="s">
        <x:v>9277</x:v>
      </x:c>
      <x:c r="C2030" s="20" t="s">
        <x:v>9278</x:v>
      </x:c>
      <x:c r="D2030" s="24">
        <x:v>17</x:v>
      </x:c>
      <x:c r="E2030" s="24" t="s">
        <x:v>257</x:v>
      </x:c>
      <x:c r="F2030" s="20" t="s">
        <x:v>97</x:v>
      </x:c>
      <x:c r="G2030" s="26">
        <x:v>41675</x:v>
      </x:c>
      <x:c r="H2030" s="24" t="s">
        <x:v>9279</x:v>
      </x:c>
      <x:c r="I2030" s="28" t="s">
        <x:v>9280</x:v>
      </x:c>
      <x:c r="J2030" s="29" t="s">
        <x:v>9281</x:v>
      </x:c>
    </x:row>
    <x:row r="2031" ht="10.050000190734863" customHeight="1">
      <x:c r="A2031" s="21" t="s">
        <x:v>9282</x:v>
      </x:c>
      <x:c r="B2031" s="20" t="s">
        <x:v>9282</x:v>
      </x:c>
      <x:c r="C2031" s="20" t="s">
        <x:v>9283</x:v>
      </x:c>
      <x:c r="D2031" s="24">
        <x:v>36</x:v>
      </x:c>
      <x:c r="E2031" s="24" t="s">
        <x:v>96</x:v>
      </x:c>
      <x:c r="F2031" s="20" t="s">
        <x:v>97</x:v>
      </x:c>
      <x:c r="G2031" s="26">
        <x:v>44963</x:v>
      </x:c>
      <x:c r="H2031" s="24" t="s">
        <x:v>9284</x:v>
      </x:c>
      <x:c r="I2031" s="28" t="s">
        <x:v>9285</x:v>
      </x:c>
      <x:c r="J2031" s="29" t="s">
        <x:v>9286</x:v>
      </x:c>
    </x:row>
    <x:row r="2032" ht="10.050000190734863" customHeight="1">
      <x:c r="A2032" s="21" t="s">
        <x:v>9287</x:v>
      </x:c>
      <x:c r="B2032" s="20" t="s">
        <x:v>9287</x:v>
      </x:c>
      <x:c r="C2032" s="20" t="s">
        <x:v>771</x:v>
      </x:c>
      <x:c r="D2032" s="24">
        <x:v>108</x:v>
      </x:c>
      <x:c r="E2032" s="24" t="s">
        <x:v>96</x:v>
      </x:c>
      <x:c r="F2032" s="20" t="s">
        <x:v>97</x:v>
      </x:c>
      <x:c r="G2032" s="26">
        <x:v>44765</x:v>
      </x:c>
      <x:c r="H2032" s="24" t="s">
        <x:v>9288</x:v>
      </x:c>
      <x:c r="I2032" s="28" t="s">
        <x:v>9289</x:v>
      </x:c>
      <x:c r="J2032" s="29" t="s">
        <x:v>9290</x:v>
      </x:c>
    </x:row>
    <x:row r="2033" ht="10.050000190734863" customHeight="1">
      <x:c r="A2033" s="21" t="s">
        <x:v>9291</x:v>
      </x:c>
      <x:c r="B2033" s="20" t="s">
        <x:v>9291</x:v>
      </x:c>
      <x:c r="C2033" s="20" t="s">
        <x:v>742</x:v>
      </x:c>
      <x:c r="D2033" s="24">
        <x:v>12</x:v>
      </x:c>
      <x:c r="E2033" s="24" t="s">
        <x:v>89</x:v>
      </x:c>
      <x:c r="F2033" s="20" t="s">
        <x:v>97</x:v>
      </x:c>
      <x:c r="G2033" s="26">
        <x:v>44496</x:v>
      </x:c>
      <x:c r="H2033" s="24" t="s">
        <x:v>9292</x:v>
      </x:c>
      <x:c r="I2033" s="28" t="s">
        <x:v>9293</x:v>
      </x:c>
      <x:c r="J2033" s="29" t="s">
        <x:v>9294</x:v>
      </x:c>
    </x:row>
    <x:row r="2034" ht="10.050000190734863" customHeight="1">
      <x:c r="A2034" s="21" t="s">
        <x:v>9295</x:v>
      </x:c>
      <x:c r="B2034" s="20" t="s">
        <x:v>9295</x:v>
      </x:c>
      <x:c r="C2034" s="20" t="s">
        <x:v>742</x:v>
      </x:c>
      <x:c r="D2034" s="24">
        <x:v>6</x:v>
      </x:c>
      <x:c r="E2034" s="24" t="s">
        <x:v>89</x:v>
      </x:c>
      <x:c r="F2034" s="20" t="s">
        <x:v>97</x:v>
      </x:c>
      <x:c r="G2034" s="26">
        <x:v>46222</x:v>
      </x:c>
      <x:c r="H2034" s="24" t="s">
        <x:v>9296</x:v>
      </x:c>
      <x:c r="I2034" s="28" t="s">
        <x:v>9297</x:v>
      </x:c>
      <x:c r="J2034" s="29" t="s">
        <x:v>9298</x:v>
      </x:c>
    </x:row>
    <x:row r="2035" ht="10.050000190734863" customHeight="1">
      <x:c r="A2035" s="21" t="s">
        <x:v>9299</x:v>
      </x:c>
      <x:c r="B2035" s="20" t="s">
        <x:v>9299</x:v>
      </x:c>
      <x:c r="C2035" s="20" t="s">
        <x:v>9300</x:v>
      </x:c>
      <x:c r="D2035" s="24">
        <x:v>7</x:v>
      </x:c>
      <x:c r="E2035" s="24" t="s">
        <x:v>257</x:v>
      </x:c>
      <x:c r="F2035" s="20" t="s">
        <x:v>97</x:v>
      </x:c>
      <x:c r="G2035" s="26">
        <x:v>41830</x:v>
      </x:c>
      <x:c r="H2035" s="24" t="s">
        <x:v>9301</x:v>
      </x:c>
      <x:c r="I2035" s="28" t="s">
        <x:v>9302</x:v>
      </x:c>
      <x:c r="J2035" s="29" t="s">
        <x:v>9303</x:v>
      </x:c>
    </x:row>
    <x:row r="2036" ht="10.050000190734863" customHeight="1">
      <x:c r="A2036" s="21" t="s">
        <x:v>9304</x:v>
      </x:c>
      <x:c r="B2036" s="20" t="s">
        <x:v>9304</x:v>
      </x:c>
      <x:c r="C2036" s="20" t="s">
        <x:v>9305</x:v>
      </x:c>
      <x:c r="D2036" s="24">
        <x:v>0</x:v>
      </x:c>
      <x:c r="E2036" s="24" t="s">
        <x:v>257</x:v>
      </x:c>
      <x:c r="F2036" s="20" t="s">
        <x:v>97</x:v>
      </x:c>
      <x:c r="G2036" s="26">
        <x:v>41466</x:v>
      </x:c>
      <x:c r="H2036" s="24" t="s">
        <x:v>9306</x:v>
      </x:c>
      <x:c r="I2036" s="28" t="s">
        <x:v>9307</x:v>
      </x:c>
      <x:c r="J2036" s="29" t="s">
        <x:v>9308</x:v>
      </x:c>
    </x:row>
    <x:row r="2037" ht="10.050000190734863" customHeight="1">
      <x:c r="A2037" s="21" t="s">
        <x:v>9309</x:v>
      </x:c>
      <x:c r="B2037" s="20" t="s">
        <x:v>9309</x:v>
      </x:c>
      <x:c r="C2037" s="20" t="s">
        <x:v>9310</x:v>
      </x:c>
      <x:c r="D2037" s="24">
        <x:v>5</x:v>
      </x:c>
      <x:c r="E2037" s="24" t="s">
        <x:v>103</x:v>
      </x:c>
      <x:c r="F2037" s="20" t="s">
        <x:v>97</x:v>
      </x:c>
      <x:c r="G2037" s="26">
        <x:v>43918</x:v>
      </x:c>
      <x:c r="H2037" s="24" t="s">
        <x:v>9311</x:v>
      </x:c>
      <x:c r="I2037" s="28" t="s">
        <x:v>9312</x:v>
      </x:c>
      <x:c r="J2037" s="29" t="s">
        <x:v>9313</x:v>
      </x:c>
    </x:row>
    <x:row r="2038" ht="10.050000190734863" customHeight="1">
      <x:c r="A2038" s="21" t="s">
        <x:v>9314</x:v>
      </x:c>
      <x:c r="B2038" s="20" t="s">
        <x:v>9314</x:v>
      </x:c>
      <x:c r="C2038" s="20" t="s">
        <x:v>1723</x:v>
      </x:c>
      <x:c r="D2038" s="24">
        <x:v>52</x:v>
      </x:c>
      <x:c r="E2038" s="24" t="s">
        <x:v>103</x:v>
      </x:c>
      <x:c r="F2038" s="20" t="s">
        <x:v>97</x:v>
      </x:c>
      <x:c r="G2038" s="26">
        <x:v>44271</x:v>
      </x:c>
      <x:c r="H2038" s="24" t="s">
        <x:v>9315</x:v>
      </x:c>
      <x:c r="I2038" s="28" t="s">
        <x:v>9316</x:v>
      </x:c>
      <x:c r="J2038" s="29" t="s">
        <x:v>9317</x:v>
      </x:c>
    </x:row>
    <x:row r="2039" ht="10.050000190734863" customHeight="1">
      <x:c r="A2039" s="21" t="s">
        <x:v>9318</x:v>
      </x:c>
      <x:c r="B2039" s="20" t="s">
        <x:v>9318</x:v>
      </x:c>
      <x:c r="C2039" s="20" t="s">
        <x:v>9319</x:v>
      </x:c>
      <x:c r="D2039" s="24">
        <x:v>20</x:v>
      </x:c>
      <x:c r="E2039" s="24" t="s">
        <x:v>103</x:v>
      </x:c>
      <x:c r="F2039" s="20" t="s">
        <x:v>97</x:v>
      </x:c>
      <x:c r="G2039" s="26">
        <x:v>43595</x:v>
      </x:c>
      <x:c r="H2039" s="24" t="s">
        <x:v>9320</x:v>
      </x:c>
      <x:c r="I2039" s="28" t="s">
        <x:v>9321</x:v>
      </x:c>
      <x:c r="J2039" s="29" t="s">
        <x:v>9322</x:v>
      </x:c>
    </x:row>
    <x:row r="2040" ht="10.050000190734863" customHeight="1">
      <x:c r="A2040" s="21" t="s">
        <x:v>9323</x:v>
      </x:c>
      <x:c r="B2040" s="20" t="s">
        <x:v>9323</x:v>
      </x:c>
      <x:c r="C2040" s="20" t="s">
        <x:v>2137</x:v>
      </x:c>
      <x:c r="D2040" s="24">
        <x:v>97</x:v>
      </x:c>
      <x:c r="E2040" s="24" t="s">
        <x:v>96</x:v>
      </x:c>
      <x:c r="F2040" s="20" t="s">
        <x:v>97</x:v>
      </x:c>
      <x:c r="G2040" s="26">
        <x:v>46205</x:v>
      </x:c>
      <x:c r="H2040" s="24" t="s">
        <x:v>9324</x:v>
      </x:c>
      <x:c r="I2040" s="28" t="s">
        <x:v>9325</x:v>
      </x:c>
      <x:c r="J2040" s="29" t="s">
        <x:v>9326</x:v>
      </x:c>
    </x:row>
    <x:row r="2041" ht="10.050000190734863" customHeight="1">
      <x:c r="A2041" s="21" t="s">
        <x:v>9327</x:v>
      </x:c>
      <x:c r="B2041" s="20" t="s">
        <x:v>9327</x:v>
      </x:c>
      <x:c r="C2041" s="20" t="s">
        <x:v>8474</x:v>
      </x:c>
      <x:c r="D2041" s="24">
        <x:v>96</x:v>
      </x:c>
      <x:c r="E2041" s="24" t="s">
        <x:v>103</x:v>
      </x:c>
      <x:c r="F2041" s="20" t="s">
        <x:v>97</x:v>
      </x:c>
      <x:c r="G2041" s="26">
        <x:v>42225</x:v>
      </x:c>
      <x:c r="H2041" s="24" t="s">
        <x:v>9328</x:v>
      </x:c>
      <x:c r="I2041" s="28" t="s">
        <x:v>9329</x:v>
      </x:c>
      <x:c r="J2041" s="29" t="s">
        <x:v>9330</x:v>
      </x:c>
    </x:row>
    <x:row r="2042" ht="10.050000190734863" customHeight="1">
      <x:c r="A2042" s="21" t="s">
        <x:v>9331</x:v>
      </x:c>
      <x:c r="B2042" s="20" t="s">
        <x:v>9331</x:v>
      </x:c>
      <x:c r="C2042" s="20" t="s">
        <x:v>8474</x:v>
      </x:c>
      <x:c r="D2042" s="24">
        <x:v>96</x:v>
      </x:c>
      <x:c r="E2042" s="24" t="s">
        <x:v>103</x:v>
      </x:c>
      <x:c r="F2042" s="20" t="s">
        <x:v>97</x:v>
      </x:c>
      <x:c r="G2042" s="26">
        <x:v>42241</x:v>
      </x:c>
      <x:c r="H2042" s="24" t="s">
        <x:v>9332</x:v>
      </x:c>
      <x:c r="I2042" s="28" t="s">
        <x:v>9333</x:v>
      </x:c>
      <x:c r="J2042" s="29" t="s">
        <x:v>9334</x:v>
      </x:c>
    </x:row>
    <x:row r="2043" ht="10.050000190734863" customHeight="1">
      <x:c r="A2043" s="21" t="s">
        <x:v>9335</x:v>
      </x:c>
      <x:c r="B2043" s="20" t="s">
        <x:v>9335</x:v>
      </x:c>
      <x:c r="C2043" s="20" t="s">
        <x:v>8474</x:v>
      </x:c>
      <x:c r="D2043" s="24">
        <x:v>100</x:v>
      </x:c>
      <x:c r="E2043" s="24" t="s">
        <x:v>96</x:v>
      </x:c>
      <x:c r="F2043" s="20" t="s">
        <x:v>97</x:v>
      </x:c>
      <x:c r="G2043" s="26">
        <x:v>41691</x:v>
      </x:c>
      <x:c r="H2043" s="24" t="s">
        <x:v>9336</x:v>
      </x:c>
      <x:c r="I2043" s="28" t="s">
        <x:v>9337</x:v>
      </x:c>
      <x:c r="J2043" s="29" t="s">
        <x:v>9338</x:v>
      </x:c>
    </x:row>
    <x:row r="2044" ht="10.050000190734863" customHeight="1">
      <x:c r="A2044" s="21" t="s">
        <x:v>9339</x:v>
      </x:c>
      <x:c r="B2044" s="20" t="s">
        <x:v>9339</x:v>
      </x:c>
      <x:c r="C2044" s="20" t="s">
        <x:v>8474</x:v>
      </x:c>
      <x:c r="D2044" s="24">
        <x:v>70</x:v>
      </x:c>
      <x:c r="E2044" s="24" t="s">
        <x:v>103</x:v>
      </x:c>
      <x:c r="F2044" s="20" t="s">
        <x:v>97</x:v>
      </x:c>
      <x:c r="G2044" s="26">
        <x:v>42251</x:v>
      </x:c>
      <x:c r="H2044" s="24" t="s">
        <x:v>9340</x:v>
      </x:c>
      <x:c r="I2044" s="28" t="s">
        <x:v>9341</x:v>
      </x:c>
      <x:c r="J2044" s="29" t="s">
        <x:v>9342</x:v>
      </x:c>
    </x:row>
    <x:row r="2045" ht="10.050000190734863" customHeight="1">
      <x:c r="A2045" s="21" t="s">
        <x:v>9343</x:v>
      </x:c>
      <x:c r="B2045" s="20" t="s">
        <x:v>9343</x:v>
      </x:c>
      <x:c r="C2045" s="20" t="s">
        <x:v>8474</x:v>
      </x:c>
      <x:c r="D2045" s="24">
        <x:v>120</x:v>
      </x:c>
      <x:c r="E2045" s="24" t="s">
        <x:v>103</x:v>
      </x:c>
      <x:c r="F2045" s="20" t="s">
        <x:v>97</x:v>
      </x:c>
      <x:c r="G2045" s="26">
        <x:v>42296</x:v>
      </x:c>
      <x:c r="H2045" s="24" t="s">
        <x:v>9344</x:v>
      </x:c>
      <x:c r="I2045" s="28" t="s">
        <x:v>9345</x:v>
      </x:c>
      <x:c r="J2045" s="29" t="s">
        <x:v>9346</x:v>
      </x:c>
    </x:row>
    <x:row r="2046" ht="10.050000190734863" customHeight="1">
      <x:c r="A2046" s="21" t="s">
        <x:v>9347</x:v>
      </x:c>
      <x:c r="B2046" s="20" t="s">
        <x:v>9347</x:v>
      </x:c>
      <x:c r="C2046" s="20" t="s">
        <x:v>8474</x:v>
      </x:c>
      <x:c r="D2046" s="24">
        <x:v>89</x:v>
      </x:c>
      <x:c r="E2046" s="24" t="s">
        <x:v>96</x:v>
      </x:c>
      <x:c r="F2046" s="20" t="s">
        <x:v>97</x:v>
      </x:c>
      <x:c r="G2046" s="26">
        <x:v>44605</x:v>
      </x:c>
      <x:c r="H2046" s="24" t="s">
        <x:v>9348</x:v>
      </x:c>
      <x:c r="I2046" s="28" t="s">
        <x:v>9349</x:v>
      </x:c>
      <x:c r="J2046" s="29" t="s">
        <x:v>9350</x:v>
      </x:c>
    </x:row>
    <x:row r="2047" ht="10.050000190734863" customHeight="1">
      <x:c r="A2047" s="21" t="s">
        <x:v>9351</x:v>
      </x:c>
      <x:c r="B2047" s="20" t="s">
        <x:v>9351</x:v>
      </x:c>
      <x:c r="C2047" s="20" t="s">
        <x:v>9352</x:v>
      </x:c>
      <x:c r="D2047" s="24">
        <x:v>29</x:v>
      </x:c>
      <x:c r="E2047" s="24" t="s">
        <x:v>96</x:v>
      </x:c>
      <x:c r="F2047" s="20" t="s">
        <x:v>97</x:v>
      </x:c>
      <x:c r="G2047" s="26">
        <x:v>45926</x:v>
      </x:c>
      <x:c r="H2047" s="24" t="s">
        <x:v>9353</x:v>
      </x:c>
      <x:c r="I2047" s="28" t="s">
        <x:v>9354</x:v>
      </x:c>
      <x:c r="J2047" s="29" t="s">
        <x:v>9355</x:v>
      </x:c>
    </x:row>
    <x:row r="2048" ht="10.050000190734863" customHeight="1">
      <x:c r="A2048" s="21" t="s">
        <x:v>9356</x:v>
      </x:c>
      <x:c r="B2048" s="20" t="s">
        <x:v>9356</x:v>
      </x:c>
      <x:c r="C2048" s="20" t="s">
        <x:v>9357</x:v>
      </x:c>
      <x:c r="D2048" s="24">
        <x:v>0</x:v>
      </x:c>
      <x:c r="E2048" s="24" t="s">
        <x:v>89</x:v>
      </x:c>
      <x:c r="F2048" s="20" t="s">
        <x:v>97</x:v>
      </x:c>
      <x:c r="G2048" s="26">
        <x:v>45386</x:v>
      </x:c>
      <x:c r="H2048" s="24" t="s">
        <x:v>9358</x:v>
      </x:c>
      <x:c r="I2048" s="28" t="s">
        <x:v>9359</x:v>
      </x:c>
      <x:c r="J2048" s="29" t="s">
        <x:v>9360</x:v>
      </x:c>
    </x:row>
    <x:row r="2049" ht="10.050000190734863" customHeight="1">
      <x:c r="A2049" s="21" t="s">
        <x:v>9361</x:v>
      </x:c>
      <x:c r="B2049" s="20" t="s">
        <x:v>9361</x:v>
      </x:c>
      <x:c r="C2049" s="20" t="s">
        <x:v>9362</x:v>
      </x:c>
      <x:c r="D2049" s="24">
        <x:v>6</x:v>
      </x:c>
      <x:c r="E2049" s="24" t="s">
        <x:v>257</x:v>
      </x:c>
      <x:c r="F2049" s="20" t="s">
        <x:v>97</x:v>
      </x:c>
      <x:c r="G2049" s="26">
        <x:v>42315</x:v>
      </x:c>
      <x:c r="H2049" s="24" t="s">
        <x:v>9363</x:v>
      </x:c>
      <x:c r="I2049" s="28" t="s">
        <x:v>9364</x:v>
      </x:c>
      <x:c r="J2049" s="29" t="s">
        <x:v>9365</x:v>
      </x:c>
    </x:row>
    <x:row r="2050" ht="10.050000190734863" customHeight="1">
      <x:c r="A2050" s="21" t="s">
        <x:v>9366</x:v>
      </x:c>
      <x:c r="B2050" s="20" t="s">
        <x:v>9366</x:v>
      </x:c>
      <x:c r="C2050" s="20" t="s">
        <x:v>5402</x:v>
      </x:c>
      <x:c r="D2050" s="24">
        <x:v>32</x:v>
      </x:c>
      <x:c r="E2050" s="24" t="s">
        <x:v>96</x:v>
      </x:c>
      <x:c r="F2050" s="20" t="s">
        <x:v>97</x:v>
      </x:c>
      <x:c r="G2050" s="26">
        <x:v>44189</x:v>
      </x:c>
      <x:c r="H2050" s="24" t="s">
        <x:v>9367</x:v>
      </x:c>
      <x:c r="I2050" s="28" t="s">
        <x:v>9368</x:v>
      </x:c>
      <x:c r="J2050" s="29" t="s">
        <x:v>9369</x:v>
      </x:c>
    </x:row>
    <x:row r="2051" ht="10.050000190734863" customHeight="1">
      <x:c r="A2051" s="21" t="s">
        <x:v>9370</x:v>
      </x:c>
      <x:c r="B2051" s="20" t="s">
        <x:v>9370</x:v>
      </x:c>
      <x:c r="C2051" s="20" t="s">
        <x:v>9371</x:v>
      </x:c>
      <x:c r="D2051" s="24">
        <x:v>5</x:v>
      </x:c>
      <x:c r="E2051" s="24" t="s">
        <x:v>103</x:v>
      </x:c>
      <x:c r="F2051" s="20" t="s">
        <x:v>97</x:v>
      </x:c>
      <x:c r="G2051" s="26">
        <x:v>42425</x:v>
      </x:c>
      <x:c r="H2051" s="24" t="s">
        <x:v>9372</x:v>
      </x:c>
      <x:c r="I2051" s="28" t="s">
        <x:v>9373</x:v>
      </x:c>
      <x:c r="J2051" s="29" t="s">
        <x:v>9374</x:v>
      </x:c>
    </x:row>
    <x:row r="2052" ht="10.050000190734863" customHeight="1">
      <x:c r="A2052" s="21" t="s">
        <x:v>9375</x:v>
      </x:c>
      <x:c r="B2052" s="20" t="s">
        <x:v>9375</x:v>
      </x:c>
      <x:c r="C2052" s="20" t="s">
        <x:v>9376</x:v>
      </x:c>
      <x:c r="D2052" s="24">
        <x:v>52</x:v>
      </x:c>
      <x:c r="E2052" s="24" t="s">
        <x:v>103</x:v>
      </x:c>
      <x:c r="F2052" s="20" t="s">
        <x:v>97</x:v>
      </x:c>
      <x:c r="G2052" s="26">
        <x:v>46102</x:v>
      </x:c>
      <x:c r="H2052" s="24" t="s">
        <x:v>9377</x:v>
      </x:c>
      <x:c r="I2052" s="28" t="s">
        <x:v>9378</x:v>
      </x:c>
      <x:c r="J2052" s="29" t="s">
        <x:v>9379</x:v>
      </x:c>
    </x:row>
    <x:row r="2053" ht="10.050000190734863" customHeight="1">
      <x:c r="A2053" s="21" t="s">
        <x:v>9380</x:v>
      </x:c>
      <x:c r="B2053" s="20" t="s">
        <x:v>9380</x:v>
      </x:c>
      <x:c r="C2053" s="20" t="s">
        <x:v>9381</x:v>
      </x:c>
      <x:c r="D2053" s="24">
        <x:v>1</x:v>
      </x:c>
      <x:c r="E2053" s="24" t="s">
        <x:v>89</x:v>
      </x:c>
      <x:c r="F2053" s="20" t="s">
        <x:v>90</x:v>
      </x:c>
      <x:c r="G2053" s="26">
        <x:v>44302</x:v>
      </x:c>
      <x:c r="H2053" s="24" t="s">
        <x:v>9382</x:v>
      </x:c>
      <x:c r="I2053" s="28" t="s">
        <x:v>9383</x:v>
      </x:c>
      <x:c r="J2053" s="29" t="s">
        <x:v>9384</x:v>
      </x:c>
    </x:row>
    <x:row r="2054" ht="10.050000190734863" customHeight="1">
      <x:c r="A2054" s="21" t="s">
        <x:v>9385</x:v>
      </x:c>
      <x:c r="B2054" s="20" t="s">
        <x:v>9385</x:v>
      </x:c>
      <x:c r="C2054" s="20" t="s">
        <x:v>9381</x:v>
      </x:c>
      <x:c r="D2054" s="24">
        <x:v>1</x:v>
      </x:c>
      <x:c r="E2054" s="24" t="s">
        <x:v>198</x:v>
      </x:c>
      <x:c r="F2054" s="20" t="s">
        <x:v>90</x:v>
      </x:c>
      <x:c r="G2054" s="26">
        <x:v>44378</x:v>
      </x:c>
      <x:c r="H2054" s="24" t="s">
        <x:v>9386</x:v>
      </x:c>
      <x:c r="I2054" s="28" t="s">
        <x:v>9387</x:v>
      </x:c>
      <x:c r="J2054" s="29" t="s">
        <x:v>9388</x:v>
      </x:c>
    </x:row>
    <x:row r="2055" ht="10.050000190734863" customHeight="1">
      <x:c r="A2055" s="21" t="s">
        <x:v>9389</x:v>
      </x:c>
      <x:c r="B2055" s="20" t="s">
        <x:v>9389</x:v>
      </x:c>
      <x:c r="C2055" s="20" t="s">
        <x:v>7526</x:v>
      </x:c>
      <x:c r="D2055" s="24">
        <x:v>1</x:v>
      </x:c>
      <x:c r="E2055" s="24" t="s">
        <x:v>198</x:v>
      </x:c>
      <x:c r="F2055" s="20" t="s">
        <x:v>126</x:v>
      </x:c>
      <x:c r="G2055" s="26">
        <x:v>43459</x:v>
      </x:c>
      <x:c r="H2055" s="24" t="s">
        <x:v>9390</x:v>
      </x:c>
      <x:c r="I2055" s="28" t="s">
        <x:v>9391</x:v>
      </x:c>
      <x:c r="J2055" s="29" t="s">
        <x:v>9392</x:v>
      </x:c>
    </x:row>
    <x:row r="2056" ht="10.050000190734863" customHeight="1">
      <x:c r="A2056" s="21" t="s">
        <x:v>9393</x:v>
      </x:c>
      <x:c r="B2056" s="20" t="s">
        <x:v>9393</x:v>
      </x:c>
      <x:c r="C2056" s="20" t="s">
        <x:v>9394</x:v>
      </x:c>
      <x:c r="D2056" s="24">
        <x:v>6</x:v>
      </x:c>
      <x:c r="E2056" s="24" t="s">
        <x:v>103</x:v>
      </x:c>
      <x:c r="F2056" s="20" t="s">
        <x:v>97</x:v>
      </x:c>
      <x:c r="G2056" s="26">
        <x:v>42217</x:v>
      </x:c>
      <x:c r="H2056" s="24" t="s">
        <x:v>9395</x:v>
      </x:c>
      <x:c r="I2056" s="28" t="s">
        <x:v>9396</x:v>
      </x:c>
      <x:c r="J2056" s="29" t="s">
        <x:v>9397</x:v>
      </x:c>
    </x:row>
    <x:row r="2057" ht="10.050000190734863" customHeight="1">
      <x:c r="A2057" s="21" t="s">
        <x:v>9398</x:v>
      </x:c>
      <x:c r="B2057" s="20" t="s">
        <x:v>9398</x:v>
      </x:c>
      <x:c r="C2057" s="20" t="s">
        <x:v>776</x:v>
      </x:c>
      <x:c r="D2057" s="24">
        <x:v>13</x:v>
      </x:c>
      <x:c r="E2057" s="24" t="s">
        <x:v>103</x:v>
      </x:c>
      <x:c r="F2057" s="20" t="s">
        <x:v>97</x:v>
      </x:c>
      <x:c r="G2057" s="26">
        <x:v>42427</x:v>
      </x:c>
      <x:c r="H2057" s="24" t="s">
        <x:v>9399</x:v>
      </x:c>
      <x:c r="I2057" s="28" t="s">
        <x:v>9400</x:v>
      </x:c>
      <x:c r="J2057" s="29" t="s">
        <x:v>9401</x:v>
      </x:c>
    </x:row>
    <x:row r="2058" ht="10.050000190734863" customHeight="1">
      <x:c r="A2058" s="21" t="s">
        <x:v>9402</x:v>
      </x:c>
      <x:c r="B2058" s="20" t="s">
        <x:v>9402</x:v>
      </x:c>
      <x:c r="C2058" s="20" t="s">
        <x:v>1344</x:v>
      </x:c>
      <x:c r="D2058" s="24">
        <x:v>90</x:v>
      </x:c>
      <x:c r="E2058" s="24" t="s">
        <x:v>89</x:v>
      </x:c>
      <x:c r="F2058" s="20" t="s">
        <x:v>97</x:v>
      </x:c>
      <x:c r="G2058" s="26">
        <x:v>45491</x:v>
      </x:c>
      <x:c r="H2058" s="24" t="s">
        <x:v>9403</x:v>
      </x:c>
      <x:c r="I2058" s="28" t="s">
        <x:v>9404</x:v>
      </x:c>
      <x:c r="J2058" s="29" t="s">
        <x:v>9405</x:v>
      </x:c>
    </x:row>
    <x:row r="2059" ht="10.050000190734863" customHeight="1">
      <x:c r="A2059" s="21" t="s">
        <x:v>9406</x:v>
      </x:c>
      <x:c r="B2059" s="20" t="s">
        <x:v>9406</x:v>
      </x:c>
      <x:c r="C2059" s="20" t="s">
        <x:v>1344</x:v>
      </x:c>
      <x:c r="D2059" s="24">
        <x:v>111</x:v>
      </x:c>
      <x:c r="E2059" s="24" t="s">
        <x:v>198</x:v>
      </x:c>
      <x:c r="F2059" s="20" t="s">
        <x:v>97</x:v>
      </x:c>
      <x:c r="G2059" s="26">
        <x:v>45895</x:v>
      </x:c>
      <x:c r="H2059" s="24" t="s">
        <x:v>9407</x:v>
      </x:c>
      <x:c r="I2059" s="28" t="s">
        <x:v>9408</x:v>
      </x:c>
      <x:c r="J2059" s="29" t="s">
        <x:v>9409</x:v>
      </x:c>
    </x:row>
    <x:row r="2060" ht="10.050000190734863" customHeight="1">
      <x:c r="A2060" s="21" t="s">
        <x:v>9410</x:v>
      </x:c>
      <x:c r="B2060" s="20" t="s">
        <x:v>9410</x:v>
      </x:c>
      <x:c r="C2060" s="20" t="s">
        <x:v>9411</x:v>
      </x:c>
      <x:c r="D2060" s="24">
        <x:v>8</x:v>
      </x:c>
      <x:c r="E2060" s="24" t="s">
        <x:v>103</x:v>
      </x:c>
      <x:c r="F2060" s="20" t="s">
        <x:v>97</x:v>
      </x:c>
      <x:c r="G2060" s="26">
        <x:v>44528</x:v>
      </x:c>
      <x:c r="H2060" s="24" t="s">
        <x:v>9412</x:v>
      </x:c>
      <x:c r="I2060" s="28" t="s">
        <x:v>9413</x:v>
      </x:c>
      <x:c r="J2060" s="29" t="s">
        <x:v>9414</x:v>
      </x:c>
    </x:row>
    <x:row r="2061" ht="10.050000190734863" customHeight="1">
      <x:c r="A2061" s="21" t="s">
        <x:v>9415</x:v>
      </x:c>
      <x:c r="B2061" s="20" t="s">
        <x:v>9415</x:v>
      </x:c>
      <x:c r="C2061" s="20" t="s">
        <x:v>7377</x:v>
      </x:c>
      <x:c r="D2061" s="24">
        <x:v>5</x:v>
      </x:c>
      <x:c r="E2061" s="24" t="s">
        <x:v>257</x:v>
      </x:c>
      <x:c r="F2061" s="20" t="s">
        <x:v>97</x:v>
      </x:c>
      <x:c r="G2061" s="26">
        <x:v>42130</x:v>
      </x:c>
      <x:c r="H2061" s="24" t="s">
        <x:v>9416</x:v>
      </x:c>
      <x:c r="I2061" s="28" t="s">
        <x:v>9417</x:v>
      </x:c>
      <x:c r="J2061" s="29" t="s">
        <x:v>9418</x:v>
      </x:c>
    </x:row>
    <x:row r="2062" ht="10.050000190734863" customHeight="1">
      <x:c r="A2062" s="21" t="s">
        <x:v>9419</x:v>
      </x:c>
      <x:c r="B2062" s="20" t="s">
        <x:v>9419</x:v>
      </x:c>
      <x:c r="C2062" s="20" t="s">
        <x:v>346</x:v>
      </x:c>
      <x:c r="D2062" s="24">
        <x:v>6</x:v>
      </x:c>
      <x:c r="E2062" s="24" t="s">
        <x:v>257</x:v>
      </x:c>
      <x:c r="F2062" s="20" t="s">
        <x:v>97</x:v>
      </x:c>
      <x:c r="G2062" s="26">
        <x:v>41542</x:v>
      </x:c>
      <x:c r="H2062" s="24" t="s">
        <x:v>9420</x:v>
      </x:c>
      <x:c r="I2062" s="28" t="s">
        <x:v>9421</x:v>
      </x:c>
      <x:c r="J2062" s="29" t="s">
        <x:v>9422</x:v>
      </x:c>
    </x:row>
    <x:row r="2063" ht="10.050000190734863" customHeight="1">
      <x:c r="A2063" s="21" t="s">
        <x:v>9423</x:v>
      </x:c>
      <x:c r="B2063" s="20" t="s">
        <x:v>9423</x:v>
      </x:c>
      <x:c r="C2063" s="20" t="s">
        <x:v>9424</x:v>
      </x:c>
      <x:c r="D2063" s="24">
        <x:v>50</x:v>
      </x:c>
      <x:c r="E2063" s="24" t="s">
        <x:v>103</x:v>
      </x:c>
      <x:c r="F2063" s="20" t="s">
        <x:v>97</x:v>
      </x:c>
      <x:c r="G2063" s="26">
        <x:v>44071</x:v>
      </x:c>
      <x:c r="H2063" s="24" t="s">
        <x:v>9425</x:v>
      </x:c>
      <x:c r="I2063" s="28" t="s">
        <x:v>9426</x:v>
      </x:c>
      <x:c r="J2063" s="29" t="s">
        <x:v>9427</x:v>
      </x:c>
    </x:row>
    <x:row r="2064" ht="10.050000190734863" customHeight="1">
      <x:c r="A2064" s="21" t="s">
        <x:v>9428</x:v>
      </x:c>
      <x:c r="B2064" s="20" t="s">
        <x:v>9428</x:v>
      </x:c>
      <x:c r="C2064" s="20" t="s">
        <x:v>9424</x:v>
      </x:c>
      <x:c r="D2064" s="24">
        <x:v>69</x:v>
      </x:c>
      <x:c r="E2064" s="24" t="s">
        <x:v>96</x:v>
      </x:c>
      <x:c r="F2064" s="20" t="s">
        <x:v>97</x:v>
      </x:c>
      <x:c r="G2064" s="26">
        <x:v>44418</x:v>
      </x:c>
      <x:c r="H2064" s="24" t="s">
        <x:v>9429</x:v>
      </x:c>
      <x:c r="I2064" s="28" t="s">
        <x:v>9430</x:v>
      </x:c>
      <x:c r="J2064" s="29" t="s">
        <x:v>9431</x:v>
      </x:c>
    </x:row>
    <x:row r="2065" ht="10.050000190734863" customHeight="1">
      <x:c r="A2065" s="21" t="s">
        <x:v>9432</x:v>
      </x:c>
      <x:c r="B2065" s="20" t="s">
        <x:v>9432</x:v>
      </x:c>
      <x:c r="C2065" s="20" t="s">
        <x:v>9424</x:v>
      </x:c>
      <x:c r="D2065" s="24">
        <x:v>94</x:v>
      </x:c>
      <x:c r="E2065" s="24" t="s">
        <x:v>96</x:v>
      </x:c>
      <x:c r="F2065" s="20" t="s">
        <x:v>97</x:v>
      </x:c>
      <x:c r="G2065" s="26">
        <x:v>44505</x:v>
      </x:c>
      <x:c r="H2065" s="24" t="s">
        <x:v>9433</x:v>
      </x:c>
      <x:c r="I2065" s="28" t="s">
        <x:v>9434</x:v>
      </x:c>
      <x:c r="J2065" s="29" t="s">
        <x:v>9435</x:v>
      </x:c>
    </x:row>
    <x:row r="2066" ht="10.050000190734863" customHeight="1">
      <x:c r="A2066" s="21" t="s">
        <x:v>9436</x:v>
      </x:c>
      <x:c r="B2066" s="20" t="s">
        <x:v>9436</x:v>
      </x:c>
      <x:c r="C2066" s="20" t="s">
        <x:v>282</x:v>
      </x:c>
      <x:c r="D2066" s="24">
        <x:v>34</x:v>
      </x:c>
      <x:c r="E2066" s="24" t="s">
        <x:v>96</x:v>
      </x:c>
      <x:c r="F2066" s="20" t="s">
        <x:v>97</x:v>
      </x:c>
      <x:c r="G2066" s="26">
        <x:v>45891</x:v>
      </x:c>
      <x:c r="H2066" s="24" t="s">
        <x:v>9437</x:v>
      </x:c>
      <x:c r="I2066" s="28" t="s">
        <x:v>9438</x:v>
      </x:c>
      <x:c r="J2066" s="29" t="s">
        <x:v>9439</x:v>
      </x:c>
    </x:row>
    <x:row r="2067" ht="10.050000190734863" customHeight="1">
      <x:c r="A2067" s="21" t="s">
        <x:v>9440</x:v>
      </x:c>
      <x:c r="B2067" s="20" t="s">
        <x:v>9440</x:v>
      </x:c>
      <x:c r="C2067" s="20" t="s">
        <x:v>8511</x:v>
      </x:c>
      <x:c r="D2067" s="24">
        <x:v>7</x:v>
      </x:c>
      <x:c r="E2067" s="24" t="s">
        <x:v>96</x:v>
      </x:c>
      <x:c r="F2067" s="20" t="s">
        <x:v>97</x:v>
      </x:c>
      <x:c r="G2067" s="26">
        <x:v>41681</x:v>
      </x:c>
      <x:c r="H2067" s="24" t="s">
        <x:v>9441</x:v>
      </x:c>
      <x:c r="I2067" s="28" t="s">
        <x:v>9442</x:v>
      </x:c>
      <x:c r="J2067" s="29" t="s">
        <x:v>9443</x:v>
      </x:c>
    </x:row>
    <x:row r="2068" ht="10.050000190734863" customHeight="1">
      <x:c r="A2068" s="21" t="s">
        <x:v>9444</x:v>
      </x:c>
      <x:c r="B2068" s="20" t="s">
        <x:v>9444</x:v>
      </x:c>
      <x:c r="C2068" s="20" t="s">
        <x:v>2519</x:v>
      </x:c>
      <x:c r="D2068" s="24">
        <x:v>10</x:v>
      </x:c>
      <x:c r="E2068" s="24" t="s">
        <x:v>103</x:v>
      </x:c>
      <x:c r="F2068" s="20" t="s">
        <x:v>97</x:v>
      </x:c>
      <x:c r="G2068" s="26">
        <x:v>43347</x:v>
      </x:c>
      <x:c r="H2068" s="24" t="s">
        <x:v>9445</x:v>
      </x:c>
      <x:c r="I2068" s="28" t="s">
        <x:v>9446</x:v>
      </x:c>
      <x:c r="J2068" s="29" t="s">
        <x:v>9447</x:v>
      </x:c>
    </x:row>
    <x:row r="2069" ht="10.050000190734863" customHeight="1">
      <x:c r="A2069" s="21" t="s">
        <x:v>9448</x:v>
      </x:c>
      <x:c r="B2069" s="20" t="s">
        <x:v>9448</x:v>
      </x:c>
      <x:c r="C2069" s="20" t="s">
        <x:v>6193</x:v>
      </x:c>
      <x:c r="D2069" s="24">
        <x:v>5</x:v>
      </x:c>
      <x:c r="E2069" s="24" t="s">
        <x:v>103</x:v>
      </x:c>
      <x:c r="F2069" s="20" t="s">
        <x:v>97</x:v>
      </x:c>
      <x:c r="G2069" s="26">
        <x:v>42504</x:v>
      </x:c>
      <x:c r="H2069" s="24" t="s">
        <x:v>9449</x:v>
      </x:c>
      <x:c r="I2069" s="28" t="s">
        <x:v>9450</x:v>
      </x:c>
      <x:c r="J2069" s="29" t="s">
        <x:v>9451</x:v>
      </x:c>
    </x:row>
    <x:row r="2070" ht="10.050000190734863" customHeight="1">
      <x:c r="A2070" s="21" t="s">
        <x:v>9452</x:v>
      </x:c>
      <x:c r="B2070" s="20" t="s">
        <x:v>9452</x:v>
      </x:c>
      <x:c r="C2070" s="20" t="s">
        <x:v>9453</x:v>
      </x:c>
      <x:c r="D2070" s="24">
        <x:v>8</x:v>
      </x:c>
      <x:c r="E2070" s="24" t="s">
        <x:v>103</x:v>
      </x:c>
      <x:c r="F2070" s="20" t="s">
        <x:v>97</x:v>
      </x:c>
      <x:c r="G2070" s="26">
        <x:v>41724</x:v>
      </x:c>
      <x:c r="H2070" s="24" t="s">
        <x:v>9454</x:v>
      </x:c>
      <x:c r="I2070" s="28" t="s">
        <x:v>9455</x:v>
      </x:c>
      <x:c r="J2070" s="29" t="s">
        <x:v>9456</x:v>
      </x:c>
    </x:row>
    <x:row r="2071" ht="10.050000190734863" customHeight="1">
      <x:c r="A2071" s="21" t="s">
        <x:v>9457</x:v>
      </x:c>
      <x:c r="B2071" s="20" t="s">
        <x:v>9457</x:v>
      </x:c>
      <x:c r="C2071" s="20" t="s">
        <x:v>543</x:v>
      </x:c>
      <x:c r="D2071" s="24">
        <x:v>82</x:v>
      </x:c>
      <x:c r="E2071" s="24" t="s">
        <x:v>103</x:v>
      </x:c>
      <x:c r="F2071" s="20" t="s">
        <x:v>97</x:v>
      </x:c>
      <x:c r="G2071" s="26">
        <x:v>42195</x:v>
      </x:c>
      <x:c r="H2071" s="24" t="s">
        <x:v>9458</x:v>
      </x:c>
      <x:c r="I2071" s="28" t="s">
        <x:v>9459</x:v>
      </x:c>
      <x:c r="J2071" s="29" t="s">
        <x:v>9460</x:v>
      </x:c>
    </x:row>
    <x:row r="2072" ht="10.050000190734863" customHeight="1">
      <x:c r="A2072" s="21" t="s">
        <x:v>9461</x:v>
      </x:c>
      <x:c r="B2072" s="20" t="s">
        <x:v>9461</x:v>
      </x:c>
      <x:c r="C2072" s="20" t="s">
        <x:v>543</x:v>
      </x:c>
      <x:c r="D2072" s="24">
        <x:v>102</x:v>
      </x:c>
      <x:c r="E2072" s="24" t="s">
        <x:v>103</x:v>
      </x:c>
      <x:c r="F2072" s="20" t="s">
        <x:v>97</x:v>
      </x:c>
      <x:c r="G2072" s="26">
        <x:v>45069</x:v>
      </x:c>
      <x:c r="H2072" s="24" t="s">
        <x:v>9462</x:v>
      </x:c>
      <x:c r="I2072" s="28" t="s">
        <x:v>9463</x:v>
      </x:c>
      <x:c r="J2072" s="29" t="s">
        <x:v>9464</x:v>
      </x:c>
    </x:row>
    <x:row r="2073" ht="10.050000190734863" customHeight="1">
      <x:c r="A2073" s="21" t="s">
        <x:v>9465</x:v>
      </x:c>
      <x:c r="B2073" s="20" t="s">
        <x:v>9465</x:v>
      </x:c>
      <x:c r="C2073" s="20" t="s">
        <x:v>9466</x:v>
      </x:c>
      <x:c r="D2073" s="24">
        <x:v>7</x:v>
      </x:c>
      <x:c r="E2073" s="24" t="s">
        <x:v>257</x:v>
      </x:c>
      <x:c r="F2073" s="20" t="s">
        <x:v>97</x:v>
      </x:c>
      <x:c r="G2073" s="26">
        <x:v>42270</x:v>
      </x:c>
      <x:c r="H2073" s="24" t="s">
        <x:v>9467</x:v>
      </x:c>
      <x:c r="I2073" s="28" t="s">
        <x:v>9468</x:v>
      </x:c>
      <x:c r="J2073" s="29" t="s">
        <x:v>9469</x:v>
      </x:c>
    </x:row>
    <x:row r="2074" ht="10.050000190734863" customHeight="1">
      <x:c r="A2074" s="21" t="s">
        <x:v>9470</x:v>
      </x:c>
      <x:c r="B2074" s="20" t="s">
        <x:v>9470</x:v>
      </x:c>
      <x:c r="C2074" s="20" t="s">
        <x:v>9471</x:v>
      </x:c>
      <x:c r="D2074" s="24">
        <x:v>11</x:v>
      </x:c>
      <x:c r="E2074" s="24" t="s">
        <x:v>103</x:v>
      </x:c>
      <x:c r="F2074" s="20" t="s">
        <x:v>97</x:v>
      </x:c>
      <x:c r="G2074" s="26">
        <x:v>41548</x:v>
      </x:c>
      <x:c r="H2074" s="24" t="s">
        <x:v>9472</x:v>
      </x:c>
      <x:c r="I2074" s="28" t="s">
        <x:v>9473</x:v>
      </x:c>
      <x:c r="J2074" s="29" t="s">
        <x:v>9474</x:v>
      </x:c>
    </x:row>
    <x:row r="2075" ht="10.050000190734863" customHeight="1">
      <x:c r="A2075" s="21" t="s">
        <x:v>9475</x:v>
      </x:c>
      <x:c r="B2075" s="20" t="s">
        <x:v>9475</x:v>
      </x:c>
      <x:c r="C2075" s="20" t="s">
        <x:v>968</x:v>
      </x:c>
      <x:c r="D2075" s="24">
        <x:v>28</x:v>
      </x:c>
      <x:c r="E2075" s="24" t="s">
        <x:v>103</x:v>
      </x:c>
      <x:c r="F2075" s="20" t="s">
        <x:v>97</x:v>
      </x:c>
      <x:c r="G2075" s="26">
        <x:v>43823</x:v>
      </x:c>
      <x:c r="H2075" s="24" t="s">
        <x:v>9476</x:v>
      </x:c>
      <x:c r="I2075" s="28" t="s">
        <x:v>9477</x:v>
      </x:c>
      <x:c r="J2075" s="29" t="s">
        <x:v>9478</x:v>
      </x:c>
    </x:row>
    <x:row r="2076" ht="10.050000190734863" customHeight="1">
      <x:c r="A2076" s="21" t="s">
        <x:v>9479</x:v>
      </x:c>
      <x:c r="B2076" s="20" t="s">
        <x:v>9479</x:v>
      </x:c>
      <x:c r="C2076" s="20" t="s">
        <x:v>9480</x:v>
      </x:c>
      <x:c r="D2076" s="24">
        <x:v>8</x:v>
      </x:c>
      <x:c r="E2076" s="24" t="s">
        <x:v>257</x:v>
      </x:c>
      <x:c r="F2076" s="20" t="s">
        <x:v>97</x:v>
      </x:c>
      <x:c r="G2076" s="26">
        <x:v>42257</x:v>
      </x:c>
      <x:c r="H2076" s="24" t="s">
        <x:v>9481</x:v>
      </x:c>
      <x:c r="I2076" s="28" t="s">
        <x:v>9482</x:v>
      </x:c>
      <x:c r="J2076" s="29" t="s">
        <x:v>9483</x:v>
      </x:c>
    </x:row>
    <x:row r="2077" ht="10.050000190734863" customHeight="1">
      <x:c r="A2077" s="21" t="s">
        <x:v>9484</x:v>
      </x:c>
      <x:c r="B2077" s="20" t="s">
        <x:v>9484</x:v>
      </x:c>
      <x:c r="C2077" s="20" t="s">
        <x:v>4245</x:v>
      </x:c>
      <x:c r="D2077" s="24">
        <x:v>36</x:v>
      </x:c>
      <x:c r="E2077" s="24" t="s">
        <x:v>103</x:v>
      </x:c>
      <x:c r="F2077" s="20" t="s">
        <x:v>97</x:v>
      </x:c>
      <x:c r="G2077" s="26">
        <x:v>44768</x:v>
      </x:c>
      <x:c r="H2077" s="24" t="s">
        <x:v>9485</x:v>
      </x:c>
      <x:c r="I2077" s="28" t="s">
        <x:v>9486</x:v>
      </x:c>
      <x:c r="J2077" s="29" t="s">
        <x:v>9487</x:v>
      </x:c>
    </x:row>
    <x:row r="2078" ht="10.050000190734863" customHeight="1">
      <x:c r="A2078" s="21" t="s">
        <x:v>9488</x:v>
      </x:c>
      <x:c r="B2078" s="20" t="s">
        <x:v>9488</x:v>
      </x:c>
      <x:c r="C2078" s="20" t="s">
        <x:v>9489</x:v>
      </x:c>
      <x:c r="D2078" s="24">
        <x:v>6</x:v>
      </x:c>
      <x:c r="E2078" s="24" t="s">
        <x:v>103</x:v>
      </x:c>
      <x:c r="F2078" s="20" t="s">
        <x:v>97</x:v>
      </x:c>
      <x:c r="G2078" s="26">
        <x:v>44819</x:v>
      </x:c>
      <x:c r="H2078" s="24" t="s">
        <x:v>9490</x:v>
      </x:c>
      <x:c r="I2078" s="28" t="s">
        <x:v>9491</x:v>
      </x:c>
      <x:c r="J2078" s="29" t="s">
        <x:v>9492</x:v>
      </x:c>
    </x:row>
    <x:row r="2079" ht="10.050000190734863" customHeight="1">
      <x:c r="A2079" s="21" t="s">
        <x:v>9493</x:v>
      </x:c>
      <x:c r="B2079" s="20" t="s">
        <x:v>9493</x:v>
      </x:c>
      <x:c r="C2079" s="20" t="s">
        <x:v>9494</x:v>
      </x:c>
      <x:c r="D2079" s="24">
        <x:v>3</x:v>
      </x:c>
      <x:c r="E2079" s="24" t="s">
        <x:v>89</x:v>
      </x:c>
      <x:c r="F2079" s="20" t="s">
        <x:v>610</x:v>
      </x:c>
      <x:c r="G2079" s="26">
        <x:v>42298</x:v>
      </x:c>
      <x:c r="H2079" s="24" t="s">
        <x:v>9495</x:v>
      </x:c>
      <x:c r="I2079" s="28" t="s">
        <x:v>9496</x:v>
      </x:c>
      <x:c r="J2079" s="29" t="s">
        <x:v>9497</x:v>
      </x:c>
    </x:row>
    <x:row r="2080" ht="10.050000190734863" customHeight="1">
      <x:c r="A2080" s="21" t="s">
        <x:v>9498</x:v>
      </x:c>
      <x:c r="B2080" s="20" t="s">
        <x:v>9498</x:v>
      </x:c>
      <x:c r="C2080" s="20" t="s">
        <x:v>9499</x:v>
      </x:c>
      <x:c r="D2080" s="24">
        <x:v>3</x:v>
      </x:c>
      <x:c r="E2080" s="24" t="s">
        <x:v>96</x:v>
      </x:c>
      <x:c r="F2080" s="20" t="s">
        <x:v>97</x:v>
      </x:c>
      <x:c r="G2080" s="26">
        <x:v>42398</x:v>
      </x:c>
      <x:c r="H2080" s="24" t="s">
        <x:v>9500</x:v>
      </x:c>
      <x:c r="I2080" s="28" t="s">
        <x:v>9501</x:v>
      </x:c>
      <x:c r="J2080" s="29" t="s">
        <x:v>9502</x:v>
      </x:c>
    </x:row>
    <x:row r="2081" ht="10.050000190734863" customHeight="1">
      <x:c r="A2081" s="21" t="s">
        <x:v>9503</x:v>
      </x:c>
      <x:c r="B2081" s="20" t="s">
        <x:v>9503</x:v>
      </x:c>
      <x:c r="C2081" s="20" t="s">
        <x:v>1683</x:v>
      </x:c>
      <x:c r="D2081" s="24">
        <x:v>7</x:v>
      </x:c>
      <x:c r="E2081" s="24" t="s">
        <x:v>257</x:v>
      </x:c>
      <x:c r="F2081" s="20" t="s">
        <x:v>97</x:v>
      </x:c>
      <x:c r="G2081" s="26">
        <x:v>42279</x:v>
      </x:c>
      <x:c r="H2081" s="24" t="s">
        <x:v>9504</x:v>
      </x:c>
      <x:c r="I2081" s="28" t="s">
        <x:v>9505</x:v>
      </x:c>
      <x:c r="J2081" s="29" t="s">
        <x:v>9506</x:v>
      </x:c>
    </x:row>
    <x:row r="2082" ht="10.050000190734863" customHeight="1">
      <x:c r="A2082" s="21" t="s">
        <x:v>9507</x:v>
      </x:c>
      <x:c r="B2082" s="20" t="s">
        <x:v>9507</x:v>
      </x:c>
      <x:c r="C2082" s="20" t="s">
        <x:v>5601</x:v>
      </x:c>
      <x:c r="D2082" s="24">
        <x:v>5</x:v>
      </x:c>
      <x:c r="E2082" s="24" t="s">
        <x:v>257</x:v>
      </x:c>
      <x:c r="F2082" s="20" t="s">
        <x:v>97</x:v>
      </x:c>
      <x:c r="G2082" s="26">
        <x:v>42223</x:v>
      </x:c>
      <x:c r="H2082" s="24" t="s">
        <x:v>9508</x:v>
      </x:c>
      <x:c r="I2082" s="28" t="s">
        <x:v>9509</x:v>
      </x:c>
      <x:c r="J2082" s="29" t="s">
        <x:v>9510</x:v>
      </x:c>
    </x:row>
    <x:row r="2083" ht="10.050000190734863" customHeight="1">
      <x:c r="A2083" s="21" t="s">
        <x:v>9511</x:v>
      </x:c>
      <x:c r="B2083" s="20" t="s">
        <x:v>9511</x:v>
      </x:c>
      <x:c r="C2083" s="20" t="s">
        <x:v>9512</x:v>
      </x:c>
      <x:c r="D2083" s="24">
        <x:v>8</x:v>
      </x:c>
      <x:c r="E2083" s="24" t="s">
        <x:v>257</x:v>
      </x:c>
      <x:c r="F2083" s="20" t="s">
        <x:v>97</x:v>
      </x:c>
      <x:c r="G2083" s="26">
        <x:v>42066</x:v>
      </x:c>
      <x:c r="H2083" s="24" t="s">
        <x:v>9513</x:v>
      </x:c>
      <x:c r="I2083" s="28" t="s">
        <x:v>9514</x:v>
      </x:c>
      <x:c r="J2083" s="29" t="s">
        <x:v>9515</x:v>
      </x:c>
    </x:row>
    <x:row r="2084" ht="10.050000190734863" customHeight="1">
      <x:c r="A2084" s="21" t="s">
        <x:v>9516</x:v>
      </x:c>
      <x:c r="B2084" s="20" t="s">
        <x:v>9516</x:v>
      </x:c>
      <x:c r="C2084" s="20" t="s">
        <x:v>9517</x:v>
      </x:c>
      <x:c r="D2084" s="24">
        <x:v>6</x:v>
      </x:c>
      <x:c r="E2084" s="24" t="s">
        <x:v>257</x:v>
      </x:c>
      <x:c r="F2084" s="20" t="s">
        <x:v>97</x:v>
      </x:c>
      <x:c r="G2084" s="26">
        <x:v>42066</x:v>
      </x:c>
      <x:c r="H2084" s="24" t="s">
        <x:v>9518</x:v>
      </x:c>
      <x:c r="I2084" s="28" t="s">
        <x:v>9519</x:v>
      </x:c>
      <x:c r="J2084" s="29" t="s">
        <x:v>9520</x:v>
      </x:c>
    </x:row>
    <x:row r="2085" ht="10.050000190734863" customHeight="1">
      <x:c r="A2085" s="21" t="s">
        <x:v>9521</x:v>
      </x:c>
      <x:c r="B2085" s="20" t="s">
        <x:v>9521</x:v>
      </x:c>
      <x:c r="C2085" s="20" t="s">
        <x:v>7377</x:v>
      </x:c>
      <x:c r="D2085" s="24">
        <x:v>6</x:v>
      </x:c>
      <x:c r="E2085" s="24" t="s">
        <x:v>257</x:v>
      </x:c>
      <x:c r="F2085" s="20" t="s">
        <x:v>97</x:v>
      </x:c>
      <x:c r="G2085" s="26">
        <x:v>41744</x:v>
      </x:c>
      <x:c r="H2085" s="24" t="s">
        <x:v>9522</x:v>
      </x:c>
      <x:c r="I2085" s="28" t="s">
        <x:v>9523</x:v>
      </x:c>
      <x:c r="J2085" s="29" t="s">
        <x:v>9524</x:v>
      </x:c>
    </x:row>
    <x:row r="2086" ht="10.050000190734863" customHeight="1">
      <x:c r="A2086" s="21" t="s">
        <x:v>9525</x:v>
      </x:c>
      <x:c r="B2086" s="20" t="s">
        <x:v>9525</x:v>
      </x:c>
      <x:c r="C2086" s="20" t="s">
        <x:v>543</x:v>
      </x:c>
      <x:c r="D2086" s="24">
        <x:v>43</x:v>
      </x:c>
      <x:c r="E2086" s="24" t="s">
        <x:v>103</x:v>
      </x:c>
      <x:c r="F2086" s="20" t="s">
        <x:v>97</x:v>
      </x:c>
      <x:c r="G2086" s="26">
        <x:v>45848</x:v>
      </x:c>
      <x:c r="H2086" s="24" t="s">
        <x:v>9526</x:v>
      </x:c>
      <x:c r="I2086" s="28" t="s">
        <x:v>9527</x:v>
      </x:c>
      <x:c r="J2086" s="29" t="s">
        <x:v>9528</x:v>
      </x:c>
    </x:row>
    <x:row r="2087" ht="10.050000190734863" customHeight="1">
      <x:c r="A2087" s="21" t="s">
        <x:v>9529</x:v>
      </x:c>
      <x:c r="B2087" s="20" t="s">
        <x:v>9529</x:v>
      </x:c>
      <x:c r="C2087" s="20" t="s">
        <x:v>3012</x:v>
      </x:c>
      <x:c r="D2087" s="24">
        <x:v>7</x:v>
      </x:c>
      <x:c r="E2087" s="24" t="s">
        <x:v>257</x:v>
      </x:c>
      <x:c r="F2087" s="20" t="s">
        <x:v>97</x:v>
      </x:c>
      <x:c r="G2087" s="26">
        <x:v>42275</x:v>
      </x:c>
      <x:c r="H2087" s="24" t="s">
        <x:v>9530</x:v>
      </x:c>
      <x:c r="I2087" s="28" t="s">
        <x:v>9531</x:v>
      </x:c>
      <x:c r="J2087" s="29" t="s">
        <x:v>9532</x:v>
      </x:c>
    </x:row>
    <x:row r="2088" ht="10.050000190734863" customHeight="1">
      <x:c r="A2088" s="21" t="s">
        <x:v>9533</x:v>
      </x:c>
      <x:c r="B2088" s="20" t="s">
        <x:v>9533</x:v>
      </x:c>
      <x:c r="C2088" s="20" t="s">
        <x:v>9534</x:v>
      </x:c>
      <x:c r="D2088" s="24">
        <x:v>6</x:v>
      </x:c>
      <x:c r="E2088" s="24" t="s">
        <x:v>103</x:v>
      </x:c>
      <x:c r="F2088" s="20" t="s">
        <x:v>97</x:v>
      </x:c>
      <x:c r="G2088" s="26">
        <x:v>41490</x:v>
      </x:c>
      <x:c r="H2088" s="24" t="s">
        <x:v>9535</x:v>
      </x:c>
      <x:c r="I2088" s="28" t="s">
        <x:v>9536</x:v>
      </x:c>
      <x:c r="J2088" s="29" t="s">
        <x:v>9537</x:v>
      </x:c>
    </x:row>
    <x:row r="2089" ht="10.050000190734863" customHeight="1">
      <x:c r="A2089" s="21" t="s">
        <x:v>9538</x:v>
      </x:c>
      <x:c r="B2089" s="20" t="s">
        <x:v>9538</x:v>
      </x:c>
      <x:c r="C2089" s="20" t="s">
        <x:v>9424</x:v>
      </x:c>
      <x:c r="D2089" s="24">
        <x:v>29</x:v>
      </x:c>
      <x:c r="E2089" s="24" t="s">
        <x:v>96</x:v>
      </x:c>
      <x:c r="F2089" s="20" t="s">
        <x:v>97</x:v>
      </x:c>
      <x:c r="G2089" s="26">
        <x:v>44169</x:v>
      </x:c>
      <x:c r="H2089" s="24" t="s">
        <x:v>9539</x:v>
      </x:c>
      <x:c r="I2089" s="28" t="s">
        <x:v>9540</x:v>
      </x:c>
      <x:c r="J2089" s="29" t="s">
        <x:v>9541</x:v>
      </x:c>
    </x:row>
    <x:row r="2090" ht="10.050000190734863" customHeight="1">
      <x:c r="A2090" s="21" t="s">
        <x:v>9542</x:v>
      </x:c>
      <x:c r="B2090" s="20" t="s">
        <x:v>9542</x:v>
      </x:c>
      <x:c r="C2090" s="20" t="s">
        <x:v>9543</x:v>
      </x:c>
      <x:c r="D2090" s="24">
        <x:v>59</x:v>
      </x:c>
      <x:c r="E2090" s="24" t="s">
        <x:v>103</x:v>
      </x:c>
      <x:c r="F2090" s="20" t="s">
        <x:v>97</x:v>
      </x:c>
      <x:c r="G2090" s="26">
        <x:v>41449</x:v>
      </x:c>
      <x:c r="H2090" s="24" t="s">
        <x:v>9544</x:v>
      </x:c>
      <x:c r="I2090" s="28" t="s">
        <x:v>9545</x:v>
      </x:c>
      <x:c r="J2090" s="29" t="s">
        <x:v>9546</x:v>
      </x:c>
    </x:row>
    <x:row r="2091" ht="10.050000190734863" customHeight="1">
      <x:c r="A2091" s="21" t="s">
        <x:v>9547</x:v>
      </x:c>
      <x:c r="B2091" s="20" t="s">
        <x:v>9547</x:v>
      </x:c>
      <x:c r="C2091" s="20" t="s">
        <x:v>9548</x:v>
      </x:c>
      <x:c r="D2091" s="24">
        <x:v>92</x:v>
      </x:c>
      <x:c r="E2091" s="24" t="s">
        <x:v>103</x:v>
      </x:c>
      <x:c r="F2091" s="20" t="s">
        <x:v>97</x:v>
      </x:c>
      <x:c r="G2091" s="26">
        <x:v>44836</x:v>
      </x:c>
      <x:c r="H2091" s="24" t="s">
        <x:v>9549</x:v>
      </x:c>
      <x:c r="I2091" s="28" t="s">
        <x:v>9550</x:v>
      </x:c>
      <x:c r="J2091" s="29" t="s">
        <x:v>9551</x:v>
      </x:c>
    </x:row>
    <x:row r="2092" ht="10.050000190734863" customHeight="1">
      <x:c r="A2092" s="21" t="s">
        <x:v>9552</x:v>
      </x:c>
      <x:c r="B2092" s="20" t="s">
        <x:v>9552</x:v>
      </x:c>
      <x:c r="C2092" s="20" t="s">
        <x:v>9548</x:v>
      </x:c>
      <x:c r="D2092" s="24">
        <x:v>29</x:v>
      </x:c>
      <x:c r="E2092" s="24" t="s">
        <x:v>103</x:v>
      </x:c>
      <x:c r="F2092" s="20" t="s">
        <x:v>97</x:v>
      </x:c>
      <x:c r="G2092" s="26">
        <x:v>44938</x:v>
      </x:c>
      <x:c r="H2092" s="24" t="s">
        <x:v>9553</x:v>
      </x:c>
      <x:c r="I2092" s="28" t="s">
        <x:v>9554</x:v>
      </x:c>
      <x:c r="J2092" s="29" t="s">
        <x:v>9555</x:v>
      </x:c>
    </x:row>
    <x:row r="2093" ht="10.050000190734863" customHeight="1">
      <x:c r="A2093" s="21" t="s">
        <x:v>9556</x:v>
      </x:c>
      <x:c r="B2093" s="20" t="s">
        <x:v>9556</x:v>
      </x:c>
      <x:c r="C2093" s="20" t="s">
        <x:v>9557</x:v>
      </x:c>
      <x:c r="D2093" s="24">
        <x:v>5</x:v>
      </x:c>
      <x:c r="E2093" s="24" t="s">
        <x:v>257</x:v>
      </x:c>
      <x:c r="F2093" s="20" t="s">
        <x:v>97</x:v>
      </x:c>
      <x:c r="G2093" s="26">
        <x:v>44703</x:v>
      </x:c>
      <x:c r="H2093" s="24" t="s">
        <x:v>9558</x:v>
      </x:c>
      <x:c r="I2093" s="28" t="s">
        <x:v>9559</x:v>
      </x:c>
      <x:c r="J2093" s="29" t="s">
        <x:v>9560</x:v>
      </x:c>
    </x:row>
    <x:row r="2094" ht="10.050000190734863" customHeight="1">
      <x:c r="A2094" s="21" t="s">
        <x:v>9561</x:v>
      </x:c>
      <x:c r="B2094" s="20" t="s">
        <x:v>9561</x:v>
      </x:c>
      <x:c r="C2094" s="20" t="s">
        <x:v>9562</x:v>
      </x:c>
      <x:c r="D2094" s="24">
        <x:v>28</x:v>
      </x:c>
      <x:c r="E2094" s="24" t="s">
        <x:v>103</x:v>
      </x:c>
      <x:c r="F2094" s="20" t="s">
        <x:v>97</x:v>
      </x:c>
      <x:c r="G2094" s="26">
        <x:v>41573</x:v>
      </x:c>
      <x:c r="H2094" s="24" t="s">
        <x:v>9563</x:v>
      </x:c>
      <x:c r="I2094" s="28" t="s">
        <x:v>9564</x:v>
      </x:c>
      <x:c r="J2094" s="29" t="s">
        <x:v>9565</x:v>
      </x:c>
    </x:row>
    <x:row r="2095" ht="10.050000190734863" customHeight="1">
      <x:c r="A2095" s="21" t="s">
        <x:v>9566</x:v>
      </x:c>
      <x:c r="B2095" s="20" t="s">
        <x:v>9566</x:v>
      </x:c>
      <x:c r="C2095" s="20" t="s">
        <x:v>9567</x:v>
      </x:c>
      <x:c r="D2095" s="24">
        <x:v>5</x:v>
      </x:c>
      <x:c r="E2095" s="24" t="s">
        <x:v>103</x:v>
      </x:c>
      <x:c r="F2095" s="20" t="s">
        <x:v>97</x:v>
      </x:c>
      <x:c r="G2095" s="26">
        <x:v>43971</x:v>
      </x:c>
      <x:c r="H2095" s="24" t="s">
        <x:v>9568</x:v>
      </x:c>
      <x:c r="I2095" s="28" t="s">
        <x:v>9569</x:v>
      </x:c>
      <x:c r="J2095" s="29" t="s">
        <x:v>9570</x:v>
      </x:c>
    </x:row>
    <x:row r="2096" ht="10.050000190734863" customHeight="1">
      <x:c r="A2096" s="21" t="s">
        <x:v>9571</x:v>
      </x:c>
      <x:c r="B2096" s="20" t="s">
        <x:v>9571</x:v>
      </x:c>
      <x:c r="C2096" s="20" t="s">
        <x:v>282</x:v>
      </x:c>
      <x:c r="D2096" s="24">
        <x:v>24</x:v>
      </x:c>
      <x:c r="E2096" s="24" t="s">
        <x:v>103</x:v>
      </x:c>
      <x:c r="F2096" s="20" t="s">
        <x:v>97</x:v>
      </x:c>
      <x:c r="G2096" s="26">
        <x:v>45704</x:v>
      </x:c>
      <x:c r="H2096" s="24" t="s">
        <x:v>9572</x:v>
      </x:c>
      <x:c r="I2096" s="28" t="s">
        <x:v>9573</x:v>
      </x:c>
      <x:c r="J2096" s="29" t="s">
        <x:v>9574</x:v>
      </x:c>
    </x:row>
    <x:row r="2097" ht="10.050000190734863" customHeight="1">
      <x:c r="A2097" s="21" t="s">
        <x:v>9575</x:v>
      </x:c>
      <x:c r="B2097" s="20" t="s">
        <x:v>9575</x:v>
      </x:c>
      <x:c r="C2097" s="20" t="s">
        <x:v>9576</x:v>
      </x:c>
      <x:c r="D2097" s="24">
        <x:v>7</x:v>
      </x:c>
      <x:c r="E2097" s="24" t="s">
        <x:v>257</x:v>
      </x:c>
      <x:c r="F2097" s="20" t="s">
        <x:v>97</x:v>
      </x:c>
      <x:c r="G2097" s="26">
        <x:v>42073</x:v>
      </x:c>
      <x:c r="H2097" s="24" t="s">
        <x:v>9577</x:v>
      </x:c>
      <x:c r="I2097" s="28" t="s">
        <x:v>9578</x:v>
      </x:c>
      <x:c r="J2097" s="29" t="s">
        <x:v>9579</x:v>
      </x:c>
    </x:row>
    <x:row r="2098" ht="10.050000190734863" customHeight="1">
      <x:c r="A2098" s="21" t="s">
        <x:v>9580</x:v>
      </x:c>
      <x:c r="B2098" s="20" t="s">
        <x:v>9580</x:v>
      </x:c>
      <x:c r="C2098" s="20" t="s">
        <x:v>1334</x:v>
      </x:c>
      <x:c r="D2098" s="24">
        <x:v>15</x:v>
      </x:c>
      <x:c r="E2098" s="24" t="s">
        <x:v>103</x:v>
      </x:c>
      <x:c r="F2098" s="20" t="s">
        <x:v>97</x:v>
      </x:c>
      <x:c r="G2098" s="26">
        <x:v>41885</x:v>
      </x:c>
      <x:c r="H2098" s="24" t="s">
        <x:v>9581</x:v>
      </x:c>
      <x:c r="I2098" s="28" t="s">
        <x:v>9582</x:v>
      </x:c>
      <x:c r="J2098" s="29" t="s">
        <x:v>9583</x:v>
      </x:c>
    </x:row>
    <x:row r="2099" ht="10.050000190734863" customHeight="1">
      <x:c r="A2099" s="21" t="s">
        <x:v>9584</x:v>
      </x:c>
      <x:c r="B2099" s="20" t="s">
        <x:v>9584</x:v>
      </x:c>
      <x:c r="C2099" s="20" t="s">
        <x:v>9585</x:v>
      </x:c>
      <x:c r="D2099" s="24">
        <x:v>100</x:v>
      </x:c>
      <x:c r="E2099" s="24" t="s">
        <x:v>103</x:v>
      </x:c>
      <x:c r="F2099" s="20" t="s">
        <x:v>97</x:v>
      </x:c>
      <x:c r="G2099" s="26">
        <x:v>41603</x:v>
      </x:c>
      <x:c r="H2099" s="24" t="s">
        <x:v>9586</x:v>
      </x:c>
      <x:c r="I2099" s="28" t="s">
        <x:v>9587</x:v>
      </x:c>
      <x:c r="J2099" s="29" t="s">
        <x:v>9588</x:v>
      </x:c>
    </x:row>
    <x:row r="2100" ht="10.050000190734863" customHeight="1">
      <x:c r="A2100" s="21" t="s">
        <x:v>9589</x:v>
      </x:c>
      <x:c r="B2100" s="20" t="s">
        <x:v>9589</x:v>
      </x:c>
      <x:c r="C2100" s="20" t="s">
        <x:v>9590</x:v>
      </x:c>
      <x:c r="D2100" s="24">
        <x:v>6</x:v>
      </x:c>
      <x:c r="E2100" s="24" t="s">
        <x:v>103</x:v>
      </x:c>
      <x:c r="F2100" s="20" t="s">
        <x:v>97</x:v>
      </x:c>
      <x:c r="G2100" s="26">
        <x:v>42100</x:v>
      </x:c>
      <x:c r="H2100" s="24" t="s">
        <x:v>9591</x:v>
      </x:c>
      <x:c r="I2100" s="28" t="s">
        <x:v>9592</x:v>
      </x:c>
      <x:c r="J2100" s="29" t="s">
        <x:v>9593</x:v>
      </x:c>
    </x:row>
    <x:row r="2101" ht="10.050000190734863" customHeight="1">
      <x:c r="A2101" s="21" t="s">
        <x:v>9594</x:v>
      </x:c>
      <x:c r="B2101" s="20" t="s">
        <x:v>9594</x:v>
      </x:c>
      <x:c r="C2101" s="20" t="s">
        <x:v>5053</x:v>
      </x:c>
      <x:c r="D2101" s="24">
        <x:v>10</x:v>
      </x:c>
      <x:c r="E2101" s="24" t="s">
        <x:v>257</x:v>
      </x:c>
      <x:c r="F2101" s="20" t="s">
        <x:v>97</x:v>
      </x:c>
      <x:c r="G2101" s="26">
        <x:v>42270</x:v>
      </x:c>
      <x:c r="H2101" s="24" t="s">
        <x:v>9595</x:v>
      </x:c>
      <x:c r="I2101" s="28" t="s">
        <x:v>9596</x:v>
      </x:c>
      <x:c r="J2101" s="29" t="s">
        <x:v>9597</x:v>
      </x:c>
    </x:row>
    <x:row r="2102" ht="10.050000190734863" customHeight="1">
      <x:c r="A2102" s="21" t="s">
        <x:v>9598</x:v>
      </x:c>
      <x:c r="B2102" s="20" t="s">
        <x:v>9598</x:v>
      </x:c>
      <x:c r="C2102" s="20" t="s">
        <x:v>1751</x:v>
      </x:c>
      <x:c r="D2102" s="24">
        <x:v>31</x:v>
      </x:c>
      <x:c r="E2102" s="24" t="s">
        <x:v>103</x:v>
      </x:c>
      <x:c r="F2102" s="20" t="s">
        <x:v>97</x:v>
      </x:c>
      <x:c r="G2102" s="26">
        <x:v>42222</x:v>
      </x:c>
      <x:c r="H2102" s="24" t="s">
        <x:v>9599</x:v>
      </x:c>
      <x:c r="I2102" s="28" t="s">
        <x:v>9600</x:v>
      </x:c>
      <x:c r="J2102" s="29" t="s">
        <x:v>9601</x:v>
      </x:c>
    </x:row>
    <x:row r="2103" ht="10.050000190734863" customHeight="1">
      <x:c r="A2103" s="21" t="s">
        <x:v>9602</x:v>
      </x:c>
      <x:c r="B2103" s="20" t="s">
        <x:v>9602</x:v>
      </x:c>
      <x:c r="C2103" s="20" t="s">
        <x:v>9603</x:v>
      </x:c>
      <x:c r="D2103" s="24">
        <x:v>93</x:v>
      </x:c>
      <x:c r="E2103" s="24" t="s">
        <x:v>103</x:v>
      </x:c>
      <x:c r="F2103" s="20" t="s">
        <x:v>97</x:v>
      </x:c>
      <x:c r="G2103" s="26">
        <x:v>45005</x:v>
      </x:c>
      <x:c r="H2103" s="24" t="s">
        <x:v>9604</x:v>
      </x:c>
      <x:c r="I2103" s="28" t="s">
        <x:v>9605</x:v>
      </x:c>
      <x:c r="J2103" s="29" t="s">
        <x:v>9606</x:v>
      </x:c>
    </x:row>
    <x:row r="2104" ht="10.050000190734863" customHeight="1">
      <x:c r="A2104" s="21" t="s">
        <x:v>9607</x:v>
      </x:c>
      <x:c r="B2104" s="20" t="s">
        <x:v>9607</x:v>
      </x:c>
      <x:c r="C2104" s="20" t="s">
        <x:v>9608</x:v>
      </x:c>
      <x:c r="D2104" s="24">
        <x:v>106</x:v>
      </x:c>
      <x:c r="E2104" s="24" t="s">
        <x:v>114</x:v>
      </x:c>
      <x:c r="F2104" s="20" t="s">
        <x:v>97</x:v>
      </x:c>
      <x:c r="G2104" s="26">
        <x:v>41711</x:v>
      </x:c>
      <x:c r="H2104" s="24" t="s">
        <x:v>9609</x:v>
      </x:c>
      <x:c r="I2104" s="28" t="s">
        <x:v>9610</x:v>
      </x:c>
      <x:c r="J2104" s="29" t="s">
        <x:v>9611</x:v>
      </x:c>
    </x:row>
    <x:row r="2105" ht="10.050000190734863" customHeight="1">
      <x:c r="A2105" s="21" t="s">
        <x:v>9612</x:v>
      </x:c>
      <x:c r="B2105" s="20" t="s">
        <x:v>9612</x:v>
      </x:c>
      <x:c r="C2105" s="20" t="s">
        <x:v>282</x:v>
      </x:c>
      <x:c r="D2105" s="24">
        <x:v>70</x:v>
      </x:c>
      <x:c r="E2105" s="24" t="s">
        <x:v>96</x:v>
      </x:c>
      <x:c r="F2105" s="20" t="s">
        <x:v>97</x:v>
      </x:c>
      <x:c r="G2105" s="26">
        <x:v>46208</x:v>
      </x:c>
      <x:c r="H2105" s="24" t="s">
        <x:v>9613</x:v>
      </x:c>
      <x:c r="I2105" s="28" t="s">
        <x:v>9614</x:v>
      </x:c>
      <x:c r="J2105" s="29" t="s">
        <x:v>9615</x:v>
      </x:c>
    </x:row>
    <x:row r="2106" ht="10.050000190734863" customHeight="1">
      <x:c r="A2106" s="21" t="s">
        <x:v>9616</x:v>
      </x:c>
      <x:c r="B2106" s="20" t="s">
        <x:v>9616</x:v>
      </x:c>
      <x:c r="C2106" s="20" t="s">
        <x:v>9617</x:v>
      </x:c>
      <x:c r="D2106" s="24">
        <x:v>6</x:v>
      </x:c>
      <x:c r="E2106" s="24" t="s">
        <x:v>103</x:v>
      </x:c>
      <x:c r="F2106" s="20" t="s">
        <x:v>97</x:v>
      </x:c>
      <x:c r="G2106" s="26">
        <x:v>42291</x:v>
      </x:c>
      <x:c r="H2106" s="24" t="s">
        <x:v>9618</x:v>
      </x:c>
      <x:c r="I2106" s="28" t="s">
        <x:v>9619</x:v>
      </x:c>
      <x:c r="J2106" s="29" t="s">
        <x:v>9620</x:v>
      </x:c>
    </x:row>
    <x:row r="2107" ht="10.050000190734863" customHeight="1">
      <x:c r="A2107" s="21" t="s">
        <x:v>9621</x:v>
      </x:c>
      <x:c r="B2107" s="20" t="s">
        <x:v>9621</x:v>
      </x:c>
      <x:c r="C2107" s="20" t="s">
        <x:v>4210</x:v>
      </x:c>
      <x:c r="D2107" s="24">
        <x:v>90</x:v>
      </x:c>
      <x:c r="E2107" s="24" t="s">
        <x:v>103</x:v>
      </x:c>
      <x:c r="F2107" s="20" t="s">
        <x:v>97</x:v>
      </x:c>
      <x:c r="G2107" s="26">
        <x:v>42538</x:v>
      </x:c>
      <x:c r="H2107" s="24" t="s">
        <x:v>9622</x:v>
      </x:c>
      <x:c r="I2107" s="28" t="s">
        <x:v>9623</x:v>
      </x:c>
      <x:c r="J2107" s="29" t="s">
        <x:v>9624</x:v>
      </x:c>
    </x:row>
    <x:row r="2108" ht="10.050000190734863" customHeight="1">
      <x:c r="A2108" s="21" t="s">
        <x:v>9625</x:v>
      </x:c>
      <x:c r="B2108" s="20" t="s">
        <x:v>9625</x:v>
      </x:c>
      <x:c r="C2108" s="20" t="s">
        <x:v>2137</x:v>
      </x:c>
      <x:c r="D2108" s="24">
        <x:v>7</x:v>
      </x:c>
      <x:c r="E2108" s="24" t="s">
        <x:v>103</x:v>
      </x:c>
      <x:c r="F2108" s="20" t="s">
        <x:v>97</x:v>
      </x:c>
      <x:c r="G2108" s="26">
        <x:v>42219</x:v>
      </x:c>
      <x:c r="H2108" s="24" t="s">
        <x:v>9626</x:v>
      </x:c>
      <x:c r="I2108" s="28" t="s">
        <x:v>9627</x:v>
      </x:c>
      <x:c r="J2108" s="29" t="s">
        <x:v>9628</x:v>
      </x:c>
    </x:row>
    <x:row r="2109" ht="10.050000190734863" customHeight="1">
      <x:c r="A2109" s="21" t="s">
        <x:v>9629</x:v>
      </x:c>
      <x:c r="B2109" s="20" t="s">
        <x:v>9629</x:v>
      </x:c>
      <x:c r="C2109" s="20" t="s">
        <x:v>9630</x:v>
      </x:c>
      <x:c r="D2109" s="24">
        <x:v>8</x:v>
      </x:c>
      <x:c r="E2109" s="24" t="s">
        <x:v>103</x:v>
      </x:c>
      <x:c r="F2109" s="20" t="s">
        <x:v>97</x:v>
      </x:c>
      <x:c r="G2109" s="26">
        <x:v>43471</x:v>
      </x:c>
      <x:c r="H2109" s="24" t="s">
        <x:v>9631</x:v>
      </x:c>
      <x:c r="I2109" s="28" t="s">
        <x:v>9632</x:v>
      </x:c>
      <x:c r="J2109" s="29" t="s">
        <x:v>9633</x:v>
      </x:c>
    </x:row>
    <x:row r="2110" ht="10.050000190734863" customHeight="1">
      <x:c r="A2110" s="21" t="s">
        <x:v>9634</x:v>
      </x:c>
      <x:c r="B2110" s="20" t="s">
        <x:v>9634</x:v>
      </x:c>
      <x:c r="C2110" s="20" t="s">
        <x:v>9635</x:v>
      </x:c>
      <x:c r="D2110" s="24">
        <x:v>26</x:v>
      </x:c>
      <x:c r="E2110" s="24" t="s">
        <x:v>103</x:v>
      </x:c>
      <x:c r="F2110" s="20" t="s">
        <x:v>97</x:v>
      </x:c>
      <x:c r="G2110" s="26">
        <x:v>42750</x:v>
      </x:c>
      <x:c r="H2110" s="24" t="s">
        <x:v>9636</x:v>
      </x:c>
      <x:c r="I2110" s="28" t="s">
        <x:v>9637</x:v>
      </x:c>
      <x:c r="J2110" s="29" t="s">
        <x:v>9638</x:v>
      </x:c>
    </x:row>
    <x:row r="2111" ht="10.050000190734863" customHeight="1">
      <x:c r="A2111" s="21" t="s">
        <x:v>9639</x:v>
      </x:c>
      <x:c r="B2111" s="20" t="s">
        <x:v>9639</x:v>
      </x:c>
      <x:c r="C2111" s="20" t="s">
        <x:v>9640</x:v>
      </x:c>
      <x:c r="D2111" s="24">
        <x:v>7</x:v>
      </x:c>
      <x:c r="E2111" s="24" t="s">
        <x:v>96</x:v>
      </x:c>
      <x:c r="F2111" s="20" t="s">
        <x:v>97</x:v>
      </x:c>
      <x:c r="G2111" s="26">
        <x:v>42104</x:v>
      </x:c>
      <x:c r="H2111" s="24" t="s">
        <x:v>9641</x:v>
      </x:c>
      <x:c r="I2111" s="28" t="s">
        <x:v>9642</x:v>
      </x:c>
      <x:c r="J2111" s="29" t="s">
        <x:v>9643</x:v>
      </x:c>
    </x:row>
    <x:row r="2112" ht="10.050000190734863" customHeight="1">
      <x:c r="A2112" s="21" t="s">
        <x:v>9644</x:v>
      </x:c>
      <x:c r="B2112" s="20" t="s">
        <x:v>9644</x:v>
      </x:c>
      <x:c r="C2112" s="20" t="s">
        <x:v>9645</x:v>
      </x:c>
      <x:c r="D2112" s="24">
        <x:v>9</x:v>
      </x:c>
      <x:c r="E2112" s="24" t="s">
        <x:v>96</x:v>
      </x:c>
      <x:c r="F2112" s="20" t="s">
        <x:v>97</x:v>
      </x:c>
      <x:c r="G2112" s="26">
        <x:v>42180</x:v>
      </x:c>
      <x:c r="H2112" s="24" t="s">
        <x:v>9646</x:v>
      </x:c>
      <x:c r="I2112" s="28" t="s">
        <x:v>9647</x:v>
      </x:c>
      <x:c r="J2112" s="29" t="s">
        <x:v>9648</x:v>
      </x:c>
    </x:row>
    <x:row r="2113" ht="10.050000190734863" customHeight="1">
      <x:c r="A2113" s="21" t="s">
        <x:v>9649</x:v>
      </x:c>
      <x:c r="B2113" s="20" t="s">
        <x:v>9649</x:v>
      </x:c>
      <x:c r="C2113" s="20" t="s">
        <x:v>9650</x:v>
      </x:c>
      <x:c r="D2113" s="24">
        <x:v>86</x:v>
      </x:c>
      <x:c r="E2113" s="24" t="s">
        <x:v>96</x:v>
      </x:c>
      <x:c r="F2113" s="20" t="s">
        <x:v>97</x:v>
      </x:c>
      <x:c r="G2113" s="26">
        <x:v>44511</x:v>
      </x:c>
      <x:c r="H2113" s="24" t="s">
        <x:v>9651</x:v>
      </x:c>
      <x:c r="I2113" s="28" t="s">
        <x:v>9652</x:v>
      </x:c>
      <x:c r="J2113" s="29" t="s">
        <x:v>9653</x:v>
      </x:c>
    </x:row>
    <x:row r="2114" ht="10.050000190734863" customHeight="1">
      <x:c r="A2114" s="21" t="s">
        <x:v>9654</x:v>
      </x:c>
      <x:c r="B2114" s="20" t="s">
        <x:v>9654</x:v>
      </x:c>
      <x:c r="C2114" s="20" t="s">
        <x:v>1334</x:v>
      </x:c>
      <x:c r="D2114" s="24">
        <x:v>22</x:v>
      </x:c>
      <x:c r="E2114" s="24" t="s">
        <x:v>103</x:v>
      </x:c>
      <x:c r="F2114" s="20" t="s">
        <x:v>97</x:v>
      </x:c>
      <x:c r="G2114" s="26">
        <x:v>41649</x:v>
      </x:c>
      <x:c r="H2114" s="24" t="s">
        <x:v>9655</x:v>
      </x:c>
      <x:c r="I2114" s="28" t="s">
        <x:v>9656</x:v>
      </x:c>
      <x:c r="J2114" s="29" t="s">
        <x:v>9657</x:v>
      </x:c>
    </x:row>
    <x:row r="2115" ht="10.050000190734863" customHeight="1">
      <x:c r="A2115" s="21" t="s">
        <x:v>9658</x:v>
      </x:c>
      <x:c r="B2115" s="20" t="s">
        <x:v>9658</x:v>
      </x:c>
      <x:c r="C2115" s="20" t="s">
        <x:v>9659</x:v>
      </x:c>
      <x:c r="D2115" s="24">
        <x:v>58</x:v>
      </x:c>
      <x:c r="E2115" s="24" t="s">
        <x:v>96</x:v>
      </x:c>
      <x:c r="F2115" s="20" t="s">
        <x:v>97</x:v>
      </x:c>
      <x:c r="G2115" s="26">
        <x:v>42279</x:v>
      </x:c>
      <x:c r="H2115" s="24" t="s">
        <x:v>9660</x:v>
      </x:c>
      <x:c r="I2115" s="28" t="s">
        <x:v>9661</x:v>
      </x:c>
      <x:c r="J2115" s="29" t="s">
        <x:v>9662</x:v>
      </x:c>
    </x:row>
    <x:row r="2116" ht="10.050000190734863" customHeight="1">
      <x:c r="A2116" s="21" t="s">
        <x:v>9663</x:v>
      </x:c>
      <x:c r="B2116" s="20" t="s">
        <x:v>9663</x:v>
      </x:c>
      <x:c r="C2116" s="20" t="s">
        <x:v>6377</x:v>
      </x:c>
      <x:c r="D2116" s="24">
        <x:v>21</x:v>
      </x:c>
      <x:c r="E2116" s="24" t="s">
        <x:v>257</x:v>
      </x:c>
      <x:c r="F2116" s="20" t="s">
        <x:v>97</x:v>
      </x:c>
      <x:c r="G2116" s="26">
        <x:v>42273</x:v>
      </x:c>
      <x:c r="H2116" s="24" t="s">
        <x:v>9664</x:v>
      </x:c>
      <x:c r="I2116" s="28" t="s">
        <x:v>9665</x:v>
      </x:c>
      <x:c r="J2116" s="29" t="s">
        <x:v>9666</x:v>
      </x:c>
    </x:row>
    <x:row r="2117" ht="10.050000190734863" customHeight="1">
      <x:c r="A2117" s="21" t="s">
        <x:v>9667</x:v>
      </x:c>
      <x:c r="B2117" s="20" t="s">
        <x:v>9667</x:v>
      </x:c>
      <x:c r="C2117" s="20" t="s">
        <x:v>9668</x:v>
      </x:c>
      <x:c r="D2117" s="24">
        <x:v>6</x:v>
      </x:c>
      <x:c r="E2117" s="24" t="s">
        <x:v>257</x:v>
      </x:c>
      <x:c r="F2117" s="20" t="s">
        <x:v>97</x:v>
      </x:c>
      <x:c r="G2117" s="26">
        <x:v>42131</x:v>
      </x:c>
      <x:c r="H2117" s="24" t="s">
        <x:v>9669</x:v>
      </x:c>
      <x:c r="I2117" s="28" t="s">
        <x:v>9670</x:v>
      </x:c>
      <x:c r="J2117" s="29" t="s">
        <x:v>9671</x:v>
      </x:c>
    </x:row>
    <x:row r="2118" ht="10.050000190734863" customHeight="1">
      <x:c r="A2118" s="21" t="s">
        <x:v>9672</x:v>
      </x:c>
      <x:c r="B2118" s="20" t="s">
        <x:v>9672</x:v>
      </x:c>
      <x:c r="C2118" s="20" t="s">
        <x:v>9673</x:v>
      </x:c>
      <x:c r="D2118" s="24">
        <x:v>4</x:v>
      </x:c>
      <x:c r="E2118" s="24" t="s">
        <x:v>257</x:v>
      </x:c>
      <x:c r="F2118" s="20" t="s">
        <x:v>97</x:v>
      </x:c>
      <x:c r="G2118" s="26">
        <x:v>42153</x:v>
      </x:c>
      <x:c r="H2118" s="24" t="s">
        <x:v>9674</x:v>
      </x:c>
      <x:c r="I2118" s="28" t="s">
        <x:v>9675</x:v>
      </x:c>
      <x:c r="J2118" s="29" t="s">
        <x:v>9676</x:v>
      </x:c>
    </x:row>
    <x:row r="2119" ht="10.050000190734863" customHeight="1">
      <x:c r="A2119" s="21" t="s">
        <x:v>9677</x:v>
      </x:c>
      <x:c r="B2119" s="20" t="s">
        <x:v>9677</x:v>
      </x:c>
      <x:c r="C2119" s="20" t="s">
        <x:v>9678</x:v>
      </x:c>
      <x:c r="D2119" s="24">
        <x:v>28</x:v>
      </x:c>
      <x:c r="E2119" s="24" t="s">
        <x:v>103</x:v>
      </x:c>
      <x:c r="F2119" s="20" t="s">
        <x:v>97</x:v>
      </x:c>
      <x:c r="G2119" s="26">
        <x:v>42223</x:v>
      </x:c>
      <x:c r="H2119" s="24" t="s">
        <x:v>9679</x:v>
      </x:c>
      <x:c r="I2119" s="28" t="s">
        <x:v>9680</x:v>
      </x:c>
      <x:c r="J2119" s="29" t="s">
        <x:v>9681</x:v>
      </x:c>
    </x:row>
    <x:row r="2120" ht="10.050000190734863" customHeight="1">
      <x:c r="A2120" s="21" t="s">
        <x:v>9682</x:v>
      </x:c>
      <x:c r="B2120" s="20" t="s">
        <x:v>9682</x:v>
      </x:c>
      <x:c r="C2120" s="20" t="s">
        <x:v>9678</x:v>
      </x:c>
      <x:c r="D2120" s="24">
        <x:v>66</x:v>
      </x:c>
      <x:c r="E2120" s="24" t="s">
        <x:v>103</x:v>
      </x:c>
      <x:c r="F2120" s="20" t="s">
        <x:v>97</x:v>
      </x:c>
      <x:c r="G2120" s="26">
        <x:v>41604</x:v>
      </x:c>
      <x:c r="H2120" s="24" t="s">
        <x:v>9683</x:v>
      </x:c>
      <x:c r="I2120" s="28" t="s">
        <x:v>9684</x:v>
      </x:c>
      <x:c r="J2120" s="29" t="s">
        <x:v>9685</x:v>
      </x:c>
    </x:row>
    <x:row r="2121" ht="10.050000190734863" customHeight="1">
      <x:c r="A2121" s="21" t="s">
        <x:v>9686</x:v>
      </x:c>
      <x:c r="B2121" s="20" t="s">
        <x:v>9686</x:v>
      </x:c>
      <x:c r="C2121" s="20" t="s">
        <x:v>4564</x:v>
      </x:c>
      <x:c r="D2121" s="24">
        <x:v>6</x:v>
      </x:c>
      <x:c r="E2121" s="24" t="s">
        <x:v>257</x:v>
      </x:c>
      <x:c r="F2121" s="20" t="s">
        <x:v>97</x:v>
      </x:c>
      <x:c r="G2121" s="26">
        <x:v>43548</x:v>
      </x:c>
      <x:c r="H2121" s="24" t="s">
        <x:v>9687</x:v>
      </x:c>
      <x:c r="I2121" s="28" t="s">
        <x:v>9688</x:v>
      </x:c>
      <x:c r="J2121" s="29" t="s">
        <x:v>9689</x:v>
      </x:c>
    </x:row>
    <x:row r="2122" ht="10.050000190734863" customHeight="1">
      <x:c r="A2122" s="21" t="s">
        <x:v>9690</x:v>
      </x:c>
      <x:c r="B2122" s="20" t="s">
        <x:v>9690</x:v>
      </x:c>
      <x:c r="C2122" s="20" t="s">
        <x:v>176</x:v>
      </x:c>
      <x:c r="D2122" s="24">
        <x:v>77</x:v>
      </x:c>
      <x:c r="E2122" s="24" t="s">
        <x:v>96</x:v>
      </x:c>
      <x:c r="F2122" s="20" t="s">
        <x:v>97</x:v>
      </x:c>
      <x:c r="G2122" s="26">
        <x:v>43646</x:v>
      </x:c>
      <x:c r="H2122" s="24" t="s">
        <x:v>9691</x:v>
      </x:c>
      <x:c r="I2122" s="28" t="s">
        <x:v>9692</x:v>
      </x:c>
      <x:c r="J2122" s="29" t="s">
        <x:v>9693</x:v>
      </x:c>
    </x:row>
    <x:row r="2123" ht="10.050000190734863" customHeight="1">
      <x:c r="A2123" s="21" t="s">
        <x:v>9694</x:v>
      </x:c>
      <x:c r="B2123" s="20" t="s">
        <x:v>9694</x:v>
      </x:c>
      <x:c r="C2123" s="20" t="s">
        <x:v>176</x:v>
      </x:c>
      <x:c r="D2123" s="24">
        <x:v>20</x:v>
      </x:c>
      <x:c r="E2123" s="24" t="s">
        <x:v>114</x:v>
      </x:c>
      <x:c r="F2123" s="20" t="s">
        <x:v>90</x:v>
      </x:c>
      <x:c r="G2123" s="26">
        <x:v>43881</x:v>
      </x:c>
      <x:c r="H2123" s="24" t="s">
        <x:v>9695</x:v>
      </x:c>
      <x:c r="I2123" s="28" t="s">
        <x:v>9696</x:v>
      </x:c>
      <x:c r="J2123" s="29" t="s">
        <x:v>9697</x:v>
      </x:c>
    </x:row>
    <x:row r="2124" ht="10.050000190734863" customHeight="1">
      <x:c r="A2124" s="21" t="s">
        <x:v>9698</x:v>
      </x:c>
      <x:c r="B2124" s="20" t="s">
        <x:v>9698</x:v>
      </x:c>
      <x:c r="C2124" s="20" t="s">
        <x:v>9699</x:v>
      </x:c>
      <x:c r="D2124" s="24">
        <x:v>7</x:v>
      </x:c>
      <x:c r="E2124" s="24" t="s">
        <x:v>257</x:v>
      </x:c>
      <x:c r="F2124" s="20" t="s">
        <x:v>97</x:v>
      </x:c>
      <x:c r="G2124" s="26">
        <x:v>41772</x:v>
      </x:c>
      <x:c r="H2124" s="24" t="s">
        <x:v>9700</x:v>
      </x:c>
      <x:c r="I2124" s="28" t="s">
        <x:v>9701</x:v>
      </x:c>
      <x:c r="J2124" s="29" t="s">
        <x:v>9702</x:v>
      </x:c>
    </x:row>
    <x:row r="2125" ht="10.050000190734863" customHeight="1">
      <x:c r="A2125" s="21" t="s">
        <x:v>9703</x:v>
      </x:c>
      <x:c r="B2125" s="20" t="s">
        <x:v>9703</x:v>
      </x:c>
      <x:c r="C2125" s="20" t="s">
        <x:v>9704</x:v>
      </x:c>
      <x:c r="D2125" s="24">
        <x:v>30</x:v>
      </x:c>
      <x:c r="E2125" s="24" t="s">
        <x:v>103</x:v>
      </x:c>
      <x:c r="F2125" s="20" t="s">
        <x:v>97</x:v>
      </x:c>
      <x:c r="G2125" s="26">
        <x:v>46052</x:v>
      </x:c>
      <x:c r="H2125" s="24" t="s">
        <x:v>9705</x:v>
      </x:c>
      <x:c r="I2125" s="28" t="s">
        <x:v>9706</x:v>
      </x:c>
      <x:c r="J2125" s="29" t="s">
        <x:v>9707</x:v>
      </x:c>
    </x:row>
    <x:row r="2126" ht="10.050000190734863" customHeight="1">
      <x:c r="A2126" s="21" t="s">
        <x:v>9708</x:v>
      </x:c>
      <x:c r="B2126" s="20" t="s">
        <x:v>9708</x:v>
      </x:c>
      <x:c r="C2126" s="20" t="s">
        <x:v>2529</x:v>
      </x:c>
      <x:c r="D2126" s="24">
        <x:v>6</x:v>
      </x:c>
      <x:c r="E2126" s="24" t="s">
        <x:v>89</x:v>
      </x:c>
      <x:c r="F2126" s="20" t="s">
        <x:v>610</x:v>
      </x:c>
      <x:c r="G2126" s="26">
        <x:v>41818</x:v>
      </x:c>
      <x:c r="H2126" s="24" t="s">
        <x:v>9709</x:v>
      </x:c>
      <x:c r="I2126" s="28" t="s">
        <x:v>9710</x:v>
      </x:c>
      <x:c r="J2126" s="29" t="s">
        <x:v>9711</x:v>
      </x:c>
    </x:row>
    <x:row r="2127" ht="10.050000190734863" customHeight="1">
      <x:c r="A2127" s="21" t="s">
        <x:v>9712</x:v>
      </x:c>
      <x:c r="B2127" s="20" t="s">
        <x:v>9712</x:v>
      </x:c>
      <x:c r="C2127" s="20" t="s">
        <x:v>9713</x:v>
      </x:c>
      <x:c r="D2127" s="24">
        <x:v>10</x:v>
      </x:c>
      <x:c r="E2127" s="24" t="s">
        <x:v>257</x:v>
      </x:c>
      <x:c r="F2127" s="20" t="s">
        <x:v>97</x:v>
      </x:c>
      <x:c r="G2127" s="26">
        <x:v>41447</x:v>
      </x:c>
      <x:c r="H2127" s="24" t="s">
        <x:v>9714</x:v>
      </x:c>
      <x:c r="I2127" s="28" t="s">
        <x:v>9715</x:v>
      </x:c>
      <x:c r="J2127" s="29" t="s">
        <x:v>9716</x:v>
      </x:c>
    </x:row>
    <x:row r="2128" ht="10.050000190734863" customHeight="1">
      <x:c r="A2128" s="21" t="s">
        <x:v>9717</x:v>
      </x:c>
      <x:c r="B2128" s="20" t="s">
        <x:v>9717</x:v>
      </x:c>
      <x:c r="C2128" s="20" t="s">
        <x:v>9718</x:v>
      </x:c>
      <x:c r="D2128" s="24">
        <x:v>11</x:v>
      </x:c>
      <x:c r="E2128" s="24" t="s">
        <x:v>257</x:v>
      </x:c>
      <x:c r="F2128" s="20" t="s">
        <x:v>97</x:v>
      </x:c>
      <x:c r="G2128" s="26">
        <x:v>44025</x:v>
      </x:c>
      <x:c r="H2128" s="24" t="s">
        <x:v>9719</x:v>
      </x:c>
      <x:c r="I2128" s="28" t="s">
        <x:v>9720</x:v>
      </x:c>
      <x:c r="J2128" s="29" t="s">
        <x:v>9721</x:v>
      </x:c>
    </x:row>
    <x:row r="2129" ht="10.050000190734863" customHeight="1">
      <x:c r="A2129" s="21" t="s">
        <x:v>9722</x:v>
      </x:c>
      <x:c r="B2129" s="20" t="s">
        <x:v>9722</x:v>
      </x:c>
      <x:c r="C2129" s="20" t="s">
        <x:v>1157</x:v>
      </x:c>
      <x:c r="D2129" s="24">
        <x:v>9</x:v>
      </x:c>
      <x:c r="E2129" s="24" t="s">
        <x:v>103</x:v>
      </x:c>
      <x:c r="F2129" s="20" t="s">
        <x:v>97</x:v>
      </x:c>
      <x:c r="G2129" s="26">
        <x:v>41529</x:v>
      </x:c>
      <x:c r="H2129" s="24" t="s">
        <x:v>9723</x:v>
      </x:c>
      <x:c r="I2129" s="28" t="s">
        <x:v>9724</x:v>
      </x:c>
      <x:c r="J2129" s="29" t="s">
        <x:v>9725</x:v>
      </x:c>
    </x:row>
    <x:row r="2130" ht="10.050000190734863" customHeight="1">
      <x:c r="A2130" s="21" t="s">
        <x:v>9726</x:v>
      </x:c>
      <x:c r="B2130" s="20" t="s">
        <x:v>9726</x:v>
      </x:c>
      <x:c r="C2130" s="20" t="s">
        <x:v>4070</x:v>
      </x:c>
      <x:c r="D2130" s="24">
        <x:v>10</x:v>
      </x:c>
      <x:c r="E2130" s="24" t="s">
        <x:v>257</x:v>
      </x:c>
      <x:c r="F2130" s="20" t="s">
        <x:v>97</x:v>
      </x:c>
      <x:c r="G2130" s="26">
        <x:v>41501</x:v>
      </x:c>
      <x:c r="H2130" s="24" t="s">
        <x:v>9727</x:v>
      </x:c>
      <x:c r="I2130" s="28" t="s">
        <x:v>9728</x:v>
      </x:c>
      <x:c r="J2130" s="29" t="s">
        <x:v>9729</x:v>
      </x:c>
    </x:row>
    <x:row r="2131" ht="10.050000190734863" customHeight="1">
      <x:c r="A2131" s="21" t="s">
        <x:v>9730</x:v>
      </x:c>
      <x:c r="B2131" s="20" t="s">
        <x:v>9730</x:v>
      </x:c>
      <x:c r="C2131" s="20" t="s">
        <x:v>4070</x:v>
      </x:c>
      <x:c r="D2131" s="24">
        <x:v>25</x:v>
      </x:c>
      <x:c r="E2131" s="24" t="s">
        <x:v>103</x:v>
      </x:c>
      <x:c r="F2131" s="20" t="s">
        <x:v>97</x:v>
      </x:c>
      <x:c r="G2131" s="26">
        <x:v>42224</x:v>
      </x:c>
      <x:c r="H2131" s="24" t="s">
        <x:v>9731</x:v>
      </x:c>
      <x:c r="I2131" s="28" t="s">
        <x:v>9732</x:v>
      </x:c>
      <x:c r="J2131" s="29" t="s">
        <x:v>9733</x:v>
      </x:c>
    </x:row>
    <x:row r="2132" ht="10.050000190734863" customHeight="1">
      <x:c r="A2132" s="21" t="s">
        <x:v>9734</x:v>
      </x:c>
      <x:c r="B2132" s="20" t="s">
        <x:v>9734</x:v>
      </x:c>
      <x:c r="C2132" s="20" t="s">
        <x:v>9735</x:v>
      </x:c>
      <x:c r="D2132" s="24">
        <x:v>25</x:v>
      </x:c>
      <x:c r="E2132" s="24" t="s">
        <x:v>96</x:v>
      </x:c>
      <x:c r="F2132" s="20" t="s">
        <x:v>97</x:v>
      </x:c>
      <x:c r="G2132" s="26">
        <x:v>46059</x:v>
      </x:c>
      <x:c r="H2132" s="24" t="s">
        <x:v>9736</x:v>
      </x:c>
      <x:c r="I2132" s="28" t="s">
        <x:v>9737</x:v>
      </x:c>
      <x:c r="J2132" s="29" t="s">
        <x:v>9738</x:v>
      </x:c>
    </x:row>
    <x:row r="2133" ht="10.050000190734863" customHeight="1">
      <x:c r="A2133" s="21" t="s">
        <x:v>9739</x:v>
      </x:c>
      <x:c r="B2133" s="20" t="s">
        <x:v>9739</x:v>
      </x:c>
      <x:c r="C2133" s="20" t="s">
        <x:v>9740</x:v>
      </x:c>
      <x:c r="D2133" s="24">
        <x:v>7</x:v>
      </x:c>
      <x:c r="E2133" s="24" t="s">
        <x:v>103</x:v>
      </x:c>
      <x:c r="F2133" s="20" t="s">
        <x:v>97</x:v>
      </x:c>
      <x:c r="G2133" s="26">
        <x:v>42464</x:v>
      </x:c>
      <x:c r="H2133" s="24" t="s">
        <x:v>9741</x:v>
      </x:c>
      <x:c r="I2133" s="28" t="s">
        <x:v>9742</x:v>
      </x:c>
      <x:c r="J2133" s="29" t="s">
        <x:v>9743</x:v>
      </x:c>
    </x:row>
    <x:row r="2134" ht="10.050000190734863" customHeight="1">
      <x:c r="A2134" s="21" t="s">
        <x:v>9744</x:v>
      </x:c>
      <x:c r="B2134" s="20" t="s">
        <x:v>9744</x:v>
      </x:c>
      <x:c r="C2134" s="20" t="s">
        <x:v>7479</x:v>
      </x:c>
      <x:c r="D2134" s="24">
        <x:v>30</x:v>
      </x:c>
      <x:c r="E2134" s="24" t="s">
        <x:v>96</x:v>
      </x:c>
      <x:c r="F2134" s="20" t="s">
        <x:v>97</x:v>
      </x:c>
      <x:c r="G2134" s="26">
        <x:v>42236</x:v>
      </x:c>
      <x:c r="H2134" s="24" t="s">
        <x:v>9745</x:v>
      </x:c>
      <x:c r="I2134" s="28" t="s">
        <x:v>9746</x:v>
      </x:c>
      <x:c r="J2134" s="29" t="s">
        <x:v>9747</x:v>
      </x:c>
    </x:row>
    <x:row r="2135" ht="10.050000190734863" customHeight="1">
      <x:c r="A2135" s="21" t="s">
        <x:v>9748</x:v>
      </x:c>
      <x:c r="B2135" s="20" t="s">
        <x:v>9748</x:v>
      </x:c>
      <x:c r="C2135" s="20" t="s">
        <x:v>4070</x:v>
      </x:c>
      <x:c r="D2135" s="24">
        <x:v>12</x:v>
      </x:c>
      <x:c r="E2135" s="24" t="s">
        <x:v>103</x:v>
      </x:c>
      <x:c r="F2135" s="20" t="s">
        <x:v>97</x:v>
      </x:c>
      <x:c r="G2135" s="26">
        <x:v>42219</x:v>
      </x:c>
      <x:c r="H2135" s="24" t="s">
        <x:v>9749</x:v>
      </x:c>
      <x:c r="I2135" s="28" t="s">
        <x:v>9750</x:v>
      </x:c>
      <x:c r="J2135" s="29" t="s">
        <x:v>9751</x:v>
      </x:c>
    </x:row>
    <x:row r="2136" ht="10.050000190734863" customHeight="1">
      <x:c r="A2136" s="21" t="s">
        <x:v>9752</x:v>
      </x:c>
      <x:c r="B2136" s="20" t="s">
        <x:v>9752</x:v>
      </x:c>
      <x:c r="C2136" s="20" t="s">
        <x:v>9753</x:v>
      </x:c>
      <x:c r="D2136" s="24">
        <x:v>6</x:v>
      </x:c>
      <x:c r="E2136" s="24" t="s">
        <x:v>257</x:v>
      </x:c>
      <x:c r="F2136" s="20" t="s">
        <x:v>97</x:v>
      </x:c>
      <x:c r="G2136" s="26">
        <x:v>42277</x:v>
      </x:c>
      <x:c r="H2136" s="24" t="s">
        <x:v>9754</x:v>
      </x:c>
      <x:c r="I2136" s="28" t="s">
        <x:v>9755</x:v>
      </x:c>
      <x:c r="J2136" s="29" t="s">
        <x:v>9756</x:v>
      </x:c>
    </x:row>
    <x:row r="2137" ht="10.050000190734863" customHeight="1">
      <x:c r="A2137" s="21" t="s">
        <x:v>9757</x:v>
      </x:c>
      <x:c r="B2137" s="20" t="s">
        <x:v>9757</x:v>
      </x:c>
      <x:c r="C2137" s="20" t="s">
        <x:v>9758</x:v>
      </x:c>
      <x:c r="D2137" s="24">
        <x:v>23</x:v>
      </x:c>
      <x:c r="E2137" s="24" t="s">
        <x:v>103</x:v>
      </x:c>
      <x:c r="F2137" s="20" t="s">
        <x:v>97</x:v>
      </x:c>
      <x:c r="G2137" s="26">
        <x:v>41556</x:v>
      </x:c>
      <x:c r="H2137" s="24" t="s">
        <x:v>9759</x:v>
      </x:c>
      <x:c r="I2137" s="28" t="s">
        <x:v>9760</x:v>
      </x:c>
      <x:c r="J2137" s="29" t="s">
        <x:v>9761</x:v>
      </x:c>
    </x:row>
    <x:row r="2138" ht="10.050000190734863" customHeight="1">
      <x:c r="A2138" s="21" t="s">
        <x:v>9762</x:v>
      </x:c>
      <x:c r="B2138" s="20" t="s">
        <x:v>9762</x:v>
      </x:c>
      <x:c r="C2138" s="20" t="s">
        <x:v>4492</x:v>
      </x:c>
      <x:c r="D2138" s="24">
        <x:v>1</x:v>
      </x:c>
      <x:c r="E2138" s="24" t="s">
        <x:v>257</x:v>
      </x:c>
      <x:c r="F2138" s="20" t="s">
        <x:v>97</x:v>
      </x:c>
      <x:c r="G2138" s="26">
        <x:v>42093</x:v>
      </x:c>
      <x:c r="H2138" s="24" t="s">
        <x:v>9763</x:v>
      </x:c>
      <x:c r="I2138" s="28" t="s">
        <x:v>9764</x:v>
      </x:c>
      <x:c r="J2138" s="29" t="s">
        <x:v>9765</x:v>
      </x:c>
    </x:row>
    <x:row r="2139" ht="10.050000190734863" customHeight="1">
      <x:c r="A2139" s="21" t="s">
        <x:v>9766</x:v>
      </x:c>
      <x:c r="B2139" s="20" t="s">
        <x:v>9766</x:v>
      </x:c>
      <x:c r="C2139" s="20" t="s">
        <x:v>4942</x:v>
      </x:c>
      <x:c r="D2139" s="24">
        <x:v>32</x:v>
      </x:c>
      <x:c r="E2139" s="24" t="s">
        <x:v>103</x:v>
      </x:c>
      <x:c r="F2139" s="20" t="s">
        <x:v>97</x:v>
      </x:c>
      <x:c r="G2139" s="26">
        <x:v>43654</x:v>
      </x:c>
      <x:c r="H2139" s="24" t="s">
        <x:v>9767</x:v>
      </x:c>
      <x:c r="I2139" s="28" t="s">
        <x:v>9768</x:v>
      </x:c>
      <x:c r="J2139" s="29" t="s">
        <x:v>9769</x:v>
      </x:c>
    </x:row>
    <x:row r="2140" ht="10.050000190734863" customHeight="1">
      <x:c r="A2140" s="21" t="s">
        <x:v>9770</x:v>
      </x:c>
      <x:c r="B2140" s="20" t="s">
        <x:v>9770</x:v>
      </x:c>
      <x:c r="C2140" s="20" t="s">
        <x:v>9230</x:v>
      </x:c>
      <x:c r="D2140" s="24">
        <x:v>15</x:v>
      </x:c>
      <x:c r="E2140" s="24" t="s">
        <x:v>103</x:v>
      </x:c>
      <x:c r="F2140" s="20" t="s">
        <x:v>97</x:v>
      </x:c>
      <x:c r="G2140" s="26">
        <x:v>42742</x:v>
      </x:c>
      <x:c r="H2140" s="24" t="s">
        <x:v>9771</x:v>
      </x:c>
      <x:c r="I2140" s="28" t="s">
        <x:v>9772</x:v>
      </x:c>
      <x:c r="J2140" s="29" t="s">
        <x:v>9773</x:v>
      </x:c>
    </x:row>
    <x:row r="2141" ht="10.050000190734863" customHeight="1">
      <x:c r="A2141" s="21" t="s">
        <x:v>9774</x:v>
      </x:c>
      <x:c r="B2141" s="20" t="s">
        <x:v>9774</x:v>
      </x:c>
      <x:c r="C2141" s="20" t="s">
        <x:v>2934</x:v>
      </x:c>
      <x:c r="D2141" s="24">
        <x:v>40</x:v>
      </x:c>
      <x:c r="E2141" s="24" t="s">
        <x:v>103</x:v>
      </x:c>
      <x:c r="F2141" s="20" t="s">
        <x:v>97</x:v>
      </x:c>
      <x:c r="G2141" s="26">
        <x:v>42214</x:v>
      </x:c>
      <x:c r="H2141" s="24" t="s">
        <x:v>9775</x:v>
      </x:c>
      <x:c r="I2141" s="28" t="s">
        <x:v>9776</x:v>
      </x:c>
      <x:c r="J2141" s="29" t="s">
        <x:v>9777</x:v>
      </x:c>
    </x:row>
    <x:row r="2142" ht="10.050000190734863" customHeight="1">
      <x:c r="A2142" s="21" t="s">
        <x:v>9778</x:v>
      </x:c>
      <x:c r="B2142" s="20" t="s">
        <x:v>9778</x:v>
      </x:c>
      <x:c r="C2142" s="20" t="s">
        <x:v>2934</x:v>
      </x:c>
      <x:c r="D2142" s="24">
        <x:v>58</x:v>
      </x:c>
      <x:c r="E2142" s="24" t="s">
        <x:v>96</x:v>
      </x:c>
      <x:c r="F2142" s="20" t="s">
        <x:v>97</x:v>
      </x:c>
      <x:c r="G2142" s="26">
        <x:v>42302</x:v>
      </x:c>
      <x:c r="H2142" s="24" t="s">
        <x:v>9779</x:v>
      </x:c>
      <x:c r="I2142" s="28" t="s">
        <x:v>9780</x:v>
      </x:c>
      <x:c r="J2142" s="29" t="s">
        <x:v>9781</x:v>
      </x:c>
    </x:row>
    <x:row r="2143" ht="10.050000190734863" customHeight="1">
      <x:c r="A2143" s="21" t="s">
        <x:v>9782</x:v>
      </x:c>
      <x:c r="B2143" s="20" t="s">
        <x:v>9782</x:v>
      </x:c>
      <x:c r="C2143" s="20" t="s">
        <x:v>9783</x:v>
      </x:c>
      <x:c r="D2143" s="24">
        <x:v>4</x:v>
      </x:c>
      <x:c r="E2143" s="24" t="s">
        <x:v>257</x:v>
      </x:c>
      <x:c r="F2143" s="20" t="s">
        <x:v>97</x:v>
      </x:c>
      <x:c r="G2143" s="26">
        <x:v>42216</x:v>
      </x:c>
      <x:c r="H2143" s="24" t="s">
        <x:v>9784</x:v>
      </x:c>
      <x:c r="I2143" s="28" t="s">
        <x:v>9785</x:v>
      </x:c>
      <x:c r="J2143" s="29" t="s">
        <x:v>9786</x:v>
      </x:c>
    </x:row>
    <x:row r="2144" ht="10.050000190734863" customHeight="1">
      <x:c r="A2144" s="21" t="s">
        <x:v>9787</x:v>
      </x:c>
      <x:c r="B2144" s="20" t="s">
        <x:v>9787</x:v>
      </x:c>
      <x:c r="C2144" s="20" t="s">
        <x:v>586</x:v>
      </x:c>
      <x:c r="D2144" s="24">
        <x:v>6</x:v>
      </x:c>
      <x:c r="E2144" s="24" t="s">
        <x:v>96</x:v>
      </x:c>
      <x:c r="F2144" s="20" t="s">
        <x:v>97</x:v>
      </x:c>
      <x:c r="G2144" s="26">
        <x:v>44208</x:v>
      </x:c>
      <x:c r="H2144" s="24" t="s">
        <x:v>9788</x:v>
      </x:c>
      <x:c r="I2144" s="28" t="s">
        <x:v>9789</x:v>
      </x:c>
      <x:c r="J2144" s="29" t="s">
        <x:v>9790</x:v>
      </x:c>
    </x:row>
    <x:row r="2145" ht="10.050000190734863" customHeight="1">
      <x:c r="A2145" s="21" t="s">
        <x:v>9791</x:v>
      </x:c>
      <x:c r="B2145" s="20" t="s">
        <x:v>9791</x:v>
      </x:c>
      <x:c r="C2145" s="20" t="s">
        <x:v>543</x:v>
      </x:c>
      <x:c r="D2145" s="24">
        <x:v>12</x:v>
      </x:c>
      <x:c r="E2145" s="24" t="s">
        <x:v>103</x:v>
      </x:c>
      <x:c r="F2145" s="20" t="s">
        <x:v>97</x:v>
      </x:c>
      <x:c r="G2145" s="26">
        <x:v>41682</x:v>
      </x:c>
      <x:c r="H2145" s="24" t="s">
        <x:v>9792</x:v>
      </x:c>
      <x:c r="I2145" s="28" t="s">
        <x:v>9793</x:v>
      </x:c>
      <x:c r="J2145" s="29" t="s">
        <x:v>9794</x:v>
      </x:c>
    </x:row>
    <x:row r="2146" ht="10.050000190734863" customHeight="1">
      <x:c r="A2146" s="21" t="s">
        <x:v>9795</x:v>
      </x:c>
      <x:c r="B2146" s="20" t="s">
        <x:v>9795</x:v>
      </x:c>
      <x:c r="C2146" s="20" t="s">
        <x:v>9796</x:v>
      </x:c>
      <x:c r="D2146" s="24">
        <x:v>31</x:v>
      </x:c>
      <x:c r="E2146" s="24" t="s">
        <x:v>103</x:v>
      </x:c>
      <x:c r="F2146" s="20" t="s">
        <x:v>97</x:v>
      </x:c>
      <x:c r="G2146" s="26">
        <x:v>43672</x:v>
      </x:c>
      <x:c r="H2146" s="24" t="s">
        <x:v>9797</x:v>
      </x:c>
      <x:c r="I2146" s="28" t="s">
        <x:v>9798</x:v>
      </x:c>
      <x:c r="J2146" s="29" t="s">
        <x:v>9799</x:v>
      </x:c>
    </x:row>
    <x:row r="2147" ht="10.050000190734863" customHeight="1">
      <x:c r="A2147" s="21" t="s">
        <x:v>9800</x:v>
      </x:c>
      <x:c r="B2147" s="20" t="s">
        <x:v>9800</x:v>
      </x:c>
      <x:c r="C2147" s="20" t="s">
        <x:v>5777</x:v>
      </x:c>
      <x:c r="D2147" s="24">
        <x:v>6</x:v>
      </x:c>
      <x:c r="E2147" s="24" t="s">
        <x:v>103</x:v>
      </x:c>
      <x:c r="F2147" s="20" t="s">
        <x:v>97</x:v>
      </x:c>
      <x:c r="G2147" s="26">
        <x:v>42163</x:v>
      </x:c>
      <x:c r="H2147" s="24" t="s">
        <x:v>9801</x:v>
      </x:c>
      <x:c r="I2147" s="28" t="s">
        <x:v>9802</x:v>
      </x:c>
      <x:c r="J2147" s="29" t="s">
        <x:v>9803</x:v>
      </x:c>
    </x:row>
    <x:row r="2148" ht="10.050000190734863" customHeight="1">
      <x:c r="A2148" s="21" t="s">
        <x:v>9804</x:v>
      </x:c>
      <x:c r="B2148" s="20" t="s">
        <x:v>9804</x:v>
      </x:c>
      <x:c r="C2148" s="20" t="s">
        <x:v>7228</x:v>
      </x:c>
      <x:c r="D2148" s="24">
        <x:v>5</x:v>
      </x:c>
      <x:c r="E2148" s="24" t="s">
        <x:v>103</x:v>
      </x:c>
      <x:c r="F2148" s="20" t="s">
        <x:v>97</x:v>
      </x:c>
      <x:c r="G2148" s="26">
        <x:v>44212</x:v>
      </x:c>
      <x:c r="H2148" s="24" t="s">
        <x:v>9805</x:v>
      </x:c>
      <x:c r="I2148" s="28" t="s">
        <x:v>9806</x:v>
      </x:c>
      <x:c r="J2148" s="29" t="s">
        <x:v>9807</x:v>
      </x:c>
    </x:row>
    <x:row r="2149" ht="10.050000190734863" customHeight="1">
      <x:c r="A2149" s="21" t="s">
        <x:v>9808</x:v>
      </x:c>
      <x:c r="B2149" s="20" t="s">
        <x:v>9808</x:v>
      </x:c>
      <x:c r="C2149" s="20" t="s">
        <x:v>9809</x:v>
      </x:c>
      <x:c r="D2149" s="24">
        <x:v>5</x:v>
      </x:c>
      <x:c r="E2149" s="24" t="s">
        <x:v>257</x:v>
      </x:c>
      <x:c r="F2149" s="20" t="s">
        <x:v>97</x:v>
      </x:c>
      <x:c r="G2149" s="26">
        <x:v>42081</x:v>
      </x:c>
      <x:c r="H2149" s="24" t="s">
        <x:v>9810</x:v>
      </x:c>
      <x:c r="I2149" s="28" t="s">
        <x:v>9811</x:v>
      </x:c>
      <x:c r="J2149" s="29" t="s">
        <x:v>9812</x:v>
      </x:c>
    </x:row>
    <x:row r="2150" ht="10.050000190734863" customHeight="1">
      <x:c r="A2150" s="21" t="s">
        <x:v>9813</x:v>
      </x:c>
      <x:c r="B2150" s="20" t="s">
        <x:v>9813</x:v>
      </x:c>
      <x:c r="C2150" s="20" t="s">
        <x:v>9814</x:v>
      </x:c>
      <x:c r="D2150" s="24">
        <x:v>46</x:v>
      </x:c>
      <x:c r="E2150" s="24" t="s">
        <x:v>103</x:v>
      </x:c>
      <x:c r="F2150" s="20" t="s">
        <x:v>97</x:v>
      </x:c>
      <x:c r="G2150" s="26">
        <x:v>41531</x:v>
      </x:c>
      <x:c r="H2150" s="24" t="s">
        <x:v>9815</x:v>
      </x:c>
      <x:c r="I2150" s="28" t="s">
        <x:v>9816</x:v>
      </x:c>
      <x:c r="J2150" s="29" t="s">
        <x:v>9817</x:v>
      </x:c>
    </x:row>
    <x:row r="2151" ht="10.050000190734863" customHeight="1">
      <x:c r="A2151" s="21" t="s">
        <x:v>9818</x:v>
      </x:c>
      <x:c r="B2151" s="20" t="s">
        <x:v>9818</x:v>
      </x:c>
      <x:c r="C2151" s="20" t="s">
        <x:v>9819</x:v>
      </x:c>
      <x:c r="D2151" s="24">
        <x:v>1</x:v>
      </x:c>
      <x:c r="E2151" s="24" t="s">
        <x:v>103</x:v>
      </x:c>
      <x:c r="F2151" s="20" t="s">
        <x:v>97</x:v>
      </x:c>
      <x:c r="G2151" s="26">
        <x:v>42153</x:v>
      </x:c>
      <x:c r="H2151" s="24" t="s">
        <x:v>9820</x:v>
      </x:c>
      <x:c r="I2151" s="28" t="s">
        <x:v>9821</x:v>
      </x:c>
      <x:c r="J2151" s="29" t="s">
        <x:v>9822</x:v>
      </x:c>
    </x:row>
    <x:row r="2152" ht="10.050000190734863" customHeight="1">
      <x:c r="A2152" s="21" t="s">
        <x:v>9823</x:v>
      </x:c>
      <x:c r="B2152" s="20" t="s">
        <x:v>9823</x:v>
      </x:c>
      <x:c r="C2152" s="20" t="s">
        <x:v>4070</x:v>
      </x:c>
      <x:c r="D2152" s="24">
        <x:v>16</x:v>
      </x:c>
      <x:c r="E2152" s="24" t="s">
        <x:v>257</x:v>
      </x:c>
      <x:c r="F2152" s="20" t="s">
        <x:v>97</x:v>
      </x:c>
      <x:c r="G2152" s="26">
        <x:v>42211</x:v>
      </x:c>
      <x:c r="H2152" s="24" t="s">
        <x:v>9824</x:v>
      </x:c>
      <x:c r="I2152" s="28" t="s">
        <x:v>9825</x:v>
      </x:c>
      <x:c r="J2152" s="29" t="s">
        <x:v>9826</x:v>
      </x:c>
    </x:row>
    <x:row r="2153" ht="10.050000190734863" customHeight="1">
      <x:c r="A2153" s="21" t="s">
        <x:v>9827</x:v>
      </x:c>
      <x:c r="B2153" s="20" t="s">
        <x:v>9827</x:v>
      </x:c>
      <x:c r="C2153" s="20" t="s">
        <x:v>629</x:v>
      </x:c>
      <x:c r="D2153" s="24">
        <x:v>5</x:v>
      </x:c>
      <x:c r="E2153" s="24" t="s">
        <x:v>198</x:v>
      </x:c>
      <x:c r="F2153" s="20" t="s">
        <x:v>90</x:v>
      </x:c>
      <x:c r="G2153" s="26">
        <x:v>44307</x:v>
      </x:c>
      <x:c r="H2153" s="24" t="s">
        <x:v>9828</x:v>
      </x:c>
      <x:c r="I2153" s="28" t="s">
        <x:v>9829</x:v>
      </x:c>
      <x:c r="J2153" s="29" t="s">
        <x:v>9830</x:v>
      </x:c>
    </x:row>
    <x:row r="2154" ht="10.050000190734863" customHeight="1">
      <x:c r="A2154" s="21" t="s">
        <x:v>9831</x:v>
      </x:c>
      <x:c r="B2154" s="20" t="s">
        <x:v>9831</x:v>
      </x:c>
      <x:c r="C2154" s="20" t="s">
        <x:v>8407</x:v>
      </x:c>
      <x:c r="D2154" s="24">
        <x:v>12</x:v>
      </x:c>
      <x:c r="E2154" s="24" t="s">
        <x:v>103</x:v>
      </x:c>
      <x:c r="F2154" s="20" t="s">
        <x:v>97</x:v>
      </x:c>
      <x:c r="G2154" s="26">
        <x:v>44090</x:v>
      </x:c>
      <x:c r="H2154" s="24" t="s">
        <x:v>9832</x:v>
      </x:c>
      <x:c r="I2154" s="28" t="s">
        <x:v>9833</x:v>
      </x:c>
      <x:c r="J2154" s="29" t="s">
        <x:v>9834</x:v>
      </x:c>
    </x:row>
    <x:row r="2155" ht="10.050000190734863" customHeight="1">
      <x:c r="A2155" s="21" t="s">
        <x:v>9835</x:v>
      </x:c>
      <x:c r="B2155" s="20" t="s">
        <x:v>9835</x:v>
      </x:c>
      <x:c r="C2155" s="20" t="s">
        <x:v>9836</x:v>
      </x:c>
      <x:c r="D2155" s="24">
        <x:v>8</x:v>
      </x:c>
      <x:c r="E2155" s="24" t="s">
        <x:v>96</x:v>
      </x:c>
      <x:c r="F2155" s="20" t="s">
        <x:v>97</x:v>
      </x:c>
      <x:c r="G2155" s="26">
        <x:v>42113</x:v>
      </x:c>
      <x:c r="H2155" s="24" t="s">
        <x:v>9837</x:v>
      </x:c>
      <x:c r="I2155" s="28" t="s">
        <x:v>9838</x:v>
      </x:c>
      <x:c r="J2155" s="29" t="s">
        <x:v>9839</x:v>
      </x:c>
    </x:row>
    <x:row r="2156" ht="10.050000190734863" customHeight="1">
      <x:c r="A2156" s="21" t="s">
        <x:v>9840</x:v>
      </x:c>
      <x:c r="B2156" s="20" t="s">
        <x:v>9840</x:v>
      </x:c>
      <x:c r="C2156" s="20" t="s">
        <x:v>5614</x:v>
      </x:c>
      <x:c r="D2156" s="24">
        <x:v>19</x:v>
      </x:c>
      <x:c r="E2156" s="24" t="s">
        <x:v>103</x:v>
      </x:c>
      <x:c r="F2156" s="20" t="s">
        <x:v>97</x:v>
      </x:c>
      <x:c r="G2156" s="26">
        <x:v>46218</x:v>
      </x:c>
      <x:c r="H2156" s="24" t="s">
        <x:v>9841</x:v>
      </x:c>
      <x:c r="I2156" s="28" t="s">
        <x:v>9842</x:v>
      </x:c>
      <x:c r="J2156" s="29" t="s">
        <x:v>9843</x:v>
      </x:c>
    </x:row>
    <x:row r="2157" ht="10.050000190734863" customHeight="1">
      <x:c r="A2157" s="21" t="s">
        <x:v>9844</x:v>
      </x:c>
      <x:c r="B2157" s="20" t="s">
        <x:v>9844</x:v>
      </x:c>
      <x:c r="C2157" s="20" t="s">
        <x:v>3568</x:v>
      </x:c>
      <x:c r="D2157" s="24">
        <x:v>35</x:v>
      </x:c>
      <x:c r="E2157" s="24" t="s">
        <x:v>257</x:v>
      </x:c>
      <x:c r="F2157" s="20" t="s">
        <x:v>97</x:v>
      </x:c>
      <x:c r="G2157" s="26">
        <x:v>42219</x:v>
      </x:c>
      <x:c r="H2157" s="24" t="s">
        <x:v>9845</x:v>
      </x:c>
      <x:c r="I2157" s="28" t="s">
        <x:v>9846</x:v>
      </x:c>
      <x:c r="J2157" s="29" t="s">
        <x:v>9847</x:v>
      </x:c>
    </x:row>
    <x:row r="2158" ht="10.050000190734863" customHeight="1">
      <x:c r="A2158" s="21" t="s">
        <x:v>9848</x:v>
      </x:c>
      <x:c r="B2158" s="20" t="s">
        <x:v>9848</x:v>
      </x:c>
      <x:c r="C2158" s="20" t="s">
        <x:v>2137</x:v>
      </x:c>
      <x:c r="D2158" s="24">
        <x:v>5</x:v>
      </x:c>
      <x:c r="E2158" s="24" t="s">
        <x:v>257</x:v>
      </x:c>
      <x:c r="F2158" s="20" t="s">
        <x:v>97</x:v>
      </x:c>
      <x:c r="G2158" s="26">
        <x:v>42252</x:v>
      </x:c>
      <x:c r="H2158" s="24" t="s">
        <x:v>9849</x:v>
      </x:c>
      <x:c r="I2158" s="28" t="s">
        <x:v>9850</x:v>
      </x:c>
      <x:c r="J2158" s="29" t="s">
        <x:v>9851</x:v>
      </x:c>
    </x:row>
    <x:row r="2159" ht="10.050000190734863" customHeight="1">
      <x:c r="A2159" s="21" t="s">
        <x:v>9852</x:v>
      </x:c>
      <x:c r="B2159" s="20" t="s">
        <x:v>9852</x:v>
      </x:c>
      <x:c r="C2159" s="20" t="s">
        <x:v>9853</x:v>
      </x:c>
      <x:c r="D2159" s="24">
        <x:v>14</x:v>
      </x:c>
      <x:c r="E2159" s="24" t="s">
        <x:v>103</x:v>
      </x:c>
      <x:c r="F2159" s="20" t="s">
        <x:v>97</x:v>
      </x:c>
      <x:c r="G2159" s="26">
        <x:v>42207</x:v>
      </x:c>
      <x:c r="H2159" s="24" t="s">
        <x:v>9854</x:v>
      </x:c>
      <x:c r="I2159" s="28" t="s">
        <x:v>9855</x:v>
      </x:c>
      <x:c r="J2159" s="29" t="s">
        <x:v>9856</x:v>
      </x:c>
    </x:row>
    <x:row r="2160" ht="10.050000190734863" customHeight="1">
      <x:c r="A2160" s="21" t="s">
        <x:v>9857</x:v>
      </x:c>
      <x:c r="B2160" s="20" t="s">
        <x:v>9857</x:v>
      </x:c>
      <x:c r="C2160" s="20" t="s">
        <x:v>9858</x:v>
      </x:c>
      <x:c r="D2160" s="24">
        <x:v>101</x:v>
      </x:c>
      <x:c r="E2160" s="24" t="s">
        <x:v>114</x:v>
      </x:c>
      <x:c r="F2160" s="20" t="s">
        <x:v>152</x:v>
      </x:c>
      <x:c r="G2160" s="26">
        <x:v>44934</x:v>
      </x:c>
      <x:c r="H2160" s="24" t="s">
        <x:v>9859</x:v>
      </x:c>
      <x:c r="I2160" s="28" t="s">
        <x:v>9860</x:v>
      </x:c>
      <x:c r="J2160" s="29" t="s">
        <x:v>9861</x:v>
      </x:c>
    </x:row>
    <x:row r="2161" ht="10.050000190734863" customHeight="1">
      <x:c r="A2161" s="21" t="s">
        <x:v>9862</x:v>
      </x:c>
      <x:c r="B2161" s="20" t="s">
        <x:v>9862</x:v>
      </x:c>
      <x:c r="C2161" s="20" t="s">
        <x:v>9858</x:v>
      </x:c>
      <x:c r="D2161" s="24">
        <x:v>96</x:v>
      </x:c>
      <x:c r="E2161" s="24" t="s">
        <x:v>114</x:v>
      </x:c>
      <x:c r="F2161" s="20" t="s">
        <x:v>152</x:v>
      </x:c>
      <x:c r="G2161" s="26">
        <x:v>45627</x:v>
      </x:c>
      <x:c r="H2161" s="24" t="s">
        <x:v>9863</x:v>
      </x:c>
      <x:c r="I2161" s="28" t="s">
        <x:v>9864</x:v>
      </x:c>
      <x:c r="J2161" s="29" t="s">
        <x:v>9865</x:v>
      </x:c>
    </x:row>
    <x:row r="2162" ht="10.050000190734863" customHeight="1">
      <x:c r="A2162" s="21" t="s">
        <x:v>9866</x:v>
      </x:c>
      <x:c r="B2162" s="20" t="s">
        <x:v>9866</x:v>
      </x:c>
      <x:c r="C2162" s="20" t="s">
        <x:v>7941</x:v>
      </x:c>
      <x:c r="D2162" s="24">
        <x:v>15</x:v>
      </x:c>
      <x:c r="E2162" s="24" t="s">
        <x:v>114</x:v>
      </x:c>
      <x:c r="F2162" s="20" t="s">
        <x:v>90</x:v>
      </x:c>
      <x:c r="G2162" s="26">
        <x:v>45559</x:v>
      </x:c>
      <x:c r="H2162" s="24" t="s">
        <x:v>9867</x:v>
      </x:c>
      <x:c r="I2162" s="28" t="s">
        <x:v>9868</x:v>
      </x:c>
      <x:c r="J2162" s="29" t="s">
        <x:v>9869</x:v>
      </x:c>
    </x:row>
    <x:row r="2163" ht="10.050000190734863" customHeight="1">
      <x:c r="A2163" s="21" t="s">
        <x:v>9870</x:v>
      </x:c>
      <x:c r="B2163" s="20" t="s">
        <x:v>9870</x:v>
      </x:c>
      <x:c r="C2163" s="20" t="s">
        <x:v>9871</x:v>
      </x:c>
      <x:c r="D2163" s="24">
        <x:v>11</x:v>
      </x:c>
      <x:c r="E2163" s="24" t="s">
        <x:v>89</x:v>
      </x:c>
      <x:c r="F2163" s="20" t="s">
        <x:v>90</x:v>
      </x:c>
      <x:c r="G2163" s="26">
        <x:v>44033</x:v>
      </x:c>
      <x:c r="H2163" s="24" t="s">
        <x:v>9872</x:v>
      </x:c>
      <x:c r="I2163" s="28" t="s">
        <x:v>9873</x:v>
      </x:c>
      <x:c r="J2163" s="29" t="s">
        <x:v>9874</x:v>
      </x:c>
    </x:row>
    <x:row r="2164" ht="10.050000190734863" customHeight="1">
      <x:c r="A2164" s="21" t="s">
        <x:v>9875</x:v>
      </x:c>
      <x:c r="B2164" s="20" t="s">
        <x:v>9875</x:v>
      </x:c>
      <x:c r="C2164" s="20" t="s">
        <x:v>9876</x:v>
      </x:c>
      <x:c r="D2164" s="24">
        <x:v>20</x:v>
      </x:c>
      <x:c r="E2164" s="24" t="s">
        <x:v>89</x:v>
      </x:c>
      <x:c r="F2164" s="20" t="s">
        <x:v>90</x:v>
      </x:c>
      <x:c r="G2164" s="26">
        <x:v>44108</x:v>
      </x:c>
      <x:c r="H2164" s="24" t="s">
        <x:v>9877</x:v>
      </x:c>
      <x:c r="I2164" s="28" t="s">
        <x:v>9878</x:v>
      </x:c>
      <x:c r="J2164" s="29" t="s">
        <x:v>9879</x:v>
      </x:c>
    </x:row>
    <x:row r="2165" ht="10.050000190734863" customHeight="1">
      <x:c r="A2165" s="21" t="s">
        <x:v>9880</x:v>
      </x:c>
      <x:c r="B2165" s="20" t="s">
        <x:v>9880</x:v>
      </x:c>
      <x:c r="C2165" s="20" t="s">
        <x:v>9881</x:v>
      </x:c>
      <x:c r="D2165" s="24">
        <x:v>13</x:v>
      </x:c>
      <x:c r="E2165" s="24" t="s">
        <x:v>198</x:v>
      </x:c>
      <x:c r="F2165" s="20" t="s">
        <x:v>90</x:v>
      </x:c>
      <x:c r="G2165" s="26">
        <x:v>44168</x:v>
      </x:c>
      <x:c r="H2165" s="24" t="s">
        <x:v>9882</x:v>
      </x:c>
      <x:c r="I2165" s="28" t="s">
        <x:v>9883</x:v>
      </x:c>
      <x:c r="J2165" s="29" t="s">
        <x:v>9884</x:v>
      </x:c>
    </x:row>
    <x:row r="2166" ht="10.050000190734863" customHeight="1">
      <x:c r="A2166" s="21" t="s">
        <x:v>9885</x:v>
      </x:c>
      <x:c r="B2166" s="20" t="s">
        <x:v>9885</x:v>
      </x:c>
      <x:c r="C2166" s="20" t="s">
        <x:v>9886</x:v>
      </x:c>
      <x:c r="D2166" s="24">
        <x:v>17</x:v>
      </x:c>
      <x:c r="E2166" s="24" t="s">
        <x:v>198</x:v>
      </x:c>
      <x:c r="F2166" s="20" t="s">
        <x:v>90</x:v>
      </x:c>
      <x:c r="G2166" s="26">
        <x:v>45854</x:v>
      </x:c>
      <x:c r="H2166" s="24" t="s">
        <x:v>9887</x:v>
      </x:c>
      <x:c r="I2166" s="28" t="s">
        <x:v>9888</x:v>
      </x:c>
      <x:c r="J2166" s="29" t="s">
        <x:v>9889</x:v>
      </x:c>
    </x:row>
    <x:row r="2167" ht="10.050000190734863" customHeight="1">
      <x:c r="A2167" s="21" t="s">
        <x:v>9890</x:v>
      </x:c>
      <x:c r="B2167" s="20" t="s">
        <x:v>9890</x:v>
      </x:c>
      <x:c r="C2167" s="20" t="s">
        <x:v>9891</x:v>
      </x:c>
      <x:c r="D2167" s="24">
        <x:v>6</x:v>
      </x:c>
      <x:c r="E2167" s="24" t="s">
        <x:v>89</x:v>
      </x:c>
      <x:c r="F2167" s="20" t="s">
        <x:v>97</x:v>
      </x:c>
      <x:c r="G2167" s="26">
        <x:v>44203</x:v>
      </x:c>
      <x:c r="H2167" s="24" t="s">
        <x:v>9892</x:v>
      </x:c>
      <x:c r="I2167" s="28" t="s">
        <x:v>9893</x:v>
      </x:c>
      <x:c r="J2167" s="29" t="s">
        <x:v>9894</x:v>
      </x:c>
    </x:row>
    <x:row r="2168" ht="10.050000190734863" customHeight="1">
      <x:c r="A2168" s="21" t="s">
        <x:v>9895</x:v>
      </x:c>
      <x:c r="B2168" s="20" t="s">
        <x:v>9895</x:v>
      </x:c>
      <x:c r="C2168" s="20" t="s">
        <x:v>4282</x:v>
      </x:c>
      <x:c r="D2168" s="24">
        <x:v>4</x:v>
      </x:c>
      <x:c r="E2168" s="24" t="s">
        <x:v>96</x:v>
      </x:c>
      <x:c r="F2168" s="20" t="s">
        <x:v>90</x:v>
      </x:c>
      <x:c r="G2168" s="26">
        <x:v>44358</x:v>
      </x:c>
      <x:c r="H2168" s="24" t="s">
        <x:v>9896</x:v>
      </x:c>
      <x:c r="I2168" s="28" t="s">
        <x:v>9897</x:v>
      </x:c>
      <x:c r="J2168" s="29" t="s">
        <x:v>9898</x:v>
      </x:c>
    </x:row>
    <x:row r="2169" ht="10.050000190734863" customHeight="1">
      <x:c r="A2169" s="21" t="s">
        <x:v>9899</x:v>
      </x:c>
      <x:c r="B2169" s="20" t="s">
        <x:v>9899</x:v>
      </x:c>
      <x:c r="C2169" s="20" t="s">
        <x:v>9900</x:v>
      </x:c>
      <x:c r="D2169" s="24">
        <x:v>31</x:v>
      </x:c>
      <x:c r="E2169" s="24" t="s">
        <x:v>198</x:v>
      </x:c>
      <x:c r="F2169" s="20" t="s">
        <x:v>90</x:v>
      </x:c>
      <x:c r="G2169" s="26">
        <x:v>45362</x:v>
      </x:c>
      <x:c r="H2169" s="24" t="s">
        <x:v>9901</x:v>
      </x:c>
      <x:c r="I2169" s="28" t="s">
        <x:v>9902</x:v>
      </x:c>
      <x:c r="J2169" s="29" t="s">
        <x:v>9903</x:v>
      </x:c>
    </x:row>
    <x:row r="2170" ht="10.050000190734863" customHeight="1">
      <x:c r="A2170" s="21" t="s">
        <x:v>9904</x:v>
      </x:c>
      <x:c r="B2170" s="20" t="s">
        <x:v>9904</x:v>
      </x:c>
      <x:c r="C2170" s="20" t="s">
        <x:v>9905</x:v>
      </x:c>
      <x:c r="D2170" s="24">
        <x:v>16</x:v>
      </x:c>
      <x:c r="E2170" s="24" t="s">
        <x:v>96</x:v>
      </x:c>
      <x:c r="F2170" s="20" t="s">
        <x:v>90</x:v>
      </x:c>
      <x:c r="G2170" s="26">
        <x:v>43977</x:v>
      </x:c>
      <x:c r="H2170" s="24" t="s">
        <x:v>9906</x:v>
      </x:c>
      <x:c r="I2170" s="28" t="s">
        <x:v>9907</x:v>
      </x:c>
      <x:c r="J2170" s="29" t="s">
        <x:v>9908</x:v>
      </x:c>
    </x:row>
    <x:row r="2171" ht="10.050000190734863" customHeight="1">
      <x:c r="A2171" s="21" t="s">
        <x:v>9909</x:v>
      </x:c>
      <x:c r="B2171" s="20" t="s">
        <x:v>9909</x:v>
      </x:c>
      <x:c r="C2171" s="20" t="s">
        <x:v>9910</x:v>
      </x:c>
      <x:c r="D2171" s="24">
        <x:v>12</x:v>
      </x:c>
      <x:c r="E2171" s="24" t="s">
        <x:v>114</x:v>
      </x:c>
      <x:c r="F2171" s="20" t="s">
        <x:v>90</x:v>
      </x:c>
      <x:c r="G2171" s="26">
        <x:v>45396</x:v>
      </x:c>
      <x:c r="H2171" s="24" t="s">
        <x:v>9911</x:v>
      </x:c>
      <x:c r="I2171" s="28" t="s">
        <x:v>9912</x:v>
      </x:c>
      <x:c r="J2171" s="29" t="s">
        <x:v>9913</x:v>
      </x:c>
    </x:row>
    <x:row r="2172" ht="10.050000190734863" customHeight="1">
      <x:c r="A2172" s="21" t="s">
        <x:v>9914</x:v>
      </x:c>
      <x:c r="B2172" s="20" t="s">
        <x:v>9914</x:v>
      </x:c>
      <x:c r="C2172" s="20" t="s">
        <x:v>9915</x:v>
      </x:c>
      <x:c r="D2172" s="24">
        <x:v>11</x:v>
      </x:c>
      <x:c r="E2172" s="24" t="s">
        <x:v>257</x:v>
      </x:c>
      <x:c r="F2172" s="20" t="s">
        <x:v>97</x:v>
      </x:c>
      <x:c r="G2172" s="26">
        <x:v>42242</x:v>
      </x:c>
      <x:c r="H2172" s="24" t="s">
        <x:v>9916</x:v>
      </x:c>
      <x:c r="I2172" s="28" t="s">
        <x:v>9917</x:v>
      </x:c>
      <x:c r="J2172" s="29" t="s">
        <x:v>9918</x:v>
      </x:c>
    </x:row>
    <x:row r="2173" ht="10.050000190734863" customHeight="1">
      <x:c r="A2173" s="21" t="s">
        <x:v>9919</x:v>
      </x:c>
      <x:c r="B2173" s="20" t="s">
        <x:v>9919</x:v>
      </x:c>
      <x:c r="C2173" s="20" t="s">
        <x:v>7114</x:v>
      </x:c>
      <x:c r="D2173" s="24">
        <x:v>6</x:v>
      </x:c>
      <x:c r="E2173" s="24" t="s">
        <x:v>89</x:v>
      </x:c>
      <x:c r="F2173" s="20" t="s">
        <x:v>90</x:v>
      </x:c>
      <x:c r="G2173" s="26">
        <x:v>46010</x:v>
      </x:c>
      <x:c r="H2173" s="24" t="s">
        <x:v>9920</x:v>
      </x:c>
      <x:c r="I2173" s="28" t="s">
        <x:v>9921</x:v>
      </x:c>
      <x:c r="J2173" s="29" t="s">
        <x:v>9922</x:v>
      </x:c>
    </x:row>
    <x:row r="2174" ht="10.050000190734863" customHeight="1">
      <x:c r="A2174" s="21" t="s">
        <x:v>9923</x:v>
      </x:c>
      <x:c r="B2174" s="20" t="s">
        <x:v>9923</x:v>
      </x:c>
      <x:c r="C2174" s="20" t="s">
        <x:v>7114</x:v>
      </x:c>
      <x:c r="D2174" s="24">
        <x:v>22</x:v>
      </x:c>
      <x:c r="E2174" s="24" t="s">
        <x:v>198</x:v>
      </x:c>
      <x:c r="F2174" s="20" t="s">
        <x:v>90</x:v>
      </x:c>
      <x:c r="G2174" s="26">
        <x:v>45951</x:v>
      </x:c>
      <x:c r="H2174" s="24" t="s">
        <x:v>9924</x:v>
      </x:c>
      <x:c r="I2174" s="28" t="s">
        <x:v>9925</x:v>
      </x:c>
      <x:c r="J2174" s="29" t="s">
        <x:v>9926</x:v>
      </x:c>
    </x:row>
    <x:row r="2175" ht="10.050000190734863" customHeight="1">
      <x:c r="A2175" s="21" t="s">
        <x:v>9927</x:v>
      </x:c>
      <x:c r="B2175" s="20" t="s">
        <x:v>9927</x:v>
      </x:c>
      <x:c r="C2175" s="20" t="s">
        <x:v>7114</x:v>
      </x:c>
      <x:c r="D2175" s="24">
        <x:v>30</x:v>
      </x:c>
      <x:c r="E2175" s="24" t="s">
        <x:v>114</x:v>
      </x:c>
      <x:c r="F2175" s="20" t="s">
        <x:v>90</x:v>
      </x:c>
      <x:c r="G2175" s="26">
        <x:v>46000</x:v>
      </x:c>
      <x:c r="H2175" s="24" t="s">
        <x:v>9928</x:v>
      </x:c>
      <x:c r="I2175" s="28" t="s">
        <x:v>9929</x:v>
      </x:c>
      <x:c r="J2175" s="29" t="s">
        <x:v>9930</x:v>
      </x:c>
    </x:row>
    <x:row r="2176" ht="10.050000190734863" customHeight="1">
      <x:c r="A2176" s="21" t="s">
        <x:v>9931</x:v>
      </x:c>
      <x:c r="B2176" s="20" t="s">
        <x:v>9931</x:v>
      </x:c>
      <x:c r="C2176" s="20" t="s">
        <x:v>9932</x:v>
      </x:c>
      <x:c r="D2176" s="24">
        <x:v>10</x:v>
      </x:c>
      <x:c r="E2176" s="24" t="s">
        <x:v>103</x:v>
      </x:c>
      <x:c r="F2176" s="20" t="s">
        <x:v>97</x:v>
      </x:c>
      <x:c r="G2176" s="26">
        <x:v>44205</x:v>
      </x:c>
      <x:c r="H2176" s="24" t="s">
        <x:v>9933</x:v>
      </x:c>
      <x:c r="I2176" s="28" t="s">
        <x:v>9934</x:v>
      </x:c>
      <x:c r="J2176" s="29" t="s">
        <x:v>9935</x:v>
      </x:c>
    </x:row>
    <x:row r="2177" ht="10.050000190734863" customHeight="1">
      <x:c r="A2177" s="21" t="s">
        <x:v>9936</x:v>
      </x:c>
      <x:c r="B2177" s="20" t="s">
        <x:v>9936</x:v>
      </x:c>
      <x:c r="C2177" s="20" t="s">
        <x:v>9937</x:v>
      </x:c>
      <x:c r="D2177" s="24">
        <x:v>1</x:v>
      </x:c>
      <x:c r="E2177" s="24" t="s">
        <x:v>198</x:v>
      </x:c>
      <x:c r="F2177" s="20" t="s">
        <x:v>610</x:v>
      </x:c>
      <x:c r="G2177" s="26">
        <x:v>42599</x:v>
      </x:c>
      <x:c r="H2177" s="24" t="s">
        <x:v>9938</x:v>
      </x:c>
      <x:c r="I2177" s="28" t="s">
        <x:v>9939</x:v>
      </x:c>
      <x:c r="J2177" s="29" t="s">
        <x:v>9940</x:v>
      </x:c>
    </x:row>
    <x:row r="2178" ht="10.050000190734863" customHeight="1">
      <x:c r="A2178" s="21" t="s">
        <x:v>9941</x:v>
      </x:c>
      <x:c r="B2178" s="20" t="s">
        <x:v>9941</x:v>
      </x:c>
      <x:c r="C2178" s="20" t="s">
        <x:v>1427</x:v>
      </x:c>
      <x:c r="D2178" s="24">
        <x:v>14</x:v>
      </x:c>
      <x:c r="E2178" s="24" t="s">
        <x:v>198</x:v>
      </x:c>
      <x:c r="F2178" s="20" t="s">
        <x:v>90</x:v>
      </x:c>
      <x:c r="G2178" s="26">
        <x:v>45762</x:v>
      </x:c>
      <x:c r="H2178" s="24" t="s">
        <x:v>9942</x:v>
      </x:c>
      <x:c r="I2178" s="28" t="s">
        <x:v>9943</x:v>
      </x:c>
      <x:c r="J2178" s="29" t="s">
        <x:v>9944</x:v>
      </x:c>
    </x:row>
    <x:row r="2179" ht="10.050000190734863" customHeight="1">
      <x:c r="A2179" s="21" t="s">
        <x:v>9945</x:v>
      </x:c>
      <x:c r="B2179" s="20" t="s">
        <x:v>9945</x:v>
      </x:c>
      <x:c r="C2179" s="20" t="s">
        <x:v>9946</x:v>
      </x:c>
      <x:c r="D2179" s="24">
        <x:v>8</x:v>
      </x:c>
      <x:c r="E2179" s="24" t="s">
        <x:v>96</x:v>
      </x:c>
      <x:c r="F2179" s="20" t="s">
        <x:v>90</x:v>
      </x:c>
      <x:c r="G2179" s="26">
        <x:v>44748</x:v>
      </x:c>
      <x:c r="H2179" s="24" t="s">
        <x:v>9947</x:v>
      </x:c>
      <x:c r="I2179" s="28" t="s">
        <x:v>9948</x:v>
      </x:c>
      <x:c r="J2179" s="29" t="s">
        <x:v>9949</x:v>
      </x:c>
    </x:row>
    <x:row r="2180" ht="10.050000190734863" customHeight="1">
      <x:c r="A2180" s="21" t="s">
        <x:v>9950</x:v>
      </x:c>
      <x:c r="B2180" s="20" t="s">
        <x:v>9950</x:v>
      </x:c>
      <x:c r="C2180" s="20" t="s">
        <x:v>9951</x:v>
      </x:c>
      <x:c r="D2180" s="24">
        <x:v>22</x:v>
      </x:c>
      <x:c r="E2180" s="24" t="s">
        <x:v>89</x:v>
      </x:c>
      <x:c r="F2180" s="20" t="s">
        <x:v>90</x:v>
      </x:c>
      <x:c r="G2180" s="26">
        <x:v>45752</x:v>
      </x:c>
      <x:c r="H2180" s="24" t="s">
        <x:v>9952</x:v>
      </x:c>
      <x:c r="I2180" s="28" t="s">
        <x:v>9953</x:v>
      </x:c>
      <x:c r="J2180" s="29" t="s">
        <x:v>9954</x:v>
      </x:c>
    </x:row>
    <x:row r="2181" ht="10.050000190734863" customHeight="1">
      <x:c r="A2181" s="21" t="s">
        <x:v>9955</x:v>
      </x:c>
      <x:c r="B2181" s="20" t="s">
        <x:v>9955</x:v>
      </x:c>
      <x:c r="C2181" s="20" t="s">
        <x:v>9956</x:v>
      </x:c>
      <x:c r="D2181" s="24">
        <x:v>10</x:v>
      </x:c>
      <x:c r="E2181" s="24" t="s">
        <x:v>96</x:v>
      </x:c>
      <x:c r="F2181" s="20" t="s">
        <x:v>97</x:v>
      </x:c>
      <x:c r="G2181" s="26">
        <x:v>45532</x:v>
      </x:c>
      <x:c r="H2181" s="24" t="s">
        <x:v>9957</x:v>
      </x:c>
      <x:c r="I2181" s="28" t="s">
        <x:v>9958</x:v>
      </x:c>
      <x:c r="J2181" s="29" t="s">
        <x:v>9959</x:v>
      </x:c>
    </x:row>
    <x:row r="2182" ht="10.050000190734863" customHeight="1">
      <x:c r="A2182" s="21" t="s">
        <x:v>9960</x:v>
      </x:c>
      <x:c r="B2182" s="20" t="s">
        <x:v>9960</x:v>
      </x:c>
      <x:c r="C2182" s="20" t="s">
        <x:v>9961</x:v>
      </x:c>
      <x:c r="D2182" s="24">
        <x:v>23</x:v>
      </x:c>
      <x:c r="E2182" s="24" t="s">
        <x:v>96</x:v>
      </x:c>
      <x:c r="F2182" s="20" t="s">
        <x:v>97</x:v>
      </x:c>
      <x:c r="G2182" s="26">
        <x:v>44545</x:v>
      </x:c>
      <x:c r="H2182" s="24" t="s">
        <x:v>9962</x:v>
      </x:c>
      <x:c r="I2182" s="28" t="s">
        <x:v>9963</x:v>
      </x:c>
      <x:c r="J2182" s="29" t="s">
        <x:v>9964</x:v>
      </x:c>
    </x:row>
    <x:row r="2183" ht="10.050000190734863" customHeight="1">
      <x:c r="A2183" s="21" t="s">
        <x:v>9965</x:v>
      </x:c>
      <x:c r="B2183" s="20" t="s">
        <x:v>9965</x:v>
      </x:c>
      <x:c r="C2183" s="20" t="s">
        <x:v>9961</x:v>
      </x:c>
      <x:c r="D2183" s="24">
        <x:v>21</x:v>
      </x:c>
      <x:c r="E2183" s="24" t="s">
        <x:v>96</x:v>
      </x:c>
      <x:c r="F2183" s="20" t="s">
        <x:v>152</x:v>
      </x:c>
      <x:c r="G2183" s="26">
        <x:v>44739</x:v>
      </x:c>
      <x:c r="H2183" s="24" t="s">
        <x:v>9966</x:v>
      </x:c>
      <x:c r="I2183" s="28" t="s">
        <x:v>9967</x:v>
      </x:c>
      <x:c r="J2183" s="29" t="s">
        <x:v>9968</x:v>
      </x:c>
    </x:row>
    <x:row r="2184" ht="10.050000190734863" customHeight="1">
      <x:c r="A2184" s="21" t="s">
        <x:v>9969</x:v>
      </x:c>
      <x:c r="B2184" s="20" t="s">
        <x:v>9969</x:v>
      </x:c>
      <x:c r="C2184" s="20" t="s">
        <x:v>9970</x:v>
      </x:c>
      <x:c r="D2184" s="24">
        <x:v>4</x:v>
      </x:c>
      <x:c r="E2184" s="24" t="s">
        <x:v>114</x:v>
      </x:c>
      <x:c r="F2184" s="20" t="s">
        <x:v>90</x:v>
      </x:c>
      <x:c r="G2184" s="26">
        <x:v>44768</x:v>
      </x:c>
      <x:c r="H2184" s="24" t="s">
        <x:v>9971</x:v>
      </x:c>
      <x:c r="I2184" s="28" t="s">
        <x:v>9972</x:v>
      </x:c>
      <x:c r="J2184" s="29" t="s">
        <x:v>9973</x:v>
      </x:c>
    </x:row>
    <x:row r="2185" ht="10.050000190734863" customHeight="1">
      <x:c r="A2185" s="21" t="s">
        <x:v>9974</x:v>
      </x:c>
      <x:c r="B2185" s="20" t="s">
        <x:v>9974</x:v>
      </x:c>
      <x:c r="C2185" s="20" t="s">
        <x:v>9970</x:v>
      </x:c>
      <x:c r="D2185" s="24">
        <x:v>10</x:v>
      </x:c>
      <x:c r="E2185" s="24" t="s">
        <x:v>198</x:v>
      </x:c>
      <x:c r="F2185" s="20" t="s">
        <x:v>152</x:v>
      </x:c>
      <x:c r="G2185" s="26">
        <x:v>45142</x:v>
      </x:c>
      <x:c r="H2185" s="24" t="s">
        <x:v>9975</x:v>
      </x:c>
      <x:c r="I2185" s="28" t="s">
        <x:v>9976</x:v>
      </x:c>
      <x:c r="J2185" s="29" t="s">
        <x:v>9977</x:v>
      </x:c>
    </x:row>
    <x:row r="2186" ht="10.050000190734863" customHeight="1">
      <x:c r="A2186" s="21" t="s">
        <x:v>9978</x:v>
      </x:c>
      <x:c r="B2186" s="20" t="s">
        <x:v>9978</x:v>
      </x:c>
      <x:c r="C2186" s="20" t="s">
        <x:v>2817</x:v>
      </x:c>
      <x:c r="D2186" s="24">
        <x:v>30</x:v>
      </x:c>
      <x:c r="E2186" s="24" t="s">
        <x:v>103</x:v>
      </x:c>
      <x:c r="F2186" s="20" t="s">
        <x:v>97</x:v>
      </x:c>
      <x:c r="G2186" s="26">
        <x:v>44007</x:v>
      </x:c>
      <x:c r="H2186" s="24" t="s">
        <x:v>9979</x:v>
      </x:c>
      <x:c r="I2186" s="28" t="s">
        <x:v>9980</x:v>
      </x:c>
      <x:c r="J2186" s="29" t="s">
        <x:v>9981</x:v>
      </x:c>
    </x:row>
    <x:row r="2187" ht="10.050000190734863" customHeight="1">
      <x:c r="A2187" s="21" t="s">
        <x:v>9982</x:v>
      </x:c>
      <x:c r="B2187" s="20" t="s">
        <x:v>9982</x:v>
      </x:c>
      <x:c r="C2187" s="20" t="s">
        <x:v>2817</x:v>
      </x:c>
      <x:c r="D2187" s="24">
        <x:v>42</x:v>
      </x:c>
      <x:c r="E2187" s="24" t="s">
        <x:v>96</x:v>
      </x:c>
      <x:c r="F2187" s="20" t="s">
        <x:v>97</x:v>
      </x:c>
      <x:c r="G2187" s="26">
        <x:v>44375</x:v>
      </x:c>
      <x:c r="H2187" s="24" t="s">
        <x:v>9983</x:v>
      </x:c>
      <x:c r="I2187" s="28" t="s">
        <x:v>9984</x:v>
      </x:c>
      <x:c r="J2187" s="29" t="s">
        <x:v>9985</x:v>
      </x:c>
    </x:row>
    <x:row r="2188" ht="10.050000190734863" customHeight="1">
      <x:c r="A2188" s="21" t="s">
        <x:v>9986</x:v>
      </x:c>
      <x:c r="B2188" s="20" t="s">
        <x:v>9986</x:v>
      </x:c>
      <x:c r="C2188" s="20" t="s">
        <x:v>2817</x:v>
      </x:c>
      <x:c r="D2188" s="24">
        <x:v>50</x:v>
      </x:c>
      <x:c r="E2188" s="24" t="s">
        <x:v>103</x:v>
      </x:c>
      <x:c r="F2188" s="20" t="s">
        <x:v>97</x:v>
      </x:c>
      <x:c r="G2188" s="26">
        <x:v>45876</x:v>
      </x:c>
      <x:c r="H2188" s="24" t="s">
        <x:v>9987</x:v>
      </x:c>
      <x:c r="I2188" s="28" t="s">
        <x:v>9988</x:v>
      </x:c>
      <x:c r="J2188" s="29" t="s">
        <x:v>9989</x:v>
      </x:c>
    </x:row>
    <x:row r="2189" ht="10.050000190734863" customHeight="1">
      <x:c r="A2189" s="21" t="s">
        <x:v>9990</x:v>
      </x:c>
      <x:c r="B2189" s="20" t="s">
        <x:v>9990</x:v>
      </x:c>
      <x:c r="C2189" s="20" t="s">
        <x:v>9991</x:v>
      </x:c>
      <x:c r="D2189" s="24">
        <x:v>14</x:v>
      </x:c>
      <x:c r="E2189" s="24" t="s">
        <x:v>96</x:v>
      </x:c>
      <x:c r="F2189" s="20" t="s">
        <x:v>97</x:v>
      </x:c>
      <x:c r="G2189" s="26">
        <x:v>42219</x:v>
      </x:c>
      <x:c r="H2189" s="24" t="s">
        <x:v>9992</x:v>
      </x:c>
      <x:c r="I2189" s="28" t="s">
        <x:v>9993</x:v>
      </x:c>
      <x:c r="J2189" s="29" t="s">
        <x:v>9994</x:v>
      </x:c>
    </x:row>
    <x:row r="2190" ht="10.050000190734863" customHeight="1">
      <x:c r="A2190" s="21" t="s">
        <x:v>9995</x:v>
      </x:c>
      <x:c r="B2190" s="20" t="s">
        <x:v>9995</x:v>
      </x:c>
      <x:c r="C2190" s="20" t="s">
        <x:v>1751</x:v>
      </x:c>
      <x:c r="D2190" s="24">
        <x:v>7</x:v>
      </x:c>
      <x:c r="E2190" s="24" t="s">
        <x:v>257</x:v>
      </x:c>
      <x:c r="F2190" s="20" t="s">
        <x:v>97</x:v>
      </x:c>
      <x:c r="G2190" s="26">
        <x:v>41856</x:v>
      </x:c>
      <x:c r="H2190" s="24" t="s">
        <x:v>9996</x:v>
      </x:c>
      <x:c r="I2190" s="28" t="s">
        <x:v>9997</x:v>
      </x:c>
      <x:c r="J2190" s="29" t="s">
        <x:v>9998</x:v>
      </x:c>
    </x:row>
    <x:row r="2191" ht="10.050000190734863" customHeight="1">
      <x:c r="A2191" s="21" t="s">
        <x:v>47</x:v>
      </x:c>
      <x:c r="B2191" s="20" t="s">
        <x:v>47</x:v>
      </x:c>
      <x:c r="C2191" s="20" t="s">
        <x:v>1861</x:v>
      </x:c>
      <x:c r="D2191" s="24">
        <x:v>25</x:v>
      </x:c>
      <x:c r="E2191" s="24" t="s">
        <x:v>89</x:v>
      </x:c>
      <x:c r="F2191" s="20" t="s">
        <x:v>152</x:v>
      </x:c>
      <x:c r="G2191" s="26">
        <x:v>44595</x:v>
      </x:c>
      <x:c r="H2191" s="24" t="s">
        <x:v>9999</x:v>
      </x:c>
      <x:c r="I2191" s="28" t="s">
        <x:v>10000</x:v>
      </x:c>
      <x:c r="J2191" s="29" t="s">
        <x:v>10001</x:v>
      </x:c>
    </x:row>
    <x:row r="2192" ht="10.050000190734863" customHeight="1">
      <x:c r="A2192" s="21" t="s">
        <x:v>10002</x:v>
      </x:c>
      <x:c r="B2192" s="20" t="s">
        <x:v>10002</x:v>
      </x:c>
      <x:c r="C2192" s="20" t="s">
        <x:v>3379</x:v>
      </x:c>
      <x:c r="D2192" s="24">
        <x:v>18</x:v>
      </x:c>
      <x:c r="E2192" s="24" t="s">
        <x:v>198</x:v>
      </x:c>
      <x:c r="F2192" s="20" t="s">
        <x:v>90</x:v>
      </x:c>
      <x:c r="G2192" s="26">
        <x:v>44095</x:v>
      </x:c>
      <x:c r="H2192" s="24" t="s">
        <x:v>10003</x:v>
      </x:c>
      <x:c r="I2192" s="28" t="s">
        <x:v>10004</x:v>
      </x:c>
      <x:c r="J2192" s="29" t="s">
        <x:v>10005</x:v>
      </x:c>
    </x:row>
    <x:row r="2193" ht="10.050000190734863" customHeight="1">
      <x:c r="A2193" s="21" t="s">
        <x:v>10006</x:v>
      </x:c>
      <x:c r="B2193" s="20" t="s">
        <x:v>10006</x:v>
      </x:c>
      <x:c r="C2193" s="20" t="s">
        <x:v>3379</x:v>
      </x:c>
      <x:c r="D2193" s="24">
        <x:v>18</x:v>
      </x:c>
      <x:c r="E2193" s="24" t="s">
        <x:v>89</x:v>
      </x:c>
      <x:c r="F2193" s="20" t="s">
        <x:v>90</x:v>
      </x:c>
      <x:c r="G2193" s="26">
        <x:v>44113</x:v>
      </x:c>
      <x:c r="H2193" s="24" t="s">
        <x:v>10007</x:v>
      </x:c>
      <x:c r="I2193" s="28" t="s">
        <x:v>10008</x:v>
      </x:c>
      <x:c r="J2193" s="29" t="s">
        <x:v>10009</x:v>
      </x:c>
    </x:row>
    <x:row r="2194" ht="10.050000190734863" customHeight="1">
      <x:c r="A2194" s="21" t="s">
        <x:v>10010</x:v>
      </x:c>
      <x:c r="B2194" s="20" t="s">
        <x:v>10010</x:v>
      </x:c>
      <x:c r="C2194" s="20" t="s">
        <x:v>9163</x:v>
      </x:c>
      <x:c r="D2194" s="24">
        <x:v>19</x:v>
      </x:c>
      <x:c r="E2194" s="24" t="s">
        <x:v>96</x:v>
      </x:c>
      <x:c r="F2194" s="20" t="s">
        <x:v>97</x:v>
      </x:c>
      <x:c r="G2194" s="26">
        <x:v>44514</x:v>
      </x:c>
      <x:c r="H2194" s="24" t="s">
        <x:v>10011</x:v>
      </x:c>
      <x:c r="I2194" s="28" t="s">
        <x:v>10012</x:v>
      </x:c>
      <x:c r="J2194" s="29" t="s">
        <x:v>10013</x:v>
      </x:c>
    </x:row>
    <x:row r="2195" ht="10.050000190734863" customHeight="1">
      <x:c r="A2195" s="21" t="s">
        <x:v>10014</x:v>
      </x:c>
      <x:c r="B2195" s="20" t="s">
        <x:v>10014</x:v>
      </x:c>
      <x:c r="C2195" s="20" t="s">
        <x:v>10015</x:v>
      </x:c>
      <x:c r="D2195" s="24">
        <x:v>21</x:v>
      </x:c>
      <x:c r="E2195" s="24" t="s">
        <x:v>198</x:v>
      </x:c>
      <x:c r="F2195" s="20" t="s">
        <x:v>90</x:v>
      </x:c>
      <x:c r="G2195" s="26">
        <x:v>44650</x:v>
      </x:c>
      <x:c r="H2195" s="24" t="s">
        <x:v>10016</x:v>
      </x:c>
      <x:c r="I2195" s="28" t="s">
        <x:v>10017</x:v>
      </x:c>
      <x:c r="J2195" s="29" t="s">
        <x:v>10018</x:v>
      </x:c>
    </x:row>
    <x:row r="2196" ht="10.050000190734863" customHeight="1">
      <x:c r="A2196" s="21" t="s">
        <x:v>10019</x:v>
      </x:c>
      <x:c r="B2196" s="20" t="s">
        <x:v>10019</x:v>
      </x:c>
      <x:c r="C2196" s="20" t="s">
        <x:v>5601</x:v>
      </x:c>
      <x:c r="D2196" s="24">
        <x:v>5</x:v>
      </x:c>
      <x:c r="E2196" s="24" t="s">
        <x:v>257</x:v>
      </x:c>
      <x:c r="F2196" s="20" t="s">
        <x:v>97</x:v>
      </x:c>
      <x:c r="G2196" s="26">
        <x:v>42221</x:v>
      </x:c>
      <x:c r="H2196" s="24" t="s">
        <x:v>10020</x:v>
      </x:c>
      <x:c r="I2196" s="28" t="s">
        <x:v>10021</x:v>
      </x:c>
      <x:c r="J2196" s="29" t="s">
        <x:v>10022</x:v>
      </x:c>
    </x:row>
    <x:row r="2197" ht="10.050000190734863" customHeight="1">
      <x:c r="A2197" s="21" t="s">
        <x:v>10023</x:v>
      </x:c>
      <x:c r="B2197" s="20" t="s">
        <x:v>10023</x:v>
      </x:c>
      <x:c r="C2197" s="20" t="s">
        <x:v>10024</x:v>
      </x:c>
      <x:c r="D2197" s="24">
        <x:v>29</x:v>
      </x:c>
      <x:c r="E2197" s="24" t="s">
        <x:v>257</x:v>
      </x:c>
      <x:c r="F2197" s="20" t="s">
        <x:v>97</x:v>
      </x:c>
      <x:c r="G2197" s="26">
        <x:v>42277</x:v>
      </x:c>
      <x:c r="H2197" s="24" t="s">
        <x:v>10025</x:v>
      </x:c>
      <x:c r="I2197" s="28" t="s">
        <x:v>10026</x:v>
      </x:c>
      <x:c r="J2197" s="29" t="s">
        <x:v>10027</x:v>
      </x:c>
    </x:row>
    <x:row r="2198" ht="10.050000190734863" customHeight="1">
      <x:c r="A2198" s="21" t="s">
        <x:v>10028</x:v>
      </x:c>
      <x:c r="B2198" s="20" t="s">
        <x:v>10028</x:v>
      </x:c>
      <x:c r="C2198" s="20" t="s">
        <x:v>2004</x:v>
      </x:c>
      <x:c r="D2198" s="24">
        <x:v>6</x:v>
      </x:c>
      <x:c r="E2198" s="24" t="s">
        <x:v>198</x:v>
      </x:c>
      <x:c r="F2198" s="20" t="s">
        <x:v>90</x:v>
      </x:c>
      <x:c r="G2198" s="26">
        <x:v>43928</x:v>
      </x:c>
      <x:c r="H2198" s="24" t="s">
        <x:v>10029</x:v>
      </x:c>
      <x:c r="I2198" s="28" t="s">
        <x:v>10030</x:v>
      </x:c>
      <x:c r="J2198" s="29" t="s">
        <x:v>10031</x:v>
      </x:c>
    </x:row>
    <x:row r="2199" ht="10.050000190734863" customHeight="1">
      <x:c r="A2199" s="21" t="s">
        <x:v>10032</x:v>
      </x:c>
      <x:c r="B2199" s="20" t="s">
        <x:v>10032</x:v>
      </x:c>
      <x:c r="C2199" s="20" t="s">
        <x:v>317</x:v>
      </x:c>
      <x:c r="D2199" s="24">
        <x:v>0</x:v>
      </x:c>
      <x:c r="E2199" s="24" t="s">
        <x:v>114</x:v>
      </x:c>
      <x:c r="F2199" s="20" t="s">
        <x:v>90</x:v>
      </x:c>
      <x:c r="G2199" s="26">
        <x:v>45146</x:v>
      </x:c>
      <x:c r="H2199" s="24" t="s">
        <x:v>10033</x:v>
      </x:c>
      <x:c r="I2199" s="28" t="s">
        <x:v>10034</x:v>
      </x:c>
      <x:c r="J2199" s="29" t="s">
        <x:v>10035</x:v>
      </x:c>
    </x:row>
    <x:row r="2200" ht="10.050000190734863" customHeight="1">
      <x:c r="A2200" s="21" t="s">
        <x:v>10036</x:v>
      </x:c>
      <x:c r="B2200" s="20" t="s">
        <x:v>10036</x:v>
      </x:c>
      <x:c r="C2200" s="20" t="s">
        <x:v>1407</x:v>
      </x:c>
      <x:c r="D2200" s="24">
        <x:v>14</x:v>
      </x:c>
      <x:c r="E2200" s="24" t="s">
        <x:v>198</x:v>
      </x:c>
      <x:c r="F2200" s="20" t="s">
        <x:v>90</x:v>
      </x:c>
      <x:c r="G2200" s="26">
        <x:v>46088</x:v>
      </x:c>
      <x:c r="H2200" s="24" t="s">
        <x:v>10037</x:v>
      </x:c>
      <x:c r="I2200" s="28" t="s">
        <x:v>10038</x:v>
      </x:c>
      <x:c r="J2200" s="29" t="s">
        <x:v>10039</x:v>
      </x:c>
    </x:row>
    <x:row r="2201" ht="10.050000190734863" customHeight="1">
      <x:c r="A2201" s="21" t="s">
        <x:v>10040</x:v>
      </x:c>
      <x:c r="B2201" s="20" t="s">
        <x:v>10040</x:v>
      </x:c>
      <x:c r="C2201" s="20" t="s">
        <x:v>2118</x:v>
      </x:c>
      <x:c r="D2201" s="24">
        <x:v>23</x:v>
      </x:c>
      <x:c r="E2201" s="24" t="s">
        <x:v>198</x:v>
      </x:c>
      <x:c r="F2201" s="20" t="s">
        <x:v>90</x:v>
      </x:c>
      <x:c r="G2201" s="26">
        <x:v>45953</x:v>
      </x:c>
      <x:c r="H2201" s="24" t="s">
        <x:v>10041</x:v>
      </x:c>
      <x:c r="I2201" s="28" t="s">
        <x:v>10042</x:v>
      </x:c>
      <x:c r="J2201" s="29" t="s">
        <x:v>10043</x:v>
      </x:c>
    </x:row>
    <x:row r="2202" ht="10.050000190734863" customHeight="1">
      <x:c r="A2202" s="21" t="s">
        <x:v>10044</x:v>
      </x:c>
      <x:c r="B2202" s="20" t="s">
        <x:v>10044</x:v>
      </x:c>
      <x:c r="C2202" s="20" t="s">
        <x:v>10045</x:v>
      </x:c>
      <x:c r="D2202" s="24">
        <x:v>12</x:v>
      </x:c>
      <x:c r="E2202" s="24" t="s">
        <x:v>114</x:v>
      </x:c>
      <x:c r="F2202" s="20" t="s">
        <x:v>90</x:v>
      </x:c>
      <x:c r="G2202" s="26">
        <x:v>42875</x:v>
      </x:c>
      <x:c r="H2202" s="24" t="s">
        <x:v>10046</x:v>
      </x:c>
      <x:c r="I2202" s="28" t="s">
        <x:v>10047</x:v>
      </x:c>
      <x:c r="J2202" s="29" t="s">
        <x:v>10048</x:v>
      </x:c>
    </x:row>
    <x:row r="2203" ht="10.050000190734863" customHeight="1">
      <x:c r="A2203" s="21" t="s">
        <x:v>10049</x:v>
      </x:c>
      <x:c r="B2203" s="20" t="s">
        <x:v>10049</x:v>
      </x:c>
      <x:c r="C2203" s="20" t="s">
        <x:v>4040</x:v>
      </x:c>
      <x:c r="D2203" s="24">
        <x:v>4</x:v>
      </x:c>
      <x:c r="E2203" s="24" t="s">
        <x:v>257</x:v>
      </x:c>
      <x:c r="F2203" s="20" t="s">
        <x:v>97</x:v>
      </x:c>
      <x:c r="G2203" s="26">
        <x:v>42044</x:v>
      </x:c>
      <x:c r="H2203" s="24" t="s">
        <x:v>10050</x:v>
      </x:c>
      <x:c r="I2203" s="28" t="s">
        <x:v>10051</x:v>
      </x:c>
      <x:c r="J2203" s="29" t="s">
        <x:v>10052</x:v>
      </x:c>
    </x:row>
    <x:row r="2204" ht="10.050000190734863" customHeight="1">
      <x:c r="A2204" s="21" t="s">
        <x:v>10053</x:v>
      </x:c>
      <x:c r="B2204" s="20" t="s">
        <x:v>10053</x:v>
      </x:c>
      <x:c r="C2204" s="20" t="s">
        <x:v>3426</x:v>
      </x:c>
      <x:c r="D2204" s="24">
        <x:v>9</x:v>
      </x:c>
      <x:c r="E2204" s="24" t="s">
        <x:v>198</x:v>
      </x:c>
      <x:c r="F2204" s="20" t="s">
        <x:v>90</x:v>
      </x:c>
      <x:c r="G2204" s="26">
        <x:v>45730</x:v>
      </x:c>
      <x:c r="H2204" s="24" t="s">
        <x:v>10054</x:v>
      </x:c>
      <x:c r="I2204" s="28" t="s">
        <x:v>10055</x:v>
      </x:c>
      <x:c r="J2204" s="29" t="s">
        <x:v>10056</x:v>
      </x:c>
    </x:row>
    <x:row r="2205" ht="10.050000190734863" customHeight="1">
      <x:c r="A2205" s="21" t="s">
        <x:v>10057</x:v>
      </x:c>
      <x:c r="B2205" s="20" t="s">
        <x:v>10057</x:v>
      </x:c>
      <x:c r="C2205" s="20" t="s">
        <x:v>3426</x:v>
      </x:c>
      <x:c r="D2205" s="24">
        <x:v>7</x:v>
      </x:c>
      <x:c r="E2205" s="24" t="s">
        <x:v>114</x:v>
      </x:c>
      <x:c r="F2205" s="20" t="s">
        <x:v>90</x:v>
      </x:c>
      <x:c r="G2205" s="26">
        <x:v>45868</x:v>
      </x:c>
      <x:c r="H2205" s="24" t="s">
        <x:v>10058</x:v>
      </x:c>
      <x:c r="I2205" s="28" t="s">
        <x:v>10059</x:v>
      </x:c>
      <x:c r="J2205" s="29" t="s">
        <x:v>10060</x:v>
      </x:c>
    </x:row>
    <x:row r="2206" ht="10.050000190734863" customHeight="1">
      <x:c r="A2206" s="21" t="s">
        <x:v>10061</x:v>
      </x:c>
      <x:c r="B2206" s="20" t="s">
        <x:v>10061</x:v>
      </x:c>
      <x:c r="C2206" s="20" t="s">
        <x:v>2170</x:v>
      </x:c>
      <x:c r="D2206" s="24">
        <x:v>35</x:v>
      </x:c>
      <x:c r="E2206" s="24" t="s">
        <x:v>89</x:v>
      </x:c>
      <x:c r="F2206" s="20" t="s">
        <x:v>97</x:v>
      </x:c>
      <x:c r="G2206" s="26">
        <x:v>44212</x:v>
      </x:c>
      <x:c r="H2206" s="24" t="s">
        <x:v>10062</x:v>
      </x:c>
      <x:c r="I2206" s="28" t="s">
        <x:v>10063</x:v>
      </x:c>
      <x:c r="J2206" s="29" t="s">
        <x:v>10064</x:v>
      </x:c>
    </x:row>
    <x:row r="2207" ht="10.050000190734863" customHeight="1">
      <x:c r="A2207" s="21" t="s">
        <x:v>10065</x:v>
      </x:c>
      <x:c r="B2207" s="20" t="s">
        <x:v>10065</x:v>
      </x:c>
      <x:c r="C2207" s="20" t="s">
        <x:v>10066</x:v>
      </x:c>
      <x:c r="D2207" s="24">
        <x:v>13</x:v>
      </x:c>
      <x:c r="E2207" s="24" t="s">
        <x:v>96</x:v>
      </x:c>
      <x:c r="F2207" s="20" t="s">
        <x:v>90</x:v>
      </x:c>
      <x:c r="G2207" s="26">
        <x:v>43559</x:v>
      </x:c>
      <x:c r="H2207" s="24" t="s">
        <x:v>10067</x:v>
      </x:c>
      <x:c r="I2207" s="28" t="s">
        <x:v>10068</x:v>
      </x:c>
      <x:c r="J2207" s="29" t="s">
        <x:v>10069</x:v>
      </x:c>
    </x:row>
    <x:row r="2208" ht="10.050000190734863" customHeight="1">
      <x:c r="A2208" s="21" t="s">
        <x:v>10070</x:v>
      </x:c>
      <x:c r="B2208" s="20" t="s">
        <x:v>10070</x:v>
      </x:c>
      <x:c r="C2208" s="20" t="s">
        <x:v>1782</x:v>
      </x:c>
      <x:c r="D2208" s="24">
        <x:v>16</x:v>
      </x:c>
      <x:c r="E2208" s="24" t="s">
        <x:v>198</x:v>
      </x:c>
      <x:c r="F2208" s="20" t="s">
        <x:v>90</x:v>
      </x:c>
      <x:c r="G2208" s="26">
        <x:v>44396</x:v>
      </x:c>
      <x:c r="H2208" s="24" t="s">
        <x:v>10071</x:v>
      </x:c>
      <x:c r="I2208" s="28" t="s">
        <x:v>10072</x:v>
      </x:c>
      <x:c r="J2208" s="29" t="s">
        <x:v>10073</x:v>
      </x:c>
    </x:row>
    <x:row r="2209" ht="10.050000190734863" customHeight="1">
      <x:c r="A2209" s="21" t="s">
        <x:v>10074</x:v>
      </x:c>
      <x:c r="B2209" s="20" t="s">
        <x:v>10074</x:v>
      </x:c>
      <x:c r="C2209" s="20" t="s">
        <x:v>1826</x:v>
      </x:c>
      <x:c r="D2209" s="24">
        <x:v>60</x:v>
      </x:c>
      <x:c r="E2209" s="24" t="s">
        <x:v>89</x:v>
      </x:c>
      <x:c r="F2209" s="20" t="s">
        <x:v>97</x:v>
      </x:c>
      <x:c r="G2209" s="26">
        <x:v>41705</x:v>
      </x:c>
      <x:c r="H2209" s="24" t="s">
        <x:v>10075</x:v>
      </x:c>
      <x:c r="I2209" s="28" t="s">
        <x:v>10076</x:v>
      </x:c>
      <x:c r="J2209" s="29" t="s">
        <x:v>10077</x:v>
      </x:c>
    </x:row>
    <x:row r="2210" ht="10.050000190734863" customHeight="1">
      <x:c r="A2210" s="21" t="s">
        <x:v>10078</x:v>
      </x:c>
      <x:c r="B2210" s="20" t="s">
        <x:v>10078</x:v>
      </x:c>
      <x:c r="C2210" s="20" t="s">
        <x:v>1826</x:v>
      </x:c>
      <x:c r="D2210" s="24">
        <x:v>78</x:v>
      </x:c>
      <x:c r="E2210" s="24" t="s">
        <x:v>96</x:v>
      </x:c>
      <x:c r="F2210" s="20" t="s">
        <x:v>97</x:v>
      </x:c>
      <x:c r="G2210" s="26">
        <x:v>41600</x:v>
      </x:c>
      <x:c r="H2210" s="24" t="s">
        <x:v>10079</x:v>
      </x:c>
      <x:c r="I2210" s="28" t="s">
        <x:v>10080</x:v>
      </x:c>
      <x:c r="J2210" s="29" t="s">
        <x:v>10081</x:v>
      </x:c>
    </x:row>
    <x:row r="2211" ht="10.050000190734863" customHeight="1">
      <x:c r="A2211" s="21" t="s">
        <x:v>10082</x:v>
      </x:c>
      <x:c r="B2211" s="20" t="s">
        <x:v>10082</x:v>
      </x:c>
      <x:c r="C2211" s="20" t="s">
        <x:v>10083</x:v>
      </x:c>
      <x:c r="D2211" s="24">
        <x:v>9</x:v>
      </x:c>
      <x:c r="E2211" s="24" t="s">
        <x:v>89</x:v>
      </x:c>
      <x:c r="F2211" s="20" t="s">
        <x:v>90</x:v>
      </x:c>
      <x:c r="G2211" s="26">
        <x:v>43962</x:v>
      </x:c>
      <x:c r="H2211" s="24" t="s">
        <x:v>10084</x:v>
      </x:c>
      <x:c r="I2211" s="28" t="s">
        <x:v>10085</x:v>
      </x:c>
      <x:c r="J2211" s="29" t="s">
        <x:v>10086</x:v>
      </x:c>
    </x:row>
    <x:row r="2212" ht="10.050000190734863" customHeight="1">
      <x:c r="A2212" s="21" t="s">
        <x:v>10087</x:v>
      </x:c>
      <x:c r="B2212" s="20" t="s">
        <x:v>10087</x:v>
      </x:c>
      <x:c r="C2212" s="20" t="s">
        <x:v>10088</x:v>
      </x:c>
      <x:c r="D2212" s="24">
        <x:v>5</x:v>
      </x:c>
      <x:c r="E2212" s="24" t="s">
        <x:v>257</x:v>
      </x:c>
      <x:c r="F2212" s="20" t="s">
        <x:v>97</x:v>
      </x:c>
      <x:c r="G2212" s="26">
        <x:v>43185</x:v>
      </x:c>
      <x:c r="H2212" s="24" t="s">
        <x:v>10089</x:v>
      </x:c>
      <x:c r="I2212" s="28" t="s">
        <x:v>10090</x:v>
      </x:c>
      <x:c r="J2212" s="29" t="s">
        <x:v>10091</x:v>
      </x:c>
    </x:row>
    <x:row r="2213" ht="10.050000190734863" customHeight="1">
      <x:c r="A2213" s="21" t="s">
        <x:v>10092</x:v>
      </x:c>
      <x:c r="B2213" s="20" t="s">
        <x:v>10092</x:v>
      </x:c>
      <x:c r="C2213" s="20" t="s">
        <x:v>10093</x:v>
      </x:c>
      <x:c r="D2213" s="24">
        <x:v>75</x:v>
      </x:c>
      <x:c r="E2213" s="24" t="s">
        <x:v>103</x:v>
      </x:c>
      <x:c r="F2213" s="20" t="s">
        <x:v>97</x:v>
      </x:c>
      <x:c r="G2213" s="26">
        <x:v>45932</x:v>
      </x:c>
      <x:c r="H2213" s="24" t="s">
        <x:v>10094</x:v>
      </x:c>
      <x:c r="I2213" s="28" t="s">
        <x:v>10095</x:v>
      </x:c>
      <x:c r="J2213" s="29" t="s">
        <x:v>10096</x:v>
      </x:c>
    </x:row>
    <x:row r="2214" ht="10.050000190734863" customHeight="1">
      <x:c r="A2214" s="21" t="s">
        <x:v>10097</x:v>
      </x:c>
      <x:c r="B2214" s="20" t="s">
        <x:v>10097</x:v>
      </x:c>
      <x:c r="C2214" s="20" t="s">
        <x:v>4374</x:v>
      </x:c>
      <x:c r="D2214" s="24">
        <x:v>18</x:v>
      </x:c>
      <x:c r="E2214" s="24" t="s">
        <x:v>103</x:v>
      </x:c>
      <x:c r="F2214" s="20" t="s">
        <x:v>97</x:v>
      </x:c>
      <x:c r="G2214" s="26">
        <x:v>42087</x:v>
      </x:c>
      <x:c r="H2214" s="24" t="s">
        <x:v>10098</x:v>
      </x:c>
      <x:c r="I2214" s="28" t="s">
        <x:v>10099</x:v>
      </x:c>
      <x:c r="J2214" s="29" t="s">
        <x:v>10100</x:v>
      </x:c>
    </x:row>
    <x:row r="2215" ht="10.050000190734863" customHeight="1">
      <x:c r="A2215" s="21" t="s">
        <x:v>10101</x:v>
      </x:c>
      <x:c r="B2215" s="20" t="s">
        <x:v>10101</x:v>
      </x:c>
      <x:c r="C2215" s="20" t="s">
        <x:v>10102</x:v>
      </x:c>
      <x:c r="D2215" s="24">
        <x:v>4</x:v>
      </x:c>
      <x:c r="E2215" s="24" t="s">
        <x:v>96</x:v>
      </x:c>
      <x:c r="F2215" s="20" t="s">
        <x:v>90</x:v>
      </x:c>
      <x:c r="G2215" s="26">
        <x:v>45100</x:v>
      </x:c>
      <x:c r="H2215" s="24" t="s">
        <x:v>10103</x:v>
      </x:c>
      <x:c r="I2215" s="28" t="s">
        <x:v>10104</x:v>
      </x:c>
      <x:c r="J2215" s="29" t="s">
        <x:v>10105</x:v>
      </x:c>
    </x:row>
    <x:row r="2216" ht="10.050000190734863" customHeight="1">
      <x:c r="A2216" s="21" t="s">
        <x:v>10106</x:v>
      </x:c>
      <x:c r="B2216" s="20" t="s">
        <x:v>10106</x:v>
      </x:c>
      <x:c r="C2216" s="20" t="s">
        <x:v>10107</x:v>
      </x:c>
      <x:c r="D2216" s="24">
        <x:v>28</x:v>
      </x:c>
      <x:c r="E2216" s="24" t="s">
        <x:v>198</x:v>
      </x:c>
      <x:c r="F2216" s="20" t="s">
        <x:v>3171</x:v>
      </x:c>
      <x:c r="G2216" s="26">
        <x:v>42738</x:v>
      </x:c>
      <x:c r="H2216" s="24" t="s">
        <x:v>10108</x:v>
      </x:c>
      <x:c r="I2216" s="28" t="s">
        <x:v>10109</x:v>
      </x:c>
      <x:c r="J2216" s="29" t="s">
        <x:v>10110</x:v>
      </x:c>
    </x:row>
    <x:row r="2217" ht="10.050000190734863" customHeight="1">
      <x:c r="A2217" s="21" t="s">
        <x:v>10111</x:v>
      </x:c>
      <x:c r="B2217" s="20" t="s">
        <x:v>10111</x:v>
      </x:c>
      <x:c r="C2217" s="20" t="s">
        <x:v>10112</x:v>
      </x:c>
      <x:c r="D2217" s="24">
        <x:v>5</x:v>
      </x:c>
      <x:c r="E2217" s="24" t="s">
        <x:v>96</x:v>
      </x:c>
      <x:c r="F2217" s="20" t="s">
        <x:v>97</x:v>
      </x:c>
      <x:c r="G2217" s="26">
        <x:v>42081</x:v>
      </x:c>
      <x:c r="H2217" s="24" t="s">
        <x:v>10113</x:v>
      </x:c>
      <x:c r="I2217" s="28" t="s">
        <x:v>10114</x:v>
      </x:c>
      <x:c r="J2217" s="29" t="s">
        <x:v>10115</x:v>
      </x:c>
    </x:row>
    <x:row r="2218" ht="10.050000190734863" customHeight="1">
      <x:c r="A2218" s="21" t="s">
        <x:v>10116</x:v>
      </x:c>
      <x:c r="B2218" s="20" t="s">
        <x:v>10116</x:v>
      </x:c>
      <x:c r="C2218" s="20" t="s">
        <x:v>1995</x:v>
      </x:c>
      <x:c r="D2218" s="24">
        <x:v>15</x:v>
      </x:c>
      <x:c r="E2218" s="24" t="s">
        <x:v>89</x:v>
      </x:c>
      <x:c r="F2218" s="20" t="s">
        <x:v>90</x:v>
      </x:c>
      <x:c r="G2218" s="26">
        <x:v>44441</x:v>
      </x:c>
      <x:c r="H2218" s="24" t="s">
        <x:v>10117</x:v>
      </x:c>
      <x:c r="I2218" s="28" t="s">
        <x:v>10118</x:v>
      </x:c>
      <x:c r="J2218" s="29" t="s">
        <x:v>10119</x:v>
      </x:c>
    </x:row>
    <x:row r="2219" ht="10.050000190734863" customHeight="1">
      <x:c r="A2219" s="21" t="s">
        <x:v>10120</x:v>
      </x:c>
      <x:c r="B2219" s="20" t="s">
        <x:v>10120</x:v>
      </x:c>
      <x:c r="C2219" s="20" t="s">
        <x:v>2609</x:v>
      </x:c>
      <x:c r="D2219" s="24">
        <x:v>16</x:v>
      </x:c>
      <x:c r="E2219" s="24" t="s">
        <x:v>114</x:v>
      </x:c>
      <x:c r="F2219" s="20" t="s">
        <x:v>90</x:v>
      </x:c>
      <x:c r="G2219" s="26">
        <x:v>45802</x:v>
      </x:c>
      <x:c r="H2219" s="24" t="s">
        <x:v>10121</x:v>
      </x:c>
      <x:c r="I2219" s="28" t="s">
        <x:v>10122</x:v>
      </x:c>
      <x:c r="J2219" s="29" t="s">
        <x:v>10123</x:v>
      </x:c>
    </x:row>
    <x:row r="2220" ht="10.050000190734863" customHeight="1">
      <x:c r="A2220" s="21" t="s">
        <x:v>10124</x:v>
      </x:c>
      <x:c r="B2220" s="20" t="s">
        <x:v>10124</x:v>
      </x:c>
      <x:c r="C2220" s="20" t="s">
        <x:v>10015</x:v>
      </x:c>
      <x:c r="D2220" s="24">
        <x:v>22</x:v>
      </x:c>
      <x:c r="E2220" s="24" t="s">
        <x:v>125</x:v>
      </x:c>
      <x:c r="F2220" s="20" t="s">
        <x:v>90</x:v>
      </x:c>
      <x:c r="G2220" s="26">
        <x:v>46095</x:v>
      </x:c>
      <x:c r="H2220" s="24" t="s">
        <x:v>10125</x:v>
      </x:c>
      <x:c r="I2220" s="28" t="s">
        <x:v>10126</x:v>
      </x:c>
      <x:c r="J2220" s="29" t="s">
        <x:v>10127</x:v>
      </x:c>
    </x:row>
    <x:row r="2221" ht="10.050000190734863" customHeight="1">
      <x:c r="A2221" s="21" t="s">
        <x:v>10128</x:v>
      </x:c>
      <x:c r="B2221" s="20" t="s">
        <x:v>10128</x:v>
      </x:c>
      <x:c r="C2221" s="20" t="s">
        <x:v>1608</x:v>
      </x:c>
      <x:c r="D2221" s="24">
        <x:v>19</x:v>
      </x:c>
      <x:c r="E2221" s="24" t="s">
        <x:v>89</x:v>
      </x:c>
      <x:c r="F2221" s="20" t="s">
        <x:v>90</x:v>
      </x:c>
      <x:c r="G2221" s="26">
        <x:v>46163</x:v>
      </x:c>
      <x:c r="H2221" s="24" t="s">
        <x:v>10129</x:v>
      </x:c>
      <x:c r="I2221" s="28" t="s">
        <x:v>10130</x:v>
      </x:c>
      <x:c r="J2221" s="29" t="s">
        <x:v>10131</x:v>
      </x:c>
    </x:row>
    <x:row r="2222" ht="10.050000190734863" customHeight="1">
      <x:c r="A2222" s="21" t="s">
        <x:v>10132</x:v>
      </x:c>
      <x:c r="B2222" s="20" t="s">
        <x:v>10132</x:v>
      </x:c>
      <x:c r="C2222" s="20" t="s">
        <x:v>5389</x:v>
      </x:c>
      <x:c r="D2222" s="24">
        <x:v>77</x:v>
      </x:c>
      <x:c r="E2222" s="24" t="s">
        <x:v>96</x:v>
      </x:c>
      <x:c r="F2222" s="20" t="s">
        <x:v>97</x:v>
      </x:c>
      <x:c r="G2222" s="26">
        <x:v>44764</x:v>
      </x:c>
      <x:c r="H2222" s="24" t="s">
        <x:v>10133</x:v>
      </x:c>
      <x:c r="I2222" s="28" t="s">
        <x:v>10134</x:v>
      </x:c>
      <x:c r="J2222" s="29" t="s">
        <x:v>10135</x:v>
      </x:c>
    </x:row>
    <x:row r="2223" ht="10.050000190734863" customHeight="1">
      <x:c r="A2223" s="21" t="s">
        <x:v>10136</x:v>
      </x:c>
      <x:c r="B2223" s="20" t="s">
        <x:v>10136</x:v>
      </x:c>
      <x:c r="C2223" s="20" t="s">
        <x:v>933</x:v>
      </x:c>
      <x:c r="D2223" s="24">
        <x:v>20</x:v>
      </x:c>
      <x:c r="E2223" s="24" t="s">
        <x:v>125</x:v>
      </x:c>
      <x:c r="F2223" s="20" t="s">
        <x:v>90</x:v>
      </x:c>
      <x:c r="G2223" s="26">
        <x:v>42458</x:v>
      </x:c>
      <x:c r="H2223" s="24" t="s">
        <x:v>10137</x:v>
      </x:c>
      <x:c r="I2223" s="28" t="s">
        <x:v>10138</x:v>
      </x:c>
      <x:c r="J2223" s="29" t="s">
        <x:v>10139</x:v>
      </x:c>
    </x:row>
    <x:row r="2224" ht="10.050000190734863" customHeight="1">
      <x:c r="A2224" s="21" t="s">
        <x:v>10140</x:v>
      </x:c>
      <x:c r="B2224" s="20" t="s">
        <x:v>10140</x:v>
      </x:c>
      <x:c r="C2224" s="20" t="s">
        <x:v>6817</x:v>
      </x:c>
      <x:c r="D2224" s="24">
        <x:v>26</x:v>
      </x:c>
      <x:c r="E2224" s="24" t="s">
        <x:v>114</x:v>
      </x:c>
      <x:c r="F2224" s="20" t="s">
        <x:v>90</x:v>
      </x:c>
      <x:c r="G2224" s="26">
        <x:v>43830</x:v>
      </x:c>
      <x:c r="H2224" s="24" t="s">
        <x:v>10141</x:v>
      </x:c>
      <x:c r="I2224" s="28" t="s">
        <x:v>10142</x:v>
      </x:c>
      <x:c r="J2224" s="29" t="s">
        <x:v>10143</x:v>
      </x:c>
    </x:row>
    <x:row r="2225" ht="10.050000190734863" customHeight="1">
      <x:c r="A2225" s="21" t="s">
        <x:v>10144</x:v>
      </x:c>
      <x:c r="B2225" s="20" t="s">
        <x:v>10144</x:v>
      </x:c>
      <x:c r="C2225" s="20" t="s">
        <x:v>10145</x:v>
      </x:c>
      <x:c r="D2225" s="24">
        <x:v>34</x:v>
      </x:c>
      <x:c r="E2225" s="24" t="s">
        <x:v>103</x:v>
      </x:c>
      <x:c r="F2225" s="20" t="s">
        <x:v>97</x:v>
      </x:c>
      <x:c r="G2225" s="26">
        <x:v>42278</x:v>
      </x:c>
      <x:c r="H2225" s="24" t="s">
        <x:v>10146</x:v>
      </x:c>
      <x:c r="I2225" s="28" t="s">
        <x:v>10147</x:v>
      </x:c>
      <x:c r="J2225" s="29" t="s">
        <x:v>10148</x:v>
      </x:c>
    </x:row>
    <x:row r="2226" ht="10.050000190734863" customHeight="1">
      <x:c r="A2226" s="21" t="s">
        <x:v>10149</x:v>
      </x:c>
      <x:c r="B2226" s="20" t="s">
        <x:v>10149</x:v>
      </x:c>
      <x:c r="C2226" s="20" t="s">
        <x:v>9900</x:v>
      </x:c>
      <x:c r="D2226" s="24">
        <x:v>25</x:v>
      </x:c>
      <x:c r="E2226" s="24" t="s">
        <x:v>89</x:v>
      </x:c>
      <x:c r="F2226" s="20" t="s">
        <x:v>90</x:v>
      </x:c>
      <x:c r="G2226" s="26">
        <x:v>43447</x:v>
      </x:c>
      <x:c r="H2226" s="24" t="s">
        <x:v>10150</x:v>
      </x:c>
      <x:c r="I2226" s="28" t="s">
        <x:v>10151</x:v>
      </x:c>
      <x:c r="J2226" s="29" t="s">
        <x:v>10152</x:v>
      </x:c>
    </x:row>
    <x:row r="2227" ht="10.050000190734863" customHeight="1">
      <x:c r="A2227" s="21" t="s">
        <x:v>10153</x:v>
      </x:c>
      <x:c r="B2227" s="20" t="s">
        <x:v>10153</x:v>
      </x:c>
      <x:c r="C2227" s="20" t="s">
        <x:v>1841</x:v>
      </x:c>
      <x:c r="D2227" s="24">
        <x:v>23</x:v>
      </x:c>
      <x:c r="E2227" s="24" t="s">
        <x:v>89</x:v>
      </x:c>
      <x:c r="F2227" s="20" t="s">
        <x:v>97</x:v>
      </x:c>
      <x:c r="G2227" s="26">
        <x:v>43899</x:v>
      </x:c>
      <x:c r="H2227" s="24" t="s">
        <x:v>10154</x:v>
      </x:c>
      <x:c r="I2227" s="28" t="s">
        <x:v>10155</x:v>
      </x:c>
      <x:c r="J2227" s="29" t="s">
        <x:v>10156</x:v>
      </x:c>
    </x:row>
    <x:row r="2228" ht="10.050000190734863" customHeight="1">
      <x:c r="A2228" s="21" t="s">
        <x:v>10157</x:v>
      </x:c>
      <x:c r="B2228" s="20" t="s">
        <x:v>10157</x:v>
      </x:c>
      <x:c r="C2228" s="20" t="s">
        <x:v>1841</x:v>
      </x:c>
      <x:c r="D2228" s="24">
        <x:v>10</x:v>
      </x:c>
      <x:c r="E2228" s="24" t="s">
        <x:v>89</x:v>
      </x:c>
      <x:c r="F2228" s="20" t="s">
        <x:v>97</x:v>
      </x:c>
      <x:c r="G2228" s="26">
        <x:v>44037</x:v>
      </x:c>
      <x:c r="H2228" s="24" t="s">
        <x:v>10158</x:v>
      </x:c>
      <x:c r="I2228" s="28" t="s">
        <x:v>10159</x:v>
      </x:c>
      <x:c r="J2228" s="29" t="s">
        <x:v>10160</x:v>
      </x:c>
    </x:row>
    <x:row r="2229" ht="10.050000190734863" customHeight="1">
      <x:c r="A2229" s="21" t="s">
        <x:v>10161</x:v>
      </x:c>
      <x:c r="B2229" s="20" t="s">
        <x:v>10161</x:v>
      </x:c>
      <x:c r="C2229" s="20" t="s">
        <x:v>2432</x:v>
      </x:c>
      <x:c r="D2229" s="24">
        <x:v>14</x:v>
      </x:c>
      <x:c r="E2229" s="24" t="s">
        <x:v>89</x:v>
      </x:c>
      <x:c r="F2229" s="20" t="s">
        <x:v>90</x:v>
      </x:c>
      <x:c r="G2229" s="26">
        <x:v>43383</x:v>
      </x:c>
      <x:c r="H2229" s="24" t="s">
        <x:v>10162</x:v>
      </x:c>
      <x:c r="I2229" s="28" t="s">
        <x:v>10163</x:v>
      </x:c>
      <x:c r="J2229" s="29" t="s">
        <x:v>10164</x:v>
      </x:c>
    </x:row>
    <x:row r="2230" ht="10.050000190734863" customHeight="1">
      <x:c r="A2230" s="21" t="s">
        <x:v>10165</x:v>
      </x:c>
      <x:c r="B2230" s="20" t="s">
        <x:v>10165</x:v>
      </x:c>
      <x:c r="C2230" s="20" t="s">
        <x:v>2432</x:v>
      </x:c>
      <x:c r="D2230" s="24">
        <x:v>17</x:v>
      </x:c>
      <x:c r="E2230" s="24" t="s">
        <x:v>198</x:v>
      </x:c>
      <x:c r="F2230" s="20" t="s">
        <x:v>90</x:v>
      </x:c>
      <x:c r="G2230" s="26">
        <x:v>43679</x:v>
      </x:c>
      <x:c r="H2230" s="24" t="s">
        <x:v>10166</x:v>
      </x:c>
      <x:c r="I2230" s="28" t="s">
        <x:v>10167</x:v>
      </x:c>
      <x:c r="J2230" s="29" t="s">
        <x:v>10168</x:v>
      </x:c>
    </x:row>
    <x:row r="2231" ht="10.050000190734863" customHeight="1">
      <x:c r="A2231" s="21" t="s">
        <x:v>10169</x:v>
      </x:c>
      <x:c r="B2231" s="20" t="s">
        <x:v>10169</x:v>
      </x:c>
      <x:c r="C2231" s="20" t="s">
        <x:v>6661</x:v>
      </x:c>
      <x:c r="D2231" s="24">
        <x:v>22</x:v>
      </x:c>
      <x:c r="E2231" s="24" t="s">
        <x:v>198</x:v>
      </x:c>
      <x:c r="F2231" s="20" t="s">
        <x:v>90</x:v>
      </x:c>
      <x:c r="G2231" s="26">
        <x:v>43409</x:v>
      </x:c>
      <x:c r="H2231" s="24" t="s">
        <x:v>10170</x:v>
      </x:c>
      <x:c r="I2231" s="28" t="s">
        <x:v>10171</x:v>
      </x:c>
      <x:c r="J2231" s="29" t="s">
        <x:v>10172</x:v>
      </x:c>
    </x:row>
    <x:row r="2232" ht="10.050000190734863" customHeight="1">
      <x:c r="A2232" s="21" t="s">
        <x:v>10173</x:v>
      </x:c>
      <x:c r="B2232" s="20" t="s">
        <x:v>10173</x:v>
      </x:c>
      <x:c r="C2232" s="20" t="s">
        <x:v>3426</x:v>
      </x:c>
      <x:c r="D2232" s="24">
        <x:v>4</x:v>
      </x:c>
      <x:c r="E2232" s="24" t="s">
        <x:v>198</x:v>
      </x:c>
      <x:c r="F2232" s="20" t="s">
        <x:v>90</x:v>
      </x:c>
      <x:c r="G2232" s="26">
        <x:v>45820</x:v>
      </x:c>
      <x:c r="H2232" s="24" t="s">
        <x:v>10174</x:v>
      </x:c>
      <x:c r="I2232" s="28" t="s">
        <x:v>10175</x:v>
      </x:c>
      <x:c r="J2232" s="29" t="s">
        <x:v>10176</x:v>
      </x:c>
    </x:row>
    <x:row r="2233" ht="10.050000190734863" customHeight="1">
      <x:c r="A2233" s="21" t="s">
        <x:v>10177</x:v>
      </x:c>
      <x:c r="B2233" s="20" t="s">
        <x:v>10177</x:v>
      </x:c>
      <x:c r="C2233" s="20" t="s">
        <x:v>586</x:v>
      </x:c>
      <x:c r="D2233" s="24">
        <x:v>11</x:v>
      </x:c>
      <x:c r="E2233" s="24" t="s">
        <x:v>96</x:v>
      </x:c>
      <x:c r="F2233" s="20" t="s">
        <x:v>610</x:v>
      </x:c>
      <x:c r="G2233" s="26">
        <x:v>43102</x:v>
      </x:c>
      <x:c r="H2233" s="24" t="s">
        <x:v>10178</x:v>
      </x:c>
      <x:c r="I2233" s="28" t="s">
        <x:v>10179</x:v>
      </x:c>
      <x:c r="J2233" s="29" t="s">
        <x:v>10180</x:v>
      </x:c>
    </x:row>
    <x:row r="2234" ht="10.050000190734863" customHeight="1">
      <x:c r="A2234" s="21" t="s">
        <x:v>10181</x:v>
      </x:c>
      <x:c r="B2234" s="20" t="s">
        <x:v>10181</x:v>
      </x:c>
      <x:c r="C2234" s="20" t="s">
        <x:v>10182</x:v>
      </x:c>
      <x:c r="D2234" s="24">
        <x:v>10</x:v>
      </x:c>
      <x:c r="E2234" s="24" t="s">
        <x:v>103</x:v>
      </x:c>
      <x:c r="F2234" s="20" t="s">
        <x:v>97</x:v>
      </x:c>
      <x:c r="G2234" s="26">
        <x:v>44580</x:v>
      </x:c>
      <x:c r="H2234" s="24" t="s">
        <x:v>10183</x:v>
      </x:c>
      <x:c r="I2234" s="28" t="s">
        <x:v>10184</x:v>
      </x:c>
      <x:c r="J2234" s="29" t="s">
        <x:v>10185</x:v>
      </x:c>
    </x:row>
    <x:row r="2235" ht="10.050000190734863" customHeight="1">
      <x:c r="A2235" s="21" t="s">
        <x:v>10186</x:v>
      </x:c>
      <x:c r="B2235" s="20" t="s">
        <x:v>10186</x:v>
      </x:c>
      <x:c r="C2235" s="20" t="s">
        <x:v>3357</x:v>
      </x:c>
      <x:c r="D2235" s="24">
        <x:v>23</x:v>
      </x:c>
      <x:c r="E2235" s="24" t="s">
        <x:v>198</x:v>
      </x:c>
      <x:c r="F2235" s="20" t="s">
        <x:v>90</x:v>
      </x:c>
      <x:c r="G2235" s="26">
        <x:v>44677</x:v>
      </x:c>
      <x:c r="H2235" s="24" t="s">
        <x:v>10187</x:v>
      </x:c>
      <x:c r="I2235" s="28" t="s">
        <x:v>10188</x:v>
      </x:c>
      <x:c r="J2235" s="29" t="s">
        <x:v>10189</x:v>
      </x:c>
    </x:row>
    <x:row r="2236" ht="10.050000190734863" customHeight="1">
      <x:c r="A2236" s="21" t="s">
        <x:v>10190</x:v>
      </x:c>
      <x:c r="B2236" s="20" t="s">
        <x:v>10190</x:v>
      </x:c>
      <x:c r="C2236" s="20" t="s">
        <x:v>3357</x:v>
      </x:c>
      <x:c r="D2236" s="24">
        <x:v>18</x:v>
      </x:c>
      <x:c r="E2236" s="24" t="s">
        <x:v>198</x:v>
      </x:c>
      <x:c r="F2236" s="20" t="s">
        <x:v>90</x:v>
      </x:c>
      <x:c r="G2236" s="26">
        <x:v>44858</x:v>
      </x:c>
      <x:c r="H2236" s="24" t="s">
        <x:v>10191</x:v>
      </x:c>
      <x:c r="I2236" s="28" t="s">
        <x:v>10192</x:v>
      </x:c>
      <x:c r="J2236" s="29" t="s">
        <x:v>10193</x:v>
      </x:c>
    </x:row>
    <x:row r="2237" ht="10.050000190734863" customHeight="1">
      <x:c r="A2237" s="21" t="s">
        <x:v>10194</x:v>
      </x:c>
      <x:c r="B2237" s="20" t="s">
        <x:v>10194</x:v>
      </x:c>
      <x:c r="C2237" s="20" t="s">
        <x:v>10195</x:v>
      </x:c>
      <x:c r="D2237" s="24">
        <x:v>25</x:v>
      </x:c>
      <x:c r="E2237" s="24" t="s">
        <x:v>198</x:v>
      </x:c>
      <x:c r="F2237" s="20" t="s">
        <x:v>90</x:v>
      </x:c>
      <x:c r="G2237" s="26">
        <x:v>43232</x:v>
      </x:c>
      <x:c r="H2237" s="24" t="s">
        <x:v>10196</x:v>
      </x:c>
      <x:c r="I2237" s="28" t="s">
        <x:v>10197</x:v>
      </x:c>
      <x:c r="J2237" s="29" t="s">
        <x:v>10198</x:v>
      </x:c>
    </x:row>
    <x:row r="2238" ht="10.050000190734863" customHeight="1">
      <x:c r="A2238" s="21" t="s">
        <x:v>10199</x:v>
      </x:c>
      <x:c r="B2238" s="20" t="s">
        <x:v>10199</x:v>
      </x:c>
      <x:c r="C2238" s="20" t="s">
        <x:v>10200</x:v>
      </x:c>
      <x:c r="D2238" s="24">
        <x:v>10</x:v>
      </x:c>
      <x:c r="E2238" s="24" t="s">
        <x:v>96</x:v>
      </x:c>
      <x:c r="F2238" s="20" t="s">
        <x:v>90</x:v>
      </x:c>
      <x:c r="G2238" s="26">
        <x:v>44300</x:v>
      </x:c>
      <x:c r="H2238" s="24" t="s">
        <x:v>10201</x:v>
      </x:c>
      <x:c r="I2238" s="28" t="s">
        <x:v>10202</x:v>
      </x:c>
      <x:c r="J2238" s="29" t="s">
        <x:v>10203</x:v>
      </x:c>
    </x:row>
    <x:row r="2239" ht="10.050000190734863" customHeight="1">
      <x:c r="A2239" s="21" t="s">
        <x:v>10204</x:v>
      </x:c>
      <x:c r="B2239" s="20" t="s">
        <x:v>10204</x:v>
      </x:c>
      <x:c r="C2239" s="20" t="s">
        <x:v>988</x:v>
      </x:c>
      <x:c r="D2239" s="24">
        <x:v>13</x:v>
      </x:c>
      <x:c r="E2239" s="24" t="s">
        <x:v>114</x:v>
      </x:c>
      <x:c r="F2239" s="20" t="s">
        <x:v>90</x:v>
      </x:c>
      <x:c r="G2239" s="26">
        <x:v>43527</x:v>
      </x:c>
      <x:c r="H2239" s="24" t="s">
        <x:v>10205</x:v>
      </x:c>
      <x:c r="I2239" s="28" t="s">
        <x:v>10206</x:v>
      </x:c>
      <x:c r="J2239" s="29" t="s">
        <x:v>10207</x:v>
      </x:c>
    </x:row>
    <x:row r="2240" ht="10.050000190734863" customHeight="1">
      <x:c r="A2240" s="21" t="s">
        <x:v>10208</x:v>
      </x:c>
      <x:c r="B2240" s="20" t="s">
        <x:v>10208</x:v>
      </x:c>
      <x:c r="C2240" s="20" t="s">
        <x:v>988</x:v>
      </x:c>
      <x:c r="D2240" s="24">
        <x:v>15</x:v>
      </x:c>
      <x:c r="E2240" s="24" t="s">
        <x:v>198</x:v>
      </x:c>
      <x:c r="F2240" s="20" t="s">
        <x:v>90</x:v>
      </x:c>
      <x:c r="G2240" s="26">
        <x:v>43446</x:v>
      </x:c>
      <x:c r="H2240" s="24" t="s">
        <x:v>10209</x:v>
      </x:c>
      <x:c r="I2240" s="28" t="s">
        <x:v>10210</x:v>
      </x:c>
      <x:c r="J2240" s="29" t="s">
        <x:v>10211</x:v>
      </x:c>
    </x:row>
    <x:row r="2241" ht="10.050000190734863" customHeight="1">
      <x:c r="A2241" s="21" t="s">
        <x:v>10212</x:v>
      </x:c>
      <x:c r="B2241" s="20" t="s">
        <x:v>10212</x:v>
      </x:c>
      <x:c r="C2241" s="20" t="s">
        <x:v>3915</x:v>
      </x:c>
      <x:c r="D2241" s="24">
        <x:v>11</x:v>
      </x:c>
      <x:c r="E2241" s="24" t="s">
        <x:v>89</x:v>
      </x:c>
      <x:c r="F2241" s="20" t="s">
        <x:v>90</x:v>
      </x:c>
      <x:c r="G2241" s="26">
        <x:v>45377</x:v>
      </x:c>
      <x:c r="H2241" s="24" t="s">
        <x:v>10213</x:v>
      </x:c>
      <x:c r="I2241" s="28" t="s">
        <x:v>10214</x:v>
      </x:c>
      <x:c r="J2241" s="29" t="s">
        <x:v>10215</x:v>
      </x:c>
    </x:row>
    <x:row r="2242" ht="10.050000190734863" customHeight="1">
      <x:c r="A2242" s="21" t="s">
        <x:v>10216</x:v>
      </x:c>
      <x:c r="B2242" s="20" t="s">
        <x:v>10216</x:v>
      </x:c>
      <x:c r="C2242" s="20" t="s">
        <x:v>10217</x:v>
      </x:c>
      <x:c r="D2242" s="24">
        <x:v>9</x:v>
      </x:c>
      <x:c r="E2242" s="24" t="s">
        <x:v>89</x:v>
      </x:c>
      <x:c r="F2242" s="20" t="s">
        <x:v>90</x:v>
      </x:c>
      <x:c r="G2242" s="26">
        <x:v>44291</x:v>
      </x:c>
      <x:c r="H2242" s="24" t="s">
        <x:v>10218</x:v>
      </x:c>
      <x:c r="I2242" s="28" t="s">
        <x:v>10219</x:v>
      </x:c>
      <x:c r="J2242" s="29" t="s">
        <x:v>10220</x:v>
      </x:c>
    </x:row>
    <x:row r="2243" ht="10.050000190734863" customHeight="1">
      <x:c r="A2243" s="21" t="s">
        <x:v>10221</x:v>
      </x:c>
      <x:c r="B2243" s="20" t="s">
        <x:v>10221</x:v>
      </x:c>
      <x:c r="C2243" s="20" t="s">
        <x:v>10222</x:v>
      </x:c>
      <x:c r="D2243" s="24">
        <x:v>11</x:v>
      </x:c>
      <x:c r="E2243" s="24" t="s">
        <x:v>89</x:v>
      </x:c>
      <x:c r="F2243" s="20" t="s">
        <x:v>97</x:v>
      </x:c>
      <x:c r="G2243" s="26">
        <x:v>44554</x:v>
      </x:c>
      <x:c r="H2243" s="24" t="s">
        <x:v>10223</x:v>
      </x:c>
      <x:c r="I2243" s="28" t="s">
        <x:v>10224</x:v>
      </x:c>
      <x:c r="J2243" s="29" t="s">
        <x:v>10225</x:v>
      </x:c>
    </x:row>
    <x:row r="2244" ht="10.050000190734863" customHeight="1">
      <x:c r="A2244" s="21" t="s">
        <x:v>10226</x:v>
      </x:c>
      <x:c r="B2244" s="20" t="s">
        <x:v>10226</x:v>
      </x:c>
      <x:c r="C2244" s="20" t="s">
        <x:v>1427</x:v>
      </x:c>
      <x:c r="D2244" s="24">
        <x:v>14</x:v>
      </x:c>
      <x:c r="E2244" s="24" t="s">
        <x:v>96</x:v>
      </x:c>
      <x:c r="F2244" s="20" t="s">
        <x:v>90</x:v>
      </x:c>
      <x:c r="G2244" s="26">
        <x:v>45509</x:v>
      </x:c>
      <x:c r="H2244" s="24" t="s">
        <x:v>10227</x:v>
      </x:c>
      <x:c r="I2244" s="28" t="s">
        <x:v>10228</x:v>
      </x:c>
      <x:c r="J2244" s="29" t="s">
        <x:v>10229</x:v>
      </x:c>
    </x:row>
    <x:row r="2245" ht="10.050000190734863" customHeight="1">
      <x:c r="A2245" s="21" t="s">
        <x:v>10230</x:v>
      </x:c>
      <x:c r="B2245" s="20" t="s">
        <x:v>10230</x:v>
      </x:c>
      <x:c r="C2245" s="20" t="s">
        <x:v>10231</x:v>
      </x:c>
      <x:c r="D2245" s="24">
        <x:v>3</x:v>
      </x:c>
      <x:c r="E2245" s="24" t="s">
        <x:v>103</x:v>
      </x:c>
      <x:c r="F2245" s="20" t="s">
        <x:v>97</x:v>
      </x:c>
      <x:c r="G2245" s="26">
        <x:v>42044</x:v>
      </x:c>
      <x:c r="H2245" s="24" t="s">
        <x:v>10232</x:v>
      </x:c>
      <x:c r="I2245" s="28" t="s">
        <x:v>10233</x:v>
      </x:c>
      <x:c r="J2245" s="29" t="s">
        <x:v>10234</x:v>
      </x:c>
    </x:row>
    <x:row r="2246" ht="10.050000190734863" customHeight="1">
      <x:c r="A2246" s="21" t="s">
        <x:v>10235</x:v>
      </x:c>
      <x:c r="B2246" s="20" t="s">
        <x:v>10235</x:v>
      </x:c>
      <x:c r="C2246" s="20" t="s">
        <x:v>10236</x:v>
      </x:c>
      <x:c r="D2246" s="24">
        <x:v>7</x:v>
      </x:c>
      <x:c r="E2246" s="24" t="s">
        <x:v>96</x:v>
      </x:c>
      <x:c r="F2246" s="20" t="s">
        <x:v>90</x:v>
      </x:c>
      <x:c r="G2246" s="26">
        <x:v>44683</x:v>
      </x:c>
      <x:c r="H2246" s="24" t="s">
        <x:v>10237</x:v>
      </x:c>
      <x:c r="I2246" s="28" t="s">
        <x:v>10238</x:v>
      </x:c>
      <x:c r="J2246" s="29" t="s">
        <x:v>10239</x:v>
      </x:c>
    </x:row>
    <x:row r="2247" ht="10.050000190734863" customHeight="1">
      <x:c r="A2247" s="21" t="s">
        <x:v>10240</x:v>
      </x:c>
      <x:c r="B2247" s="20" t="s">
        <x:v>10240</x:v>
      </x:c>
      <x:c r="C2247" s="20" t="s">
        <x:v>3692</x:v>
      </x:c>
      <x:c r="D2247" s="24">
        <x:v>18</x:v>
      </x:c>
      <x:c r="E2247" s="24" t="s">
        <x:v>96</x:v>
      </x:c>
      <x:c r="F2247" s="20" t="s">
        <x:v>90</x:v>
      </x:c>
      <x:c r="G2247" s="26">
        <x:v>43646</x:v>
      </x:c>
      <x:c r="H2247" s="24" t="s">
        <x:v>10241</x:v>
      </x:c>
      <x:c r="I2247" s="28" t="s">
        <x:v>10242</x:v>
      </x:c>
      <x:c r="J2247" s="29" t="s">
        <x:v>10243</x:v>
      </x:c>
    </x:row>
    <x:row r="2248" ht="10.050000190734863" customHeight="1">
      <x:c r="A2248" s="21" t="s">
        <x:v>10244</x:v>
      </x:c>
      <x:c r="B2248" s="20" t="s">
        <x:v>10244</x:v>
      </x:c>
      <x:c r="C2248" s="20" t="s">
        <x:v>7323</x:v>
      </x:c>
      <x:c r="D2248" s="24">
        <x:v>20</x:v>
      </x:c>
      <x:c r="E2248" s="24" t="s">
        <x:v>257</x:v>
      </x:c>
      <x:c r="F2248" s="20" t="s">
        <x:v>97</x:v>
      </x:c>
      <x:c r="G2248" s="26">
        <x:v>44065</x:v>
      </x:c>
      <x:c r="H2248" s="24" t="s">
        <x:v>10245</x:v>
      </x:c>
      <x:c r="I2248" s="28" t="s">
        <x:v>10246</x:v>
      </x:c>
      <x:c r="J2248" s="29" t="s">
        <x:v>10247</x:v>
      </x:c>
    </x:row>
    <x:row r="2249" ht="10.050000190734863" customHeight="1">
      <x:c r="A2249" s="21" t="s">
        <x:v>10248</x:v>
      </x:c>
      <x:c r="B2249" s="20" t="s">
        <x:v>10248</x:v>
      </x:c>
      <x:c r="C2249" s="20" t="s">
        <x:v>10249</x:v>
      </x:c>
      <x:c r="D2249" s="24">
        <x:v>105</x:v>
      </x:c>
      <x:c r="E2249" s="24" t="s">
        <x:v>96</x:v>
      </x:c>
      <x:c r="F2249" s="20" t="s">
        <x:v>97</x:v>
      </x:c>
      <x:c r="G2249" s="26">
        <x:v>44541</x:v>
      </x:c>
      <x:c r="H2249" s="24" t="s">
        <x:v>10250</x:v>
      </x:c>
      <x:c r="I2249" s="28" t="s">
        <x:v>10251</x:v>
      </x:c>
      <x:c r="J2249" s="29" t="s">
        <x:v>10252</x:v>
      </x:c>
    </x:row>
    <x:row r="2250" ht="10.050000190734863" customHeight="1">
      <x:c r="A2250" s="21" t="s">
        <x:v>10253</x:v>
      </x:c>
      <x:c r="B2250" s="20" t="s">
        <x:v>10253</x:v>
      </x:c>
      <x:c r="C2250" s="20" t="s">
        <x:v>10254</x:v>
      </x:c>
      <x:c r="D2250" s="24">
        <x:v>4</x:v>
      </x:c>
      <x:c r="E2250" s="24" t="s">
        <x:v>96</x:v>
      </x:c>
      <x:c r="F2250" s="20" t="s">
        <x:v>152</x:v>
      </x:c>
      <x:c r="G2250" s="26">
        <x:v>45021</x:v>
      </x:c>
      <x:c r="H2250" s="24" t="s">
        <x:v>10255</x:v>
      </x:c>
      <x:c r="I2250" s="28" t="s">
        <x:v>10256</x:v>
      </x:c>
      <x:c r="J2250" s="29" t="s">
        <x:v>10257</x:v>
      </x:c>
    </x:row>
    <x:row r="2251" ht="10.050000190734863" customHeight="1">
      <x:c r="A2251" s="21" t="s">
        <x:v>10258</x:v>
      </x:c>
      <x:c r="B2251" s="20" t="s">
        <x:v>10258</x:v>
      </x:c>
      <x:c r="C2251" s="20" t="s">
        <x:v>10259</x:v>
      </x:c>
      <x:c r="D2251" s="24">
        <x:v>6</x:v>
      </x:c>
      <x:c r="E2251" s="24" t="s">
        <x:v>103</x:v>
      </x:c>
      <x:c r="F2251" s="20" t="s">
        <x:v>97</x:v>
      </x:c>
      <x:c r="G2251" s="26">
        <x:v>43021</x:v>
      </x:c>
      <x:c r="H2251" s="24" t="s">
        <x:v>10260</x:v>
      </x:c>
      <x:c r="I2251" s="28" t="s">
        <x:v>10261</x:v>
      </x:c>
      <x:c r="J2251" s="29" t="s">
        <x:v>10262</x:v>
      </x:c>
    </x:row>
    <x:row r="2252" ht="10.050000190734863" customHeight="1">
      <x:c r="A2252" s="21" t="s">
        <x:v>10263</x:v>
      </x:c>
      <x:c r="B2252" s="20" t="s">
        <x:v>10263</x:v>
      </x:c>
      <x:c r="C2252" s="20" t="s">
        <x:v>2170</x:v>
      </x:c>
      <x:c r="D2252" s="24">
        <x:v>5</x:v>
      </x:c>
      <x:c r="E2252" s="24" t="s">
        <x:v>96</x:v>
      </x:c>
      <x:c r="F2252" s="20" t="s">
        <x:v>97</x:v>
      </x:c>
      <x:c r="G2252" s="26">
        <x:v>43604</x:v>
      </x:c>
      <x:c r="H2252" s="24" t="s">
        <x:v>10264</x:v>
      </x:c>
      <x:c r="I2252" s="28" t="s">
        <x:v>10265</x:v>
      </x:c>
      <x:c r="J2252" s="29" t="s">
        <x:v>10266</x:v>
      </x:c>
    </x:row>
    <x:row r="2253" ht="10.050000190734863" customHeight="1">
      <x:c r="A2253" s="21" t="s">
        <x:v>10267</x:v>
      </x:c>
      <x:c r="B2253" s="20" t="s">
        <x:v>10267</x:v>
      </x:c>
      <x:c r="C2253" s="20" t="s">
        <x:v>10268</x:v>
      </x:c>
      <x:c r="D2253" s="24">
        <x:v>15</x:v>
      </x:c>
      <x:c r="E2253" s="24" t="s">
        <x:v>89</x:v>
      </x:c>
      <x:c r="F2253" s="20" t="s">
        <x:v>90</x:v>
      </x:c>
      <x:c r="G2253" s="26">
        <x:v>43409</x:v>
      </x:c>
      <x:c r="H2253" s="24" t="s">
        <x:v>10269</x:v>
      </x:c>
      <x:c r="I2253" s="28" t="s">
        <x:v>10270</x:v>
      </x:c>
      <x:c r="J2253" s="29" t="s">
        <x:v>10271</x:v>
      </x:c>
    </x:row>
    <x:row r="2254" ht="10.050000190734863" customHeight="1">
      <x:c r="A2254" s="21" t="s">
        <x:v>10272</x:v>
      </x:c>
      <x:c r="B2254" s="20" t="s">
        <x:v>10272</x:v>
      </x:c>
      <x:c r="C2254" s="20" t="s">
        <x:v>3651</x:v>
      </x:c>
      <x:c r="D2254" s="24">
        <x:v>13</x:v>
      </x:c>
      <x:c r="E2254" s="24" t="s">
        <x:v>96</x:v>
      </x:c>
      <x:c r="F2254" s="20" t="s">
        <x:v>90</x:v>
      </x:c>
      <x:c r="G2254" s="26">
        <x:v>45072</x:v>
      </x:c>
      <x:c r="H2254" s="24" t="s">
        <x:v>10273</x:v>
      </x:c>
      <x:c r="I2254" s="28" t="s">
        <x:v>10274</x:v>
      </x:c>
      <x:c r="J2254" s="29" t="s">
        <x:v>10275</x:v>
      </x:c>
    </x:row>
    <x:row r="2255" ht="10.050000190734863" customHeight="1">
      <x:c r="A2255" s="21" t="s">
        <x:v>10276</x:v>
      </x:c>
      <x:c r="B2255" s="20" t="s">
        <x:v>10276</x:v>
      </x:c>
      <x:c r="C2255" s="20" t="s">
        <x:v>10277</x:v>
      </x:c>
      <x:c r="D2255" s="24">
        <x:v>18</x:v>
      </x:c>
      <x:c r="E2255" s="24" t="s">
        <x:v>103</x:v>
      </x:c>
      <x:c r="F2255" s="20" t="s">
        <x:v>97</x:v>
      </x:c>
      <x:c r="G2255" s="26">
        <x:v>46099</x:v>
      </x:c>
      <x:c r="H2255" s="24" t="s">
        <x:v>10278</x:v>
      </x:c>
      <x:c r="I2255" s="28" t="s">
        <x:v>10279</x:v>
      </x:c>
      <x:c r="J2255" s="29" t="s">
        <x:v>10280</x:v>
      </x:c>
    </x:row>
    <x:row r="2256" ht="10.050000190734863" customHeight="1">
      <x:c r="A2256" s="21" t="s">
        <x:v>10281</x:v>
      </x:c>
      <x:c r="B2256" s="20" t="s">
        <x:v>10281</x:v>
      </x:c>
      <x:c r="C2256" s="20" t="s">
        <x:v>10282</x:v>
      </x:c>
      <x:c r="D2256" s="24">
        <x:v>8</x:v>
      </x:c>
      <x:c r="E2256" s="24" t="s">
        <x:v>198</x:v>
      </x:c>
      <x:c r="F2256" s="20" t="s">
        <x:v>90</x:v>
      </x:c>
      <x:c r="G2256" s="26">
        <x:v>45931</x:v>
      </x:c>
      <x:c r="H2256" s="24" t="s">
        <x:v>10283</x:v>
      </x:c>
      <x:c r="I2256" s="28" t="s">
        <x:v>10284</x:v>
      </x:c>
      <x:c r="J2256" s="29" t="s">
        <x:v>10285</x:v>
      </x:c>
    </x:row>
    <x:row r="2257" ht="10.050000190734863" customHeight="1">
      <x:c r="A2257" s="21" t="s">
        <x:v>10286</x:v>
      </x:c>
      <x:c r="B2257" s="20" t="s">
        <x:v>10286</x:v>
      </x:c>
      <x:c r="C2257" s="20" t="s">
        <x:v>10287</x:v>
      </x:c>
      <x:c r="D2257" s="24">
        <x:v>8</x:v>
      </x:c>
      <x:c r="E2257" s="24" t="s">
        <x:v>103</x:v>
      </x:c>
      <x:c r="F2257" s="20" t="s">
        <x:v>97</x:v>
      </x:c>
      <x:c r="G2257" s="26">
        <x:v>43886</x:v>
      </x:c>
      <x:c r="H2257" s="24" t="s">
        <x:v>10288</x:v>
      </x:c>
      <x:c r="I2257" s="28" t="s">
        <x:v>10289</x:v>
      </x:c>
      <x:c r="J2257" s="29" t="s">
        <x:v>10290</x:v>
      </x:c>
    </x:row>
    <x:row r="2258" ht="10.050000190734863" customHeight="1">
      <x:c r="A2258" s="21" t="s">
        <x:v>10291</x:v>
      </x:c>
      <x:c r="B2258" s="20" t="s">
        <x:v>10291</x:v>
      </x:c>
      <x:c r="C2258" s="20" t="s">
        <x:v>10292</x:v>
      </x:c>
      <x:c r="D2258" s="24">
        <x:v>33</x:v>
      </x:c>
      <x:c r="E2258" s="24" t="s">
        <x:v>198</x:v>
      </x:c>
      <x:c r="F2258" s="20" t="s">
        <x:v>90</x:v>
      </x:c>
      <x:c r="G2258" s="26">
        <x:v>44159</x:v>
      </x:c>
      <x:c r="H2258" s="24" t="s">
        <x:v>10293</x:v>
      </x:c>
      <x:c r="I2258" s="28" t="s">
        <x:v>10294</x:v>
      </x:c>
      <x:c r="J2258" s="29" t="s">
        <x:v>10295</x:v>
      </x:c>
    </x:row>
    <x:row r="2259" ht="10.050000190734863" customHeight="1">
      <x:c r="A2259" s="21" t="s">
        <x:v>10296</x:v>
      </x:c>
      <x:c r="B2259" s="20" t="s">
        <x:v>10296</x:v>
      </x:c>
      <x:c r="C2259" s="20" t="s">
        <x:v>10292</x:v>
      </x:c>
      <x:c r="D2259" s="24">
        <x:v>14</x:v>
      </x:c>
      <x:c r="E2259" s="24" t="s">
        <x:v>198</x:v>
      </x:c>
      <x:c r="F2259" s="20" t="s">
        <x:v>90</x:v>
      </x:c>
      <x:c r="G2259" s="26">
        <x:v>44652</x:v>
      </x:c>
      <x:c r="H2259" s="24" t="s">
        <x:v>10297</x:v>
      </x:c>
      <x:c r="I2259" s="28" t="s">
        <x:v>10298</x:v>
      </x:c>
      <x:c r="J2259" s="29" t="s">
        <x:v>10299</x:v>
      </x:c>
    </x:row>
    <x:row r="2260" ht="10.050000190734863" customHeight="1">
      <x:c r="A2260" s="21" t="s">
        <x:v>10300</x:v>
      </x:c>
      <x:c r="B2260" s="20" t="s">
        <x:v>10300</x:v>
      </x:c>
      <x:c r="C2260" s="20" t="s">
        <x:v>10301</x:v>
      </x:c>
      <x:c r="D2260" s="24">
        <x:v>11</x:v>
      </x:c>
      <x:c r="E2260" s="24" t="s">
        <x:v>198</x:v>
      </x:c>
      <x:c r="F2260" s="20" t="s">
        <x:v>90</x:v>
      </x:c>
      <x:c r="G2260" s="26">
        <x:v>43928</x:v>
      </x:c>
      <x:c r="H2260" s="24" t="s">
        <x:v>10302</x:v>
      </x:c>
      <x:c r="I2260" s="28" t="s">
        <x:v>10303</x:v>
      </x:c>
      <x:c r="J2260" s="29" t="s">
        <x:v>10304</x:v>
      </x:c>
    </x:row>
    <x:row r="2261" ht="10.050000190734863" customHeight="1">
      <x:c r="A2261" s="21" t="s">
        <x:v>10305</x:v>
      </x:c>
      <x:c r="B2261" s="20" t="s">
        <x:v>10305</x:v>
      </x:c>
      <x:c r="C2261" s="20" t="s">
        <x:v>10301</x:v>
      </x:c>
      <x:c r="D2261" s="24">
        <x:v>17</x:v>
      </x:c>
      <x:c r="E2261" s="24" t="s">
        <x:v>198</x:v>
      </x:c>
      <x:c r="F2261" s="20" t="s">
        <x:v>90</x:v>
      </x:c>
      <x:c r="G2261" s="26">
        <x:v>44235</x:v>
      </x:c>
      <x:c r="H2261" s="24" t="s">
        <x:v>10306</x:v>
      </x:c>
      <x:c r="I2261" s="28" t="s">
        <x:v>10307</x:v>
      </x:c>
      <x:c r="J2261" s="29" t="s">
        <x:v>10308</x:v>
      </x:c>
    </x:row>
    <x:row r="2262" ht="10.050000190734863" customHeight="1">
      <x:c r="A2262" s="21" t="s">
        <x:v>10309</x:v>
      </x:c>
      <x:c r="B2262" s="20" t="s">
        <x:v>10309</x:v>
      </x:c>
      <x:c r="C2262" s="20" t="s">
        <x:v>1427</x:v>
      </x:c>
      <x:c r="D2262" s="24">
        <x:v>9</x:v>
      </x:c>
      <x:c r="E2262" s="24" t="s">
        <x:v>96</x:v>
      </x:c>
      <x:c r="F2262" s="20" t="s">
        <x:v>90</x:v>
      </x:c>
      <x:c r="G2262" s="26">
        <x:v>45632</x:v>
      </x:c>
      <x:c r="H2262" s="24" t="s">
        <x:v>10310</x:v>
      </x:c>
      <x:c r="I2262" s="28" t="s">
        <x:v>10311</x:v>
      </x:c>
      <x:c r="J2262" s="29" t="s">
        <x:v>10312</x:v>
      </x:c>
    </x:row>
    <x:row r="2263" ht="10.050000190734863" customHeight="1">
      <x:c r="A2263" s="21" t="s">
        <x:v>10313</x:v>
      </x:c>
      <x:c r="B2263" s="20" t="s">
        <x:v>10313</x:v>
      </x:c>
      <x:c r="C2263" s="20" t="s">
        <x:v>3012</x:v>
      </x:c>
      <x:c r="D2263" s="24">
        <x:v>9</x:v>
      </x:c>
      <x:c r="E2263" s="24" t="s">
        <x:v>89</x:v>
      </x:c>
      <x:c r="F2263" s="20" t="s">
        <x:v>90</x:v>
      </x:c>
      <x:c r="G2263" s="26">
        <x:v>45819</x:v>
      </x:c>
      <x:c r="H2263" s="24" t="s">
        <x:v>10314</x:v>
      </x:c>
      <x:c r="I2263" s="28" t="s">
        <x:v>10315</x:v>
      </x:c>
      <x:c r="J2263" s="29" t="s">
        <x:v>10316</x:v>
      </x:c>
    </x:row>
    <x:row r="2264" ht="10.050000190734863" customHeight="1">
      <x:c r="A2264" s="21" t="s">
        <x:v>10317</x:v>
      </x:c>
      <x:c r="B2264" s="20" t="s">
        <x:v>10317</x:v>
      </x:c>
      <x:c r="C2264" s="20" t="s">
        <x:v>1618</x:v>
      </x:c>
      <x:c r="D2264" s="24">
        <x:v>20</x:v>
      </x:c>
      <x:c r="E2264" s="24" t="s">
        <x:v>198</x:v>
      </x:c>
      <x:c r="F2264" s="20" t="s">
        <x:v>90</x:v>
      </x:c>
      <x:c r="G2264" s="26">
        <x:v>43124</x:v>
      </x:c>
      <x:c r="H2264" s="24" t="s">
        <x:v>10318</x:v>
      </x:c>
      <x:c r="I2264" s="28" t="s">
        <x:v>10319</x:v>
      </x:c>
      <x:c r="J2264" s="29" t="s">
        <x:v>10320</x:v>
      </x:c>
    </x:row>
    <x:row r="2265" ht="10.050000190734863" customHeight="1">
      <x:c r="A2265" s="21" t="s">
        <x:v>10321</x:v>
      </x:c>
      <x:c r="B2265" s="20" t="s">
        <x:v>10321</x:v>
      </x:c>
      <x:c r="C2265" s="20" t="s">
        <x:v>10322</x:v>
      </x:c>
      <x:c r="D2265" s="24">
        <x:v>11</x:v>
      </x:c>
      <x:c r="E2265" s="24" t="s">
        <x:v>198</x:v>
      </x:c>
      <x:c r="F2265" s="20" t="s">
        <x:v>90</x:v>
      </x:c>
      <x:c r="G2265" s="26">
        <x:v>45509</x:v>
      </x:c>
      <x:c r="H2265" s="24" t="s">
        <x:v>10323</x:v>
      </x:c>
      <x:c r="I2265" s="28" t="s">
        <x:v>10324</x:v>
      </x:c>
      <x:c r="J2265" s="29" t="s">
        <x:v>10325</x:v>
      </x:c>
    </x:row>
    <x:row r="2266" ht="10.050000190734863" customHeight="1">
      <x:c r="A2266" s="21" t="s">
        <x:v>10326</x:v>
      </x:c>
      <x:c r="B2266" s="20" t="s">
        <x:v>10326</x:v>
      </x:c>
      <x:c r="C2266" s="20" t="s">
        <x:v>1969</x:v>
      </x:c>
      <x:c r="D2266" s="24">
        <x:v>9</x:v>
      </x:c>
      <x:c r="E2266" s="24" t="s">
        <x:v>114</x:v>
      </x:c>
      <x:c r="F2266" s="20" t="s">
        <x:v>90</x:v>
      </x:c>
      <x:c r="G2266" s="26">
        <x:v>44662</x:v>
      </x:c>
      <x:c r="H2266" s="24" t="s">
        <x:v>10327</x:v>
      </x:c>
      <x:c r="I2266" s="28" t="s">
        <x:v>10328</x:v>
      </x:c>
      <x:c r="J2266" s="29" t="s">
        <x:v>10329</x:v>
      </x:c>
    </x:row>
    <x:row r="2267" ht="10.050000190734863" customHeight="1">
      <x:c r="A2267" s="21" t="s">
        <x:v>10330</x:v>
      </x:c>
      <x:c r="B2267" s="20" t="s">
        <x:v>10330</x:v>
      </x:c>
      <x:c r="C2267" s="20" t="s">
        <x:v>3012</x:v>
      </x:c>
      <x:c r="D2267" s="24">
        <x:v>12</x:v>
      </x:c>
      <x:c r="E2267" s="24" t="s">
        <x:v>198</x:v>
      </x:c>
      <x:c r="F2267" s="20" t="s">
        <x:v>90</x:v>
      </x:c>
      <x:c r="G2267" s="26">
        <x:v>45668</x:v>
      </x:c>
      <x:c r="H2267" s="24" t="s">
        <x:v>10331</x:v>
      </x:c>
      <x:c r="I2267" s="28" t="s">
        <x:v>10332</x:v>
      </x:c>
      <x:c r="J2267" s="29" t="s">
        <x:v>10333</x:v>
      </x:c>
    </x:row>
    <x:row r="2268" ht="10.050000190734863" customHeight="1">
      <x:c r="A2268" s="21" t="s">
        <x:v>10334</x:v>
      </x:c>
      <x:c r="B2268" s="20" t="s">
        <x:v>10334</x:v>
      </x:c>
      <x:c r="C2268" s="20" t="s">
        <x:v>1836</x:v>
      </x:c>
      <x:c r="D2268" s="24">
        <x:v>14</x:v>
      </x:c>
      <x:c r="E2268" s="24" t="s">
        <x:v>198</x:v>
      </x:c>
      <x:c r="F2268" s="20" t="s">
        <x:v>90</x:v>
      </x:c>
      <x:c r="G2268" s="26">
        <x:v>44690</x:v>
      </x:c>
      <x:c r="H2268" s="24" t="s">
        <x:v>10335</x:v>
      </x:c>
      <x:c r="I2268" s="28" t="s">
        <x:v>10336</x:v>
      </x:c>
      <x:c r="J2268" s="29" t="s">
        <x:v>10337</x:v>
      </x:c>
    </x:row>
    <x:row r="2269" ht="10.050000190734863" customHeight="1">
      <x:c r="A2269" s="21" t="s">
        <x:v>10338</x:v>
      </x:c>
      <x:c r="B2269" s="20" t="s">
        <x:v>10338</x:v>
      </x:c>
      <x:c r="C2269" s="20" t="s">
        <x:v>10339</x:v>
      </x:c>
      <x:c r="D2269" s="24">
        <x:v>7</x:v>
      </x:c>
      <x:c r="E2269" s="24" t="s">
        <x:v>103</x:v>
      </x:c>
      <x:c r="F2269" s="20" t="s">
        <x:v>97</x:v>
      </x:c>
      <x:c r="G2269" s="26">
        <x:v>45877</x:v>
      </x:c>
      <x:c r="H2269" s="24" t="s">
        <x:v>10340</x:v>
      </x:c>
      <x:c r="I2269" s="28" t="s">
        <x:v>10341</x:v>
      </x:c>
      <x:c r="J2269" s="29" t="s">
        <x:v>10342</x:v>
      </x:c>
    </x:row>
    <x:row r="2270" ht="10.050000190734863" customHeight="1">
      <x:c r="A2270" s="21" t="s">
        <x:v>10343</x:v>
      </x:c>
      <x:c r="B2270" s="20" t="s">
        <x:v>10343</x:v>
      </x:c>
      <x:c r="C2270" s="20" t="s">
        <x:v>7479</x:v>
      </x:c>
      <x:c r="D2270" s="24">
        <x:v>19</x:v>
      </x:c>
      <x:c r="E2270" s="24" t="s">
        <x:v>103</x:v>
      </x:c>
      <x:c r="F2270" s="20" t="s">
        <x:v>97</x:v>
      </x:c>
      <x:c r="G2270" s="26">
        <x:v>42003</x:v>
      </x:c>
      <x:c r="H2270" s="24" t="s">
        <x:v>10344</x:v>
      </x:c>
      <x:c r="I2270" s="28" t="s">
        <x:v>10345</x:v>
      </x:c>
      <x:c r="J2270" s="29" t="s">
        <x:v>10346</x:v>
      </x:c>
    </x:row>
    <x:row r="2271" ht="10.050000190734863" customHeight="1">
      <x:c r="A2271" s="21" t="s">
        <x:v>10347</x:v>
      </x:c>
      <x:c r="B2271" s="20" t="s">
        <x:v>10347</x:v>
      </x:c>
      <x:c r="C2271" s="20" t="s">
        <x:v>466</x:v>
      </x:c>
      <x:c r="D2271" s="24">
        <x:v>11</x:v>
      </x:c>
      <x:c r="E2271" s="24" t="s">
        <x:v>114</x:v>
      </x:c>
      <x:c r="F2271" s="20" t="s">
        <x:v>90</x:v>
      </x:c>
      <x:c r="G2271" s="26">
        <x:v>44107</x:v>
      </x:c>
      <x:c r="H2271" s="24" t="s">
        <x:v>10348</x:v>
      </x:c>
      <x:c r="I2271" s="28" t="s">
        <x:v>10349</x:v>
      </x:c>
      <x:c r="J2271" s="29" t="s">
        <x:v>10350</x:v>
      </x:c>
    </x:row>
    <x:row r="2272" ht="10.050000190734863" customHeight="1">
      <x:c r="A2272" s="21" t="s">
        <x:v>10351</x:v>
      </x:c>
      <x:c r="B2272" s="20" t="s">
        <x:v>10351</x:v>
      </x:c>
      <x:c r="C2272" s="20" t="s">
        <x:v>466</x:v>
      </x:c>
      <x:c r="D2272" s="24">
        <x:v>11</x:v>
      </x:c>
      <x:c r="E2272" s="24" t="s">
        <x:v>114</x:v>
      </x:c>
      <x:c r="F2272" s="20" t="s">
        <x:v>90</x:v>
      </x:c>
      <x:c r="G2272" s="26">
        <x:v>45300</x:v>
      </x:c>
      <x:c r="H2272" s="24" t="s">
        <x:v>10352</x:v>
      </x:c>
      <x:c r="I2272" s="28" t="s">
        <x:v>10353</x:v>
      </x:c>
      <x:c r="J2272" s="29" t="s">
        <x:v>10354</x:v>
      </x:c>
    </x:row>
    <x:row r="2273" ht="10.050000190734863" customHeight="1">
      <x:c r="A2273" s="21" t="s">
        <x:v>10355</x:v>
      </x:c>
      <x:c r="B2273" s="20" t="s">
        <x:v>10355</x:v>
      </x:c>
      <x:c r="C2273" s="20" t="s">
        <x:v>10356</x:v>
      </x:c>
      <x:c r="D2273" s="24">
        <x:v>23</x:v>
      </x:c>
      <x:c r="E2273" s="24" t="s">
        <x:v>103</x:v>
      </x:c>
      <x:c r="F2273" s="20" t="s">
        <x:v>97</x:v>
      </x:c>
      <x:c r="G2273" s="26">
        <x:v>43473</x:v>
      </x:c>
      <x:c r="H2273" s="24" t="s">
        <x:v>10357</x:v>
      </x:c>
      <x:c r="I2273" s="28" t="s">
        <x:v>10358</x:v>
      </x:c>
      <x:c r="J2273" s="29" t="s">
        <x:v>10359</x:v>
      </x:c>
    </x:row>
    <x:row r="2274" ht="10.050000190734863" customHeight="1">
      <x:c r="A2274" s="21" t="s">
        <x:v>10360</x:v>
      </x:c>
      <x:c r="B2274" s="20" t="s">
        <x:v>10360</x:v>
      </x:c>
      <x:c r="C2274" s="20" t="s">
        <x:v>10361</x:v>
      </x:c>
      <x:c r="D2274" s="24">
        <x:v>17</x:v>
      </x:c>
      <x:c r="E2274" s="24" t="s">
        <x:v>96</x:v>
      </x:c>
      <x:c r="F2274" s="20" t="s">
        <x:v>90</x:v>
      </x:c>
      <x:c r="G2274" s="26">
        <x:v>45146</x:v>
      </x:c>
      <x:c r="H2274" s="24" t="s">
        <x:v>10362</x:v>
      </x:c>
      <x:c r="I2274" s="28" t="s">
        <x:v>10363</x:v>
      </x:c>
      <x:c r="J2274" s="29" t="s">
        <x:v>10364</x:v>
      </x:c>
    </x:row>
    <x:row r="2275" ht="10.050000190734863" customHeight="1">
      <x:c r="A2275" s="21" t="s">
        <x:v>10365</x:v>
      </x:c>
      <x:c r="B2275" s="20" t="s">
        <x:v>10365</x:v>
      </x:c>
      <x:c r="C2275" s="20" t="s">
        <x:v>10361</x:v>
      </x:c>
      <x:c r="D2275" s="24">
        <x:v>11</x:v>
      </x:c>
      <x:c r="E2275" s="24" t="s">
        <x:v>89</x:v>
      </x:c>
      <x:c r="F2275" s="20" t="s">
        <x:v>90</x:v>
      </x:c>
      <x:c r="G2275" s="26">
        <x:v>45301</x:v>
      </x:c>
      <x:c r="H2275" s="24" t="s">
        <x:v>10366</x:v>
      </x:c>
      <x:c r="I2275" s="28" t="s">
        <x:v>10367</x:v>
      </x:c>
      <x:c r="J2275" s="29" t="s">
        <x:v>10368</x:v>
      </x:c>
    </x:row>
    <x:row r="2276" ht="10.050000190734863" customHeight="1">
      <x:c r="A2276" s="21" t="s">
        <x:v>10369</x:v>
      </x:c>
      <x:c r="B2276" s="20" t="s">
        <x:v>10369</x:v>
      </x:c>
      <x:c r="C2276" s="20" t="s">
        <x:v>988</x:v>
      </x:c>
      <x:c r="D2276" s="24">
        <x:v>11</x:v>
      </x:c>
      <x:c r="E2276" s="24" t="s">
        <x:v>198</x:v>
      </x:c>
      <x:c r="F2276" s="20" t="s">
        <x:v>90</x:v>
      </x:c>
      <x:c r="G2276" s="26">
        <x:v>43409</x:v>
      </x:c>
      <x:c r="H2276" s="24" t="s">
        <x:v>10370</x:v>
      </x:c>
      <x:c r="I2276" s="28" t="s">
        <x:v>10371</x:v>
      </x:c>
      <x:c r="J2276" s="29" t="s">
        <x:v>10372</x:v>
      </x:c>
    </x:row>
    <x:row r="2277" ht="10.050000190734863" customHeight="1">
      <x:c r="A2277" s="21" t="s">
        <x:v>10373</x:v>
      </x:c>
      <x:c r="B2277" s="20" t="s">
        <x:v>10373</x:v>
      </x:c>
      <x:c r="C2277" s="20" t="s">
        <x:v>988</x:v>
      </x:c>
      <x:c r="D2277" s="24">
        <x:v>12</x:v>
      </x:c>
      <x:c r="E2277" s="24" t="s">
        <x:v>198</x:v>
      </x:c>
      <x:c r="F2277" s="20" t="s">
        <x:v>90</x:v>
      </x:c>
      <x:c r="G2277" s="26">
        <x:v>43405</x:v>
      </x:c>
      <x:c r="H2277" s="24" t="s">
        <x:v>10374</x:v>
      </x:c>
      <x:c r="I2277" s="28" t="s">
        <x:v>10375</x:v>
      </x:c>
      <x:c r="J2277" s="29" t="s">
        <x:v>10376</x:v>
      </x:c>
    </x:row>
    <x:row r="2278" ht="10.050000190734863" customHeight="1">
      <x:c r="A2278" s="21" t="s">
        <x:v>10377</x:v>
      </x:c>
      <x:c r="B2278" s="20" t="s">
        <x:v>10377</x:v>
      </x:c>
      <x:c r="C2278" s="20" t="s">
        <x:v>95</x:v>
      </x:c>
      <x:c r="D2278" s="24">
        <x:v>69</x:v>
      </x:c>
      <x:c r="E2278" s="24" t="s">
        <x:v>89</x:v>
      </x:c>
      <x:c r="F2278" s="20" t="s">
        <x:v>97</x:v>
      </x:c>
      <x:c r="G2278" s="26">
        <x:v>43314</x:v>
      </x:c>
      <x:c r="H2278" s="24" t="s">
        <x:v>10378</x:v>
      </x:c>
      <x:c r="I2278" s="28" t="s">
        <x:v>10379</x:v>
      </x:c>
      <x:c r="J2278" s="29" t="s">
        <x:v>10380</x:v>
      </x:c>
    </x:row>
    <x:row r="2279" ht="10.050000190734863" customHeight="1">
      <x:c r="A2279" s="21" t="s">
        <x:v>10381</x:v>
      </x:c>
      <x:c r="B2279" s="20" t="s">
        <x:v>10381</x:v>
      </x:c>
      <x:c r="C2279" s="20" t="s">
        <x:v>10382</x:v>
      </x:c>
      <x:c r="D2279" s="24">
        <x:v>11</x:v>
      </x:c>
      <x:c r="E2279" s="24" t="s">
        <x:v>96</x:v>
      </x:c>
      <x:c r="F2279" s="20" t="s">
        <x:v>90</x:v>
      </x:c>
      <x:c r="G2279" s="26">
        <x:v>44452</x:v>
      </x:c>
      <x:c r="H2279" s="24" t="s">
        <x:v>10383</x:v>
      </x:c>
      <x:c r="I2279" s="28" t="s">
        <x:v>10384</x:v>
      </x:c>
      <x:c r="J2279" s="29" t="s">
        <x:v>10385</x:v>
      </x:c>
    </x:row>
    <x:row r="2280" ht="10.050000190734863" customHeight="1">
      <x:c r="A2280" s="21" t="s">
        <x:v>10386</x:v>
      </x:c>
      <x:c r="B2280" s="20" t="s">
        <x:v>10386</x:v>
      </x:c>
      <x:c r="C2280" s="20" t="s">
        <x:v>282</x:v>
      </x:c>
      <x:c r="D2280" s="24">
        <x:v>11</x:v>
      </x:c>
      <x:c r="E2280" s="24" t="s">
        <x:v>103</x:v>
      </x:c>
      <x:c r="F2280" s="20" t="s">
        <x:v>97</x:v>
      </x:c>
      <x:c r="G2280" s="26">
        <x:v>46215</x:v>
      </x:c>
      <x:c r="H2280" s="24" t="s">
        <x:v>10387</x:v>
      </x:c>
      <x:c r="I2280" s="28" t="s">
        <x:v>10388</x:v>
      </x:c>
      <x:c r="J2280" s="29" t="s">
        <x:v>10389</x:v>
      </x:c>
    </x:row>
    <x:row r="2281" ht="10.050000190734863" customHeight="1">
      <x:c r="A2281" s="21" t="s">
        <x:v>10390</x:v>
      </x:c>
      <x:c r="B2281" s="20" t="s">
        <x:v>10390</x:v>
      </x:c>
      <x:c r="C2281" s="20" t="s">
        <x:v>162</x:v>
      </x:c>
      <x:c r="D2281" s="24">
        <x:v>31</x:v>
      </x:c>
      <x:c r="E2281" s="24" t="s">
        <x:v>89</x:v>
      </x:c>
      <x:c r="F2281" s="20" t="s">
        <x:v>90</x:v>
      </x:c>
      <x:c r="G2281" s="26">
        <x:v>43735</x:v>
      </x:c>
      <x:c r="H2281" s="24" t="s">
        <x:v>10391</x:v>
      </x:c>
      <x:c r="I2281" s="28" t="s">
        <x:v>10392</x:v>
      </x:c>
      <x:c r="J2281" s="29" t="s">
        <x:v>10393</x:v>
      </x:c>
    </x:row>
    <x:row r="2282" ht="10.050000190734863" customHeight="1">
      <x:c r="A2282" s="21" t="s">
        <x:v>10394</x:v>
      </x:c>
      <x:c r="B2282" s="20" t="s">
        <x:v>10394</x:v>
      </x:c>
      <x:c r="C2282" s="20" t="s">
        <x:v>162</x:v>
      </x:c>
      <x:c r="D2282" s="24">
        <x:v>22</x:v>
      </x:c>
      <x:c r="E2282" s="24" t="s">
        <x:v>198</x:v>
      </x:c>
      <x:c r="F2282" s="20" t="s">
        <x:v>90</x:v>
      </x:c>
      <x:c r="G2282" s="26">
        <x:v>43977</x:v>
      </x:c>
      <x:c r="H2282" s="24" t="s">
        <x:v>10395</x:v>
      </x:c>
      <x:c r="I2282" s="28" t="s">
        <x:v>10396</x:v>
      </x:c>
      <x:c r="J2282" s="29" t="s">
        <x:v>10397</x:v>
      </x:c>
    </x:row>
    <x:row r="2283" ht="10.050000190734863" customHeight="1">
      <x:c r="A2283" s="21" t="s">
        <x:v>10398</x:v>
      </x:c>
      <x:c r="B2283" s="20" t="s">
        <x:v>10398</x:v>
      </x:c>
      <x:c r="C2283" s="20" t="s">
        <x:v>8474</x:v>
      </x:c>
      <x:c r="D2283" s="24">
        <x:v>23</x:v>
      </x:c>
      <x:c r="E2283" s="24" t="s">
        <x:v>103</x:v>
      </x:c>
      <x:c r="F2283" s="20" t="s">
        <x:v>97</x:v>
      </x:c>
      <x:c r="G2283" s="26">
        <x:v>41563</x:v>
      </x:c>
      <x:c r="H2283" s="24" t="s">
        <x:v>10399</x:v>
      </x:c>
      <x:c r="I2283" s="28" t="s">
        <x:v>10400</x:v>
      </x:c>
      <x:c r="J2283" s="29" t="s">
        <x:v>10401</x:v>
      </x:c>
    </x:row>
    <x:row r="2284" ht="10.050000190734863" customHeight="1">
      <x:c r="A2284" s="21" t="s">
        <x:v>10402</x:v>
      </x:c>
      <x:c r="B2284" s="20" t="s">
        <x:v>10402</x:v>
      </x:c>
      <x:c r="C2284" s="20" t="s">
        <x:v>237</x:v>
      </x:c>
      <x:c r="D2284" s="24">
        <x:v>3</x:v>
      </x:c>
      <x:c r="E2284" s="24" t="s">
        <x:v>96</x:v>
      </x:c>
      <x:c r="F2284" s="20" t="s">
        <x:v>90</x:v>
      </x:c>
      <x:c r="G2284" s="26">
        <x:v>43866</x:v>
      </x:c>
      <x:c r="H2284" s="24" t="s">
        <x:v>10403</x:v>
      </x:c>
      <x:c r="I2284" s="28" t="s">
        <x:v>10404</x:v>
      </x:c>
      <x:c r="J2284" s="29" t="s">
        <x:v>10405</x:v>
      </x:c>
    </x:row>
    <x:row r="2285" ht="10.050000190734863" customHeight="1">
      <x:c r="A2285" s="21" t="s">
        <x:v>10406</x:v>
      </x:c>
      <x:c r="B2285" s="20" t="s">
        <x:v>10406</x:v>
      </x:c>
      <x:c r="C2285" s="20" t="s">
        <x:v>918</x:v>
      </x:c>
      <x:c r="D2285" s="24">
        <x:v>3</x:v>
      </x:c>
      <x:c r="E2285" s="24" t="s">
        <x:v>114</x:v>
      </x:c>
      <x:c r="F2285" s="20" t="s">
        <x:v>3171</x:v>
      </x:c>
      <x:c r="G2285" s="26">
        <x:v>45424</x:v>
      </x:c>
      <x:c r="H2285" s="24" t="s">
        <x:v>10407</x:v>
      </x:c>
      <x:c r="I2285" s="28" t="s">
        <x:v>10408</x:v>
      </x:c>
      <x:c r="J2285" s="29" t="s">
        <x:v>10409</x:v>
      </x:c>
    </x:row>
    <x:row r="2286" ht="10.050000190734863" customHeight="1">
      <x:c r="A2286" s="21" t="s">
        <x:v>10410</x:v>
      </x:c>
      <x:c r="B2286" s="20" t="s">
        <x:v>10410</x:v>
      </x:c>
      <x:c r="C2286" s="20" t="s">
        <x:v>1861</x:v>
      </x:c>
      <x:c r="D2286" s="24">
        <x:v>36</x:v>
      </x:c>
      <x:c r="E2286" s="24" t="s">
        <x:v>89</x:v>
      </x:c>
      <x:c r="F2286" s="20" t="s">
        <x:v>152</x:v>
      </x:c>
      <x:c r="G2286" s="26">
        <x:v>45732</x:v>
      </x:c>
      <x:c r="H2286" s="24" t="s">
        <x:v>10411</x:v>
      </x:c>
      <x:c r="I2286" s="28" t="s">
        <x:v>10412</x:v>
      </x:c>
      <x:c r="J2286" s="29" t="s">
        <x:v>10413</x:v>
      </x:c>
    </x:row>
    <x:row r="2287" ht="10.050000190734863" customHeight="1">
      <x:c r="A2287" s="21" t="s">
        <x:v>10414</x:v>
      </x:c>
      <x:c r="B2287" s="20" t="s">
        <x:v>10414</x:v>
      </x:c>
      <x:c r="C2287" s="20" t="s">
        <x:v>10415</x:v>
      </x:c>
      <x:c r="D2287" s="24">
        <x:v>25</x:v>
      </x:c>
      <x:c r="E2287" s="24" t="s">
        <x:v>96</x:v>
      </x:c>
      <x:c r="F2287" s="20" t="s">
        <x:v>97</x:v>
      </x:c>
      <x:c r="G2287" s="26">
        <x:v>44372</x:v>
      </x:c>
      <x:c r="H2287" s="24" t="s">
        <x:v>10416</x:v>
      </x:c>
      <x:c r="I2287" s="28" t="s">
        <x:v>10417</x:v>
      </x:c>
      <x:c r="J2287" s="29" t="s">
        <x:v>10418</x:v>
      </x:c>
    </x:row>
    <x:row r="2288" ht="10.050000190734863" customHeight="1">
      <x:c r="A2288" s="21" t="s">
        <x:v>10419</x:v>
      </x:c>
      <x:c r="B2288" s="20" t="s">
        <x:v>10419</x:v>
      </x:c>
      <x:c r="C2288" s="20" t="s">
        <x:v>10420</x:v>
      </x:c>
      <x:c r="D2288" s="24">
        <x:v>14</x:v>
      </x:c>
      <x:c r="E2288" s="24" t="s">
        <x:v>89</x:v>
      </x:c>
      <x:c r="F2288" s="20" t="s">
        <x:v>90</x:v>
      </x:c>
      <x:c r="G2288" s="26">
        <x:v>44364</x:v>
      </x:c>
      <x:c r="H2288" s="24" t="s">
        <x:v>10421</x:v>
      </x:c>
      <x:c r="I2288" s="28" t="s">
        <x:v>10422</x:v>
      </x:c>
      <x:c r="J2288" s="29" t="s">
        <x:v>10423</x:v>
      </x:c>
    </x:row>
    <x:row r="2289" ht="10.050000190734863" customHeight="1">
      <x:c r="A2289" s="21" t="s">
        <x:v>10424</x:v>
      </x:c>
      <x:c r="B2289" s="20" t="s">
        <x:v>10424</x:v>
      </x:c>
      <x:c r="C2289" s="20" t="s">
        <x:v>1427</x:v>
      </x:c>
      <x:c r="D2289" s="24">
        <x:v>13</x:v>
      </x:c>
      <x:c r="E2289" s="24" t="s">
        <x:v>96</x:v>
      </x:c>
      <x:c r="F2289" s="20" t="s">
        <x:v>90</x:v>
      </x:c>
      <x:c r="G2289" s="26">
        <x:v>45819</x:v>
      </x:c>
      <x:c r="H2289" s="24" t="s">
        <x:v>10425</x:v>
      </x:c>
      <x:c r="I2289" s="28" t="s">
        <x:v>10426</x:v>
      </x:c>
      <x:c r="J2289" s="29" t="s">
        <x:v>10427</x:v>
      </x:c>
    </x:row>
    <x:row r="2290" ht="10.050000190734863" customHeight="1">
      <x:c r="A2290" s="21" t="s">
        <x:v>10428</x:v>
      </x:c>
      <x:c r="B2290" s="20" t="s">
        <x:v>10428</x:v>
      </x:c>
      <x:c r="C2290" s="20" t="s">
        <x:v>10429</x:v>
      </x:c>
      <x:c r="D2290" s="24">
        <x:v>11</x:v>
      </x:c>
      <x:c r="E2290" s="24" t="s">
        <x:v>103</x:v>
      </x:c>
      <x:c r="F2290" s="20" t="s">
        <x:v>97</x:v>
      </x:c>
      <x:c r="G2290" s="26">
        <x:v>42266</x:v>
      </x:c>
      <x:c r="H2290" s="24" t="s">
        <x:v>10430</x:v>
      </x:c>
      <x:c r="I2290" s="28" t="s">
        <x:v>10431</x:v>
      </x:c>
      <x:c r="J2290" s="29" t="s">
        <x:v>10432</x:v>
      </x:c>
    </x:row>
    <x:row r="2291" ht="10.050000190734863" customHeight="1">
      <x:c r="A2291" s="21" t="s">
        <x:v>10433</x:v>
      </x:c>
      <x:c r="B2291" s="20" t="s">
        <x:v>10433</x:v>
      </x:c>
      <x:c r="C2291" s="20" t="s">
        <x:v>4192</x:v>
      </x:c>
      <x:c r="D2291" s="24">
        <x:v>7</x:v>
      </x:c>
      <x:c r="E2291" s="24" t="s">
        <x:v>198</x:v>
      </x:c>
      <x:c r="F2291" s="20" t="s">
        <x:v>90</x:v>
      </x:c>
      <x:c r="G2291" s="26">
        <x:v>44518</x:v>
      </x:c>
      <x:c r="H2291" s="24" t="s">
        <x:v>10434</x:v>
      </x:c>
      <x:c r="I2291" s="28" t="s">
        <x:v>10435</x:v>
      </x:c>
      <x:c r="J2291" s="29" t="s">
        <x:v>10436</x:v>
      </x:c>
    </x:row>
    <x:row r="2292" ht="10.050000190734863" customHeight="1">
      <x:c r="A2292" s="21" t="s">
        <x:v>10437</x:v>
      </x:c>
      <x:c r="B2292" s="20" t="s">
        <x:v>10437</x:v>
      </x:c>
      <x:c r="C2292" s="20" t="s">
        <x:v>4374</x:v>
      </x:c>
      <x:c r="D2292" s="24">
        <x:v>25</x:v>
      </x:c>
      <x:c r="E2292" s="24" t="s">
        <x:v>103</x:v>
      </x:c>
      <x:c r="F2292" s="20" t="s">
        <x:v>97</x:v>
      </x:c>
      <x:c r="G2292" s="26">
        <x:v>42266</x:v>
      </x:c>
      <x:c r="H2292" s="24" t="s">
        <x:v>10438</x:v>
      </x:c>
      <x:c r="I2292" s="28" t="s">
        <x:v>10439</x:v>
      </x:c>
      <x:c r="J2292" s="29" t="s">
        <x:v>10440</x:v>
      </x:c>
    </x:row>
    <x:row r="2293" ht="10.050000190734863" customHeight="1">
      <x:c r="A2293" s="21" t="s">
        <x:v>10441</x:v>
      </x:c>
      <x:c r="B2293" s="20" t="s">
        <x:v>10441</x:v>
      </x:c>
      <x:c r="C2293" s="20" t="s">
        <x:v>10442</x:v>
      </x:c>
      <x:c r="D2293" s="24">
        <x:v>16</x:v>
      </x:c>
      <x:c r="E2293" s="24" t="s">
        <x:v>198</x:v>
      </x:c>
      <x:c r="F2293" s="20" t="s">
        <x:v>90</x:v>
      </x:c>
      <x:c r="G2293" s="26">
        <x:v>43750</x:v>
      </x:c>
      <x:c r="H2293" s="24" t="s">
        <x:v>10443</x:v>
      </x:c>
      <x:c r="I2293" s="28" t="s">
        <x:v>10444</x:v>
      </x:c>
      <x:c r="J2293" s="29" t="s">
        <x:v>10445</x:v>
      </x:c>
    </x:row>
    <x:row r="2294" ht="10.050000190734863" customHeight="1">
      <x:c r="A2294" s="21" t="s">
        <x:v>10446</x:v>
      </x:c>
      <x:c r="B2294" s="20" t="s">
        <x:v>10446</x:v>
      </x:c>
      <x:c r="C2294" s="20" t="s">
        <x:v>10447</x:v>
      </x:c>
      <x:c r="D2294" s="24">
        <x:v>3</x:v>
      </x:c>
      <x:c r="E2294" s="24" t="s">
        <x:v>89</x:v>
      </x:c>
      <x:c r="F2294" s="20" t="s">
        <x:v>90</x:v>
      </x:c>
      <x:c r="G2294" s="26">
        <x:v>43917</x:v>
      </x:c>
      <x:c r="H2294" s="24" t="s">
        <x:v>10448</x:v>
      </x:c>
      <x:c r="I2294" s="28" t="s">
        <x:v>10449</x:v>
      </x:c>
      <x:c r="J2294" s="29" t="s">
        <x:v>10450</x:v>
      </x:c>
    </x:row>
    <x:row r="2295" ht="10.050000190734863" customHeight="1">
      <x:c r="A2295" s="21" t="s">
        <x:v>10451</x:v>
      </x:c>
      <x:c r="B2295" s="20" t="s">
        <x:v>10451</x:v>
      </x:c>
      <x:c r="C2295" s="20" t="s">
        <x:v>10452</x:v>
      </x:c>
      <x:c r="D2295" s="24">
        <x:v>6</x:v>
      </x:c>
      <x:c r="E2295" s="24" t="s">
        <x:v>103</x:v>
      </x:c>
      <x:c r="F2295" s="20" t="s">
        <x:v>97</x:v>
      </x:c>
      <x:c r="G2295" s="26">
        <x:v>42265</x:v>
      </x:c>
      <x:c r="H2295" s="24" t="s">
        <x:v>10453</x:v>
      </x:c>
      <x:c r="I2295" s="28" t="s">
        <x:v>10454</x:v>
      </x:c>
      <x:c r="J2295" s="29" t="s">
        <x:v>10455</x:v>
      </x:c>
    </x:row>
    <x:row r="2296" ht="10.050000190734863" customHeight="1">
      <x:c r="A2296" s="21" t="s">
        <x:v>10456</x:v>
      </x:c>
      <x:c r="B2296" s="20" t="s">
        <x:v>10456</x:v>
      </x:c>
      <x:c r="C2296" s="20" t="s">
        <x:v>2179</x:v>
      </x:c>
      <x:c r="D2296" s="24">
        <x:v>12</x:v>
      </x:c>
      <x:c r="E2296" s="24" t="s">
        <x:v>114</x:v>
      </x:c>
      <x:c r="F2296" s="20" t="s">
        <x:v>90</x:v>
      </x:c>
      <x:c r="G2296" s="26">
        <x:v>43843</x:v>
      </x:c>
      <x:c r="H2296" s="24" t="s">
        <x:v>10457</x:v>
      </x:c>
      <x:c r="I2296" s="28" t="s">
        <x:v>10458</x:v>
      </x:c>
      <x:c r="J2296" s="29" t="s">
        <x:v>10459</x:v>
      </x:c>
    </x:row>
    <x:row r="2297" ht="10.050000190734863" customHeight="1">
      <x:c r="A2297" s="21" t="s">
        <x:v>10460</x:v>
      </x:c>
      <x:c r="B2297" s="20" t="s">
        <x:v>10460</x:v>
      </x:c>
      <x:c r="C2297" s="20" t="s">
        <x:v>2863</x:v>
      </x:c>
      <x:c r="D2297" s="24">
        <x:v>9</x:v>
      </x:c>
      <x:c r="E2297" s="24" t="s">
        <x:v>198</x:v>
      </x:c>
      <x:c r="F2297" s="20" t="s">
        <x:v>90</x:v>
      </x:c>
      <x:c r="G2297" s="26">
        <x:v>42959</x:v>
      </x:c>
      <x:c r="H2297" s="24" t="s">
        <x:v>10461</x:v>
      </x:c>
      <x:c r="I2297" s="28" t="s">
        <x:v>10462</x:v>
      </x:c>
      <x:c r="J2297" s="29" t="s">
        <x:v>10463</x:v>
      </x:c>
    </x:row>
    <x:row r="2298" ht="10.050000190734863" customHeight="1">
      <x:c r="A2298" s="21" t="s">
        <x:v>10464</x:v>
      </x:c>
      <x:c r="B2298" s="20" t="s">
        <x:v>10464</x:v>
      </x:c>
      <x:c r="C2298" s="20" t="s">
        <x:v>10465</x:v>
      </x:c>
      <x:c r="D2298" s="24">
        <x:v>15</x:v>
      </x:c>
      <x:c r="E2298" s="24" t="s">
        <x:v>96</x:v>
      </x:c>
      <x:c r="F2298" s="20" t="s">
        <x:v>90</x:v>
      </x:c>
      <x:c r="G2298" s="26">
        <x:v>45815</x:v>
      </x:c>
      <x:c r="H2298" s="24" t="s">
        <x:v>10466</x:v>
      </x:c>
      <x:c r="I2298" s="28" t="s">
        <x:v>10467</x:v>
      </x:c>
      <x:c r="J2298" s="29" t="s">
        <x:v>10468</x:v>
      </x:c>
    </x:row>
    <x:row r="2299" ht="10.050000190734863" customHeight="1">
      <x:c r="A2299" s="21" t="s">
        <x:v>10469</x:v>
      </x:c>
      <x:c r="B2299" s="20" t="s">
        <x:v>10469</x:v>
      </x:c>
      <x:c r="C2299" s="20" t="s">
        <x:v>586</x:v>
      </x:c>
      <x:c r="D2299" s="24">
        <x:v>63</x:v>
      </x:c>
      <x:c r="E2299" s="24" t="s">
        <x:v>96</x:v>
      </x:c>
      <x:c r="F2299" s="20" t="s">
        <x:v>97</x:v>
      </x:c>
      <x:c r="G2299" s="26">
        <x:v>43576</x:v>
      </x:c>
      <x:c r="H2299" s="24" t="s">
        <x:v>10470</x:v>
      </x:c>
      <x:c r="I2299" s="28" t="s">
        <x:v>10471</x:v>
      </x:c>
      <x:c r="J2299" s="29" t="s">
        <x:v>10472</x:v>
      </x:c>
    </x:row>
    <x:row r="2300" ht="10.050000190734863" customHeight="1">
      <x:c r="A2300" s="21" t="s">
        <x:v>10473</x:v>
      </x:c>
      <x:c r="B2300" s="20" t="s">
        <x:v>10473</x:v>
      </x:c>
      <x:c r="C2300" s="20" t="s">
        <x:v>88</x:v>
      </x:c>
      <x:c r="D2300" s="24">
        <x:v>1</x:v>
      </x:c>
      <x:c r="E2300" s="24" t="s">
        <x:v>89</x:v>
      </x:c>
      <x:c r="F2300" s="20" t="s">
        <x:v>90</x:v>
      </x:c>
      <x:c r="G2300" s="26">
        <x:v>44832</x:v>
      </x:c>
      <x:c r="H2300" s="24" t="s">
        <x:v>10474</x:v>
      </x:c>
      <x:c r="I2300" s="28" t="s">
        <x:v>10475</x:v>
      </x:c>
      <x:c r="J2300" s="29" t="s">
        <x:v>10476</x:v>
      </x:c>
    </x:row>
    <x:row r="2301" ht="10.050000190734863" customHeight="1">
      <x:c r="A2301" s="21" t="s">
        <x:v>10477</x:v>
      </x:c>
      <x:c r="B2301" s="20" t="s">
        <x:v>10477</x:v>
      </x:c>
      <x:c r="C2301" s="20" t="s">
        <x:v>10478</x:v>
      </x:c>
      <x:c r="D2301" s="24">
        <x:v>6</x:v>
      </x:c>
      <x:c r="E2301" s="24" t="s">
        <x:v>103</x:v>
      </x:c>
      <x:c r="F2301" s="20" t="s">
        <x:v>97</x:v>
      </x:c>
      <x:c r="G2301" s="26">
        <x:v>42220</x:v>
      </x:c>
      <x:c r="H2301" s="24" t="s">
        <x:v>10479</x:v>
      </x:c>
      <x:c r="I2301" s="28" t="s">
        <x:v>10480</x:v>
      </x:c>
      <x:c r="J2301" s="29" t="s">
        <x:v>10481</x:v>
      </x:c>
    </x:row>
    <x:row r="2302" ht="10.050000190734863" customHeight="1">
      <x:c r="A2302" s="21" t="s">
        <x:v>10482</x:v>
      </x:c>
      <x:c r="B2302" s="20" t="s">
        <x:v>10482</x:v>
      </x:c>
      <x:c r="C2302" s="20" t="s">
        <x:v>875</x:v>
      </x:c>
      <x:c r="D2302" s="24">
        <x:v>15</x:v>
      </x:c>
      <x:c r="E2302" s="24" t="s">
        <x:v>114</x:v>
      </x:c>
      <x:c r="F2302" s="20" t="s">
        <x:v>90</x:v>
      </x:c>
      <x:c r="G2302" s="26">
        <x:v>44607</x:v>
      </x:c>
      <x:c r="H2302" s="24" t="s">
        <x:v>10483</x:v>
      </x:c>
      <x:c r="I2302" s="28" t="s">
        <x:v>10484</x:v>
      </x:c>
      <x:c r="J2302" s="29" t="s">
        <x:v>10485</x:v>
      </x:c>
    </x:row>
    <x:row r="2303" ht="10.050000190734863" customHeight="1">
      <x:c r="A2303" s="21" t="s">
        <x:v>10486</x:v>
      </x:c>
      <x:c r="B2303" s="20" t="s">
        <x:v>10486</x:v>
      </x:c>
      <x:c r="C2303" s="20" t="s">
        <x:v>10487</x:v>
      </x:c>
      <x:c r="D2303" s="24">
        <x:v>10</x:v>
      </x:c>
      <x:c r="E2303" s="24" t="s">
        <x:v>114</x:v>
      </x:c>
      <x:c r="F2303" s="20" t="s">
        <x:v>90</x:v>
      </x:c>
      <x:c r="G2303" s="26">
        <x:v>44772</x:v>
      </x:c>
      <x:c r="H2303" s="24" t="s">
        <x:v>10488</x:v>
      </x:c>
      <x:c r="I2303" s="28" t="s">
        <x:v>10489</x:v>
      </x:c>
      <x:c r="J2303" s="29" t="s">
        <x:v>10490</x:v>
      </x:c>
    </x:row>
    <x:row r="2304" ht="10.050000190734863" customHeight="1">
      <x:c r="A2304" s="21" t="s">
        <x:v>10491</x:v>
      </x:c>
      <x:c r="B2304" s="20" t="s">
        <x:v>10491</x:v>
      </x:c>
      <x:c r="C2304" s="20" t="s">
        <x:v>10487</x:v>
      </x:c>
      <x:c r="D2304" s="24">
        <x:v>13</x:v>
      </x:c>
      <x:c r="E2304" s="24" t="s">
        <x:v>96</x:v>
      </x:c>
      <x:c r="F2304" s="20" t="s">
        <x:v>90</x:v>
      </x:c>
      <x:c r="G2304" s="26">
        <x:v>44644</x:v>
      </x:c>
      <x:c r="H2304" s="24" t="s">
        <x:v>10492</x:v>
      </x:c>
      <x:c r="I2304" s="28" t="s">
        <x:v>10493</x:v>
      </x:c>
      <x:c r="J2304" s="29" t="s">
        <x:v>10494</x:v>
      </x:c>
    </x:row>
    <x:row r="2305" ht="10.050000190734863" customHeight="1">
      <x:c r="A2305" s="21" t="s">
        <x:v>10495</x:v>
      </x:c>
      <x:c r="B2305" s="20" t="s">
        <x:v>10495</x:v>
      </x:c>
      <x:c r="C2305" s="20" t="s">
        <x:v>10487</x:v>
      </x:c>
      <x:c r="D2305" s="24">
        <x:v>13</x:v>
      </x:c>
      <x:c r="E2305" s="24" t="s">
        <x:v>198</x:v>
      </x:c>
      <x:c r="F2305" s="20" t="s">
        <x:v>90</x:v>
      </x:c>
      <x:c r="G2305" s="26">
        <x:v>44707</x:v>
      </x:c>
      <x:c r="H2305" s="24" t="s">
        <x:v>10496</x:v>
      </x:c>
      <x:c r="I2305" s="28" t="s">
        <x:v>10497</x:v>
      </x:c>
      <x:c r="J2305" s="29" t="s">
        <x:v>10498</x:v>
      </x:c>
    </x:row>
    <x:row r="2306" ht="10.050000190734863" customHeight="1">
      <x:c r="A2306" s="21" t="s">
        <x:v>10499</x:v>
      </x:c>
      <x:c r="B2306" s="20" t="s">
        <x:v>10499</x:v>
      </x:c>
      <x:c r="C2306" s="20" t="s">
        <x:v>1243</x:v>
      </x:c>
      <x:c r="D2306" s="24">
        <x:v>14</x:v>
      </x:c>
      <x:c r="E2306" s="24" t="s">
        <x:v>198</x:v>
      </x:c>
      <x:c r="F2306" s="20" t="s">
        <x:v>90</x:v>
      </x:c>
      <x:c r="G2306" s="26">
        <x:v>45071</x:v>
      </x:c>
      <x:c r="H2306" s="24" t="s">
        <x:v>10500</x:v>
      </x:c>
      <x:c r="I2306" s="28" t="s">
        <x:v>10501</x:v>
      </x:c>
      <x:c r="J2306" s="29" t="s">
        <x:v>10502</x:v>
      </x:c>
    </x:row>
    <x:row r="2307" ht="10.050000190734863" customHeight="1">
      <x:c r="A2307" s="21" t="s">
        <x:v>10503</x:v>
      </x:c>
      <x:c r="B2307" s="20" t="s">
        <x:v>10503</x:v>
      </x:c>
      <x:c r="C2307" s="20" t="s">
        <x:v>10504</x:v>
      </x:c>
      <x:c r="D2307" s="24">
        <x:v>27</x:v>
      </x:c>
      <x:c r="E2307" s="24" t="s">
        <x:v>198</x:v>
      </x:c>
      <x:c r="F2307" s="20" t="s">
        <x:v>90</x:v>
      </x:c>
      <x:c r="G2307" s="26">
        <x:v>44085</x:v>
      </x:c>
      <x:c r="H2307" s="24" t="s">
        <x:v>10505</x:v>
      </x:c>
      <x:c r="I2307" s="28" t="s">
        <x:v>10506</x:v>
      </x:c>
      <x:c r="J2307" s="29" t="s">
        <x:v>10507</x:v>
      </x:c>
    </x:row>
    <x:row r="2308" ht="10.050000190734863" customHeight="1">
      <x:c r="A2308" s="21" t="s">
        <x:v>10508</x:v>
      </x:c>
      <x:c r="B2308" s="20" t="s">
        <x:v>10508</x:v>
      </x:c>
      <x:c r="C2308" s="20" t="s">
        <x:v>1427</x:v>
      </x:c>
      <x:c r="D2308" s="24">
        <x:v>13</x:v>
      </x:c>
      <x:c r="E2308" s="24" t="s">
        <x:v>96</x:v>
      </x:c>
      <x:c r="F2308" s="20" t="s">
        <x:v>90</x:v>
      </x:c>
      <x:c r="G2308" s="26">
        <x:v>45405</x:v>
      </x:c>
      <x:c r="H2308" s="24" t="s">
        <x:v>10509</x:v>
      </x:c>
      <x:c r="I2308" s="28" t="s">
        <x:v>10510</x:v>
      </x:c>
      <x:c r="J2308" s="29" t="s">
        <x:v>10511</x:v>
      </x:c>
    </x:row>
    <x:row r="2309" ht="10.050000190734863" customHeight="1">
      <x:c r="A2309" s="21" t="s">
        <x:v>10512</x:v>
      </x:c>
      <x:c r="B2309" s="20" t="s">
        <x:v>10512</x:v>
      </x:c>
      <x:c r="C2309" s="20" t="s">
        <x:v>1427</x:v>
      </x:c>
      <x:c r="D2309" s="24">
        <x:v>12</x:v>
      </x:c>
      <x:c r="E2309" s="24" t="s">
        <x:v>96</x:v>
      </x:c>
      <x:c r="F2309" s="20" t="s">
        <x:v>90</x:v>
      </x:c>
      <x:c r="G2309" s="26">
        <x:v>45211</x:v>
      </x:c>
      <x:c r="H2309" s="24" t="s">
        <x:v>10513</x:v>
      </x:c>
      <x:c r="I2309" s="28" t="s">
        <x:v>10514</x:v>
      </x:c>
      <x:c r="J2309" s="29" t="s">
        <x:v>10515</x:v>
      </x:c>
    </x:row>
    <x:row r="2310" ht="10.050000190734863" customHeight="1">
      <x:c r="A2310" s="21" t="s">
        <x:v>10516</x:v>
      </x:c>
      <x:c r="B2310" s="20" t="s">
        <x:v>10516</x:v>
      </x:c>
      <x:c r="C2310" s="20" t="s">
        <x:v>1393</x:v>
      </x:c>
      <x:c r="D2310" s="24">
        <x:v>17</x:v>
      </x:c>
      <x:c r="E2310" s="24" t="s">
        <x:v>89</x:v>
      </x:c>
      <x:c r="F2310" s="20" t="s">
        <x:v>90</x:v>
      </x:c>
      <x:c r="G2310" s="26">
        <x:v>45014</x:v>
      </x:c>
      <x:c r="H2310" s="24" t="s">
        <x:v>10517</x:v>
      </x:c>
      <x:c r="I2310" s="28" t="s">
        <x:v>10518</x:v>
      </x:c>
      <x:c r="J2310" s="29" t="s">
        <x:v>10519</x:v>
      </x:c>
    </x:row>
    <x:row r="2311" ht="10.050000190734863" customHeight="1">
      <x:c r="A2311" s="21" t="s">
        <x:v>10520</x:v>
      </x:c>
      <x:c r="B2311" s="20" t="s">
        <x:v>10520</x:v>
      </x:c>
      <x:c r="C2311" s="20" t="s">
        <x:v>10521</x:v>
      </x:c>
      <x:c r="D2311" s="24">
        <x:v>9</x:v>
      </x:c>
      <x:c r="E2311" s="24" t="s">
        <x:v>198</x:v>
      </x:c>
      <x:c r="F2311" s="20" t="s">
        <x:v>90</x:v>
      </x:c>
      <x:c r="G2311" s="26">
        <x:v>43818</x:v>
      </x:c>
      <x:c r="H2311" s="24" t="s">
        <x:v>10522</x:v>
      </x:c>
      <x:c r="I2311" s="28" t="s">
        <x:v>10523</x:v>
      </x:c>
      <x:c r="J2311" s="29" t="s">
        <x:v>10524</x:v>
      </x:c>
    </x:row>
    <x:row r="2312" ht="10.050000190734863" customHeight="1">
      <x:c r="A2312" s="21" t="s">
        <x:v>10525</x:v>
      </x:c>
      <x:c r="B2312" s="20" t="s">
        <x:v>10525</x:v>
      </x:c>
      <x:c r="C2312" s="20" t="s">
        <x:v>2146</x:v>
      </x:c>
      <x:c r="D2312" s="24">
        <x:v>6</x:v>
      </x:c>
      <x:c r="E2312" s="24" t="s">
        <x:v>103</x:v>
      </x:c>
      <x:c r="F2312" s="20" t="s">
        <x:v>97</x:v>
      </x:c>
      <x:c r="G2312" s="26">
        <x:v>45931</x:v>
      </x:c>
      <x:c r="H2312" s="24" t="s">
        <x:v>10526</x:v>
      </x:c>
      <x:c r="I2312" s="28" t="s">
        <x:v>10527</x:v>
      </x:c>
      <x:c r="J2312" s="29" t="s">
        <x:v>10528</x:v>
      </x:c>
    </x:row>
    <x:row r="2313" ht="10.050000190734863" customHeight="1">
      <x:c r="A2313" s="21" t="s">
        <x:v>10529</x:v>
      </x:c>
      <x:c r="B2313" s="20" t="s">
        <x:v>10529</x:v>
      </x:c>
      <x:c r="C2313" s="20" t="s">
        <x:v>10530</x:v>
      </x:c>
      <x:c r="D2313" s="24">
        <x:v>17</x:v>
      </x:c>
      <x:c r="E2313" s="24" t="s">
        <x:v>89</x:v>
      </x:c>
      <x:c r="F2313" s="20" t="s">
        <x:v>90</x:v>
      </x:c>
      <x:c r="G2313" s="26">
        <x:v>44001</x:v>
      </x:c>
      <x:c r="H2313" s="24" t="s">
        <x:v>10531</x:v>
      </x:c>
      <x:c r="I2313" s="28" t="s">
        <x:v>10532</x:v>
      </x:c>
      <x:c r="J2313" s="29" t="s">
        <x:v>10533</x:v>
      </x:c>
    </x:row>
    <x:row r="2314" ht="10.050000190734863" customHeight="1">
      <x:c r="A2314" s="21" t="s">
        <x:v>10534</x:v>
      </x:c>
      <x:c r="B2314" s="20" t="s">
        <x:v>10534</x:v>
      </x:c>
      <x:c r="C2314" s="20" t="s">
        <x:v>2267</x:v>
      </x:c>
      <x:c r="D2314" s="24">
        <x:v>2</x:v>
      </x:c>
      <x:c r="E2314" s="24" t="s">
        <x:v>89</x:v>
      </x:c>
      <x:c r="F2314" s="20" t="s">
        <x:v>90</x:v>
      </x:c>
      <x:c r="G2314" s="26">
        <x:v>45279</x:v>
      </x:c>
      <x:c r="H2314" s="24" t="s">
        <x:v>10535</x:v>
      </x:c>
      <x:c r="I2314" s="28" t="s">
        <x:v>10536</x:v>
      </x:c>
      <x:c r="J2314" s="29" t="s">
        <x:v>10537</x:v>
      </x:c>
    </x:row>
    <x:row r="2315" ht="10.050000190734863" customHeight="1">
      <x:c r="A2315" s="21" t="s">
        <x:v>10538</x:v>
      </x:c>
      <x:c r="B2315" s="20" t="s">
        <x:v>10538</x:v>
      </x:c>
      <x:c r="C2315" s="20" t="s">
        <x:v>141</x:v>
      </x:c>
      <x:c r="D2315" s="24">
        <x:v>1</x:v>
      </x:c>
      <x:c r="E2315" s="24" t="s">
        <x:v>114</x:v>
      </x:c>
      <x:c r="F2315" s="20" t="s">
        <x:v>90</x:v>
      </x:c>
      <x:c r="G2315" s="26">
        <x:v>44447</x:v>
      </x:c>
      <x:c r="H2315" s="24" t="s">
        <x:v>10539</x:v>
      </x:c>
      <x:c r="I2315" s="28" t="s">
        <x:v>10540</x:v>
      </x:c>
      <x:c r="J2315" s="29" t="s">
        <x:v>10541</x:v>
      </x:c>
    </x:row>
    <x:row r="2316" ht="10.050000190734863" customHeight="1">
      <x:c r="A2316" s="21" t="s">
        <x:v>10542</x:v>
      </x:c>
      <x:c r="B2316" s="20" t="s">
        <x:v>10542</x:v>
      </x:c>
      <x:c r="C2316" s="20" t="s">
        <x:v>10543</x:v>
      </x:c>
      <x:c r="D2316" s="24">
        <x:v>24</x:v>
      </x:c>
      <x:c r="E2316" s="24" t="s">
        <x:v>103</x:v>
      </x:c>
      <x:c r="F2316" s="20" t="s">
        <x:v>97</x:v>
      </x:c>
      <x:c r="G2316" s="26">
        <x:v>42310</x:v>
      </x:c>
      <x:c r="H2316" s="24" t="s">
        <x:v>10544</x:v>
      </x:c>
      <x:c r="I2316" s="28" t="s">
        <x:v>10545</x:v>
      </x:c>
      <x:c r="J2316" s="29" t="s">
        <x:v>10546</x:v>
      </x:c>
    </x:row>
    <x:row r="2317" ht="10.050000190734863" customHeight="1">
      <x:c r="A2317" s="21" t="s">
        <x:v>10547</x:v>
      </x:c>
      <x:c r="B2317" s="20" t="s">
        <x:v>10547</x:v>
      </x:c>
      <x:c r="C2317" s="20" t="s">
        <x:v>10548</x:v>
      </x:c>
      <x:c r="D2317" s="24">
        <x:v>11</x:v>
      </x:c>
      <x:c r="E2317" s="24" t="s">
        <x:v>125</x:v>
      </x:c>
      <x:c r="F2317" s="20" t="s">
        <x:v>90</x:v>
      </x:c>
      <x:c r="G2317" s="26">
        <x:v>46086</x:v>
      </x:c>
      <x:c r="H2317" s="24" t="s">
        <x:v>10549</x:v>
      </x:c>
      <x:c r="I2317" s="28" t="s">
        <x:v>10550</x:v>
      </x:c>
      <x:c r="J2317" s="29" t="s">
        <x:v>10551</x:v>
      </x:c>
    </x:row>
    <x:row r="2318" ht="10.050000190734863" customHeight="1">
      <x:c r="A2318" s="21" t="s">
        <x:v>10552</x:v>
      </x:c>
      <x:c r="B2318" s="20" t="s">
        <x:v>10552</x:v>
      </x:c>
      <x:c r="C2318" s="20" t="s">
        <x:v>8459</x:v>
      </x:c>
      <x:c r="D2318" s="24">
        <x:v>14</x:v>
      </x:c>
      <x:c r="E2318" s="24" t="s">
        <x:v>257</x:v>
      </x:c>
      <x:c r="F2318" s="20" t="s">
        <x:v>97</x:v>
      </x:c>
      <x:c r="G2318" s="26">
        <x:v>42294</x:v>
      </x:c>
      <x:c r="H2318" s="24" t="s">
        <x:v>10553</x:v>
      </x:c>
      <x:c r="I2318" s="28" t="s">
        <x:v>10554</x:v>
      </x:c>
      <x:c r="J2318" s="29" t="s">
        <x:v>10555</x:v>
      </x:c>
    </x:row>
    <x:row r="2319" ht="10.050000190734863" customHeight="1">
      <x:c r="A2319" s="21" t="s">
        <x:v>10556</x:v>
      </x:c>
      <x:c r="B2319" s="20" t="s">
        <x:v>10556</x:v>
      </x:c>
      <x:c r="C2319" s="20" t="s">
        <x:v>983</x:v>
      </x:c>
      <x:c r="D2319" s="24">
        <x:v>11</x:v>
      </x:c>
      <x:c r="E2319" s="24" t="s">
        <x:v>89</x:v>
      </x:c>
      <x:c r="F2319" s="20" t="s">
        <x:v>97</x:v>
      </x:c>
      <x:c r="G2319" s="26">
        <x:v>46112</x:v>
      </x:c>
      <x:c r="H2319" s="24" t="s">
        <x:v>10557</x:v>
      </x:c>
      <x:c r="I2319" s="28" t="s">
        <x:v>10558</x:v>
      </x:c>
      <x:c r="J2319" s="29" t="s">
        <x:v>10559</x:v>
      </x:c>
    </x:row>
    <x:row r="2320" ht="10.050000190734863" customHeight="1">
      <x:c r="A2320" s="21" t="s">
        <x:v>10560</x:v>
      </x:c>
      <x:c r="B2320" s="20" t="s">
        <x:v>10560</x:v>
      </x:c>
      <x:c r="C2320" s="20" t="s">
        <x:v>3896</x:v>
      </x:c>
      <x:c r="D2320" s="24">
        <x:v>1</x:v>
      </x:c>
      <x:c r="E2320" s="24" t="s">
        <x:v>125</x:v>
      </x:c>
      <x:c r="F2320" s="20" t="s">
        <x:v>90</x:v>
      </x:c>
      <x:c r="G2320" s="26">
        <x:v>44376</x:v>
      </x:c>
      <x:c r="H2320" s="24" t="s">
        <x:v>10561</x:v>
      </x:c>
      <x:c r="I2320" s="28" t="s">
        <x:v>10562</x:v>
      </x:c>
      <x:c r="J2320" s="29" t="s">
        <x:v>10563</x:v>
      </x:c>
    </x:row>
    <x:row r="2321" ht="10.050000190734863" customHeight="1">
      <x:c r="A2321" s="21" t="s">
        <x:v>10564</x:v>
      </x:c>
      <x:c r="B2321" s="20" t="s">
        <x:v>10564</x:v>
      </x:c>
      <x:c r="C2321" s="20" t="s">
        <x:v>10565</x:v>
      </x:c>
      <x:c r="D2321" s="24">
        <x:v>89</x:v>
      </x:c>
      <x:c r="E2321" s="24" t="s">
        <x:v>125</x:v>
      </x:c>
      <x:c r="F2321" s="20" t="s">
        <x:v>90</x:v>
      </x:c>
      <x:c r="G2321" s="26">
        <x:v>42788</x:v>
      </x:c>
      <x:c r="H2321" s="24" t="s">
        <x:v>10566</x:v>
      </x:c>
      <x:c r="I2321" s="28" t="s">
        <x:v>10567</x:v>
      </x:c>
      <x:c r="J2321" s="29" t="s">
        <x:v>10568</x:v>
      </x:c>
    </x:row>
    <x:row r="2322" ht="10.050000190734863" customHeight="1">
      <x:c r="A2322" s="21" t="s">
        <x:v>10569</x:v>
      </x:c>
      <x:c r="B2322" s="20" t="s">
        <x:v>10569</x:v>
      </x:c>
      <x:c r="C2322" s="20" t="s">
        <x:v>10565</x:v>
      </x:c>
      <x:c r="D2322" s="24">
        <x:v>89</x:v>
      </x:c>
      <x:c r="E2322" s="24" t="s">
        <x:v>125</x:v>
      </x:c>
      <x:c r="F2322" s="20" t="s">
        <x:v>90</x:v>
      </x:c>
      <x:c r="G2322" s="26">
        <x:v>44946</x:v>
      </x:c>
      <x:c r="H2322" s="24" t="s">
        <x:v>10570</x:v>
      </x:c>
      <x:c r="I2322" s="28" t="s">
        <x:v>10571</x:v>
      </x:c>
      <x:c r="J2322" s="29" t="s">
        <x:v>10572</x:v>
      </x:c>
    </x:row>
    <x:row r="2323" ht="10.050000190734863" customHeight="1">
      <x:c r="A2323" s="21" t="s">
        <x:v>10573</x:v>
      </x:c>
      <x:c r="B2323" s="20" t="s">
        <x:v>10573</x:v>
      </x:c>
      <x:c r="C2323" s="20" t="s">
        <x:v>1608</x:v>
      </x:c>
      <x:c r="D2323" s="24">
        <x:v>0</x:v>
      </x:c>
      <x:c r="E2323" s="24" t="s">
        <x:v>89</x:v>
      </x:c>
      <x:c r="F2323" s="20" t="s">
        <x:v>90</x:v>
      </x:c>
      <x:c r="G2323" s="26">
        <x:v>44309</x:v>
      </x:c>
      <x:c r="H2323" s="24" t="s">
        <x:v>10574</x:v>
      </x:c>
      <x:c r="I2323" s="28" t="s">
        <x:v>10575</x:v>
      </x:c>
      <x:c r="J2323" s="29" t="s">
        <x:v>10576</x:v>
      </x:c>
    </x:row>
    <x:row r="2324" ht="10.050000190734863" customHeight="1">
      <x:c r="A2324" s="21" t="s">
        <x:v>10577</x:v>
      </x:c>
      <x:c r="B2324" s="20" t="s">
        <x:v>10577</x:v>
      </x:c>
      <x:c r="C2324" s="20" t="s">
        <x:v>10578</x:v>
      </x:c>
      <x:c r="D2324" s="24">
        <x:v>0</x:v>
      </x:c>
      <x:c r="E2324" s="24" t="s">
        <x:v>96</x:v>
      </x:c>
      <x:c r="F2324" s="20" t="s">
        <x:v>97</x:v>
      </x:c>
      <x:c r="G2324" s="26">
        <x:v>45762</x:v>
      </x:c>
      <x:c r="H2324" s="24" t="s">
        <x:v>10579</x:v>
      </x:c>
      <x:c r="I2324" s="28" t="s">
        <x:v>10580</x:v>
      </x:c>
      <x:c r="J2324" s="29" t="s">
        <x:v>10581</x:v>
      </x:c>
    </x:row>
    <x:row r="2325" ht="10.050000190734863" customHeight="1">
      <x:c r="A2325" s="21" t="s">
        <x:v>10582</x:v>
      </x:c>
      <x:c r="B2325" s="20" t="s">
        <x:v>10582</x:v>
      </x:c>
      <x:c r="C2325" s="20" t="s">
        <x:v>1467</x:v>
      </x:c>
      <x:c r="D2325" s="24">
        <x:v>8</x:v>
      </x:c>
      <x:c r="E2325" s="24" t="s">
        <x:v>198</x:v>
      </x:c>
      <x:c r="F2325" s="20" t="s">
        <x:v>90</x:v>
      </x:c>
      <x:c r="G2325" s="26">
        <x:v>45244</x:v>
      </x:c>
      <x:c r="H2325" s="24" t="s">
        <x:v>10583</x:v>
      </x:c>
      <x:c r="I2325" s="28" t="s">
        <x:v>10584</x:v>
      </x:c>
      <x:c r="J2325" s="29" t="s">
        <x:v>10585</x:v>
      </x:c>
    </x:row>
    <x:row r="2326" ht="10.050000190734863" customHeight="1">
      <x:c r="A2326" s="21" t="s">
        <x:v>10586</x:v>
      </x:c>
      <x:c r="B2326" s="20" t="s">
        <x:v>10586</x:v>
      </x:c>
      <x:c r="C2326" s="20" t="s">
        <x:v>2557</x:v>
      </x:c>
      <x:c r="D2326" s="24">
        <x:v>21</x:v>
      </x:c>
      <x:c r="E2326" s="24" t="s">
        <x:v>114</x:v>
      </x:c>
      <x:c r="F2326" s="20" t="s">
        <x:v>90</x:v>
      </x:c>
      <x:c r="G2326" s="26">
        <x:v>46215</x:v>
      </x:c>
      <x:c r="H2326" s="24" t="s">
        <x:v>10587</x:v>
      </x:c>
      <x:c r="I2326" s="28" t="s">
        <x:v>10588</x:v>
      </x:c>
      <x:c r="J2326" s="29" t="s">
        <x:v>10589</x:v>
      </x:c>
    </x:row>
    <x:row r="2327" ht="10.050000190734863" customHeight="1">
      <x:c r="A2327" s="21" t="s">
        <x:v>10590</x:v>
      </x:c>
      <x:c r="B2327" s="20" t="s">
        <x:v>10590</x:v>
      </x:c>
      <x:c r="C2327" s="20" t="s">
        <x:v>10591</x:v>
      </x:c>
      <x:c r="D2327" s="24">
        <x:v>24</x:v>
      </x:c>
      <x:c r="E2327" s="24" t="s">
        <x:v>198</x:v>
      </x:c>
      <x:c r="F2327" s="20" t="s">
        <x:v>90</x:v>
      </x:c>
      <x:c r="G2327" s="26">
        <x:v>44163</x:v>
      </x:c>
      <x:c r="H2327" s="24" t="s">
        <x:v>10592</x:v>
      </x:c>
      <x:c r="I2327" s="28" t="s">
        <x:v>10593</x:v>
      </x:c>
      <x:c r="J2327" s="29" t="s">
        <x:v>10594</x:v>
      </x:c>
    </x:row>
    <x:row r="2328" ht="10.050000190734863" customHeight="1">
      <x:c r="A2328" s="21" t="s">
        <x:v>10595</x:v>
      </x:c>
      <x:c r="B2328" s="20" t="s">
        <x:v>10595</x:v>
      </x:c>
      <x:c r="C2328" s="20" t="s">
        <x:v>10591</x:v>
      </x:c>
      <x:c r="D2328" s="24">
        <x:v>20</x:v>
      </x:c>
      <x:c r="E2328" s="24" t="s">
        <x:v>198</x:v>
      </x:c>
      <x:c r="F2328" s="20" t="s">
        <x:v>90</x:v>
      </x:c>
      <x:c r="G2328" s="26">
        <x:v>44366</x:v>
      </x:c>
      <x:c r="H2328" s="24" t="s">
        <x:v>10596</x:v>
      </x:c>
      <x:c r="I2328" s="28" t="s">
        <x:v>10597</x:v>
      </x:c>
      <x:c r="J2328" s="29" t="s">
        <x:v>10598</x:v>
      </x:c>
    </x:row>
    <x:row r="2329" ht="10.050000190734863" customHeight="1">
      <x:c r="A2329" s="21" t="s">
        <x:v>10599</x:v>
      </x:c>
      <x:c r="B2329" s="20" t="s">
        <x:v>10599</x:v>
      </x:c>
      <x:c r="C2329" s="20" t="s">
        <x:v>282</x:v>
      </x:c>
      <x:c r="D2329" s="24">
        <x:v>16</x:v>
      </x:c>
      <x:c r="E2329" s="24" t="s">
        <x:v>103</x:v>
      </x:c>
      <x:c r="F2329" s="20" t="s">
        <x:v>97</x:v>
      </x:c>
      <x:c r="G2329" s="26">
        <x:v>43859</x:v>
      </x:c>
      <x:c r="H2329" s="24" t="s">
        <x:v>10600</x:v>
      </x:c>
      <x:c r="I2329" s="28" t="s">
        <x:v>10601</x:v>
      </x:c>
      <x:c r="J2329" s="29" t="s">
        <x:v>10602</x:v>
      </x:c>
    </x:row>
    <x:row r="2330" ht="10.050000190734863" customHeight="1">
      <x:c r="A2330" s="21" t="s">
        <x:v>10603</x:v>
      </x:c>
      <x:c r="B2330" s="20" t="s">
        <x:v>10603</x:v>
      </x:c>
      <x:c r="C2330" s="20" t="s">
        <x:v>10604</x:v>
      </x:c>
      <x:c r="D2330" s="24">
        <x:v>5</x:v>
      </x:c>
      <x:c r="E2330" s="24" t="s">
        <x:v>103</x:v>
      </x:c>
      <x:c r="F2330" s="20" t="s">
        <x:v>97</x:v>
      </x:c>
      <x:c r="G2330" s="26">
        <x:v>42248</x:v>
      </x:c>
      <x:c r="H2330" s="24" t="s">
        <x:v>10605</x:v>
      </x:c>
      <x:c r="I2330" s="28" t="s">
        <x:v>10606</x:v>
      </x:c>
      <x:c r="J2330" s="29" t="s">
        <x:v>10607</x:v>
      </x:c>
    </x:row>
    <x:row r="2331" ht="10.050000190734863" customHeight="1">
      <x:c r="A2331" s="21" t="s">
        <x:v>10608</x:v>
      </x:c>
      <x:c r="B2331" s="20" t="s">
        <x:v>10608</x:v>
      </x:c>
      <x:c r="C2331" s="20" t="s">
        <x:v>10604</x:v>
      </x:c>
      <x:c r="D2331" s="24">
        <x:v>26</x:v>
      </x:c>
      <x:c r="E2331" s="24" t="s">
        <x:v>103</x:v>
      </x:c>
      <x:c r="F2331" s="20" t="s">
        <x:v>97</x:v>
      </x:c>
      <x:c r="G2331" s="26">
        <x:v>42223</x:v>
      </x:c>
      <x:c r="H2331" s="24" t="s">
        <x:v>10609</x:v>
      </x:c>
      <x:c r="I2331" s="28" t="s">
        <x:v>10610</x:v>
      </x:c>
      <x:c r="J2331" s="29" t="s">
        <x:v>10611</x:v>
      </x:c>
    </x:row>
    <x:row r="2332" ht="10.050000190734863" customHeight="1">
      <x:c r="A2332" s="21" t="s">
        <x:v>10612</x:v>
      </x:c>
      <x:c r="B2332" s="20" t="s">
        <x:v>10612</x:v>
      </x:c>
      <x:c r="C2332" s="20" t="s">
        <x:v>543</x:v>
      </x:c>
      <x:c r="D2332" s="24">
        <x:v>10</x:v>
      </x:c>
      <x:c r="E2332" s="24" t="s">
        <x:v>103</x:v>
      </x:c>
      <x:c r="F2332" s="20" t="s">
        <x:v>97</x:v>
      </x:c>
      <x:c r="G2332" s="26">
        <x:v>43904</x:v>
      </x:c>
      <x:c r="H2332" s="24" t="s">
        <x:v>10613</x:v>
      </x:c>
      <x:c r="I2332" s="28" t="s">
        <x:v>10614</x:v>
      </x:c>
      <x:c r="J2332" s="29" t="s">
        <x:v>10615</x:v>
      </x:c>
    </x:row>
    <x:row r="2333" ht="10.050000190734863" customHeight="1">
      <x:c r="A2333" s="21" t="s">
        <x:v>10616</x:v>
      </x:c>
      <x:c r="B2333" s="20" t="s">
        <x:v>10616</x:v>
      </x:c>
      <x:c r="C2333" s="20" t="s">
        <x:v>2189</x:v>
      </x:c>
      <x:c r="D2333" s="24">
        <x:v>10</x:v>
      </x:c>
      <x:c r="E2333" s="24" t="s">
        <x:v>89</x:v>
      </x:c>
      <x:c r="F2333" s="20" t="s">
        <x:v>97</x:v>
      </x:c>
      <x:c r="G2333" s="26">
        <x:v>44927</x:v>
      </x:c>
      <x:c r="H2333" s="24" t="s">
        <x:v>10617</x:v>
      </x:c>
      <x:c r="I2333" s="28" t="s">
        <x:v>10618</x:v>
      </x:c>
      <x:c r="J2333" s="29" t="s">
        <x:v>10619</x:v>
      </x:c>
    </x:row>
    <x:row r="2334" ht="10.050000190734863" customHeight="1">
      <x:c r="A2334" s="21" t="s">
        <x:v>10620</x:v>
      </x:c>
      <x:c r="B2334" s="20" t="s">
        <x:v>10620</x:v>
      </x:c>
      <x:c r="C2334" s="20" t="s">
        <x:v>2189</x:v>
      </x:c>
      <x:c r="D2334" s="24">
        <x:v>10</x:v>
      </x:c>
      <x:c r="E2334" s="24" t="s">
        <x:v>89</x:v>
      </x:c>
      <x:c r="F2334" s="20" t="s">
        <x:v>97</x:v>
      </x:c>
      <x:c r="G2334" s="26">
        <x:v>44980</x:v>
      </x:c>
      <x:c r="H2334" s="24" t="s">
        <x:v>10621</x:v>
      </x:c>
      <x:c r="I2334" s="28" t="s">
        <x:v>10622</x:v>
      </x:c>
      <x:c r="J2334" s="29" t="s">
        <x:v>10623</x:v>
      </x:c>
    </x:row>
    <x:row r="2335" ht="10.050000190734863" customHeight="1">
      <x:c r="A2335" s="21" t="s">
        <x:v>10624</x:v>
      </x:c>
      <x:c r="B2335" s="20" t="s">
        <x:v>10624</x:v>
      </x:c>
      <x:c r="C2335" s="20" t="s">
        <x:v>10521</x:v>
      </x:c>
      <x:c r="D2335" s="24">
        <x:v>11</x:v>
      </x:c>
      <x:c r="E2335" s="24" t="s">
        <x:v>89</x:v>
      </x:c>
      <x:c r="F2335" s="20" t="s">
        <x:v>90</x:v>
      </x:c>
      <x:c r="G2335" s="26">
        <x:v>43532</x:v>
      </x:c>
      <x:c r="H2335" s="24" t="s">
        <x:v>10625</x:v>
      </x:c>
      <x:c r="I2335" s="28" t="s">
        <x:v>10626</x:v>
      </x:c>
      <x:c r="J2335" s="29" t="s">
        <x:v>10627</x:v>
      </x:c>
    </x:row>
    <x:row r="2336" ht="10.050000190734863" customHeight="1">
      <x:c r="A2336" s="21" t="s">
        <x:v>10628</x:v>
      </x:c>
      <x:c r="B2336" s="20" t="s">
        <x:v>10628</x:v>
      </x:c>
      <x:c r="C2336" s="20" t="s">
        <x:v>10521</x:v>
      </x:c>
      <x:c r="D2336" s="24">
        <x:v>15</x:v>
      </x:c>
      <x:c r="E2336" s="24" t="s">
        <x:v>198</x:v>
      </x:c>
      <x:c r="F2336" s="20" t="s">
        <x:v>90</x:v>
      </x:c>
      <x:c r="G2336" s="26">
        <x:v>43637</x:v>
      </x:c>
      <x:c r="H2336" s="24" t="s">
        <x:v>10629</x:v>
      </x:c>
      <x:c r="I2336" s="28" t="s">
        <x:v>10630</x:v>
      </x:c>
      <x:c r="J2336" s="29" t="s">
        <x:v>10631</x:v>
      </x:c>
    </x:row>
    <x:row r="2337" ht="10.050000190734863" customHeight="1">
      <x:c r="A2337" s="21" t="s">
        <x:v>10632</x:v>
      </x:c>
      <x:c r="B2337" s="20" t="s">
        <x:v>10632</x:v>
      </x:c>
      <x:c r="C2337" s="20" t="s">
        <x:v>2072</x:v>
      </x:c>
      <x:c r="D2337" s="24">
        <x:v>21</x:v>
      </x:c>
      <x:c r="E2337" s="24" t="s">
        <x:v>198</x:v>
      </x:c>
      <x:c r="F2337" s="20" t="s">
        <x:v>90</x:v>
      </x:c>
      <x:c r="G2337" s="26">
        <x:v>44183</x:v>
      </x:c>
      <x:c r="H2337" s="24" t="s">
        <x:v>10633</x:v>
      </x:c>
      <x:c r="I2337" s="28" t="s">
        <x:v>10634</x:v>
      </x:c>
      <x:c r="J2337" s="29" t="s">
        <x:v>10635</x:v>
      </x:c>
    </x:row>
    <x:row r="2338" ht="10.050000190734863" customHeight="1">
      <x:c r="A2338" s="21" t="s">
        <x:v>10636</x:v>
      </x:c>
      <x:c r="B2338" s="20" t="s">
        <x:v>10636</x:v>
      </x:c>
      <x:c r="C2338" s="20" t="s">
        <x:v>10637</x:v>
      </x:c>
      <x:c r="D2338" s="24">
        <x:v>4</x:v>
      </x:c>
      <x:c r="E2338" s="24" t="s">
        <x:v>103</x:v>
      </x:c>
      <x:c r="F2338" s="20" t="s">
        <x:v>97</x:v>
      </x:c>
      <x:c r="G2338" s="26">
        <x:v>42207</x:v>
      </x:c>
      <x:c r="H2338" s="24" t="s">
        <x:v>10638</x:v>
      </x:c>
      <x:c r="I2338" s="28" t="s">
        <x:v>10639</x:v>
      </x:c>
      <x:c r="J2338" s="29" t="s">
        <x:v>10640</x:v>
      </x:c>
    </x:row>
    <x:row r="2339" ht="10.050000190734863" customHeight="1">
      <x:c r="A2339" s="21" t="s">
        <x:v>10641</x:v>
      </x:c>
      <x:c r="B2339" s="20" t="s">
        <x:v>10641</x:v>
      </x:c>
      <x:c r="C2339" s="20" t="s">
        <x:v>4833</x:v>
      </x:c>
      <x:c r="D2339" s="24">
        <x:v>12</x:v>
      </x:c>
      <x:c r="E2339" s="24" t="s">
        <x:v>103</x:v>
      </x:c>
      <x:c r="F2339" s="20" t="s">
        <x:v>97</x:v>
      </x:c>
      <x:c r="G2339" s="26">
        <x:v>45461</x:v>
      </x:c>
      <x:c r="H2339" s="24" t="s">
        <x:v>10642</x:v>
      </x:c>
      <x:c r="I2339" s="28" t="s">
        <x:v>10643</x:v>
      </x:c>
      <x:c r="J2339" s="29" t="s">
        <x:v>10644</x:v>
      </x:c>
    </x:row>
    <x:row r="2340" ht="10.050000190734863" customHeight="1">
      <x:c r="A2340" s="21" t="s">
        <x:v>10645</x:v>
      </x:c>
      <x:c r="B2340" s="20" t="s">
        <x:v>10645</x:v>
      </x:c>
      <x:c r="C2340" s="20" t="s">
        <x:v>7549</x:v>
      </x:c>
      <x:c r="D2340" s="24">
        <x:v>41</x:v>
      </x:c>
      <x:c r="E2340" s="24" t="s">
        <x:v>96</x:v>
      </x:c>
      <x:c r="F2340" s="20" t="s">
        <x:v>97</x:v>
      </x:c>
      <x:c r="G2340" s="26">
        <x:v>42348</x:v>
      </x:c>
      <x:c r="H2340" s="24" t="s">
        <x:v>10646</x:v>
      </x:c>
      <x:c r="I2340" s="28" t="s">
        <x:v>10647</x:v>
      </x:c>
      <x:c r="J2340" s="29" t="s">
        <x:v>10648</x:v>
      </x:c>
    </x:row>
    <x:row r="2341" ht="10.050000190734863" customHeight="1">
      <x:c r="A2341" s="21" t="s">
        <x:v>10649</x:v>
      </x:c>
      <x:c r="B2341" s="20" t="s">
        <x:v>10649</x:v>
      </x:c>
      <x:c r="C2341" s="20" t="s">
        <x:v>7323</x:v>
      </x:c>
      <x:c r="D2341" s="24">
        <x:v>5</x:v>
      </x:c>
      <x:c r="E2341" s="24" t="s">
        <x:v>89</x:v>
      </x:c>
      <x:c r="F2341" s="20" t="s">
        <x:v>90</x:v>
      </x:c>
      <x:c r="G2341" s="26">
        <x:v>44760</x:v>
      </x:c>
      <x:c r="H2341" s="24" t="s">
        <x:v>10650</x:v>
      </x:c>
      <x:c r="I2341" s="28" t="s">
        <x:v>10651</x:v>
      </x:c>
      <x:c r="J2341" s="29" t="s">
        <x:v>10652</x:v>
      </x:c>
    </x:row>
    <x:row r="2342" ht="10.050000190734863" customHeight="1">
      <x:c r="A2342" s="21" t="s">
        <x:v>10653</x:v>
      </x:c>
      <x:c r="B2342" s="20" t="s">
        <x:v>10653</x:v>
      </x:c>
      <x:c r="C2342" s="20" t="s">
        <x:v>1167</x:v>
      </x:c>
      <x:c r="D2342" s="24">
        <x:v>6</x:v>
      </x:c>
      <x:c r="E2342" s="24" t="s">
        <x:v>96</x:v>
      </x:c>
      <x:c r="F2342" s="20" t="s">
        <x:v>97</x:v>
      </x:c>
      <x:c r="G2342" s="26">
        <x:v>45960</x:v>
      </x:c>
      <x:c r="H2342" s="24" t="s">
        <x:v>10654</x:v>
      </x:c>
      <x:c r="I2342" s="28" t="s">
        <x:v>10655</x:v>
      </x:c>
      <x:c r="J2342" s="29" t="s">
        <x:v>10656</x:v>
      </x:c>
    </x:row>
    <x:row r="2343" ht="10.050000190734863" customHeight="1">
      <x:c r="A2343" s="21" t="s">
        <x:v>10657</x:v>
      </x:c>
      <x:c r="B2343" s="20" t="s">
        <x:v>10657</x:v>
      </x:c>
      <x:c r="C2343" s="20" t="s">
        <x:v>10658</x:v>
      </x:c>
      <x:c r="D2343" s="24">
        <x:v>116</x:v>
      </x:c>
      <x:c r="E2343" s="24" t="s">
        <x:v>96</x:v>
      </x:c>
      <x:c r="F2343" s="20" t="s">
        <x:v>97</x:v>
      </x:c>
      <x:c r="G2343" s="26">
        <x:v>44706</x:v>
      </x:c>
      <x:c r="H2343" s="24" t="s">
        <x:v>10659</x:v>
      </x:c>
      <x:c r="I2343" s="28" t="s">
        <x:v>10660</x:v>
      </x:c>
      <x:c r="J2343" s="29" t="s">
        <x:v>10661</x:v>
      </x:c>
    </x:row>
    <x:row r="2344" ht="10.050000190734863" customHeight="1">
      <x:c r="A2344" s="21" t="s">
        <x:v>10662</x:v>
      </x:c>
      <x:c r="B2344" s="20" t="s">
        <x:v>10662</x:v>
      </x:c>
      <x:c r="C2344" s="20" t="s">
        <x:v>10658</x:v>
      </x:c>
      <x:c r="D2344" s="24">
        <x:v>131</x:v>
      </x:c>
      <x:c r="E2344" s="24" t="s">
        <x:v>96</x:v>
      </x:c>
      <x:c r="F2344" s="20" t="s">
        <x:v>97</x:v>
      </x:c>
      <x:c r="G2344" s="26">
        <x:v>44879</x:v>
      </x:c>
      <x:c r="H2344" s="24" t="s">
        <x:v>10663</x:v>
      </x:c>
      <x:c r="I2344" s="28" t="s">
        <x:v>10664</x:v>
      </x:c>
      <x:c r="J2344" s="29" t="s">
        <x:v>10665</x:v>
      </x:c>
    </x:row>
    <x:row r="2345" ht="10.050000190734863" customHeight="1">
      <x:c r="A2345" s="21" t="s">
        <x:v>10666</x:v>
      </x:c>
      <x:c r="B2345" s="20" t="s">
        <x:v>10666</x:v>
      </x:c>
      <x:c r="C2345" s="20" t="s">
        <x:v>771</x:v>
      </x:c>
      <x:c r="D2345" s="24">
        <x:v>76</x:v>
      </x:c>
      <x:c r="E2345" s="24" t="s">
        <x:v>96</x:v>
      </x:c>
      <x:c r="F2345" s="20" t="s">
        <x:v>97</x:v>
      </x:c>
      <x:c r="G2345" s="26">
        <x:v>42583</x:v>
      </x:c>
      <x:c r="H2345" s="24" t="s">
        <x:v>10667</x:v>
      </x:c>
      <x:c r="I2345" s="28" t="s">
        <x:v>10668</x:v>
      </x:c>
      <x:c r="J2345" s="29" t="s">
        <x:v>10669</x:v>
      </x:c>
    </x:row>
    <x:row r="2346" ht="10.050000190734863" customHeight="1">
      <x:c r="A2346" s="21" t="s">
        <x:v>10670</x:v>
      </x:c>
      <x:c r="B2346" s="20" t="s">
        <x:v>10670</x:v>
      </x:c>
      <x:c r="C2346" s="20" t="s">
        <x:v>771</x:v>
      </x:c>
      <x:c r="D2346" s="24">
        <x:v>113</x:v>
      </x:c>
      <x:c r="E2346" s="24" t="s">
        <x:v>96</x:v>
      </x:c>
      <x:c r="F2346" s="20" t="s">
        <x:v>97</x:v>
      </x:c>
      <x:c r="G2346" s="26">
        <x:v>43280</x:v>
      </x:c>
      <x:c r="H2346" s="24" t="s">
        <x:v>10671</x:v>
      </x:c>
      <x:c r="I2346" s="28" t="s">
        <x:v>10672</x:v>
      </x:c>
      <x:c r="J2346" s="29" t="s">
        <x:v>10673</x:v>
      </x:c>
    </x:row>
    <x:row r="2347" ht="10.050000190734863" customHeight="1">
      <x:c r="A2347" s="21" t="s">
        <x:v>10674</x:v>
      </x:c>
      <x:c r="B2347" s="20" t="s">
        <x:v>10674</x:v>
      </x:c>
      <x:c r="C2347" s="20" t="s">
        <x:v>771</x:v>
      </x:c>
      <x:c r="D2347" s="24">
        <x:v>150</x:v>
      </x:c>
      <x:c r="E2347" s="24" t="s">
        <x:v>96</x:v>
      </x:c>
      <x:c r="F2347" s="20" t="s">
        <x:v>97</x:v>
      </x:c>
      <x:c r="G2347" s="26">
        <x:v>44868</x:v>
      </x:c>
      <x:c r="H2347" s="24" t="s">
        <x:v>10675</x:v>
      </x:c>
      <x:c r="I2347" s="28" t="s">
        <x:v>10676</x:v>
      </x:c>
      <x:c r="J2347" s="29" t="s">
        <x:v>10677</x:v>
      </x:c>
    </x:row>
    <x:row r="2348" ht="10.050000190734863" customHeight="1">
      <x:c r="A2348" s="21" t="s">
        <x:v>10678</x:v>
      </x:c>
      <x:c r="B2348" s="20" t="s">
        <x:v>10678</x:v>
      </x:c>
      <x:c r="C2348" s="20" t="s">
        <x:v>10679</x:v>
      </x:c>
      <x:c r="D2348" s="24">
        <x:v>27</x:v>
      </x:c>
      <x:c r="E2348" s="24" t="s">
        <x:v>96</x:v>
      </x:c>
      <x:c r="F2348" s="20" t="s">
        <x:v>97</x:v>
      </x:c>
      <x:c r="G2348" s="26">
        <x:v>44581</x:v>
      </x:c>
      <x:c r="H2348" s="24" t="s">
        <x:v>10680</x:v>
      </x:c>
      <x:c r="I2348" s="28" t="s">
        <x:v>10681</x:v>
      </x:c>
      <x:c r="J2348" s="29" t="s">
        <x:v>10682</x:v>
      </x:c>
    </x:row>
    <x:row r="2349" ht="10.050000190734863" customHeight="1">
      <x:c r="A2349" s="21" t="s">
        <x:v>10683</x:v>
      </x:c>
      <x:c r="B2349" s="20" t="s">
        <x:v>10683</x:v>
      </x:c>
      <x:c r="C2349" s="20" t="s">
        <x:v>3924</x:v>
      </x:c>
      <x:c r="D2349" s="24">
        <x:v>37</x:v>
      </x:c>
      <x:c r="E2349" s="24" t="s">
        <x:v>89</x:v>
      </x:c>
      <x:c r="F2349" s="20" t="s">
        <x:v>97</x:v>
      </x:c>
      <x:c r="G2349" s="26">
        <x:v>45900</x:v>
      </x:c>
      <x:c r="H2349" s="24" t="s">
        <x:v>10684</x:v>
      </x:c>
      <x:c r="I2349" s="28" t="s">
        <x:v>10685</x:v>
      </x:c>
      <x:c r="J2349" s="29" t="s">
        <x:v>10686</x:v>
      </x:c>
    </x:row>
    <x:row r="2350" ht="10.050000190734863" customHeight="1">
      <x:c r="A2350" s="21" t="s">
        <x:v>10687</x:v>
      </x:c>
      <x:c r="B2350" s="20" t="s">
        <x:v>10687</x:v>
      </x:c>
      <x:c r="C2350" s="20" t="s">
        <x:v>9809</x:v>
      </x:c>
      <x:c r="D2350" s="24">
        <x:v>6</x:v>
      </x:c>
      <x:c r="E2350" s="24" t="s">
        <x:v>257</x:v>
      </x:c>
      <x:c r="F2350" s="20" t="s">
        <x:v>97</x:v>
      </x:c>
      <x:c r="G2350" s="26">
        <x:v>42235</x:v>
      </x:c>
      <x:c r="H2350" s="24" t="s">
        <x:v>10688</x:v>
      </x:c>
      <x:c r="I2350" s="28" t="s">
        <x:v>10689</x:v>
      </x:c>
      <x:c r="J2350" s="29" t="s">
        <x:v>10690</x:v>
      </x:c>
    </x:row>
    <x:row r="2351" ht="10.050000190734863" customHeight="1">
      <x:c r="A2351" s="21" t="s">
        <x:v>10691</x:v>
      </x:c>
      <x:c r="B2351" s="20" t="s">
        <x:v>10691</x:v>
      </x:c>
      <x:c r="C2351" s="20" t="s">
        <x:v>262</x:v>
      </x:c>
      <x:c r="D2351" s="24">
        <x:v>10</x:v>
      </x:c>
      <x:c r="E2351" s="24" t="s">
        <x:v>103</x:v>
      </x:c>
      <x:c r="F2351" s="20" t="s">
        <x:v>97</x:v>
      </x:c>
      <x:c r="G2351" s="26">
        <x:v>42102</x:v>
      </x:c>
      <x:c r="H2351" s="24" t="s">
        <x:v>10692</x:v>
      </x:c>
      <x:c r="I2351" s="28" t="s">
        <x:v>10693</x:v>
      </x:c>
      <x:c r="J2351" s="29" t="s">
        <x:v>10694</x:v>
      </x:c>
    </x:row>
    <x:row r="2352" ht="10.050000190734863" customHeight="1">
      <x:c r="A2352" s="21" t="s">
        <x:v>10695</x:v>
      </x:c>
      <x:c r="B2352" s="20" t="s">
        <x:v>10695</x:v>
      </x:c>
      <x:c r="C2352" s="20" t="s">
        <x:v>10696</x:v>
      </x:c>
      <x:c r="D2352" s="24">
        <x:v>5</x:v>
      </x:c>
      <x:c r="E2352" s="24" t="s">
        <x:v>257</x:v>
      </x:c>
      <x:c r="F2352" s="20" t="s">
        <x:v>97</x:v>
      </x:c>
      <x:c r="G2352" s="26">
        <x:v>42311</x:v>
      </x:c>
      <x:c r="H2352" s="24" t="s">
        <x:v>10697</x:v>
      </x:c>
      <x:c r="I2352" s="28" t="s">
        <x:v>10698</x:v>
      </x:c>
      <x:c r="J2352" s="29" t="s">
        <x:v>10699</x:v>
      </x:c>
    </x:row>
    <x:row r="2353" ht="10.050000190734863" customHeight="1">
      <x:c r="A2353" s="21" t="s">
        <x:v>10700</x:v>
      </x:c>
      <x:c r="B2353" s="20" t="s">
        <x:v>10700</x:v>
      </x:c>
      <x:c r="C2353" s="20" t="s">
        <x:v>771</x:v>
      </x:c>
      <x:c r="D2353" s="24">
        <x:v>114</x:v>
      </x:c>
      <x:c r="E2353" s="24" t="s">
        <x:v>96</x:v>
      </x:c>
      <x:c r="F2353" s="20" t="s">
        <x:v>97</x:v>
      </x:c>
      <x:c r="G2353" s="26">
        <x:v>45498</x:v>
      </x:c>
      <x:c r="H2353" s="24" t="s">
        <x:v>10701</x:v>
      </x:c>
      <x:c r="I2353" s="28" t="s">
        <x:v>10702</x:v>
      </x:c>
      <x:c r="J2353" s="29" t="s">
        <x:v>10703</x:v>
      </x:c>
    </x:row>
    <x:row r="2354" ht="10.050000190734863" customHeight="1">
      <x:c r="A2354" s="21" t="s">
        <x:v>10704</x:v>
      </x:c>
      <x:c r="B2354" s="20" t="s">
        <x:v>10704</x:v>
      </x:c>
      <x:c r="C2354" s="20" t="s">
        <x:v>771</x:v>
      </x:c>
      <x:c r="D2354" s="24">
        <x:v>86</x:v>
      </x:c>
      <x:c r="E2354" s="24" t="s">
        <x:v>96</x:v>
      </x:c>
      <x:c r="F2354" s="20" t="s">
        <x:v>97</x:v>
      </x:c>
      <x:c r="G2354" s="26">
        <x:v>41831</x:v>
      </x:c>
      <x:c r="H2354" s="24" t="s">
        <x:v>10705</x:v>
      </x:c>
      <x:c r="I2354" s="28" t="s">
        <x:v>10706</x:v>
      </x:c>
      <x:c r="J2354" s="29" t="s">
        <x:v>10707</x:v>
      </x:c>
    </x:row>
    <x:row r="2355" ht="10.050000190734863" customHeight="1">
      <x:c r="A2355" s="21" t="s">
        <x:v>10708</x:v>
      </x:c>
      <x:c r="B2355" s="20" t="s">
        <x:v>10708</x:v>
      </x:c>
      <x:c r="C2355" s="20" t="s">
        <x:v>771</x:v>
      </x:c>
      <x:c r="D2355" s="24">
        <x:v>121</x:v>
      </x:c>
      <x:c r="E2355" s="24" t="s">
        <x:v>89</x:v>
      </x:c>
      <x:c r="F2355" s="20" t="s">
        <x:v>97</x:v>
      </x:c>
      <x:c r="G2355" s="26">
        <x:v>42121</x:v>
      </x:c>
      <x:c r="H2355" s="24" t="s">
        <x:v>10709</x:v>
      </x:c>
      <x:c r="I2355" s="28" t="s">
        <x:v>10710</x:v>
      </x:c>
      <x:c r="J2355" s="29" t="s">
        <x:v>10711</x:v>
      </x:c>
    </x:row>
    <x:row r="2356" ht="10.050000190734863" customHeight="1">
      <x:c r="A2356" s="21" t="s">
        <x:v>10712</x:v>
      </x:c>
      <x:c r="B2356" s="20" t="s">
        <x:v>10712</x:v>
      </x:c>
      <x:c r="C2356" s="20" t="s">
        <x:v>771</x:v>
      </x:c>
      <x:c r="D2356" s="24">
        <x:v>152</x:v>
      </x:c>
      <x:c r="E2356" s="24" t="s">
        <x:v>89</x:v>
      </x:c>
      <x:c r="F2356" s="20" t="s">
        <x:v>97</x:v>
      </x:c>
      <x:c r="G2356" s="26">
        <x:v>42725</x:v>
      </x:c>
      <x:c r="H2356" s="24" t="s">
        <x:v>10713</x:v>
      </x:c>
      <x:c r="I2356" s="28" t="s">
        <x:v>10714</x:v>
      </x:c>
      <x:c r="J2356" s="29" t="s">
        <x:v>10715</x:v>
      </x:c>
    </x:row>
    <x:row r="2357" ht="10.050000190734863" customHeight="1">
      <x:c r="A2357" s="21" t="s">
        <x:v>10716</x:v>
      </x:c>
      <x:c r="B2357" s="20" t="s">
        <x:v>10716</x:v>
      </x:c>
      <x:c r="C2357" s="20" t="s">
        <x:v>1751</x:v>
      </x:c>
      <x:c r="D2357" s="24">
        <x:v>93</x:v>
      </x:c>
      <x:c r="E2357" s="24" t="s">
        <x:v>96</x:v>
      </x:c>
      <x:c r="F2357" s="20" t="s">
        <x:v>97</x:v>
      </x:c>
      <x:c r="G2357" s="26">
        <x:v>45800</x:v>
      </x:c>
      <x:c r="H2357" s="24" t="s">
        <x:v>10717</x:v>
      </x:c>
      <x:c r="I2357" s="28" t="s">
        <x:v>10718</x:v>
      </x:c>
      <x:c r="J2357" s="29" t="s">
        <x:v>10719</x:v>
      </x:c>
    </x:row>
    <x:row r="2358" ht="10.050000190734863" customHeight="1">
      <x:c r="A2358" s="21" t="s">
        <x:v>10720</x:v>
      </x:c>
      <x:c r="B2358" s="20" t="s">
        <x:v>10720</x:v>
      </x:c>
      <x:c r="C2358" s="20" t="s">
        <x:v>10721</x:v>
      </x:c>
      <x:c r="D2358" s="24">
        <x:v>6</x:v>
      </x:c>
      <x:c r="E2358" s="24" t="s">
        <x:v>257</x:v>
      </x:c>
      <x:c r="F2358" s="20" t="s">
        <x:v>97</x:v>
      </x:c>
      <x:c r="G2358" s="26">
        <x:v>42339</x:v>
      </x:c>
      <x:c r="H2358" s="24" t="s">
        <x:v>10722</x:v>
      </x:c>
      <x:c r="I2358" s="28" t="s">
        <x:v>10723</x:v>
      </x:c>
      <x:c r="J2358" s="29" t="s">
        <x:v>10724</x:v>
      </x:c>
    </x:row>
    <x:row r="2359" ht="10.050000190734863" customHeight="1">
      <x:c r="A2359" s="21" t="s">
        <x:v>10725</x:v>
      </x:c>
      <x:c r="B2359" s="20" t="s">
        <x:v>10725</x:v>
      </x:c>
      <x:c r="C2359" s="20" t="s">
        <x:v>1594</x:v>
      </x:c>
      <x:c r="D2359" s="24">
        <x:v>14</x:v>
      </x:c>
      <x:c r="E2359" s="24" t="s">
        <x:v>114</x:v>
      </x:c>
      <x:c r="F2359" s="20" t="s">
        <x:v>90</x:v>
      </x:c>
      <x:c r="G2359" s="26">
        <x:v>45447</x:v>
      </x:c>
      <x:c r="H2359" s="24" t="s">
        <x:v>10726</x:v>
      </x:c>
      <x:c r="I2359" s="28" t="s">
        <x:v>10727</x:v>
      </x:c>
      <x:c r="J2359" s="29" t="s">
        <x:v>10728</x:v>
      </x:c>
    </x:row>
    <x:row r="2360" ht="10.050000190734863" customHeight="1">
      <x:c r="A2360" s="21" t="s">
        <x:v>10729</x:v>
      </x:c>
      <x:c r="B2360" s="20" t="s">
        <x:v>10729</x:v>
      </x:c>
      <x:c r="C2360" s="20" t="s">
        <x:v>7096</x:v>
      </x:c>
      <x:c r="D2360" s="24">
        <x:v>10</x:v>
      </x:c>
      <x:c r="E2360" s="24" t="s">
        <x:v>198</x:v>
      </x:c>
      <x:c r="F2360" s="20" t="s">
        <x:v>90</x:v>
      </x:c>
      <x:c r="G2360" s="26">
        <x:v>45941</x:v>
      </x:c>
      <x:c r="H2360" s="24" t="s">
        <x:v>10730</x:v>
      </x:c>
      <x:c r="I2360" s="28" t="s">
        <x:v>10731</x:v>
      </x:c>
      <x:c r="J2360" s="29" t="s">
        <x:v>10732</x:v>
      </x:c>
    </x:row>
    <x:row r="2361" ht="10.050000190734863" customHeight="1">
      <x:c r="A2361" s="21" t="s">
        <x:v>10733</x:v>
      </x:c>
      <x:c r="B2361" s="20" t="s">
        <x:v>10733</x:v>
      </x:c>
      <x:c r="C2361" s="20" t="s">
        <x:v>10734</x:v>
      </x:c>
      <x:c r="D2361" s="24">
        <x:v>45</x:v>
      </x:c>
      <x:c r="E2361" s="24" t="s">
        <x:v>103</x:v>
      </x:c>
      <x:c r="F2361" s="20" t="s">
        <x:v>97</x:v>
      </x:c>
      <x:c r="G2361" s="26">
        <x:v>43218</x:v>
      </x:c>
      <x:c r="H2361" s="24" t="s">
        <x:v>10735</x:v>
      </x:c>
      <x:c r="I2361" s="28" t="s">
        <x:v>10736</x:v>
      </x:c>
      <x:c r="J2361" s="29" t="s">
        <x:v>10737</x:v>
      </x:c>
    </x:row>
    <x:row r="2362" ht="10.050000190734863" customHeight="1">
      <x:c r="A2362" s="21" t="s">
        <x:v>10738</x:v>
      </x:c>
      <x:c r="B2362" s="20" t="s">
        <x:v>10738</x:v>
      </x:c>
      <x:c r="C2362" s="20" t="s">
        <x:v>7238</x:v>
      </x:c>
      <x:c r="D2362" s="24">
        <x:v>10</x:v>
      </x:c>
      <x:c r="E2362" s="24" t="s">
        <x:v>89</x:v>
      </x:c>
      <x:c r="F2362" s="20" t="s">
        <x:v>90</x:v>
      </x:c>
      <x:c r="G2362" s="26">
        <x:v>45078</x:v>
      </x:c>
      <x:c r="H2362" s="24" t="s">
        <x:v>10739</x:v>
      </x:c>
      <x:c r="I2362" s="28" t="s">
        <x:v>10740</x:v>
      </x:c>
      <x:c r="J2362" s="29" t="s">
        <x:v>10741</x:v>
      </x:c>
    </x:row>
    <x:row r="2363" ht="10.050000190734863" customHeight="1">
      <x:c r="A2363" s="21" t="s">
        <x:v>10742</x:v>
      </x:c>
      <x:c r="B2363" s="20" t="s">
        <x:v>10742</x:v>
      </x:c>
      <x:c r="C2363" s="20" t="s">
        <x:v>10743</x:v>
      </x:c>
      <x:c r="D2363" s="24">
        <x:v>10</x:v>
      </x:c>
      <x:c r="E2363" s="24" t="s">
        <x:v>257</x:v>
      </x:c>
      <x:c r="F2363" s="20" t="s">
        <x:v>97</x:v>
      </x:c>
      <x:c r="G2363" s="26">
        <x:v>41545</x:v>
      </x:c>
      <x:c r="H2363" s="24" t="s">
        <x:v>10744</x:v>
      </x:c>
      <x:c r="I2363" s="28" t="s">
        <x:v>10745</x:v>
      </x:c>
      <x:c r="J2363" s="29" t="s">
        <x:v>10746</x:v>
      </x:c>
    </x:row>
    <x:row r="2364" ht="10.050000190734863" customHeight="1">
      <x:c r="A2364" s="21" t="s">
        <x:v>10747</x:v>
      </x:c>
      <x:c r="B2364" s="20" t="s">
        <x:v>10747</x:v>
      </x:c>
      <x:c r="C2364" s="20" t="s">
        <x:v>10743</x:v>
      </x:c>
      <x:c r="D2364" s="24">
        <x:v>8</x:v>
      </x:c>
      <x:c r="E2364" s="24" t="s">
        <x:v>103</x:v>
      </x:c>
      <x:c r="F2364" s="20" t="s">
        <x:v>97</x:v>
      </x:c>
      <x:c r="G2364" s="26">
        <x:v>41573</x:v>
      </x:c>
      <x:c r="H2364" s="24" t="s">
        <x:v>10748</x:v>
      </x:c>
      <x:c r="I2364" s="28" t="s">
        <x:v>10749</x:v>
      </x:c>
      <x:c r="J2364" s="29" t="s">
        <x:v>10750</x:v>
      </x:c>
    </x:row>
    <x:row r="2365" ht="10.050000190734863" customHeight="1">
      <x:c r="A2365" s="21" t="s">
        <x:v>10751</x:v>
      </x:c>
      <x:c r="B2365" s="20" t="s">
        <x:v>10751</x:v>
      </x:c>
      <x:c r="C2365" s="20" t="s">
        <x:v>10752</x:v>
      </x:c>
      <x:c r="D2365" s="24">
        <x:v>3</x:v>
      </x:c>
      <x:c r="E2365" s="24" t="s">
        <x:v>103</x:v>
      </x:c>
      <x:c r="F2365" s="20" t="s">
        <x:v>97</x:v>
      </x:c>
      <x:c r="G2365" s="26">
        <x:v>42040</x:v>
      </x:c>
      <x:c r="H2365" s="24" t="s">
        <x:v>10753</x:v>
      </x:c>
      <x:c r="I2365" s="28" t="s">
        <x:v>10754</x:v>
      </x:c>
      <x:c r="J2365" s="29" t="s">
        <x:v>10755</x:v>
      </x:c>
    </x:row>
    <x:row r="2366" ht="10.050000190734863" customHeight="1">
      <x:c r="A2366" s="21" t="s">
        <x:v>10756</x:v>
      </x:c>
      <x:c r="B2366" s="20" t="s">
        <x:v>10756</x:v>
      </x:c>
      <x:c r="C2366" s="20" t="s">
        <x:v>2099</x:v>
      </x:c>
      <x:c r="D2366" s="24">
        <x:v>5</x:v>
      </x:c>
      <x:c r="E2366" s="24" t="s">
        <x:v>96</x:v>
      </x:c>
      <x:c r="F2366" s="20" t="s">
        <x:v>610</x:v>
      </x:c>
      <x:c r="G2366" s="26">
        <x:v>43520</x:v>
      </x:c>
      <x:c r="H2366" s="24" t="s">
        <x:v>10757</x:v>
      </x:c>
      <x:c r="I2366" s="28" t="s">
        <x:v>10758</x:v>
      </x:c>
      <x:c r="J2366" s="29" t="s">
        <x:v>10759</x:v>
      </x:c>
    </x:row>
    <x:row r="2367" ht="10.050000190734863" customHeight="1">
      <x:c r="A2367" s="21" t="s">
        <x:v>10760</x:v>
      </x:c>
      <x:c r="B2367" s="20" t="s">
        <x:v>10760</x:v>
      </x:c>
      <x:c r="C2367" s="20" t="s">
        <x:v>742</x:v>
      </x:c>
      <x:c r="D2367" s="24">
        <x:v>0</x:v>
      </x:c>
      <x:c r="E2367" s="24" t="s">
        <x:v>257</x:v>
      </x:c>
      <x:c r="F2367" s="20" t="s">
        <x:v>97</x:v>
      </x:c>
      <x:c r="G2367" s="26">
        <x:v>45604</x:v>
      </x:c>
      <x:c r="H2367" s="24" t="s">
        <x:v>10761</x:v>
      </x:c>
      <x:c r="I2367" s="28" t="s">
        <x:v>10762</x:v>
      </x:c>
      <x:c r="J2367" s="29" t="s">
        <x:v>10763</x:v>
      </x:c>
    </x:row>
    <x:row r="2368" ht="10.050000190734863" customHeight="1">
      <x:c r="A2368" s="21" t="s">
        <x:v>10764</x:v>
      </x:c>
      <x:c r="B2368" s="20" t="s">
        <x:v>10764</x:v>
      </x:c>
      <x:c r="C2368" s="20" t="s">
        <x:v>379</x:v>
      </x:c>
      <x:c r="D2368" s="24">
        <x:v>1</x:v>
      </x:c>
      <x:c r="E2368" s="24" t="s">
        <x:v>114</x:v>
      </x:c>
      <x:c r="F2368" s="20" t="s">
        <x:v>90</x:v>
      </x:c>
      <x:c r="G2368" s="26">
        <x:v>45074</x:v>
      </x:c>
      <x:c r="H2368" s="24" t="s">
        <x:v>10765</x:v>
      </x:c>
      <x:c r="I2368" s="28" t="s">
        <x:v>10766</x:v>
      </x:c>
      <x:c r="J2368" s="29" t="s">
        <x:v>10767</x:v>
      </x:c>
    </x:row>
    <x:row r="2369" ht="10.050000190734863" customHeight="1">
      <x:c r="A2369" s="21" t="s">
        <x:v>10768</x:v>
      </x:c>
      <x:c r="B2369" s="20" t="s">
        <x:v>10768</x:v>
      </x:c>
      <x:c r="C2369" s="20" t="s">
        <x:v>379</x:v>
      </x:c>
      <x:c r="D2369" s="24">
        <x:v>1</x:v>
      </x:c>
      <x:c r="E2369" s="24" t="s">
        <x:v>125</x:v>
      </x:c>
      <x:c r="F2369" s="20" t="s">
        <x:v>90</x:v>
      </x:c>
      <x:c r="G2369" s="26">
        <x:v>46000</x:v>
      </x:c>
      <x:c r="H2369" s="24" t="s">
        <x:v>10769</x:v>
      </x:c>
      <x:c r="I2369" s="28" t="s">
        <x:v>10770</x:v>
      </x:c>
      <x:c r="J2369" s="29" t="s">
        <x:v>10771</x:v>
      </x:c>
    </x:row>
    <x:row r="2370" ht="10.050000190734863" customHeight="1">
      <x:c r="A2370" s="21" t="s">
        <x:v>10772</x:v>
      </x:c>
      <x:c r="B2370" s="20" t="s">
        <x:v>10772</x:v>
      </x:c>
      <x:c r="C2370" s="20" t="s">
        <x:v>1955</x:v>
      </x:c>
      <x:c r="D2370" s="24">
        <x:v>0</x:v>
      </x:c>
      <x:c r="E2370" s="24" t="s">
        <x:v>198</x:v>
      </x:c>
      <x:c r="F2370" s="20" t="s">
        <x:v>90</x:v>
      </x:c>
      <x:c r="G2370" s="26">
        <x:v>46090</x:v>
      </x:c>
      <x:c r="H2370" s="24" t="s">
        <x:v>10773</x:v>
      </x:c>
      <x:c r="I2370" s="28" t="s">
        <x:v>10774</x:v>
      </x:c>
      <x:c r="J2370" s="29" t="s">
        <x:v>10775</x:v>
      </x:c>
    </x:row>
    <x:row r="2371" ht="10.050000190734863" customHeight="1">
      <x:c r="A2371" s="21" t="s">
        <x:v>10776</x:v>
      </x:c>
      <x:c r="B2371" s="20" t="s">
        <x:v>10776</x:v>
      </x:c>
      <x:c r="C2371" s="20" t="s">
        <x:v>2099</x:v>
      </x:c>
      <x:c r="D2371" s="24">
        <x:v>12</x:v>
      </x:c>
      <x:c r="E2371" s="24" t="s">
        <x:v>198</x:v>
      </x:c>
      <x:c r="F2371" s="20" t="s">
        <x:v>90</x:v>
      </x:c>
      <x:c r="G2371" s="26">
        <x:v>43696</x:v>
      </x:c>
      <x:c r="H2371" s="24" t="s">
        <x:v>10777</x:v>
      </x:c>
      <x:c r="I2371" s="28" t="s">
        <x:v>10778</x:v>
      </x:c>
      <x:c r="J2371" s="29" t="s">
        <x:v>10779</x:v>
      </x:c>
    </x:row>
    <x:row r="2372" ht="10.050000190734863" customHeight="1">
      <x:c r="A2372" s="21" t="s">
        <x:v>10780</x:v>
      </x:c>
      <x:c r="B2372" s="20" t="s">
        <x:v>10780</x:v>
      </x:c>
      <x:c r="C2372" s="20" t="s">
        <x:v>447</x:v>
      </x:c>
      <x:c r="D2372" s="24">
        <x:v>6</x:v>
      </x:c>
      <x:c r="E2372" s="24" t="s">
        <x:v>257</x:v>
      </x:c>
      <x:c r="F2372" s="20" t="s">
        <x:v>97</x:v>
      </x:c>
      <x:c r="G2372" s="26">
        <x:v>42027</x:v>
      </x:c>
      <x:c r="H2372" s="24" t="s">
        <x:v>10781</x:v>
      </x:c>
      <x:c r="I2372" s="28" t="s">
        <x:v>10782</x:v>
      </x:c>
      <x:c r="J2372" s="29" t="s">
        <x:v>10783</x:v>
      </x:c>
    </x:row>
    <x:row r="2373" ht="10.050000190734863" customHeight="1">
      <x:c r="A2373" s="21" t="s">
        <x:v>10784</x:v>
      </x:c>
      <x:c r="B2373" s="20" t="s">
        <x:v>10784</x:v>
      </x:c>
      <x:c r="C2373" s="20" t="s">
        <x:v>447</x:v>
      </x:c>
      <x:c r="D2373" s="24">
        <x:v>9</x:v>
      </x:c>
      <x:c r="E2373" s="24" t="s">
        <x:v>103</x:v>
      </x:c>
      <x:c r="F2373" s="20" t="s">
        <x:v>97</x:v>
      </x:c>
      <x:c r="G2373" s="26">
        <x:v>41701</x:v>
      </x:c>
      <x:c r="H2373" s="24" t="s">
        <x:v>10785</x:v>
      </x:c>
      <x:c r="I2373" s="28" t="s">
        <x:v>10786</x:v>
      </x:c>
      <x:c r="J2373" s="29" t="s">
        <x:v>10787</x:v>
      </x:c>
    </x:row>
    <x:row r="2374" ht="10.050000190734863" customHeight="1">
      <x:c r="A2374" s="21" t="s">
        <x:v>10788</x:v>
      </x:c>
      <x:c r="B2374" s="20" t="s">
        <x:v>10788</x:v>
      </x:c>
      <x:c r="C2374" s="20" t="s">
        <x:v>3611</x:v>
      </x:c>
      <x:c r="D2374" s="24">
        <x:v>12</x:v>
      </x:c>
      <x:c r="E2374" s="24" t="s">
        <x:v>198</x:v>
      </x:c>
      <x:c r="F2374" s="20" t="s">
        <x:v>90</x:v>
      </x:c>
      <x:c r="G2374" s="26">
        <x:v>45603</x:v>
      </x:c>
      <x:c r="H2374" s="24" t="s">
        <x:v>10789</x:v>
      </x:c>
      <x:c r="I2374" s="28" t="s">
        <x:v>10790</x:v>
      </x:c>
      <x:c r="J2374" s="29" t="s">
        <x:v>10791</x:v>
      </x:c>
    </x:row>
    <x:row r="2375" ht="10.050000190734863" customHeight="1">
      <x:c r="A2375" s="21" t="s">
        <x:v>10792</x:v>
      </x:c>
      <x:c r="B2375" s="20" t="s">
        <x:v>10792</x:v>
      </x:c>
      <x:c r="C2375" s="20" t="s">
        <x:v>10793</x:v>
      </x:c>
      <x:c r="D2375" s="24">
        <x:v>14</x:v>
      </x:c>
      <x:c r="E2375" s="24" t="s">
        <x:v>114</x:v>
      </x:c>
      <x:c r="F2375" s="20" t="s">
        <x:v>90</x:v>
      </x:c>
      <x:c r="G2375" s="26">
        <x:v>46101</x:v>
      </x:c>
      <x:c r="H2375" s="24" t="s">
        <x:v>10794</x:v>
      </x:c>
      <x:c r="I2375" s="28" t="s">
        <x:v>10795</x:v>
      </x:c>
      <x:c r="J2375" s="29" t="s">
        <x:v>10796</x:v>
      </x:c>
    </x:row>
    <x:row r="2376" ht="10.050000190734863" customHeight="1">
      <x:c r="A2376" s="21" t="s">
        <x:v>10797</x:v>
      </x:c>
      <x:c r="B2376" s="20" t="s">
        <x:v>10797</x:v>
      </x:c>
      <x:c r="C2376" s="20" t="s">
        <x:v>1516</x:v>
      </x:c>
      <x:c r="D2376" s="24">
        <x:v>12</x:v>
      </x:c>
      <x:c r="E2376" s="24" t="s">
        <x:v>198</x:v>
      </x:c>
      <x:c r="F2376" s="20" t="s">
        <x:v>90</x:v>
      </x:c>
      <x:c r="G2376" s="26">
        <x:v>45389</x:v>
      </x:c>
      <x:c r="H2376" s="24" t="s">
        <x:v>10798</x:v>
      </x:c>
      <x:c r="I2376" s="28" t="s">
        <x:v>10799</x:v>
      </x:c>
      <x:c r="J2376" s="29" t="s">
        <x:v>10800</x:v>
      </x:c>
    </x:row>
    <x:row r="2377" ht="10.050000190734863" customHeight="1">
      <x:c r="A2377" s="21" t="s">
        <x:v>10801</x:v>
      </x:c>
      <x:c r="B2377" s="20" t="s">
        <x:v>10801</x:v>
      </x:c>
      <x:c r="C2377" s="20" t="s">
        <x:v>10802</x:v>
      </x:c>
      <x:c r="D2377" s="24">
        <x:v>100</x:v>
      </x:c>
      <x:c r="E2377" s="24" t="s">
        <x:v>96</x:v>
      </x:c>
      <x:c r="F2377" s="20" t="s">
        <x:v>97</x:v>
      </x:c>
      <x:c r="G2377" s="26">
        <x:v>42167</x:v>
      </x:c>
      <x:c r="H2377" s="24" t="s">
        <x:v>10803</x:v>
      </x:c>
      <x:c r="I2377" s="28" t="s">
        <x:v>10804</x:v>
      </x:c>
      <x:c r="J2377" s="29" t="s">
        <x:v>10805</x:v>
      </x:c>
    </x:row>
    <x:row r="2378" ht="10.050000190734863" customHeight="1">
      <x:c r="A2378" s="21" t="s">
        <x:v>10806</x:v>
      </x:c>
      <x:c r="B2378" s="20" t="s">
        <x:v>10806</x:v>
      </x:c>
      <x:c r="C2378" s="20" t="s">
        <x:v>10802</x:v>
      </x:c>
      <x:c r="D2378" s="24">
        <x:v>107</x:v>
      </x:c>
      <x:c r="E2378" s="24" t="s">
        <x:v>96</x:v>
      </x:c>
      <x:c r="F2378" s="20" t="s">
        <x:v>97</x:v>
      </x:c>
      <x:c r="G2378" s="26">
        <x:v>42594</x:v>
      </x:c>
      <x:c r="H2378" s="24" t="s">
        <x:v>10807</x:v>
      </x:c>
      <x:c r="I2378" s="28" t="s">
        <x:v>10808</x:v>
      </x:c>
      <x:c r="J2378" s="29" t="s">
        <x:v>10809</x:v>
      </x:c>
    </x:row>
    <x:row r="2379" ht="10.050000190734863" customHeight="1">
      <x:c r="A2379" s="21" t="s">
        <x:v>10810</x:v>
      </x:c>
      <x:c r="B2379" s="20" t="s">
        <x:v>10810</x:v>
      </x:c>
      <x:c r="C2379" s="20" t="s">
        <x:v>2939</x:v>
      </x:c>
      <x:c r="D2379" s="24">
        <x:v>102</x:v>
      </x:c>
      <x:c r="E2379" s="24" t="s">
        <x:v>96</x:v>
      </x:c>
      <x:c r="F2379" s="20" t="s">
        <x:v>97</x:v>
      </x:c>
      <x:c r="G2379" s="26">
        <x:v>41916</x:v>
      </x:c>
      <x:c r="H2379" s="24" t="s">
        <x:v>10811</x:v>
      </x:c>
      <x:c r="I2379" s="28" t="s">
        <x:v>10812</x:v>
      </x:c>
      <x:c r="J2379" s="29" t="s">
        <x:v>10813</x:v>
      </x:c>
    </x:row>
    <x:row r="2380" ht="10.050000190734863" customHeight="1">
      <x:c r="A2380" s="21" t="s">
        <x:v>10814</x:v>
      </x:c>
      <x:c r="B2380" s="20" t="s">
        <x:v>10814</x:v>
      </x:c>
      <x:c r="C2380" s="20" t="s">
        <x:v>2939</x:v>
      </x:c>
      <x:c r="D2380" s="24">
        <x:v>23</x:v>
      </x:c>
      <x:c r="E2380" s="24" t="s">
        <x:v>103</x:v>
      </x:c>
      <x:c r="F2380" s="20" t="s">
        <x:v>97</x:v>
      </x:c>
      <x:c r="G2380" s="26">
        <x:v>41808</x:v>
      </x:c>
      <x:c r="H2380" s="24" t="s">
        <x:v>10815</x:v>
      </x:c>
      <x:c r="I2380" s="28" t="s">
        <x:v>10816</x:v>
      </x:c>
      <x:c r="J2380" s="29" t="s">
        <x:v>10817</x:v>
      </x:c>
    </x:row>
    <x:row r="2381" ht="10.050000190734863" customHeight="1">
      <x:c r="A2381" s="21" t="s">
        <x:v>10818</x:v>
      </x:c>
      <x:c r="B2381" s="20" t="s">
        <x:v>10818</x:v>
      </x:c>
      <x:c r="C2381" s="20" t="s">
        <x:v>666</x:v>
      </x:c>
      <x:c r="D2381" s="24">
        <x:v>4</x:v>
      </x:c>
      <x:c r="E2381" s="24" t="s">
        <x:v>89</x:v>
      </x:c>
      <x:c r="F2381" s="20" t="s">
        <x:v>152</x:v>
      </x:c>
      <x:c r="G2381" s="26">
        <x:v>46113</x:v>
      </x:c>
      <x:c r="H2381" s="24" t="s">
        <x:v>10819</x:v>
      </x:c>
      <x:c r="I2381" s="28" t="s">
        <x:v>10820</x:v>
      </x:c>
      <x:c r="J2381" s="29" t="s">
        <x:v>10821</x:v>
      </x:c>
    </x:row>
    <x:row r="2382" ht="10.050000190734863" customHeight="1">
      <x:c r="A2382" s="21" t="s">
        <x:v>10822</x:v>
      </x:c>
      <x:c r="B2382" s="20" t="s">
        <x:v>10822</x:v>
      </x:c>
      <x:c r="C2382" s="20" t="s">
        <x:v>237</x:v>
      </x:c>
      <x:c r="D2382" s="24">
        <x:v>4</x:v>
      </x:c>
      <x:c r="E2382" s="24" t="s">
        <x:v>198</x:v>
      </x:c>
      <x:c r="F2382" s="20" t="s">
        <x:v>90</x:v>
      </x:c>
      <x:c r="G2382" s="26">
        <x:v>44592</x:v>
      </x:c>
      <x:c r="H2382" s="24" t="s">
        <x:v>10823</x:v>
      </x:c>
      <x:c r="I2382" s="28" t="s">
        <x:v>10824</x:v>
      </x:c>
      <x:c r="J2382" s="29" t="s">
        <x:v>10825</x:v>
      </x:c>
    </x:row>
    <x:row r="2383" ht="10.050000190734863" customHeight="1">
      <x:c r="A2383" s="21" t="s">
        <x:v>10826</x:v>
      </x:c>
      <x:c r="B2383" s="20" t="s">
        <x:v>10826</x:v>
      </x:c>
      <x:c r="C2383" s="20" t="s">
        <x:v>10827</x:v>
      </x:c>
      <x:c r="D2383" s="24">
        <x:v>32</x:v>
      </x:c>
      <x:c r="E2383" s="24" t="s">
        <x:v>257</x:v>
      </x:c>
      <x:c r="F2383" s="20" t="s">
        <x:v>97</x:v>
      </x:c>
      <x:c r="G2383" s="26">
        <x:v>41570</x:v>
      </x:c>
      <x:c r="H2383" s="24" t="s">
        <x:v>10828</x:v>
      </x:c>
      <x:c r="I2383" s="28" t="s">
        <x:v>10829</x:v>
      </x:c>
      <x:c r="J2383" s="29" t="s">
        <x:v>10830</x:v>
      </x:c>
    </x:row>
    <x:row r="2384" ht="10.050000190734863" customHeight="1">
      <x:c r="A2384" s="21" t="s">
        <x:v>10831</x:v>
      </x:c>
      <x:c r="B2384" s="20" t="s">
        <x:v>10831</x:v>
      </x:c>
      <x:c r="C2384" s="20" t="s">
        <x:v>10832</x:v>
      </x:c>
      <x:c r="D2384" s="24">
        <x:v>34</x:v>
      </x:c>
      <x:c r="E2384" s="24" t="s">
        <x:v>96</x:v>
      </x:c>
      <x:c r="F2384" s="20" t="s">
        <x:v>97</x:v>
      </x:c>
      <x:c r="G2384" s="26">
        <x:v>44655</x:v>
      </x:c>
      <x:c r="H2384" s="24" t="s">
        <x:v>10833</x:v>
      </x:c>
      <x:c r="I2384" s="28" t="s">
        <x:v>10834</x:v>
      </x:c>
      <x:c r="J2384" s="29" t="s">
        <x:v>10835</x:v>
      </x:c>
    </x:row>
    <x:row r="2385" ht="10.050000190734863" customHeight="1">
      <x:c r="A2385" s="21" t="s">
        <x:v>10836</x:v>
      </x:c>
      <x:c r="B2385" s="20" t="s">
        <x:v>10836</x:v>
      </x:c>
      <x:c r="C2385" s="20" t="s">
        <x:v>10832</x:v>
      </x:c>
      <x:c r="D2385" s="24">
        <x:v>41</x:v>
      </x:c>
      <x:c r="E2385" s="24" t="s">
        <x:v>96</x:v>
      </x:c>
      <x:c r="F2385" s="20" t="s">
        <x:v>97</x:v>
      </x:c>
      <x:c r="G2385" s="26">
        <x:v>44736</x:v>
      </x:c>
      <x:c r="H2385" s="24" t="s">
        <x:v>10837</x:v>
      </x:c>
      <x:c r="I2385" s="28" t="s">
        <x:v>10838</x:v>
      </x:c>
      <x:c r="J2385" s="29" t="s">
        <x:v>10839</x:v>
      </x:c>
    </x:row>
    <x:row r="2386" ht="10.050000190734863" customHeight="1">
      <x:c r="A2386" s="21" t="s">
        <x:v>10840</x:v>
      </x:c>
      <x:c r="B2386" s="20" t="s">
        <x:v>10840</x:v>
      </x:c>
      <x:c r="C2386" s="20" t="s">
        <x:v>10832</x:v>
      </x:c>
      <x:c r="D2386" s="24">
        <x:v>44</x:v>
      </x:c>
      <x:c r="E2386" s="24" t="s">
        <x:v>96</x:v>
      </x:c>
      <x:c r="F2386" s="20" t="s">
        <x:v>97</x:v>
      </x:c>
      <x:c r="G2386" s="26">
        <x:v>44914</x:v>
      </x:c>
      <x:c r="H2386" s="24" t="s">
        <x:v>10841</x:v>
      </x:c>
      <x:c r="I2386" s="28" t="s">
        <x:v>10842</x:v>
      </x:c>
      <x:c r="J2386" s="29" t="s">
        <x:v>10843</x:v>
      </x:c>
    </x:row>
    <x:row r="2387" ht="10.050000190734863" customHeight="1">
      <x:c r="A2387" s="21" t="s">
        <x:v>10844</x:v>
      </x:c>
      <x:c r="B2387" s="20" t="s">
        <x:v>10844</x:v>
      </x:c>
      <x:c r="C2387" s="20" t="s">
        <x:v>10845</x:v>
      </x:c>
      <x:c r="D2387" s="24">
        <x:v>4</x:v>
      </x:c>
      <x:c r="E2387" s="24" t="s">
        <x:v>96</x:v>
      </x:c>
      <x:c r="F2387" s="20" t="s">
        <x:v>97</x:v>
      </x:c>
      <x:c r="G2387" s="26">
        <x:v>42345</x:v>
      </x:c>
      <x:c r="H2387" s="24" t="s">
        <x:v>10846</x:v>
      </x:c>
      <x:c r="I2387" s="28" t="s">
        <x:v>10847</x:v>
      </x:c>
      <x:c r="J2387" s="29" t="s">
        <x:v>10848</x:v>
      </x:c>
    </x:row>
    <x:row r="2388" ht="10.050000190734863" customHeight="1">
      <x:c r="A2388" s="21" t="s">
        <x:v>10849</x:v>
      </x:c>
      <x:c r="B2388" s="20" t="s">
        <x:v>10849</x:v>
      </x:c>
      <x:c r="C2388" s="20" t="s">
        <x:v>10850</x:v>
      </x:c>
      <x:c r="D2388" s="24">
        <x:v>8</x:v>
      </x:c>
      <x:c r="E2388" s="24" t="s">
        <x:v>125</x:v>
      </x:c>
      <x:c r="F2388" s="20" t="s">
        <x:v>90</x:v>
      </x:c>
      <x:c r="G2388" s="26">
        <x:v>45883</x:v>
      </x:c>
      <x:c r="H2388" s="24" t="s">
        <x:v>10851</x:v>
      </x:c>
      <x:c r="I2388" s="28" t="s">
        <x:v>10852</x:v>
      </x:c>
      <x:c r="J2388" s="29" t="s">
        <x:v>10853</x:v>
      </x:c>
    </x:row>
    <x:row r="2389" ht="10.050000190734863" customHeight="1">
      <x:c r="A2389" s="21" t="s">
        <x:v>10854</x:v>
      </x:c>
      <x:c r="B2389" s="20" t="s">
        <x:v>10854</x:v>
      </x:c>
      <x:c r="C2389" s="20" t="s">
        <x:v>10855</x:v>
      </x:c>
      <x:c r="D2389" s="24">
        <x:v>8</x:v>
      </x:c>
      <x:c r="E2389" s="24" t="s">
        <x:v>103</x:v>
      </x:c>
      <x:c r="F2389" s="20" t="s">
        <x:v>97</x:v>
      </x:c>
      <x:c r="G2389" s="26">
        <x:v>45391</x:v>
      </x:c>
      <x:c r="H2389" s="24" t="s">
        <x:v>10856</x:v>
      </x:c>
      <x:c r="I2389" s="28" t="s">
        <x:v>10857</x:v>
      </x:c>
      <x:c r="J2389" s="29" t="s">
        <x:v>10858</x:v>
      </x:c>
    </x:row>
    <x:row r="2390" ht="10.050000190734863" customHeight="1">
      <x:c r="A2390" s="21" t="s">
        <x:v>10859</x:v>
      </x:c>
      <x:c r="B2390" s="20" t="s">
        <x:v>10859</x:v>
      </x:c>
      <x:c r="C2390" s="20" t="s">
        <x:v>10860</x:v>
      </x:c>
      <x:c r="D2390" s="24">
        <x:v>12</x:v>
      </x:c>
      <x:c r="E2390" s="24" t="s">
        <x:v>198</x:v>
      </x:c>
      <x:c r="F2390" s="20" t="s">
        <x:v>90</x:v>
      </x:c>
      <x:c r="G2390" s="26">
        <x:v>44972</x:v>
      </x:c>
      <x:c r="H2390" s="24" t="s">
        <x:v>10861</x:v>
      </x:c>
      <x:c r="I2390" s="28" t="s">
        <x:v>10862</x:v>
      </x:c>
      <x:c r="J2390" s="29" t="s">
        <x:v>10863</x:v>
      </x:c>
    </x:row>
    <x:row r="2391" ht="10.050000190734863" customHeight="1">
      <x:c r="A2391" s="21" t="s">
        <x:v>10864</x:v>
      </x:c>
      <x:c r="B2391" s="20" t="s">
        <x:v>10864</x:v>
      </x:c>
      <x:c r="C2391" s="20" t="s">
        <x:v>2468</x:v>
      </x:c>
      <x:c r="D2391" s="24">
        <x:v>0</x:v>
      </x:c>
      <x:c r="E2391" s="24" t="s">
        <x:v>96</x:v>
      </x:c>
      <x:c r="F2391" s="20" t="s">
        <x:v>90</x:v>
      </x:c>
      <x:c r="G2391" s="26">
        <x:v>45307</x:v>
      </x:c>
      <x:c r="H2391" s="24" t="s">
        <x:v>10865</x:v>
      </x:c>
      <x:c r="I2391" s="28" t="s">
        <x:v>10866</x:v>
      </x:c>
      <x:c r="J2391" s="29" t="s">
        <x:v>10867</x:v>
      </x:c>
    </x:row>
    <x:row r="2392" ht="10.050000190734863" customHeight="1">
      <x:c r="A2392" s="21" t="s">
        <x:v>10868</x:v>
      </x:c>
      <x:c r="B2392" s="20" t="s">
        <x:v>10868</x:v>
      </x:c>
      <x:c r="C2392" s="20" t="s">
        <x:v>2297</x:v>
      </x:c>
      <x:c r="D2392" s="24">
        <x:v>13</x:v>
      </x:c>
      <x:c r="E2392" s="24" t="s">
        <x:v>103</x:v>
      </x:c>
      <x:c r="F2392" s="20" t="s">
        <x:v>97</x:v>
      </x:c>
      <x:c r="G2392" s="26">
        <x:v>42976</x:v>
      </x:c>
      <x:c r="H2392" s="24" t="s">
        <x:v>10869</x:v>
      </x:c>
      <x:c r="I2392" s="28" t="s">
        <x:v>10870</x:v>
      </x:c>
      <x:c r="J2392" s="29" t="s">
        <x:v>10871</x:v>
      </x:c>
    </x:row>
    <x:row r="2393" ht="10.050000190734863" customHeight="1">
      <x:c r="A2393" s="21" t="s">
        <x:v>10872</x:v>
      </x:c>
      <x:c r="B2393" s="20" t="s">
        <x:v>10872</x:v>
      </x:c>
      <x:c r="C2393" s="20" t="s">
        <x:v>4992</x:v>
      </x:c>
      <x:c r="D2393" s="24">
        <x:v>5</x:v>
      </x:c>
      <x:c r="E2393" s="24" t="s">
        <x:v>114</x:v>
      </x:c>
      <x:c r="F2393" s="20" t="s">
        <x:v>90</x:v>
      </x:c>
      <x:c r="G2393" s="26">
        <x:v>45054</x:v>
      </x:c>
      <x:c r="H2393" s="24" t="s">
        <x:v>10873</x:v>
      </x:c>
      <x:c r="I2393" s="28" t="s">
        <x:v>10874</x:v>
      </x:c>
      <x:c r="J2393" s="29" t="s">
        <x:v>10875</x:v>
      </x:c>
    </x:row>
    <x:row r="2394" ht="10.050000190734863" customHeight="1">
      <x:c r="A2394" s="21" t="s">
        <x:v>10876</x:v>
      </x:c>
      <x:c r="B2394" s="20" t="s">
        <x:v>10876</x:v>
      </x:c>
      <x:c r="C2394" s="20" t="s">
        <x:v>10637</x:v>
      </x:c>
      <x:c r="D2394" s="24">
        <x:v>8</x:v>
      </x:c>
      <x:c r="E2394" s="24" t="s">
        <x:v>257</x:v>
      </x:c>
      <x:c r="F2394" s="20" t="s">
        <x:v>97</x:v>
      </x:c>
      <x:c r="G2394" s="26">
        <x:v>42259</x:v>
      </x:c>
      <x:c r="H2394" s="24" t="s">
        <x:v>10877</x:v>
      </x:c>
      <x:c r="I2394" s="28" t="s">
        <x:v>10878</x:v>
      </x:c>
      <x:c r="J2394" s="29" t="s">
        <x:v>10879</x:v>
      </x:c>
    </x:row>
    <x:row r="2395" ht="10.050000190734863" customHeight="1">
      <x:c r="A2395" s="21" t="s">
        <x:v>10880</x:v>
      </x:c>
      <x:c r="B2395" s="20" t="s">
        <x:v>10880</x:v>
      </x:c>
      <x:c r="C2395" s="20" t="s">
        <x:v>10881</x:v>
      </x:c>
      <x:c r="D2395" s="24">
        <x:v>49</x:v>
      </x:c>
      <x:c r="E2395" s="24" t="s">
        <x:v>103</x:v>
      </x:c>
      <x:c r="F2395" s="20" t="s">
        <x:v>97</x:v>
      </x:c>
      <x:c r="G2395" s="26">
        <x:v>42218</x:v>
      </x:c>
      <x:c r="H2395" s="24" t="s">
        <x:v>10882</x:v>
      </x:c>
      <x:c r="I2395" s="28" t="s">
        <x:v>10883</x:v>
      </x:c>
      <x:c r="J2395" s="29" t="s">
        <x:v>10884</x:v>
      </x:c>
    </x:row>
    <x:row r="2396" ht="10.050000190734863" customHeight="1">
      <x:c r="A2396" s="21" t="s">
        <x:v>10885</x:v>
      </x:c>
      <x:c r="B2396" s="20" t="s">
        <x:v>10885</x:v>
      </x:c>
      <x:c r="C2396" s="20" t="s">
        <x:v>10881</x:v>
      </x:c>
      <x:c r="D2396" s="24">
        <x:v>7</x:v>
      </x:c>
      <x:c r="E2396" s="24" t="s">
        <x:v>257</x:v>
      </x:c>
      <x:c r="F2396" s="20" t="s">
        <x:v>97</x:v>
      </x:c>
      <x:c r="G2396" s="26">
        <x:v>41445</x:v>
      </x:c>
      <x:c r="H2396" s="24" t="s">
        <x:v>10886</x:v>
      </x:c>
      <x:c r="I2396" s="28" t="s">
        <x:v>10887</x:v>
      </x:c>
      <x:c r="J2396" s="29" t="s">
        <x:v>10888</x:v>
      </x:c>
    </x:row>
    <x:row r="2397" ht="10.050000190734863" customHeight="1">
      <x:c r="A2397" s="21" t="s">
        <x:v>10889</x:v>
      </x:c>
      <x:c r="B2397" s="20" t="s">
        <x:v>10889</x:v>
      </x:c>
      <x:c r="C2397" s="20" t="s">
        <x:v>223</x:v>
      </x:c>
      <x:c r="D2397" s="24">
        <x:v>22</x:v>
      </x:c>
      <x:c r="E2397" s="24" t="s">
        <x:v>103</x:v>
      </x:c>
      <x:c r="F2397" s="20" t="s">
        <x:v>97</x:v>
      </x:c>
      <x:c r="G2397" s="26">
        <x:v>42243</x:v>
      </x:c>
      <x:c r="H2397" s="24" t="s">
        <x:v>10890</x:v>
      </x:c>
      <x:c r="I2397" s="28" t="s">
        <x:v>10891</x:v>
      </x:c>
      <x:c r="J2397" s="29" t="s">
        <x:v>10892</x:v>
      </x:c>
    </x:row>
    <x:row r="2398" ht="10.050000190734863" customHeight="1">
      <x:c r="A2398" s="21" t="s">
        <x:v>10893</x:v>
      </x:c>
      <x:c r="B2398" s="20" t="s">
        <x:v>10893</x:v>
      </x:c>
      <x:c r="C2398" s="20" t="s">
        <x:v>10894</x:v>
      </x:c>
      <x:c r="D2398" s="24">
        <x:v>1</x:v>
      </x:c>
      <x:c r="E2398" s="24" t="s">
        <x:v>96</x:v>
      </x:c>
      <x:c r="F2398" s="20" t="s">
        <x:v>610</x:v>
      </x:c>
      <x:c r="G2398" s="26">
        <x:v>41808</x:v>
      </x:c>
      <x:c r="H2398" s="24" t="s">
        <x:v>10895</x:v>
      </x:c>
      <x:c r="I2398" s="28" t="s">
        <x:v>10896</x:v>
      </x:c>
      <x:c r="J2398" s="29" t="s">
        <x:v>10897</x:v>
      </x:c>
    </x:row>
    <x:row r="2399" ht="10.050000190734863" customHeight="1">
      <x:c r="A2399" s="21" t="s">
        <x:v>10898</x:v>
      </x:c>
      <x:c r="B2399" s="20" t="s">
        <x:v>10898</x:v>
      </x:c>
      <x:c r="C2399" s="20" t="s">
        <x:v>666</x:v>
      </x:c>
      <x:c r="D2399" s="24">
        <x:v>9</x:v>
      </x:c>
      <x:c r="E2399" s="24" t="s">
        <x:v>89</x:v>
      </x:c>
      <x:c r="F2399" s="20" t="s">
        <x:v>152</x:v>
      </x:c>
      <x:c r="G2399" s="26">
        <x:v>46132</x:v>
      </x:c>
      <x:c r="H2399" s="24" t="s">
        <x:v>10899</x:v>
      </x:c>
      <x:c r="I2399" s="28" t="s">
        <x:v>10900</x:v>
      </x:c>
      <x:c r="J2399" s="29" t="s">
        <x:v>10901</x:v>
      </x:c>
    </x:row>
    <x:row r="2400" ht="10.050000190734863" customHeight="1">
      <x:c r="A2400" s="21" t="s">
        <x:v>10902</x:v>
      </x:c>
      <x:c r="B2400" s="20" t="s">
        <x:v>10902</x:v>
      </x:c>
      <x:c r="C2400" s="20" t="s">
        <x:v>10793</x:v>
      </x:c>
      <x:c r="D2400" s="24">
        <x:v>16</x:v>
      </x:c>
      <x:c r="E2400" s="24" t="s">
        <x:v>125</x:v>
      </x:c>
      <x:c r="F2400" s="20" t="s">
        <x:v>90</x:v>
      </x:c>
      <x:c r="G2400" s="26">
        <x:v>46116</x:v>
      </x:c>
      <x:c r="H2400" s="24" t="s">
        <x:v>10903</x:v>
      </x:c>
      <x:c r="I2400" s="28" t="s">
        <x:v>10904</x:v>
      </x:c>
      <x:c r="J2400" s="29" t="s">
        <x:v>10905</x:v>
      </x:c>
    </x:row>
    <x:row r="2401" ht="10.050000190734863" customHeight="1">
      <x:c r="A2401" s="21" t="s">
        <x:v>10906</x:v>
      </x:c>
      <x:c r="B2401" s="20" t="s">
        <x:v>10906</x:v>
      </x:c>
      <x:c r="C2401" s="20" t="s">
        <x:v>10907</x:v>
      </x:c>
      <x:c r="D2401" s="24">
        <x:v>12</x:v>
      </x:c>
      <x:c r="E2401" s="24" t="s">
        <x:v>103</x:v>
      </x:c>
      <x:c r="F2401" s="20" t="s">
        <x:v>97</x:v>
      </x:c>
      <x:c r="G2401" s="26">
        <x:v>42783</x:v>
      </x:c>
      <x:c r="H2401" s="24" t="s">
        <x:v>10908</x:v>
      </x:c>
      <x:c r="I2401" s="28" t="s">
        <x:v>10909</x:v>
      </x:c>
      <x:c r="J2401" s="29" t="s">
        <x:v>10910</x:v>
      </x:c>
    </x:row>
    <x:row r="2402" ht="10.050000190734863" customHeight="1">
      <x:c r="A2402" s="21" t="s">
        <x:v>10911</x:v>
      </x:c>
      <x:c r="B2402" s="20" t="s">
        <x:v>10911</x:v>
      </x:c>
      <x:c r="C2402" s="20" t="s">
        <x:v>10912</x:v>
      </x:c>
      <x:c r="D2402" s="24">
        <x:v>18</x:v>
      </x:c>
      <x:c r="E2402" s="24" t="s">
        <x:v>114</x:v>
      </x:c>
      <x:c r="F2402" s="20" t="s">
        <x:v>90</x:v>
      </x:c>
      <x:c r="G2402" s="26">
        <x:v>44670</x:v>
      </x:c>
      <x:c r="H2402" s="24" t="s">
        <x:v>10913</x:v>
      </x:c>
      <x:c r="I2402" s="28" t="s">
        <x:v>10914</x:v>
      </x:c>
      <x:c r="J2402" s="29" t="s">
        <x:v>10915</x:v>
      </x:c>
    </x:row>
    <x:row r="2403" ht="10.050000190734863" customHeight="1">
      <x:c r="A2403" s="21" t="s">
        <x:v>10916</x:v>
      </x:c>
      <x:c r="B2403" s="20" t="s">
        <x:v>10916</x:v>
      </x:c>
      <x:c r="C2403" s="20" t="s">
        <x:v>1861</x:v>
      </x:c>
      <x:c r="D2403" s="24">
        <x:v>0</x:v>
      </x:c>
      <x:c r="E2403" s="24" t="s">
        <x:v>257</x:v>
      </x:c>
      <x:c r="F2403" s="20" t="s">
        <x:v>97</x:v>
      </x:c>
      <x:c r="G2403" s="26">
        <x:v>45961</x:v>
      </x:c>
      <x:c r="H2403" s="24" t="s">
        <x:v>10917</x:v>
      </x:c>
      <x:c r="I2403" s="28" t="s">
        <x:v>10918</x:v>
      </x:c>
      <x:c r="J2403" s="29" t="s">
        <x:v>10919</x:v>
      </x:c>
    </x:row>
    <x:row r="2404" ht="10.050000190734863" customHeight="1">
      <x:c r="A2404" s="21" t="s">
        <x:v>10920</x:v>
      </x:c>
      <x:c r="B2404" s="20" t="s">
        <x:v>10920</x:v>
      </x:c>
      <x:c r="C2404" s="20" t="s">
        <x:v>3924</x:v>
      </x:c>
      <x:c r="D2404" s="24">
        <x:v>17</x:v>
      </x:c>
      <x:c r="E2404" s="24" t="s">
        <x:v>96</x:v>
      </x:c>
      <x:c r="F2404" s="20" t="s">
        <x:v>97</x:v>
      </x:c>
      <x:c r="G2404" s="26">
        <x:v>45696</x:v>
      </x:c>
      <x:c r="H2404" s="24" t="s">
        <x:v>10921</x:v>
      </x:c>
      <x:c r="I2404" s="28" t="s">
        <x:v>10922</x:v>
      </x:c>
      <x:c r="J2404" s="29" t="s">
        <x:v>10923</x:v>
      </x:c>
    </x:row>
    <x:row r="2405" ht="10.050000190734863" customHeight="1">
      <x:c r="A2405" s="21" t="s">
        <x:v>10924</x:v>
      </x:c>
      <x:c r="B2405" s="20" t="s">
        <x:v>10924</x:v>
      </x:c>
      <x:c r="C2405" s="20" t="s">
        <x:v>3176</x:v>
      </x:c>
      <x:c r="D2405" s="24">
        <x:v>8</x:v>
      </x:c>
      <x:c r="E2405" s="24" t="s">
        <x:v>198</x:v>
      </x:c>
      <x:c r="F2405" s="20" t="s">
        <x:v>90</x:v>
      </x:c>
      <x:c r="G2405" s="26">
        <x:v>44736</x:v>
      </x:c>
      <x:c r="H2405" s="24" t="s">
        <x:v>10925</x:v>
      </x:c>
      <x:c r="I2405" s="28" t="s">
        <x:v>10926</x:v>
      </x:c>
      <x:c r="J2405" s="29" t="s">
        <x:v>10927</x:v>
      </x:c>
    </x:row>
    <x:row r="2406" ht="10.050000190734863" customHeight="1">
      <x:c r="A2406" s="21" t="s">
        <x:v>10928</x:v>
      </x:c>
      <x:c r="B2406" s="20" t="s">
        <x:v>10928</x:v>
      </x:c>
      <x:c r="C2406" s="20" t="s">
        <x:v>10929</x:v>
      </x:c>
      <x:c r="D2406" s="24">
        <x:v>4</x:v>
      </x:c>
      <x:c r="E2406" s="24" t="s">
        <x:v>103</x:v>
      </x:c>
      <x:c r="F2406" s="20" t="s">
        <x:v>97</x:v>
      </x:c>
      <x:c r="G2406" s="26">
        <x:v>42163</x:v>
      </x:c>
      <x:c r="H2406" s="24" t="s">
        <x:v>10930</x:v>
      </x:c>
      <x:c r="I2406" s="28" t="s">
        <x:v>10931</x:v>
      </x:c>
      <x:c r="J2406" s="29" t="s">
        <x:v>10932</x:v>
      </x:c>
    </x:row>
    <x:row r="2407" ht="10.050000190734863" customHeight="1">
      <x:c r="A2407" s="21" t="s">
        <x:v>10933</x:v>
      </x:c>
      <x:c r="B2407" s="20" t="s">
        <x:v>10933</x:v>
      </x:c>
      <x:c r="C2407" s="20" t="s">
        <x:v>2189</x:v>
      </x:c>
      <x:c r="D2407" s="24">
        <x:v>33</x:v>
      </x:c>
      <x:c r="E2407" s="24" t="s">
        <x:v>257</x:v>
      </x:c>
      <x:c r="F2407" s="20" t="s">
        <x:v>97</x:v>
      </x:c>
      <x:c r="G2407" s="26">
        <x:v>42445</x:v>
      </x:c>
      <x:c r="H2407" s="24" t="s">
        <x:v>10934</x:v>
      </x:c>
      <x:c r="I2407" s="28" t="s">
        <x:v>10935</x:v>
      </x:c>
      <x:c r="J2407" s="29" t="s">
        <x:v>10936</x:v>
      </x:c>
    </x:row>
    <x:row r="2408" ht="10.050000190734863" customHeight="1">
      <x:c r="A2408" s="21" t="s">
        <x:v>10937</x:v>
      </x:c>
      <x:c r="B2408" s="20" t="s">
        <x:v>10937</x:v>
      </x:c>
      <x:c r="C2408" s="20" t="s">
        <x:v>2189</x:v>
      </x:c>
      <x:c r="D2408" s="24">
        <x:v>28</x:v>
      </x:c>
      <x:c r="E2408" s="24" t="s">
        <x:v>89</x:v>
      </x:c>
      <x:c r="F2408" s="20" t="s">
        <x:v>97</x:v>
      </x:c>
      <x:c r="G2408" s="26">
        <x:v>42695</x:v>
      </x:c>
      <x:c r="H2408" s="24" t="s">
        <x:v>10938</x:v>
      </x:c>
      <x:c r="I2408" s="28" t="s">
        <x:v>10939</x:v>
      </x:c>
      <x:c r="J2408" s="29" t="s">
        <x:v>10940</x:v>
      </x:c>
    </x:row>
    <x:row r="2409" ht="10.050000190734863" customHeight="1">
      <x:c r="A2409" s="21" t="s">
        <x:v>10941</x:v>
      </x:c>
      <x:c r="B2409" s="20" t="s">
        <x:v>10941</x:v>
      </x:c>
      <x:c r="C2409" s="20" t="s">
        <x:v>2189</x:v>
      </x:c>
      <x:c r="D2409" s="24">
        <x:v>5</x:v>
      </x:c>
      <x:c r="E2409" s="24" t="s">
        <x:v>89</x:v>
      </x:c>
      <x:c r="F2409" s="20" t="s">
        <x:v>97</x:v>
      </x:c>
      <x:c r="G2409" s="26">
        <x:v>42697</x:v>
      </x:c>
      <x:c r="H2409" s="24" t="s">
        <x:v>10942</x:v>
      </x:c>
      <x:c r="I2409" s="28" t="s">
        <x:v>10943</x:v>
      </x:c>
      <x:c r="J2409" s="29" t="s">
        <x:v>10944</x:v>
      </x:c>
    </x:row>
    <x:row r="2410" ht="10.050000190734863" customHeight="1">
      <x:c r="A2410" s="21" t="s">
        <x:v>10945</x:v>
      </x:c>
      <x:c r="B2410" s="20" t="s">
        <x:v>10945</x:v>
      </x:c>
      <x:c r="C2410" s="20" t="s">
        <x:v>1344</x:v>
      </x:c>
      <x:c r="D2410" s="24">
        <x:v>0</x:v>
      </x:c>
      <x:c r="E2410" s="24" t="s">
        <x:v>96</x:v>
      </x:c>
      <x:c r="F2410" s="20" t="s">
        <x:v>97</x:v>
      </x:c>
      <x:c r="G2410" s="26">
        <x:v>45177</x:v>
      </x:c>
      <x:c r="H2410" s="24" t="s">
        <x:v>10946</x:v>
      </x:c>
      <x:c r="I2410" s="28" t="s">
        <x:v>10947</x:v>
      </x:c>
      <x:c r="J2410" s="29" t="s">
        <x:v>10948</x:v>
      </x:c>
    </x:row>
    <x:row r="2411" ht="10.050000190734863" customHeight="1">
      <x:c r="A2411" s="21" t="s">
        <x:v>10949</x:v>
      </x:c>
      <x:c r="B2411" s="20" t="s">
        <x:v>10949</x:v>
      </x:c>
      <x:c r="C2411" s="20" t="s">
        <x:v>10950</x:v>
      </x:c>
      <x:c r="D2411" s="24">
        <x:v>12</x:v>
      </x:c>
      <x:c r="E2411" s="24" t="s">
        <x:v>103</x:v>
      </x:c>
      <x:c r="F2411" s="20" t="s">
        <x:v>97</x:v>
      </x:c>
      <x:c r="G2411" s="26">
        <x:v>44428</x:v>
      </x:c>
      <x:c r="H2411" s="24" t="s">
        <x:v>10951</x:v>
      </x:c>
      <x:c r="I2411" s="28" t="s">
        <x:v>10952</x:v>
      </x:c>
      <x:c r="J2411" s="29" t="s">
        <x:v>10953</x:v>
      </x:c>
    </x:row>
    <x:row r="2412" ht="10.050000190734863" customHeight="1">
      <x:c r="A2412" s="21" t="s">
        <x:v>10954</x:v>
      </x:c>
      <x:c r="B2412" s="20" t="s">
        <x:v>10954</x:v>
      </x:c>
      <x:c r="C2412" s="20" t="s">
        <x:v>491</x:v>
      </x:c>
      <x:c r="D2412" s="24">
        <x:v>4</x:v>
      </x:c>
      <x:c r="E2412" s="24" t="s">
        <x:v>198</x:v>
      </x:c>
      <x:c r="F2412" s="20" t="s">
        <x:v>90</x:v>
      </x:c>
      <x:c r="G2412" s="26">
        <x:v>44613</x:v>
      </x:c>
      <x:c r="H2412" s="24" t="s">
        <x:v>10955</x:v>
      </x:c>
      <x:c r="I2412" s="28" t="s">
        <x:v>10956</x:v>
      </x:c>
      <x:c r="J2412" s="29" t="s">
        <x:v>10957</x:v>
      </x:c>
    </x:row>
    <x:row r="2413" ht="10.050000190734863" customHeight="1">
      <x:c r="A2413" s="21" t="s">
        <x:v>10958</x:v>
      </x:c>
      <x:c r="B2413" s="20" t="s">
        <x:v>10958</x:v>
      </x:c>
      <x:c r="C2413" s="20" t="s">
        <x:v>7323</x:v>
      </x:c>
      <x:c r="D2413" s="24">
        <x:v>7</x:v>
      </x:c>
      <x:c r="E2413" s="24" t="s">
        <x:v>198</x:v>
      </x:c>
      <x:c r="F2413" s="20" t="s">
        <x:v>90</x:v>
      </x:c>
      <x:c r="G2413" s="26">
        <x:v>44519</x:v>
      </x:c>
      <x:c r="H2413" s="24" t="s">
        <x:v>10959</x:v>
      </x:c>
      <x:c r="I2413" s="28" t="s">
        <x:v>10960</x:v>
      </x:c>
      <x:c r="J2413" s="29" t="s">
        <x:v>10961</x:v>
      </x:c>
    </x:row>
    <x:row r="2414" ht="10.050000190734863" customHeight="1">
      <x:c r="A2414" s="21" t="s">
        <x:v>10962</x:v>
      </x:c>
      <x:c r="B2414" s="20" t="s">
        <x:v>10962</x:v>
      </x:c>
      <x:c r="C2414" s="20" t="s">
        <x:v>3596</x:v>
      </x:c>
      <x:c r="D2414" s="24">
        <x:v>0</x:v>
      </x:c>
      <x:c r="E2414" s="24" t="s">
        <x:v>89</x:v>
      </x:c>
      <x:c r="F2414" s="20" t="s">
        <x:v>97</x:v>
      </x:c>
      <x:c r="G2414" s="26">
        <x:v>45898</x:v>
      </x:c>
      <x:c r="H2414" s="24" t="s">
        <x:v>10963</x:v>
      </x:c>
      <x:c r="I2414" s="28" t="s">
        <x:v>10964</x:v>
      </x:c>
      <x:c r="J2414" s="29" t="s">
        <x:v>10965</x:v>
      </x:c>
    </x:row>
    <x:row r="2415" ht="10.050000190734863" customHeight="1">
      <x:c r="A2415" s="21" t="s">
        <x:v>10966</x:v>
      </x:c>
      <x:c r="B2415" s="20" t="s">
        <x:v>10966</x:v>
      </x:c>
      <x:c r="C2415" s="20" t="s">
        <x:v>282</x:v>
      </x:c>
      <x:c r="D2415" s="24">
        <x:v>9</x:v>
      </x:c>
      <x:c r="E2415" s="24" t="s">
        <x:v>103</x:v>
      </x:c>
      <x:c r="F2415" s="20" t="s">
        <x:v>97</x:v>
      </x:c>
      <x:c r="G2415" s="26">
        <x:v>43770</x:v>
      </x:c>
      <x:c r="H2415" s="24" t="s">
        <x:v>10967</x:v>
      </x:c>
      <x:c r="I2415" s="28" t="s">
        <x:v>10968</x:v>
      </x:c>
      <x:c r="J2415" s="29" t="s">
        <x:v>10969</x:v>
      </x:c>
    </x:row>
    <x:row r="2416" ht="10.050000190734863" customHeight="1">
      <x:c r="A2416" s="21" t="s">
        <x:v>10970</x:v>
      </x:c>
      <x:c r="B2416" s="20" t="s">
        <x:v>10970</x:v>
      </x:c>
      <x:c r="C2416" s="20" t="s">
        <x:v>10971</x:v>
      </x:c>
      <x:c r="D2416" s="24">
        <x:v>9</x:v>
      </x:c>
      <x:c r="E2416" s="24" t="s">
        <x:v>103</x:v>
      </x:c>
      <x:c r="F2416" s="20" t="s">
        <x:v>97</x:v>
      </x:c>
      <x:c r="G2416" s="26">
        <x:v>41545</x:v>
      </x:c>
      <x:c r="H2416" s="24" t="s">
        <x:v>10972</x:v>
      </x:c>
      <x:c r="I2416" s="28" t="s">
        <x:v>10973</x:v>
      </x:c>
      <x:c r="J2416" s="29" t="s">
        <x:v>10974</x:v>
      </x:c>
    </x:row>
    <x:row r="2417" ht="10.050000190734863" customHeight="1">
      <x:c r="A2417" s="21" t="s">
        <x:v>10975</x:v>
      </x:c>
      <x:c r="B2417" s="20" t="s">
        <x:v>10975</x:v>
      </x:c>
      <x:c r="C2417" s="20" t="s">
        <x:v>2109</x:v>
      </x:c>
      <x:c r="D2417" s="24">
        <x:v>53</x:v>
      </x:c>
      <x:c r="E2417" s="24" t="s">
        <x:v>103</x:v>
      </x:c>
      <x:c r="F2417" s="20" t="s">
        <x:v>97</x:v>
      </x:c>
      <x:c r="G2417" s="26">
        <x:v>42484</x:v>
      </x:c>
      <x:c r="H2417" s="24" t="s">
        <x:v>10976</x:v>
      </x:c>
      <x:c r="I2417" s="28" t="s">
        <x:v>10977</x:v>
      </x:c>
      <x:c r="J2417" s="29" t="s">
        <x:v>10978</x:v>
      </x:c>
    </x:row>
    <x:row r="2418" ht="10.050000190734863" customHeight="1">
      <x:c r="A2418" s="21" t="s">
        <x:v>10979</x:v>
      </x:c>
      <x:c r="B2418" s="20" t="s">
        <x:v>10979</x:v>
      </x:c>
      <x:c r="C2418" s="20" t="s">
        <x:v>708</x:v>
      </x:c>
      <x:c r="D2418" s="24">
        <x:v>13</x:v>
      </x:c>
      <x:c r="E2418" s="24" t="s">
        <x:v>125</x:v>
      </x:c>
      <x:c r="F2418" s="20" t="s">
        <x:v>90</x:v>
      </x:c>
      <x:c r="G2418" s="26">
        <x:v>45377</x:v>
      </x:c>
      <x:c r="H2418" s="24" t="s">
        <x:v>10980</x:v>
      </x:c>
      <x:c r="I2418" s="28" t="s">
        <x:v>10981</x:v>
      </x:c>
      <x:c r="J2418" s="29" t="s">
        <x:v>10982</x:v>
      </x:c>
    </x:row>
    <x:row r="2419" ht="10.050000190734863" customHeight="1">
      <x:c r="A2419" s="21" t="s">
        <x:v>10983</x:v>
      </x:c>
      <x:c r="B2419" s="20" t="s">
        <x:v>10983</x:v>
      </x:c>
      <x:c r="C2419" s="20" t="s">
        <x:v>9758</x:v>
      </x:c>
      <x:c r="D2419" s="24">
        <x:v>2</x:v>
      </x:c>
      <x:c r="E2419" s="24" t="s">
        <x:v>103</x:v>
      </x:c>
      <x:c r="F2419" s="20" t="s">
        <x:v>97</x:v>
      </x:c>
      <x:c r="G2419" s="26">
        <x:v>41521</x:v>
      </x:c>
      <x:c r="H2419" s="24" t="s">
        <x:v>10984</x:v>
      </x:c>
      <x:c r="I2419" s="28" t="s">
        <x:v>10985</x:v>
      </x:c>
      <x:c r="J2419" s="29" t="s">
        <x:v>10986</x:v>
      </x:c>
    </x:row>
    <x:row r="2420" ht="10.050000190734863" customHeight="1">
      <x:c r="A2420" s="21" t="s">
        <x:v>10987</x:v>
      </x:c>
      <x:c r="B2420" s="20" t="s">
        <x:v>10987</x:v>
      </x:c>
      <x:c r="C2420" s="20" t="s">
        <x:v>10988</x:v>
      </x:c>
      <x:c r="D2420" s="24">
        <x:v>1</x:v>
      </x:c>
      <x:c r="E2420" s="24" t="s">
        <x:v>96</x:v>
      </x:c>
      <x:c r="F2420" s="20" t="s">
        <x:v>97</x:v>
      </x:c>
      <x:c r="G2420" s="26">
        <x:v>42691</x:v>
      </x:c>
      <x:c r="H2420" s="24" t="s">
        <x:v>10989</x:v>
      </x:c>
      <x:c r="I2420" s="28" t="s">
        <x:v>10990</x:v>
      </x:c>
      <x:c r="J2420" s="29" t="s">
        <x:v>10991</x:v>
      </x:c>
    </x:row>
    <x:row r="2421" ht="10.050000190734863" customHeight="1">
      <x:c r="A2421" s="21" t="s">
        <x:v>10992</x:v>
      </x:c>
      <x:c r="B2421" s="20" t="s">
        <x:v>10992</x:v>
      </x:c>
      <x:c r="C2421" s="20" t="s">
        <x:v>10907</x:v>
      </x:c>
      <x:c r="D2421" s="24">
        <x:v>0</x:v>
      </x:c>
      <x:c r="E2421" s="24" t="s">
        <x:v>103</x:v>
      </x:c>
      <x:c r="F2421" s="20" t="s">
        <x:v>97</x:v>
      </x:c>
      <x:c r="G2421" s="26">
        <x:v>42691</x:v>
      </x:c>
      <x:c r="H2421" s="24" t="s">
        <x:v>10993</x:v>
      </x:c>
      <x:c r="I2421" s="28" t="s">
        <x:v>10994</x:v>
      </x:c>
      <x:c r="J2421" s="29" t="s">
        <x:v>10995</x:v>
      </x:c>
    </x:row>
    <x:row r="2422" ht="10.050000190734863" customHeight="1">
      <x:c r="A2422" s="21" t="s">
        <x:v>10996</x:v>
      </x:c>
      <x:c r="B2422" s="20" t="s">
        <x:v>10996</x:v>
      </x:c>
      <x:c r="C2422" s="20" t="s">
        <x:v>10997</x:v>
      </x:c>
      <x:c r="D2422" s="24">
        <x:v>10</x:v>
      </x:c>
      <x:c r="E2422" s="24" t="s">
        <x:v>198</x:v>
      </x:c>
      <x:c r="F2422" s="20" t="s">
        <x:v>90</x:v>
      </x:c>
      <x:c r="G2422" s="26">
        <x:v>45047</x:v>
      </x:c>
      <x:c r="H2422" s="24" t="s">
        <x:v>10998</x:v>
      </x:c>
      <x:c r="I2422" s="28" t="s">
        <x:v>10999</x:v>
      </x:c>
      <x:c r="J2422" s="29" t="s">
        <x:v>11000</x:v>
      </x:c>
    </x:row>
    <x:row r="2423" ht="10.050000190734863" customHeight="1">
      <x:c r="A2423" s="21" t="s">
        <x:v>11001</x:v>
      </x:c>
      <x:c r="B2423" s="20" t="s">
        <x:v>11001</x:v>
      </x:c>
      <x:c r="C2423" s="20" t="s">
        <x:v>2604</x:v>
      </x:c>
      <x:c r="D2423" s="24">
        <x:v>14</x:v>
      </x:c>
      <x:c r="E2423" s="24" t="s">
        <x:v>103</x:v>
      </x:c>
      <x:c r="F2423" s="20" t="s">
        <x:v>97</x:v>
      </x:c>
      <x:c r="G2423" s="26">
        <x:v>42458</x:v>
      </x:c>
      <x:c r="H2423" s="24" t="s">
        <x:v>11002</x:v>
      </x:c>
      <x:c r="I2423" s="28" t="s">
        <x:v>11003</x:v>
      </x:c>
      <x:c r="J2423" s="29" t="s">
        <x:v>11004</x:v>
      </x:c>
    </x:row>
    <x:row r="2424" ht="10.050000190734863" customHeight="1">
      <x:c r="A2424" s="21" t="s">
        <x:v>11005</x:v>
      </x:c>
      <x:c r="B2424" s="20" t="s">
        <x:v>11005</x:v>
      </x:c>
      <x:c r="C2424" s="20" t="s">
        <x:v>11006</x:v>
      </x:c>
      <x:c r="D2424" s="24">
        <x:v>1</x:v>
      </x:c>
      <x:c r="E2424" s="24" t="s">
        <x:v>103</x:v>
      </x:c>
      <x:c r="F2424" s="20" t="s">
        <x:v>97</x:v>
      </x:c>
      <x:c r="G2424" s="26">
        <x:v>46036</x:v>
      </x:c>
      <x:c r="H2424" s="24" t="s">
        <x:v>11007</x:v>
      </x:c>
      <x:c r="I2424" s="28" t="s">
        <x:v>11008</x:v>
      </x:c>
      <x:c r="J2424" s="29" t="s">
        <x:v>11009</x:v>
      </x:c>
    </x:row>
    <x:row r="2425" ht="10.050000190734863" customHeight="1">
      <x:c r="A2425" s="21" t="s">
        <x:v>11010</x:v>
      </x:c>
      <x:c r="B2425" s="20" t="s">
        <x:v>11010</x:v>
      </x:c>
      <x:c r="C2425" s="20" t="s">
        <x:v>11011</x:v>
      </x:c>
      <x:c r="D2425" s="24">
        <x:v>16</x:v>
      </x:c>
      <x:c r="E2425" s="24" t="s">
        <x:v>89</x:v>
      </x:c>
      <x:c r="F2425" s="20" t="s">
        <x:v>90</x:v>
      </x:c>
      <x:c r="G2425" s="26">
        <x:v>44133</x:v>
      </x:c>
      <x:c r="H2425" s="24" t="s">
        <x:v>11012</x:v>
      </x:c>
      <x:c r="I2425" s="28" t="s">
        <x:v>11013</x:v>
      </x:c>
      <x:c r="J2425" s="29" t="s">
        <x:v>11014</x:v>
      </x:c>
    </x:row>
    <x:row r="2426" ht="10.050000190734863" customHeight="1">
      <x:c r="A2426" s="21" t="s">
        <x:v>11015</x:v>
      </x:c>
      <x:c r="B2426" s="20" t="s">
        <x:v>11015</x:v>
      </x:c>
      <x:c r="C2426" s="20" t="s">
        <x:v>282</x:v>
      </x:c>
      <x:c r="D2426" s="24">
        <x:v>8</x:v>
      </x:c>
      <x:c r="E2426" s="24" t="s">
        <x:v>103</x:v>
      </x:c>
      <x:c r="F2426" s="20" t="s">
        <x:v>97</x:v>
      </x:c>
      <x:c r="G2426" s="26">
        <x:v>43569</x:v>
      </x:c>
      <x:c r="H2426" s="24" t="s">
        <x:v>11016</x:v>
      </x:c>
      <x:c r="I2426" s="28" t="s">
        <x:v>11017</x:v>
      </x:c>
      <x:c r="J2426" s="29" t="s">
        <x:v>11018</x:v>
      </x:c>
    </x:row>
    <x:row r="2427" ht="10.050000190734863" customHeight="1">
      <x:c r="A2427" s="21" t="s">
        <x:v>11019</x:v>
      </x:c>
      <x:c r="B2427" s="20" t="s">
        <x:v>11019</x:v>
      </x:c>
      <x:c r="C2427" s="20" t="s">
        <x:v>1768</x:v>
      </x:c>
      <x:c r="D2427" s="24">
        <x:v>54</x:v>
      </x:c>
      <x:c r="E2427" s="24" t="s">
        <x:v>114</x:v>
      </x:c>
      <x:c r="F2427" s="20" t="s">
        <x:v>90</x:v>
      </x:c>
      <x:c r="G2427" s="26">
        <x:v>43374</x:v>
      </x:c>
      <x:c r="H2427" s="24" t="s">
        <x:v>11020</x:v>
      </x:c>
      <x:c r="I2427" s="28" t="s">
        <x:v>11021</x:v>
      </x:c>
      <x:c r="J2427" s="29" t="s">
        <x:v>11022</x:v>
      </x:c>
    </x:row>
    <x:row r="2428" ht="10.050000190734863" customHeight="1">
      <x:c r="A2428" s="21" t="s">
        <x:v>11023</x:v>
      </x:c>
      <x:c r="B2428" s="20" t="s">
        <x:v>11023</x:v>
      </x:c>
      <x:c r="C2428" s="20" t="s">
        <x:v>4505</x:v>
      </x:c>
      <x:c r="D2428" s="24">
        <x:v>6</x:v>
      </x:c>
      <x:c r="E2428" s="24" t="s">
        <x:v>103</x:v>
      </x:c>
      <x:c r="F2428" s="20" t="s">
        <x:v>97</x:v>
      </x:c>
      <x:c r="G2428" s="26">
        <x:v>43178</x:v>
      </x:c>
      <x:c r="H2428" s="24" t="s">
        <x:v>11024</x:v>
      </x:c>
      <x:c r="I2428" s="28" t="s">
        <x:v>11025</x:v>
      </x:c>
      <x:c r="J2428" s="29" t="s">
        <x:v>11026</x:v>
      </x:c>
    </x:row>
    <x:row r="2429" ht="10.050000190734863" customHeight="1">
      <x:c r="A2429" s="21" t="s">
        <x:v>11027</x:v>
      </x:c>
      <x:c r="B2429" s="20" t="s">
        <x:v>11027</x:v>
      </x:c>
      <x:c r="C2429" s="20" t="s">
        <x:v>409</x:v>
      </x:c>
      <x:c r="D2429" s="24">
        <x:v>16</x:v>
      </x:c>
      <x:c r="E2429" s="24" t="s">
        <x:v>198</x:v>
      </x:c>
      <x:c r="F2429" s="20" t="s">
        <x:v>90</x:v>
      </x:c>
      <x:c r="G2429" s="26">
        <x:v>44456</x:v>
      </x:c>
      <x:c r="H2429" s="24" t="s">
        <x:v>11028</x:v>
      </x:c>
      <x:c r="I2429" s="28" t="s">
        <x:v>11029</x:v>
      </x:c>
      <x:c r="J2429" s="29" t="s">
        <x:v>11030</x:v>
      </x:c>
    </x:row>
    <x:row r="2430" ht="10.050000190734863" customHeight="1">
      <x:c r="A2430" s="21" t="s">
        <x:v>11031</x:v>
      </x:c>
      <x:c r="B2430" s="20" t="s">
        <x:v>11031</x:v>
      </x:c>
      <x:c r="C2430" s="20" t="s">
        <x:v>5619</x:v>
      </x:c>
      <x:c r="D2430" s="24">
        <x:v>14</x:v>
      </x:c>
      <x:c r="E2430" s="24" t="s">
        <x:v>103</x:v>
      </x:c>
      <x:c r="F2430" s="20" t="s">
        <x:v>97</x:v>
      </x:c>
      <x:c r="G2430" s="26">
        <x:v>44098</x:v>
      </x:c>
      <x:c r="H2430" s="24" t="s">
        <x:v>11032</x:v>
      </x:c>
      <x:c r="I2430" s="28" t="s">
        <x:v>11033</x:v>
      </x:c>
      <x:c r="J2430" s="29" t="s">
        <x:v>11034</x:v>
      </x:c>
    </x:row>
    <x:row r="2431" ht="10.050000190734863" customHeight="1">
      <x:c r="A2431" s="21" t="s">
        <x:v>11035</x:v>
      </x:c>
      <x:c r="B2431" s="20" t="s">
        <x:v>11035</x:v>
      </x:c>
      <x:c r="C2431" s="20" t="s">
        <x:v>11036</x:v>
      </x:c>
      <x:c r="D2431" s="24">
        <x:v>13</x:v>
      </x:c>
      <x:c r="E2431" s="24" t="s">
        <x:v>198</x:v>
      </x:c>
      <x:c r="F2431" s="20" t="s">
        <x:v>90</x:v>
      </x:c>
      <x:c r="G2431" s="26">
        <x:v>45323</x:v>
      </x:c>
      <x:c r="H2431" s="24" t="s">
        <x:v>11037</x:v>
      </x:c>
      <x:c r="I2431" s="28" t="s">
        <x:v>11038</x:v>
      </x:c>
      <x:c r="J2431" s="29" t="s">
        <x:v>11039</x:v>
      </x:c>
    </x:row>
    <x:row r="2432" ht="10.050000190734863" customHeight="1">
      <x:c r="A2432" s="21" t="s">
        <x:v>11040</x:v>
      </x:c>
      <x:c r="B2432" s="20" t="s">
        <x:v>11040</x:v>
      </x:c>
      <x:c r="C2432" s="20" t="s">
        <x:v>7531</x:v>
      </x:c>
      <x:c r="D2432" s="24">
        <x:v>37</x:v>
      </x:c>
      <x:c r="E2432" s="24" t="s">
        <x:v>103</x:v>
      </x:c>
      <x:c r="F2432" s="20" t="s">
        <x:v>97</x:v>
      </x:c>
      <x:c r="G2432" s="26">
        <x:v>42304</x:v>
      </x:c>
      <x:c r="H2432" s="24" t="s">
        <x:v>11041</x:v>
      </x:c>
      <x:c r="I2432" s="28" t="s">
        <x:v>11042</x:v>
      </x:c>
      <x:c r="J2432" s="29" t="s">
        <x:v>11043</x:v>
      </x:c>
    </x:row>
    <x:row r="2433" ht="10.050000190734863" customHeight="1">
      <x:c r="A2433" s="21" t="s">
        <x:v>11044</x:v>
      </x:c>
      <x:c r="B2433" s="20" t="s">
        <x:v>11044</x:v>
      </x:c>
      <x:c r="C2433" s="20" t="s">
        <x:v>7531</x:v>
      </x:c>
      <x:c r="D2433" s="24">
        <x:v>36</x:v>
      </x:c>
      <x:c r="E2433" s="24" t="s">
        <x:v>103</x:v>
      </x:c>
      <x:c r="F2433" s="20" t="s">
        <x:v>97</x:v>
      </x:c>
      <x:c r="G2433" s="26">
        <x:v>42281</x:v>
      </x:c>
      <x:c r="H2433" s="24" t="s">
        <x:v>11045</x:v>
      </x:c>
      <x:c r="I2433" s="28" t="s">
        <x:v>11046</x:v>
      </x:c>
      <x:c r="J2433" s="29" t="s">
        <x:v>11047</x:v>
      </x:c>
    </x:row>
    <x:row r="2434" ht="10.050000190734863" customHeight="1">
      <x:c r="A2434" s="21" t="s">
        <x:v>11048</x:v>
      </x:c>
      <x:c r="B2434" s="20" t="s">
        <x:v>11048</x:v>
      </x:c>
      <x:c r="C2434" s="20" t="s">
        <x:v>2557</x:v>
      </x:c>
      <x:c r="D2434" s="24">
        <x:v>22</x:v>
      </x:c>
      <x:c r="E2434" s="24" t="s">
        <x:v>114</x:v>
      </x:c>
      <x:c r="F2434" s="20" t="s">
        <x:v>90</x:v>
      </x:c>
      <x:c r="G2434" s="26">
        <x:v>45721</x:v>
      </x:c>
      <x:c r="H2434" s="24" t="s">
        <x:v>11049</x:v>
      </x:c>
      <x:c r="I2434" s="28" t="s">
        <x:v>11050</x:v>
      </x:c>
      <x:c r="J2434" s="29" t="s">
        <x:v>11051</x:v>
      </x:c>
    </x:row>
    <x:row r="2435" ht="10.050000190734863" customHeight="1">
      <x:c r="A2435" s="21" t="s">
        <x:v>11052</x:v>
      </x:c>
      <x:c r="B2435" s="20" t="s">
        <x:v>11052</x:v>
      </x:c>
      <x:c r="C2435" s="20" t="s">
        <x:v>1558</x:v>
      </x:c>
      <x:c r="D2435" s="24">
        <x:v>14</x:v>
      </x:c>
      <x:c r="E2435" s="24" t="s">
        <x:v>96</x:v>
      </x:c>
      <x:c r="F2435" s="20" t="s">
        <x:v>97</x:v>
      </x:c>
      <x:c r="G2435" s="26">
        <x:v>44607</x:v>
      </x:c>
      <x:c r="H2435" s="24" t="s">
        <x:v>11053</x:v>
      </x:c>
      <x:c r="I2435" s="28" t="s">
        <x:v>11054</x:v>
      </x:c>
      <x:c r="J2435" s="29" t="s">
        <x:v>11055</x:v>
      </x:c>
    </x:row>
    <x:row r="2436" ht="10.050000190734863" customHeight="1">
      <x:c r="A2436" s="21" t="s">
        <x:v>11056</x:v>
      </x:c>
      <x:c r="B2436" s="20" t="s">
        <x:v>11056</x:v>
      </x:c>
      <x:c r="C2436" s="20" t="s">
        <x:v>586</x:v>
      </x:c>
      <x:c r="D2436" s="24">
        <x:v>15</x:v>
      </x:c>
      <x:c r="E2436" s="24" t="s">
        <x:v>103</x:v>
      </x:c>
      <x:c r="F2436" s="20" t="s">
        <x:v>97</x:v>
      </x:c>
      <x:c r="G2436" s="26">
        <x:v>42628</x:v>
      </x:c>
      <x:c r="H2436" s="24" t="s">
        <x:v>11057</x:v>
      </x:c>
      <x:c r="I2436" s="28" t="s">
        <x:v>11058</x:v>
      </x:c>
      <x:c r="J2436" s="29" t="s">
        <x:v>11059</x:v>
      </x:c>
    </x:row>
    <x:row r="2437" ht="10.050000190734863" customHeight="1">
      <x:c r="A2437" s="21" t="s">
        <x:v>11060</x:v>
      </x:c>
      <x:c r="B2437" s="20" t="s">
        <x:v>11060</x:v>
      </x:c>
      <x:c r="C2437" s="20" t="s">
        <x:v>2170</x:v>
      </x:c>
      <x:c r="D2437" s="24">
        <x:v>2</x:v>
      </x:c>
      <x:c r="E2437" s="24" t="s">
        <x:v>96</x:v>
      </x:c>
      <x:c r="F2437" s="20" t="s">
        <x:v>97</x:v>
      </x:c>
      <x:c r="G2437" s="26">
        <x:v>41974</x:v>
      </x:c>
      <x:c r="H2437" s="24" t="s">
        <x:v>11061</x:v>
      </x:c>
      <x:c r="I2437" s="28" t="s">
        <x:v>11062</x:v>
      </x:c>
      <x:c r="J2437" s="29" t="s">
        <x:v>11063</x:v>
      </x:c>
    </x:row>
    <x:row r="2438" ht="10.050000190734863" customHeight="1">
      <x:c r="A2438" s="21" t="s">
        <x:v>11064</x:v>
      </x:c>
      <x:c r="B2438" s="20" t="s">
        <x:v>11064</x:v>
      </x:c>
      <x:c r="C2438" s="20" t="s">
        <x:v>491</x:v>
      </x:c>
      <x:c r="D2438" s="24">
        <x:v>20</x:v>
      </x:c>
      <x:c r="E2438" s="24" t="s">
        <x:v>89</x:v>
      </x:c>
      <x:c r="F2438" s="20" t="s">
        <x:v>90</x:v>
      </x:c>
      <x:c r="G2438" s="26">
        <x:v>45145</x:v>
      </x:c>
      <x:c r="H2438" s="24" t="s">
        <x:v>11065</x:v>
      </x:c>
      <x:c r="I2438" s="28" t="s">
        <x:v>11066</x:v>
      </x:c>
      <x:c r="J2438" s="29" t="s">
        <x:v>11067</x:v>
      </x:c>
    </x:row>
    <x:row r="2439" ht="10.050000190734863" customHeight="1">
      <x:c r="A2439" s="21" t="s">
        <x:v>11068</x:v>
      </x:c>
      <x:c r="B2439" s="20" t="s">
        <x:v>11068</x:v>
      </x:c>
      <x:c r="C2439" s="20" t="s">
        <x:v>491</x:v>
      </x:c>
      <x:c r="D2439" s="24">
        <x:v>18</x:v>
      </x:c>
      <x:c r="E2439" s="24" t="s">
        <x:v>89</x:v>
      </x:c>
      <x:c r="F2439" s="20" t="s">
        <x:v>90</x:v>
      </x:c>
      <x:c r="G2439" s="26">
        <x:v>45195</x:v>
      </x:c>
      <x:c r="H2439" s="24" t="s">
        <x:v>11069</x:v>
      </x:c>
      <x:c r="I2439" s="28" t="s">
        <x:v>11070</x:v>
      </x:c>
      <x:c r="J2439" s="29" t="s">
        <x:v>11071</x:v>
      </x:c>
    </x:row>
    <x:row r="2440" ht="10.050000190734863" customHeight="1">
      <x:c r="A2440" s="21" t="s">
        <x:v>11072</x:v>
      </x:c>
      <x:c r="B2440" s="20" t="s">
        <x:v>11072</x:v>
      </x:c>
      <x:c r="C2440" s="20" t="s">
        <x:v>11073</x:v>
      </x:c>
      <x:c r="D2440" s="24">
        <x:v>77</x:v>
      </x:c>
      <x:c r="E2440" s="24" t="s">
        <x:v>96</x:v>
      </x:c>
      <x:c r="F2440" s="20" t="s">
        <x:v>97</x:v>
      </x:c>
      <x:c r="G2440" s="26">
        <x:v>41620</x:v>
      </x:c>
      <x:c r="H2440" s="24" t="s">
        <x:v>11074</x:v>
      </x:c>
      <x:c r="I2440" s="28" t="s">
        <x:v>11075</x:v>
      </x:c>
      <x:c r="J2440" s="29" t="s">
        <x:v>11076</x:v>
      </x:c>
    </x:row>
    <x:row r="2441" ht="10.050000190734863" customHeight="1">
      <x:c r="A2441" s="21" t="s">
        <x:v>11077</x:v>
      </x:c>
      <x:c r="B2441" s="20" t="s">
        <x:v>11077</x:v>
      </x:c>
      <x:c r="C2441" s="20" t="s">
        <x:v>4942</x:v>
      </x:c>
      <x:c r="D2441" s="24">
        <x:v>2</x:v>
      </x:c>
      <x:c r="E2441" s="24" t="s">
        <x:v>103</x:v>
      </x:c>
      <x:c r="F2441" s="20" t="s">
        <x:v>97</x:v>
      </x:c>
      <x:c r="G2441" s="26">
        <x:v>42018</x:v>
      </x:c>
      <x:c r="H2441" s="24" t="s">
        <x:v>11078</x:v>
      </x:c>
      <x:c r="I2441" s="28" t="s">
        <x:v>11079</x:v>
      </x:c>
      <x:c r="J2441" s="29" t="s">
        <x:v>11080</x:v>
      </x:c>
    </x:row>
    <x:row r="2442" ht="10.050000190734863" customHeight="1">
      <x:c r="A2442" s="21" t="s">
        <x:v>11081</x:v>
      </x:c>
      <x:c r="B2442" s="20" t="s">
        <x:v>11081</x:v>
      </x:c>
      <x:c r="C2442" s="20" t="s">
        <x:v>4942</x:v>
      </x:c>
      <x:c r="D2442" s="24">
        <x:v>6</x:v>
      </x:c>
      <x:c r="E2442" s="24" t="s">
        <x:v>103</x:v>
      </x:c>
      <x:c r="F2442" s="20" t="s">
        <x:v>97</x:v>
      </x:c>
      <x:c r="G2442" s="26">
        <x:v>41533</x:v>
      </x:c>
      <x:c r="H2442" s="24" t="s">
        <x:v>11082</x:v>
      </x:c>
      <x:c r="I2442" s="28" t="s">
        <x:v>11083</x:v>
      </x:c>
      <x:c r="J2442" s="29" t="s">
        <x:v>11084</x:v>
      </x:c>
    </x:row>
    <x:row r="2443" ht="10.050000190734863" customHeight="1">
      <x:c r="A2443" s="21" t="s">
        <x:v>11085</x:v>
      </x:c>
      <x:c r="B2443" s="20" t="s">
        <x:v>11085</x:v>
      </x:c>
      <x:c r="C2443" s="20" t="s">
        <x:v>4942</x:v>
      </x:c>
      <x:c r="D2443" s="24">
        <x:v>15</x:v>
      </x:c>
      <x:c r="E2443" s="24" t="s">
        <x:v>103</x:v>
      </x:c>
      <x:c r="F2443" s="20" t="s">
        <x:v>97</x:v>
      </x:c>
      <x:c r="G2443" s="26">
        <x:v>41563</x:v>
      </x:c>
      <x:c r="H2443" s="24" t="s">
        <x:v>11086</x:v>
      </x:c>
      <x:c r="I2443" s="28" t="s">
        <x:v>11087</x:v>
      </x:c>
      <x:c r="J2443" s="29" t="s">
        <x:v>11088</x:v>
      </x:c>
    </x:row>
    <x:row r="2444" ht="10.050000190734863" customHeight="1">
      <x:c r="A2444" s="21" t="s">
        <x:v>11089</x:v>
      </x:c>
      <x:c r="B2444" s="20" t="s">
        <x:v>11089</x:v>
      </x:c>
      <x:c r="C2444" s="20" t="s">
        <x:v>8671</x:v>
      </x:c>
      <x:c r="D2444" s="24">
        <x:v>54</x:v>
      </x:c>
      <x:c r="E2444" s="24" t="s">
        <x:v>96</x:v>
      </x:c>
      <x:c r="F2444" s="20" t="s">
        <x:v>97</x:v>
      </x:c>
      <x:c r="G2444" s="26">
        <x:v>42299</x:v>
      </x:c>
      <x:c r="H2444" s="24" t="s">
        <x:v>11090</x:v>
      </x:c>
      <x:c r="I2444" s="28" t="s">
        <x:v>11091</x:v>
      </x:c>
      <x:c r="J2444" s="29" t="s">
        <x:v>11092</x:v>
      </x:c>
    </x:row>
    <x:row r="2445" ht="10.050000190734863" customHeight="1">
      <x:c r="A2445" s="21" t="s">
        <x:v>11093</x:v>
      </x:c>
      <x:c r="B2445" s="20" t="s">
        <x:v>11093</x:v>
      </x:c>
      <x:c r="C2445" s="20" t="s">
        <x:v>11094</x:v>
      </x:c>
      <x:c r="D2445" s="24">
        <x:v>6</x:v>
      </x:c>
      <x:c r="E2445" s="24" t="s">
        <x:v>103</x:v>
      </x:c>
      <x:c r="F2445" s="20" t="s">
        <x:v>97</x:v>
      </x:c>
      <x:c r="G2445" s="26">
        <x:v>41535</x:v>
      </x:c>
      <x:c r="H2445" s="24" t="s">
        <x:v>11095</x:v>
      </x:c>
      <x:c r="I2445" s="28" t="s">
        <x:v>11096</x:v>
      </x:c>
      <x:c r="J2445" s="29" t="s">
        <x:v>11097</x:v>
      </x:c>
    </x:row>
    <x:row r="2446" ht="10.050000190734863" customHeight="1">
      <x:c r="A2446" s="21" t="s">
        <x:v>11098</x:v>
      </x:c>
      <x:c r="B2446" s="20" t="s">
        <x:v>11098</x:v>
      </x:c>
      <x:c r="C2446" s="20" t="s">
        <x:v>374</x:v>
      </x:c>
      <x:c r="D2446" s="24">
        <x:v>4</x:v>
      </x:c>
      <x:c r="E2446" s="24" t="s">
        <x:v>103</x:v>
      </x:c>
      <x:c r="F2446" s="20" t="s">
        <x:v>97</x:v>
      </x:c>
      <x:c r="G2446" s="26">
        <x:v>42066</x:v>
      </x:c>
      <x:c r="H2446" s="24" t="s">
        <x:v>11099</x:v>
      </x:c>
      <x:c r="I2446" s="28" t="s">
        <x:v>11100</x:v>
      </x:c>
      <x:c r="J2446" s="29" t="s">
        <x:v>11101</x:v>
      </x:c>
    </x:row>
    <x:row r="2447" ht="10.050000190734863" customHeight="1">
      <x:c r="A2447" s="21" t="s">
        <x:v>11102</x:v>
      </x:c>
      <x:c r="B2447" s="20" t="s">
        <x:v>11102</x:v>
      </x:c>
      <x:c r="C2447" s="20" t="s">
        <x:v>11103</x:v>
      </x:c>
      <x:c r="D2447" s="24">
        <x:v>32</x:v>
      </x:c>
      <x:c r="E2447" s="24" t="s">
        <x:v>103</x:v>
      </x:c>
      <x:c r="F2447" s="20" t="s">
        <x:v>97</x:v>
      </x:c>
      <x:c r="G2447" s="26">
        <x:v>45138</x:v>
      </x:c>
      <x:c r="H2447" s="24" t="s">
        <x:v>11104</x:v>
      </x:c>
      <x:c r="I2447" s="28" t="s">
        <x:v>11105</x:v>
      </x:c>
      <x:c r="J2447" s="29" t="s">
        <x:v>11106</x:v>
      </x:c>
    </x:row>
    <x:row r="2448" ht="10.050000190734863" customHeight="1">
      <x:c r="A2448" s="21" t="s">
        <x:v>11107</x:v>
      </x:c>
      <x:c r="B2448" s="20" t="s">
        <x:v>11107</x:v>
      </x:c>
      <x:c r="C2448" s="20" t="s">
        <x:v>11108</x:v>
      </x:c>
      <x:c r="D2448" s="24">
        <x:v>6</x:v>
      </x:c>
      <x:c r="E2448" s="24" t="s">
        <x:v>257</x:v>
      </x:c>
      <x:c r="F2448" s="20" t="s">
        <x:v>97</x:v>
      </x:c>
      <x:c r="G2448" s="26">
        <x:v>42317</x:v>
      </x:c>
      <x:c r="H2448" s="24" t="s">
        <x:v>11109</x:v>
      </x:c>
      <x:c r="I2448" s="28" t="s">
        <x:v>11110</x:v>
      </x:c>
      <x:c r="J2448" s="29" t="s">
        <x:v>11111</x:v>
      </x:c>
    </x:row>
    <x:row r="2449" ht="10.050000190734863" customHeight="1">
      <x:c r="A2449" s="21" t="s">
        <x:v>11112</x:v>
      </x:c>
      <x:c r="B2449" s="20" t="s">
        <x:v>11112</x:v>
      </x:c>
      <x:c r="C2449" s="20" t="s">
        <x:v>11113</x:v>
      </x:c>
      <x:c r="D2449" s="24">
        <x:v>25</x:v>
      </x:c>
      <x:c r="E2449" s="24" t="s">
        <x:v>96</x:v>
      </x:c>
      <x:c r="F2449" s="20" t="s">
        <x:v>97</x:v>
      </x:c>
      <x:c r="G2449" s="26">
        <x:v>44167</x:v>
      </x:c>
      <x:c r="H2449" s="24" t="s">
        <x:v>11114</x:v>
      </x:c>
      <x:c r="I2449" s="28" t="s">
        <x:v>11115</x:v>
      </x:c>
      <x:c r="J2449" s="29" t="s">
        <x:v>11116</x:v>
      </x:c>
    </x:row>
    <x:row r="2450" ht="10.050000190734863" customHeight="1">
      <x:c r="A2450" s="21" t="s">
        <x:v>11117</x:v>
      </x:c>
      <x:c r="B2450" s="20" t="s">
        <x:v>11117</x:v>
      </x:c>
      <x:c r="C2450" s="20" t="s">
        <x:v>11118</x:v>
      </x:c>
      <x:c r="D2450" s="24">
        <x:v>0</x:v>
      </x:c>
      <x:c r="E2450" s="24" t="s">
        <x:v>103</x:v>
      </x:c>
      <x:c r="F2450" s="20" t="s">
        <x:v>97</x:v>
      </x:c>
      <x:c r="G2450" s="26">
        <x:v>44676</x:v>
      </x:c>
      <x:c r="H2450" s="24" t="s">
        <x:v>11119</x:v>
      </x:c>
      <x:c r="I2450" s="28" t="s">
        <x:v>11120</x:v>
      </x:c>
      <x:c r="J2450" s="29" t="s">
        <x:v>11121</x:v>
      </x:c>
    </x:row>
    <x:row r="2451" ht="10.050000190734863" customHeight="1">
      <x:c r="A2451" s="21" t="s">
        <x:v>11122</x:v>
      </x:c>
      <x:c r="B2451" s="20" t="s">
        <x:v>11122</x:v>
      </x:c>
      <x:c r="C2451" s="20" t="s">
        <x:v>4300</x:v>
      </x:c>
      <x:c r="D2451" s="24">
        <x:v>44</x:v>
      </x:c>
      <x:c r="E2451" s="24" t="s">
        <x:v>103</x:v>
      </x:c>
      <x:c r="F2451" s="20" t="s">
        <x:v>97</x:v>
      </x:c>
      <x:c r="G2451" s="26">
        <x:v>43955</x:v>
      </x:c>
      <x:c r="H2451" s="24" t="s">
        <x:v>11123</x:v>
      </x:c>
      <x:c r="I2451" s="28" t="s">
        <x:v>11124</x:v>
      </x:c>
      <x:c r="J2451" s="29" t="s">
        <x:v>11125</x:v>
      </x:c>
    </x:row>
    <x:row r="2452" ht="10.050000190734863" customHeight="1">
      <x:c r="A2452" s="21" t="s">
        <x:v>11126</x:v>
      </x:c>
      <x:c r="B2452" s="20" t="s">
        <x:v>11126</x:v>
      </x:c>
      <x:c r="C2452" s="20" t="s">
        <x:v>11127</x:v>
      </x:c>
      <x:c r="D2452" s="24">
        <x:v>11</x:v>
      </x:c>
      <x:c r="E2452" s="24" t="s">
        <x:v>103</x:v>
      </x:c>
      <x:c r="F2452" s="20" t="s">
        <x:v>97</x:v>
      </x:c>
      <x:c r="G2452" s="26">
        <x:v>42276</x:v>
      </x:c>
      <x:c r="H2452" s="24" t="s">
        <x:v>11128</x:v>
      </x:c>
      <x:c r="I2452" s="28" t="s">
        <x:v>11129</x:v>
      </x:c>
      <x:c r="J2452" s="29" t="s">
        <x:v>11130</x:v>
      </x:c>
    </x:row>
    <x:row r="2453" ht="10.050000190734863" customHeight="1">
      <x:c r="A2453" s="21" t="s">
        <x:v>11131</x:v>
      </x:c>
      <x:c r="B2453" s="20" t="s">
        <x:v>11131</x:v>
      </x:c>
      <x:c r="C2453" s="20" t="s">
        <x:v>11132</x:v>
      </x:c>
      <x:c r="D2453" s="24">
        <x:v>13</x:v>
      </x:c>
      <x:c r="E2453" s="24" t="s">
        <x:v>103</x:v>
      </x:c>
      <x:c r="F2453" s="20" t="s">
        <x:v>97</x:v>
      </x:c>
      <x:c r="G2453" s="26">
        <x:v>42302</x:v>
      </x:c>
      <x:c r="H2453" s="24" t="s">
        <x:v>11133</x:v>
      </x:c>
      <x:c r="I2453" s="28" t="s">
        <x:v>11134</x:v>
      </x:c>
      <x:c r="J2453" s="29" t="s">
        <x:v>11135</x:v>
      </x:c>
    </x:row>
    <x:row r="2454" ht="10.050000190734863" customHeight="1">
      <x:c r="A2454" s="21" t="s">
        <x:v>11136</x:v>
      </x:c>
      <x:c r="B2454" s="20" t="s">
        <x:v>11136</x:v>
      </x:c>
      <x:c r="C2454" s="20" t="s">
        <x:v>11137</x:v>
      </x:c>
      <x:c r="D2454" s="24">
        <x:v>2</x:v>
      </x:c>
      <x:c r="E2454" s="24" t="s">
        <x:v>257</x:v>
      </x:c>
      <x:c r="F2454" s="20" t="s">
        <x:v>97</x:v>
      </x:c>
      <x:c r="G2454" s="26">
        <x:v>42018</x:v>
      </x:c>
      <x:c r="H2454" s="24" t="s">
        <x:v>11138</x:v>
      </x:c>
      <x:c r="I2454" s="28" t="s">
        <x:v>11139</x:v>
      </x:c>
      <x:c r="J2454" s="29" t="s">
        <x:v>11140</x:v>
      </x:c>
    </x:row>
    <x:row r="2455" ht="10.050000190734863" customHeight="1">
      <x:c r="A2455" s="21" t="s">
        <x:v>11141</x:v>
      </x:c>
      <x:c r="B2455" s="20" t="s">
        <x:v>11141</x:v>
      </x:c>
      <x:c r="C2455" s="20" t="s">
        <x:v>3265</x:v>
      </x:c>
      <x:c r="D2455" s="24">
        <x:v>5</x:v>
      </x:c>
      <x:c r="E2455" s="24" t="s">
        <x:v>257</x:v>
      </x:c>
      <x:c r="F2455" s="20" t="s">
        <x:v>97</x:v>
      </x:c>
      <x:c r="G2455" s="26">
        <x:v>42265</x:v>
      </x:c>
      <x:c r="H2455" s="24" t="s">
        <x:v>11142</x:v>
      </x:c>
      <x:c r="I2455" s="28" t="s">
        <x:v>11143</x:v>
      </x:c>
      <x:c r="J2455" s="29" t="s">
        <x:v>11144</x:v>
      </x:c>
    </x:row>
    <x:row r="2456" ht="10.050000190734863" customHeight="1">
      <x:c r="A2456" s="21" t="s">
        <x:v>11145</x:v>
      </x:c>
      <x:c r="B2456" s="20" t="s">
        <x:v>11145</x:v>
      </x:c>
      <x:c r="C2456" s="20" t="s">
        <x:v>3243</x:v>
      </x:c>
      <x:c r="D2456" s="24">
        <x:v>1</x:v>
      </x:c>
      <x:c r="E2456" s="24" t="s">
        <x:v>103</x:v>
      </x:c>
      <x:c r="F2456" s="20" t="s">
        <x:v>97</x:v>
      </x:c>
      <x:c r="G2456" s="26">
        <x:v>42017</x:v>
      </x:c>
      <x:c r="H2456" s="24" t="s">
        <x:v>11146</x:v>
      </x:c>
      <x:c r="I2456" s="28" t="s">
        <x:v>11147</x:v>
      </x:c>
      <x:c r="J2456" s="29" t="s">
        <x:v>11148</x:v>
      </x:c>
    </x:row>
    <x:row r="2457" ht="10.050000190734863" customHeight="1">
      <x:c r="A2457" s="21" t="s">
        <x:v>11149</x:v>
      </x:c>
      <x:c r="B2457" s="20" t="s">
        <x:v>11149</x:v>
      </x:c>
      <x:c r="C2457" s="20" t="s">
        <x:v>11150</x:v>
      </x:c>
      <x:c r="D2457" s="24">
        <x:v>4</x:v>
      </x:c>
      <x:c r="E2457" s="24" t="s">
        <x:v>198</x:v>
      </x:c>
      <x:c r="F2457" s="20" t="s">
        <x:v>90</x:v>
      </x:c>
      <x:c r="G2457" s="26">
        <x:v>42222</x:v>
      </x:c>
      <x:c r="H2457" s="24" t="s">
        <x:v>11151</x:v>
      </x:c>
      <x:c r="I2457" s="28" t="s">
        <x:v>11152</x:v>
      </x:c>
      <x:c r="J2457" s="29" t="s">
        <x:v>11153</x:v>
      </x:c>
    </x:row>
    <x:row r="2458" ht="10.050000190734863" customHeight="1">
      <x:c r="A2458" s="21" t="s">
        <x:v>11154</x:v>
      </x:c>
      <x:c r="B2458" s="20" t="s">
        <x:v>11154</x:v>
      </x:c>
      <x:c r="C2458" s="20" t="s">
        <x:v>11155</x:v>
      </x:c>
      <x:c r="D2458" s="24">
        <x:v>12</x:v>
      </x:c>
      <x:c r="E2458" s="24" t="s">
        <x:v>103</x:v>
      </x:c>
      <x:c r="F2458" s="20" t="s">
        <x:v>97</x:v>
      </x:c>
      <x:c r="G2458" s="26">
        <x:v>41567</x:v>
      </x:c>
      <x:c r="H2458" s="24" t="s">
        <x:v>11156</x:v>
      </x:c>
      <x:c r="I2458" s="28" t="s">
        <x:v>11157</x:v>
      </x:c>
      <x:c r="J2458" s="29" t="s">
        <x:v>11158</x:v>
      </x:c>
    </x:row>
    <x:row r="2459" ht="10.050000190734863" customHeight="1">
      <x:c r="A2459" s="21" t="s">
        <x:v>11159</x:v>
      </x:c>
      <x:c r="B2459" s="20" t="s">
        <x:v>11159</x:v>
      </x:c>
      <x:c r="C2459" s="20" t="s">
        <x:v>11160</x:v>
      </x:c>
      <x:c r="D2459" s="24">
        <x:v>11</x:v>
      </x:c>
      <x:c r="E2459" s="24" t="s">
        <x:v>114</x:v>
      </x:c>
      <x:c r="F2459" s="20" t="s">
        <x:v>90</x:v>
      </x:c>
      <x:c r="G2459" s="26">
        <x:v>44631</x:v>
      </x:c>
      <x:c r="H2459" s="24" t="s">
        <x:v>11161</x:v>
      </x:c>
      <x:c r="I2459" s="28" t="s">
        <x:v>11162</x:v>
      </x:c>
      <x:c r="J2459" s="29" t="s">
        <x:v>11163</x:v>
      </x:c>
    </x:row>
    <x:row r="2460" ht="10.050000190734863" customHeight="1">
      <x:c r="A2460" s="21" t="s">
        <x:v>11164</x:v>
      </x:c>
      <x:c r="B2460" s="20" t="s">
        <x:v>11164</x:v>
      </x:c>
      <x:c r="C2460" s="20" t="s">
        <x:v>1831</x:v>
      </x:c>
      <x:c r="D2460" s="24">
        <x:v>19</x:v>
      </x:c>
      <x:c r="E2460" s="24" t="s">
        <x:v>198</x:v>
      </x:c>
      <x:c r="F2460" s="20" t="s">
        <x:v>90</x:v>
      </x:c>
      <x:c r="G2460" s="26">
        <x:v>44480</x:v>
      </x:c>
      <x:c r="H2460" s="24" t="s">
        <x:v>11165</x:v>
      </x:c>
      <x:c r="I2460" s="28" t="s">
        <x:v>11166</x:v>
      </x:c>
      <x:c r="J2460" s="29" t="s">
        <x:v>11167</x:v>
      </x:c>
    </x:row>
    <x:row r="2461" ht="10.050000190734863" customHeight="1">
      <x:c r="A2461" s="21" t="s">
        <x:v>11168</x:v>
      </x:c>
      <x:c r="B2461" s="20" t="s">
        <x:v>11168</x:v>
      </x:c>
      <x:c r="C2461" s="20" t="s">
        <x:v>11169</x:v>
      </x:c>
      <x:c r="D2461" s="24">
        <x:v>96</x:v>
      </x:c>
      <x:c r="E2461" s="24" t="s">
        <x:v>114</x:v>
      </x:c>
      <x:c r="F2461" s="20" t="s">
        <x:v>97</x:v>
      </x:c>
      <x:c r="G2461" s="26">
        <x:v>41582</x:v>
      </x:c>
      <x:c r="H2461" s="24" t="s">
        <x:v>11170</x:v>
      </x:c>
      <x:c r="I2461" s="28" t="s">
        <x:v>11171</x:v>
      </x:c>
      <x:c r="J2461" s="29" t="s">
        <x:v>11172</x:v>
      </x:c>
    </x:row>
    <x:row r="2462" ht="10.050000190734863" customHeight="1">
      <x:c r="A2462" s="21" t="s">
        <x:v>11173</x:v>
      </x:c>
      <x:c r="B2462" s="20" t="s">
        <x:v>11173</x:v>
      </x:c>
      <x:c r="C2462" s="20" t="s">
        <x:v>2184</x:v>
      </x:c>
      <x:c r="D2462" s="24">
        <x:v>9</x:v>
      </x:c>
      <x:c r="E2462" s="24" t="s">
        <x:v>96</x:v>
      </x:c>
      <x:c r="F2462" s="20" t="s">
        <x:v>97</x:v>
      </x:c>
      <x:c r="G2462" s="26">
        <x:v>42040</x:v>
      </x:c>
      <x:c r="H2462" s="24" t="s">
        <x:v>11174</x:v>
      </x:c>
      <x:c r="I2462" s="28" t="s">
        <x:v>11175</x:v>
      </x:c>
      <x:c r="J2462" s="29" t="s">
        <x:v>11176</x:v>
      </x:c>
    </x:row>
    <x:row r="2463" ht="10.050000190734863" customHeight="1">
      <x:c r="A2463" s="21" t="s">
        <x:v>11177</x:v>
      </x:c>
      <x:c r="B2463" s="20" t="s">
        <x:v>11177</x:v>
      </x:c>
      <x:c r="C2463" s="20" t="s">
        <x:v>5218</x:v>
      </x:c>
      <x:c r="D2463" s="24">
        <x:v>1</x:v>
      </x:c>
      <x:c r="E2463" s="24" t="s">
        <x:v>96</x:v>
      </x:c>
      <x:c r="F2463" s="20" t="s">
        <x:v>97</x:v>
      </x:c>
      <x:c r="G2463" s="26">
        <x:v>42155</x:v>
      </x:c>
      <x:c r="H2463" s="24" t="s">
        <x:v>11178</x:v>
      </x:c>
      <x:c r="I2463" s="28" t="s">
        <x:v>11179</x:v>
      </x:c>
      <x:c r="J2463" s="29" t="s">
        <x:v>11180</x:v>
      </x:c>
    </x:row>
    <x:row r="2464" ht="10.050000190734863" customHeight="1">
      <x:c r="A2464" s="21" t="s">
        <x:v>11181</x:v>
      </x:c>
      <x:c r="B2464" s="20" t="s">
        <x:v>11181</x:v>
      </x:c>
      <x:c r="C2464" s="20" t="s">
        <x:v>3509</x:v>
      </x:c>
      <x:c r="D2464" s="24">
        <x:v>15</x:v>
      </x:c>
      <x:c r="E2464" s="24" t="s">
        <x:v>96</x:v>
      </x:c>
      <x:c r="F2464" s="20" t="s">
        <x:v>97</x:v>
      </x:c>
      <x:c r="G2464" s="26">
        <x:v>45407</x:v>
      </x:c>
      <x:c r="H2464" s="24" t="s">
        <x:v>11182</x:v>
      </x:c>
      <x:c r="I2464" s="28" t="s">
        <x:v>11183</x:v>
      </x:c>
      <x:c r="J2464" s="29" t="s">
        <x:v>11184</x:v>
      </x:c>
    </x:row>
    <x:row r="2465" ht="10.050000190734863" customHeight="1">
      <x:c r="A2465" s="21" t="s">
        <x:v>11185</x:v>
      </x:c>
      <x:c r="B2465" s="20" t="s">
        <x:v>11185</x:v>
      </x:c>
      <x:c r="C2465" s="20" t="s">
        <x:v>1568</x:v>
      </x:c>
      <x:c r="D2465" s="24">
        <x:v>1</x:v>
      </x:c>
      <x:c r="E2465" s="24" t="s">
        <x:v>114</x:v>
      </x:c>
      <x:c r="F2465" s="20" t="s">
        <x:v>126</x:v>
      </x:c>
      <x:c r="G2465" s="26">
        <x:v>42939</x:v>
      </x:c>
      <x:c r="H2465" s="24" t="s">
        <x:v>11186</x:v>
      </x:c>
      <x:c r="I2465" s="28" t="s">
        <x:v>11187</x:v>
      </x:c>
      <x:c r="J2465" s="29" t="s">
        <x:v>11188</x:v>
      </x:c>
    </x:row>
    <x:row r="2466" ht="10.050000190734863" customHeight="1">
      <x:c r="A2466" s="21" t="s">
        <x:v>11189</x:v>
      </x:c>
      <x:c r="B2466" s="20" t="s">
        <x:v>11189</x:v>
      </x:c>
      <x:c r="C2466" s="20" t="s">
        <x:v>11190</x:v>
      </x:c>
      <x:c r="D2466" s="24">
        <x:v>1</x:v>
      </x:c>
      <x:c r="E2466" s="24" t="s">
        <x:v>114</x:v>
      </x:c>
      <x:c r="F2466" s="20" t="s">
        <x:v>126</x:v>
      </x:c>
      <x:c r="G2466" s="26">
        <x:v>45209</x:v>
      </x:c>
      <x:c r="H2466" s="24" t="s">
        <x:v>11191</x:v>
      </x:c>
      <x:c r="I2466" s="28" t="s">
        <x:v>11192</x:v>
      </x:c>
      <x:c r="J2466" s="29" t="s">
        <x:v>11193</x:v>
      </x:c>
    </x:row>
    <x:row r="2467" ht="10.050000190734863" customHeight="1">
      <x:c r="A2467" s="21" t="s">
        <x:v>11194</x:v>
      </x:c>
      <x:c r="B2467" s="20" t="s">
        <x:v>11194</x:v>
      </x:c>
      <x:c r="C2467" s="20" t="s">
        <x:v>11195</x:v>
      </x:c>
      <x:c r="D2467" s="24">
        <x:v>17</x:v>
      </x:c>
      <x:c r="E2467" s="24" t="s">
        <x:v>257</x:v>
      </x:c>
      <x:c r="F2467" s="20" t="s">
        <x:v>97</x:v>
      </x:c>
      <x:c r="G2467" s="26">
        <x:v>42256</x:v>
      </x:c>
      <x:c r="H2467" s="24" t="s">
        <x:v>11196</x:v>
      </x:c>
      <x:c r="I2467" s="28" t="s">
        <x:v>11197</x:v>
      </x:c>
      <x:c r="J2467" s="29" t="s">
        <x:v>11198</x:v>
      </x:c>
    </x:row>
    <x:row r="2468" ht="10.050000190734863" customHeight="1">
      <x:c r="A2468" s="21" t="s">
        <x:v>11199</x:v>
      </x:c>
      <x:c r="B2468" s="20" t="s">
        <x:v>11199</x:v>
      </x:c>
      <x:c r="C2468" s="20" t="s">
        <x:v>10850</x:v>
      </x:c>
      <x:c r="D2468" s="24">
        <x:v>5</x:v>
      </x:c>
      <x:c r="E2468" s="24" t="s">
        <x:v>125</x:v>
      </x:c>
      <x:c r="F2468" s="20" t="s">
        <x:v>90</x:v>
      </x:c>
      <x:c r="G2468" s="26">
        <x:v>45127</x:v>
      </x:c>
      <x:c r="H2468" s="24" t="s">
        <x:v>11200</x:v>
      </x:c>
      <x:c r="I2468" s="28" t="s">
        <x:v>11201</x:v>
      </x:c>
      <x:c r="J2468" s="29" t="s">
        <x:v>11202</x:v>
      </x:c>
    </x:row>
    <x:row r="2469" ht="10.050000190734863" customHeight="1">
      <x:c r="A2469" s="21" t="s">
        <x:v>11203</x:v>
      </x:c>
      <x:c r="B2469" s="20" t="s">
        <x:v>11203</x:v>
      </x:c>
      <x:c r="C2469" s="20" t="s">
        <x:v>2501</x:v>
      </x:c>
      <x:c r="D2469" s="24">
        <x:v>22</x:v>
      </x:c>
      <x:c r="E2469" s="24" t="s">
        <x:v>198</x:v>
      </x:c>
      <x:c r="F2469" s="20" t="s">
        <x:v>90</x:v>
      </x:c>
      <x:c r="G2469" s="26">
        <x:v>44384</x:v>
      </x:c>
      <x:c r="H2469" s="24" t="s">
        <x:v>11204</x:v>
      </x:c>
      <x:c r="I2469" s="28" t="s">
        <x:v>11205</x:v>
      </x:c>
      <x:c r="J2469" s="29" t="s">
        <x:v>11206</x:v>
      </x:c>
    </x:row>
    <x:row r="2470" ht="10.050000190734863" customHeight="1">
      <x:c r="A2470" s="21" t="s">
        <x:v>11207</x:v>
      </x:c>
      <x:c r="B2470" s="20" t="s">
        <x:v>11207</x:v>
      </x:c>
      <x:c r="C2470" s="20" t="s">
        <x:v>11208</x:v>
      </x:c>
      <x:c r="D2470" s="24">
        <x:v>8</x:v>
      </x:c>
      <x:c r="E2470" s="24" t="s">
        <x:v>198</x:v>
      </x:c>
      <x:c r="F2470" s="20" t="s">
        <x:v>90</x:v>
      </x:c>
      <x:c r="G2470" s="26">
        <x:v>46194</x:v>
      </x:c>
      <x:c r="H2470" s="24" t="s">
        <x:v>11209</x:v>
      </x:c>
      <x:c r="I2470" s="28" t="s">
        <x:v>11210</x:v>
      </x:c>
      <x:c r="J2470" s="29" t="s">
        <x:v>11211</x:v>
      </x:c>
    </x:row>
    <x:row r="2471" ht="10.050000190734863" customHeight="1">
      <x:c r="A2471" s="21" t="s">
        <x:v>11212</x:v>
      </x:c>
      <x:c r="B2471" s="20" t="s">
        <x:v>11212</x:v>
      </x:c>
      <x:c r="C2471" s="20" t="s">
        <x:v>11213</x:v>
      </x:c>
      <x:c r="D2471" s="24">
        <x:v>24</x:v>
      </x:c>
      <x:c r="E2471" s="24" t="s">
        <x:v>103</x:v>
      </x:c>
      <x:c r="F2471" s="20" t="s">
        <x:v>97</x:v>
      </x:c>
      <x:c r="G2471" s="26">
        <x:v>44152</x:v>
      </x:c>
      <x:c r="H2471" s="24" t="s">
        <x:v>11214</x:v>
      </x:c>
      <x:c r="I2471" s="28" t="s">
        <x:v>11215</x:v>
      </x:c>
      <x:c r="J2471" s="29" t="s">
        <x:v>11216</x:v>
      </x:c>
    </x:row>
    <x:row r="2472" ht="10.050000190734863" customHeight="1">
      <x:c r="A2472" s="21" t="s">
        <x:v>11217</x:v>
      </x:c>
      <x:c r="B2472" s="20" t="s">
        <x:v>11217</x:v>
      </x:c>
      <x:c r="C2472" s="20" t="s">
        <x:v>11218</x:v>
      </x:c>
      <x:c r="D2472" s="24">
        <x:v>7</x:v>
      </x:c>
      <x:c r="E2472" s="24" t="s">
        <x:v>103</x:v>
      </x:c>
      <x:c r="F2472" s="20" t="s">
        <x:v>97</x:v>
      </x:c>
      <x:c r="G2472" s="26">
        <x:v>41451</x:v>
      </x:c>
      <x:c r="H2472" s="24" t="s">
        <x:v>11219</x:v>
      </x:c>
      <x:c r="I2472" s="28" t="s">
        <x:v>11220</x:v>
      </x:c>
      <x:c r="J2472" s="29" t="s">
        <x:v>11221</x:v>
      </x:c>
    </x:row>
    <x:row r="2473" ht="10.050000190734863" customHeight="1">
      <x:c r="A2473" s="21" t="s">
        <x:v>11222</x:v>
      </x:c>
      <x:c r="B2473" s="20" t="s">
        <x:v>11222</x:v>
      </x:c>
      <x:c r="C2473" s="20" t="s">
        <x:v>282</x:v>
      </x:c>
      <x:c r="D2473" s="24">
        <x:v>34</x:v>
      </x:c>
      <x:c r="E2473" s="24" t="s">
        <x:v>96</x:v>
      </x:c>
      <x:c r="F2473" s="20" t="s">
        <x:v>97</x:v>
      </x:c>
      <x:c r="G2473" s="26">
        <x:v>44868</x:v>
      </x:c>
      <x:c r="H2473" s="24" t="s">
        <x:v>11223</x:v>
      </x:c>
      <x:c r="I2473" s="28" t="s">
        <x:v>11224</x:v>
      </x:c>
      <x:c r="J2473" s="29" t="s">
        <x:v>11225</x:v>
      </x:c>
    </x:row>
    <x:row r="2474" ht="10.050000190734863" customHeight="1">
      <x:c r="A2474" s="21" t="s">
        <x:v>11226</x:v>
      </x:c>
      <x:c r="B2474" s="20" t="s">
        <x:v>11226</x:v>
      </x:c>
      <x:c r="C2474" s="20" t="s">
        <x:v>11227</x:v>
      </x:c>
      <x:c r="D2474" s="24">
        <x:v>62</x:v>
      </x:c>
      <x:c r="E2474" s="24" t="s">
        <x:v>103</x:v>
      </x:c>
      <x:c r="F2474" s="20" t="s">
        <x:v>97</x:v>
      </x:c>
      <x:c r="G2474" s="26">
        <x:v>42300</x:v>
      </x:c>
      <x:c r="H2474" s="24" t="s">
        <x:v>11228</x:v>
      </x:c>
      <x:c r="I2474" s="28" t="s">
        <x:v>11229</x:v>
      </x:c>
      <x:c r="J2474" s="29" t="s">
        <x:v>11230</x:v>
      </x:c>
    </x:row>
    <x:row r="2475" ht="10.050000190734863" customHeight="1">
      <x:c r="A2475" s="21" t="s">
        <x:v>11231</x:v>
      </x:c>
      <x:c r="B2475" s="20" t="s">
        <x:v>11231</x:v>
      </x:c>
      <x:c r="C2475" s="20" t="s">
        <x:v>1608</x:v>
      </x:c>
      <x:c r="D2475" s="24">
        <x:v>15</x:v>
      </x:c>
      <x:c r="E2475" s="24" t="s">
        <x:v>114</x:v>
      </x:c>
      <x:c r="F2475" s="20" t="s">
        <x:v>90</x:v>
      </x:c>
      <x:c r="G2475" s="26">
        <x:v>44302</x:v>
      </x:c>
      <x:c r="H2475" s="24" t="s">
        <x:v>11232</x:v>
      </x:c>
      <x:c r="I2475" s="28" t="s">
        <x:v>11233</x:v>
      </x:c>
      <x:c r="J2475" s="29" t="s">
        <x:v>11234</x:v>
      </x:c>
    </x:row>
    <x:row r="2476" ht="10.050000190734863" customHeight="1">
      <x:c r="A2476" s="21" t="s">
        <x:v>11235</x:v>
      </x:c>
      <x:c r="B2476" s="20" t="s">
        <x:v>11235</x:v>
      </x:c>
      <x:c r="C2476" s="20" t="s">
        <x:v>1608</x:v>
      </x:c>
      <x:c r="D2476" s="24">
        <x:v>10</x:v>
      </x:c>
      <x:c r="E2476" s="24" t="s">
        <x:v>114</x:v>
      </x:c>
      <x:c r="F2476" s="20" t="s">
        <x:v>90</x:v>
      </x:c>
      <x:c r="G2476" s="26">
        <x:v>44656</x:v>
      </x:c>
      <x:c r="H2476" s="24" t="s">
        <x:v>11236</x:v>
      </x:c>
      <x:c r="I2476" s="28" t="s">
        <x:v>11237</x:v>
      </x:c>
      <x:c r="J2476" s="29" t="s">
        <x:v>11238</x:v>
      </x:c>
    </x:row>
    <x:row r="2477" ht="10.050000190734863" customHeight="1">
      <x:c r="A2477" s="21" t="s">
        <x:v>11239</x:v>
      </x:c>
      <x:c r="B2477" s="20" t="s">
        <x:v>11239</x:v>
      </x:c>
      <x:c r="C2477" s="20" t="s">
        <x:v>11240</x:v>
      </x:c>
      <x:c r="D2477" s="24">
        <x:v>13</x:v>
      </x:c>
      <x:c r="E2477" s="24" t="s">
        <x:v>103</x:v>
      </x:c>
      <x:c r="F2477" s="20" t="s">
        <x:v>97</x:v>
      </x:c>
      <x:c r="G2477" s="26">
        <x:v>42209</x:v>
      </x:c>
      <x:c r="H2477" s="24" t="s">
        <x:v>11241</x:v>
      </x:c>
      <x:c r="I2477" s="28" t="s">
        <x:v>11242</x:v>
      </x:c>
      <x:c r="J2477" s="29" t="s">
        <x:v>11243</x:v>
      </x:c>
    </x:row>
    <x:row r="2478" ht="10.050000190734863" customHeight="1">
      <x:c r="A2478" s="21" t="s">
        <x:v>11244</x:v>
      </x:c>
      <x:c r="B2478" s="20" t="s">
        <x:v>11244</x:v>
      </x:c>
      <x:c r="C2478" s="20" t="s">
        <x:v>685</x:v>
      </x:c>
      <x:c r="D2478" s="24">
        <x:v>22</x:v>
      </x:c>
      <x:c r="E2478" s="24" t="s">
        <x:v>198</x:v>
      </x:c>
      <x:c r="F2478" s="20" t="s">
        <x:v>90</x:v>
      </x:c>
      <x:c r="G2478" s="26">
        <x:v>44962</x:v>
      </x:c>
      <x:c r="H2478" s="24" t="s">
        <x:v>11245</x:v>
      </x:c>
      <x:c r="I2478" s="28" t="s">
        <x:v>11246</x:v>
      </x:c>
      <x:c r="J2478" s="29" t="s">
        <x:v>11247</x:v>
      </x:c>
    </x:row>
    <x:row r="2479" ht="10.050000190734863" customHeight="1">
      <x:c r="A2479" s="21" t="s">
        <x:v>11248</x:v>
      </x:c>
      <x:c r="B2479" s="20" t="s">
        <x:v>11248</x:v>
      </x:c>
      <x:c r="C2479" s="20" t="s">
        <x:v>11249</x:v>
      </x:c>
      <x:c r="D2479" s="24">
        <x:v>7</x:v>
      </x:c>
      <x:c r="E2479" s="24" t="s">
        <x:v>257</x:v>
      </x:c>
      <x:c r="F2479" s="20" t="s">
        <x:v>97</x:v>
      </x:c>
      <x:c r="G2479" s="26">
        <x:v>42279</x:v>
      </x:c>
      <x:c r="H2479" s="24" t="s">
        <x:v>11250</x:v>
      </x:c>
      <x:c r="I2479" s="28" t="s">
        <x:v>11251</x:v>
      </x:c>
      <x:c r="J2479" s="29" t="s">
        <x:v>11252</x:v>
      </x:c>
    </x:row>
    <x:row r="2480" ht="10.050000190734863" customHeight="1">
      <x:c r="A2480" s="21" t="s">
        <x:v>11253</x:v>
      </x:c>
      <x:c r="B2480" s="20" t="s">
        <x:v>11253</x:v>
      </x:c>
      <x:c r="C2480" s="20" t="s">
        <x:v>11254</x:v>
      </x:c>
      <x:c r="D2480" s="24">
        <x:v>96</x:v>
      </x:c>
      <x:c r="E2480" s="24" t="s">
        <x:v>96</x:v>
      </x:c>
      <x:c r="F2480" s="20" t="s">
        <x:v>97</x:v>
      </x:c>
      <x:c r="G2480" s="26">
        <x:v>42339</x:v>
      </x:c>
      <x:c r="H2480" s="24" t="s">
        <x:v>11255</x:v>
      </x:c>
      <x:c r="I2480" s="28" t="s">
        <x:v>11256</x:v>
      </x:c>
      <x:c r="J2480" s="29" t="s">
        <x:v>11257</x:v>
      </x:c>
    </x:row>
    <x:row r="2481" ht="10.050000190734863" customHeight="1">
      <x:c r="A2481" s="21" t="s">
        <x:v>11258</x:v>
      </x:c>
      <x:c r="B2481" s="20" t="s">
        <x:v>11258</x:v>
      </x:c>
      <x:c r="C2481" s="20" t="s">
        <x:v>7054</x:v>
      </x:c>
      <x:c r="D2481" s="24">
        <x:v>14</x:v>
      </x:c>
      <x:c r="E2481" s="24" t="s">
        <x:v>103</x:v>
      </x:c>
      <x:c r="F2481" s="20" t="s">
        <x:v>97</x:v>
      </x:c>
      <x:c r="G2481" s="26">
        <x:v>42207</x:v>
      </x:c>
      <x:c r="H2481" s="24" t="s">
        <x:v>11259</x:v>
      </x:c>
      <x:c r="I2481" s="28" t="s">
        <x:v>11260</x:v>
      </x:c>
      <x:c r="J2481" s="29" t="s">
        <x:v>11261</x:v>
      </x:c>
    </x:row>
    <x:row r="2482" ht="10.050000190734863" customHeight="1">
      <x:c r="A2482" s="21" t="s">
        <x:v>11262</x:v>
      </x:c>
      <x:c r="B2482" s="20" t="s">
        <x:v>11262</x:v>
      </x:c>
      <x:c r="C2482" s="20" t="s">
        <x:v>2391</x:v>
      </x:c>
      <x:c r="D2482" s="24">
        <x:v>15</x:v>
      </x:c>
      <x:c r="E2482" s="24" t="s">
        <x:v>198</x:v>
      </x:c>
      <x:c r="F2482" s="20" t="s">
        <x:v>90</x:v>
      </x:c>
      <x:c r="G2482" s="26">
        <x:v>44113</x:v>
      </x:c>
      <x:c r="H2482" s="24" t="s">
        <x:v>11263</x:v>
      </x:c>
      <x:c r="I2482" s="28" t="s">
        <x:v>11264</x:v>
      </x:c>
      <x:c r="J2482" s="29" t="s">
        <x:v>11265</x:v>
      </x:c>
    </x:row>
    <x:row r="2483" ht="10.050000190734863" customHeight="1">
      <x:c r="A2483" s="21" t="s">
        <x:v>11266</x:v>
      </x:c>
      <x:c r="B2483" s="20" t="s">
        <x:v>11266</x:v>
      </x:c>
      <x:c r="C2483" s="20" t="s">
        <x:v>2391</x:v>
      </x:c>
      <x:c r="D2483" s="24">
        <x:v>20</x:v>
      </x:c>
      <x:c r="E2483" s="24" t="s">
        <x:v>114</x:v>
      </x:c>
      <x:c r="F2483" s="20" t="s">
        <x:v>90</x:v>
      </x:c>
      <x:c r="G2483" s="26">
        <x:v>44600</x:v>
      </x:c>
      <x:c r="H2483" s="24" t="s">
        <x:v>11267</x:v>
      </x:c>
      <x:c r="I2483" s="28" t="s">
        <x:v>11268</x:v>
      </x:c>
      <x:c r="J2483" s="29" t="s">
        <x:v>11269</x:v>
      </x:c>
    </x:row>
    <x:row r="2484" ht="10.050000190734863" customHeight="1">
      <x:c r="A2484" s="21" t="s">
        <x:v>11270</x:v>
      </x:c>
      <x:c r="B2484" s="20" t="s">
        <x:v>11270</x:v>
      </x:c>
      <x:c r="C2484" s="20" t="s">
        <x:v>11271</x:v>
      </x:c>
      <x:c r="D2484" s="24">
        <x:v>1</x:v>
      </x:c>
      <x:c r="E2484" s="24" t="s">
        <x:v>103</x:v>
      </x:c>
      <x:c r="F2484" s="20" t="s">
        <x:v>97</x:v>
      </x:c>
      <x:c r="G2484" s="26">
        <x:v>45320</x:v>
      </x:c>
      <x:c r="H2484" s="24" t="s">
        <x:v>11272</x:v>
      </x:c>
      <x:c r="I2484" s="28" t="s">
        <x:v>11273</x:v>
      </x:c>
      <x:c r="J2484" s="29" t="s">
        <x:v>11274</x:v>
      </x:c>
    </x:row>
    <x:row r="2485" ht="10.050000190734863" customHeight="1">
      <x:c r="A2485" s="21" t="s">
        <x:v>11275</x:v>
      </x:c>
      <x:c r="B2485" s="20" t="s">
        <x:v>11275</x:v>
      </x:c>
      <x:c r="C2485" s="20" t="s">
        <x:v>11276</x:v>
      </x:c>
      <x:c r="D2485" s="24">
        <x:v>7</x:v>
      </x:c>
      <x:c r="E2485" s="24" t="s">
        <x:v>96</x:v>
      </x:c>
      <x:c r="F2485" s="20" t="s">
        <x:v>97</x:v>
      </x:c>
      <x:c r="G2485" s="26">
        <x:v>42231</x:v>
      </x:c>
      <x:c r="H2485" s="24" t="s">
        <x:v>11277</x:v>
      </x:c>
      <x:c r="I2485" s="28" t="s">
        <x:v>11278</x:v>
      </x:c>
      <x:c r="J2485" s="29" t="s">
        <x:v>11279</x:v>
      </x:c>
    </x:row>
    <x:row r="2486" ht="10.050000190734863" customHeight="1">
      <x:c r="A2486" s="21" t="s">
        <x:v>11280</x:v>
      </x:c>
      <x:c r="B2486" s="20" t="s">
        <x:v>11280</x:v>
      </x:c>
      <x:c r="C2486" s="20" t="s">
        <x:v>11281</x:v>
      </x:c>
      <x:c r="D2486" s="24">
        <x:v>12</x:v>
      </x:c>
      <x:c r="E2486" s="24" t="s">
        <x:v>198</x:v>
      </x:c>
      <x:c r="F2486" s="20" t="s">
        <x:v>90</x:v>
      </x:c>
      <x:c r="G2486" s="26">
        <x:v>43444</x:v>
      </x:c>
      <x:c r="H2486" s="24" t="s">
        <x:v>11282</x:v>
      </x:c>
      <x:c r="I2486" s="28" t="s">
        <x:v>11283</x:v>
      </x:c>
      <x:c r="J2486" s="29" t="s">
        <x:v>11284</x:v>
      </x:c>
    </x:row>
    <x:row r="2487" ht="10.050000190734863" customHeight="1">
      <x:c r="A2487" s="21" t="s">
        <x:v>11285</x:v>
      </x:c>
      <x:c r="B2487" s="20" t="s">
        <x:v>11285</x:v>
      </x:c>
      <x:c r="C2487" s="20" t="s">
        <x:v>1383</x:v>
      </x:c>
      <x:c r="D2487" s="24">
        <x:v>11</x:v>
      </x:c>
      <x:c r="E2487" s="24" t="s">
        <x:v>114</x:v>
      </x:c>
      <x:c r="F2487" s="20" t="s">
        <x:v>90</x:v>
      </x:c>
      <x:c r="G2487" s="26">
        <x:v>43260</x:v>
      </x:c>
      <x:c r="H2487" s="24" t="s">
        <x:v>11286</x:v>
      </x:c>
      <x:c r="I2487" s="28" t="s">
        <x:v>11287</x:v>
      </x:c>
      <x:c r="J2487" s="29" t="s">
        <x:v>11288</x:v>
      </x:c>
    </x:row>
    <x:row r="2488" ht="10.050000190734863" customHeight="1">
      <x:c r="A2488" s="21" t="s">
        <x:v>11289</x:v>
      </x:c>
      <x:c r="B2488" s="20" t="s">
        <x:v>11289</x:v>
      </x:c>
      <x:c r="C2488" s="20" t="s">
        <x:v>1636</x:v>
      </x:c>
      <x:c r="D2488" s="24">
        <x:v>96</x:v>
      </x:c>
      <x:c r="E2488" s="24" t="s">
        <x:v>198</x:v>
      </x:c>
      <x:c r="F2488" s="20" t="s">
        <x:v>97</x:v>
      </x:c>
      <x:c r="G2488" s="26">
        <x:v>41455</x:v>
      </x:c>
      <x:c r="H2488" s="24" t="s">
        <x:v>11290</x:v>
      </x:c>
      <x:c r="I2488" s="28" t="s">
        <x:v>11291</x:v>
      </x:c>
      <x:c r="J2488" s="29" t="s">
        <x:v>11292</x:v>
      </x:c>
    </x:row>
    <x:row r="2489" ht="10.050000190734863" customHeight="1">
      <x:c r="A2489" s="21" t="s">
        <x:v>11293</x:v>
      </x:c>
      <x:c r="B2489" s="20" t="s">
        <x:v>11293</x:v>
      </x:c>
      <x:c r="C2489" s="20" t="s">
        <x:v>1636</x:v>
      </x:c>
      <x:c r="D2489" s="24">
        <x:v>112</x:v>
      </x:c>
      <x:c r="E2489" s="24" t="s">
        <x:v>89</x:v>
      </x:c>
      <x:c r="F2489" s="20" t="s">
        <x:v>97</x:v>
      </x:c>
      <x:c r="G2489" s="26">
        <x:v>41967</x:v>
      </x:c>
      <x:c r="H2489" s="24" t="s">
        <x:v>11294</x:v>
      </x:c>
      <x:c r="I2489" s="28" t="s">
        <x:v>11295</x:v>
      </x:c>
      <x:c r="J2489" s="29" t="s">
        <x:v>11296</x:v>
      </x:c>
    </x:row>
    <x:row r="2490" ht="10.050000190734863" customHeight="1">
      <x:c r="A2490" s="21" t="s">
        <x:v>11297</x:v>
      </x:c>
      <x:c r="B2490" s="20" t="s">
        <x:v>11297</x:v>
      </x:c>
      <x:c r="C2490" s="20" t="s">
        <x:v>1636</x:v>
      </x:c>
      <x:c r="D2490" s="24">
        <x:v>109</x:v>
      </x:c>
      <x:c r="E2490" s="24" t="s">
        <x:v>89</x:v>
      </x:c>
      <x:c r="F2490" s="20" t="s">
        <x:v>97</x:v>
      </x:c>
      <x:c r="G2490" s="26">
        <x:v>41455</x:v>
      </x:c>
      <x:c r="H2490" s="24" t="s">
        <x:v>11298</x:v>
      </x:c>
      <x:c r="I2490" s="28" t="s">
        <x:v>11299</x:v>
      </x:c>
      <x:c r="J2490" s="29" t="s">
        <x:v>11300</x:v>
      </x:c>
    </x:row>
    <x:row r="2491" ht="10.050000190734863" customHeight="1">
      <x:c r="A2491" s="21" t="s">
        <x:v>11301</x:v>
      </x:c>
      <x:c r="B2491" s="20" t="s">
        <x:v>11301</x:v>
      </x:c>
      <x:c r="C2491" s="20" t="s">
        <x:v>1636</x:v>
      </x:c>
      <x:c r="D2491" s="24">
        <x:v>117</x:v>
      </x:c>
      <x:c r="E2491" s="24" t="s">
        <x:v>89</x:v>
      </x:c>
      <x:c r="F2491" s="20" t="s">
        <x:v>97</x:v>
      </x:c>
      <x:c r="G2491" s="26">
        <x:v>43071</x:v>
      </x:c>
      <x:c r="H2491" s="24" t="s">
        <x:v>11302</x:v>
      </x:c>
      <x:c r="I2491" s="28" t="s">
        <x:v>11303</x:v>
      </x:c>
      <x:c r="J2491" s="29" t="s">
        <x:v>11304</x:v>
      </x:c>
    </x:row>
    <x:row r="2492" ht="10.050000190734863" customHeight="1">
      <x:c r="A2492" s="21" t="s">
        <x:v>11305</x:v>
      </x:c>
      <x:c r="B2492" s="20" t="s">
        <x:v>11305</x:v>
      </x:c>
      <x:c r="C2492" s="20" t="s">
        <x:v>9264</x:v>
      </x:c>
      <x:c r="D2492" s="24">
        <x:v>10</x:v>
      </x:c>
      <x:c r="E2492" s="24" t="s">
        <x:v>103</x:v>
      </x:c>
      <x:c r="F2492" s="20" t="s">
        <x:v>97</x:v>
      </x:c>
      <x:c r="G2492" s="26">
        <x:v>44084</x:v>
      </x:c>
      <x:c r="H2492" s="24" t="s">
        <x:v>11306</x:v>
      </x:c>
      <x:c r="I2492" s="28" t="s">
        <x:v>11307</x:v>
      </x:c>
      <x:c r="J2492" s="29" t="s">
        <x:v>11308</x:v>
      </x:c>
    </x:row>
    <x:row r="2493" ht="10.050000190734863" customHeight="1">
      <x:c r="A2493" s="21" t="s">
        <x:v>11309</x:v>
      </x:c>
      <x:c r="B2493" s="20" t="s">
        <x:v>11309</x:v>
      </x:c>
      <x:c r="C2493" s="20" t="s">
        <x:v>11310</x:v>
      </x:c>
      <x:c r="D2493" s="24">
        <x:v>11</x:v>
      </x:c>
      <x:c r="E2493" s="24" t="s">
        <x:v>257</x:v>
      </x:c>
      <x:c r="F2493" s="20" t="s">
        <x:v>97</x:v>
      </x:c>
      <x:c r="G2493" s="26">
        <x:v>42241</x:v>
      </x:c>
      <x:c r="H2493" s="24" t="s">
        <x:v>11311</x:v>
      </x:c>
      <x:c r="I2493" s="28" t="s">
        <x:v>11312</x:v>
      </x:c>
      <x:c r="J2493" s="29" t="s">
        <x:v>11313</x:v>
      </x:c>
    </x:row>
    <x:row r="2494" ht="10.050000190734863" customHeight="1">
      <x:c r="A2494" s="21" t="s">
        <x:v>11314</x:v>
      </x:c>
      <x:c r="B2494" s="20" t="s">
        <x:v>11314</x:v>
      </x:c>
      <x:c r="C2494" s="20" t="s">
        <x:v>11315</x:v>
      </x:c>
      <x:c r="D2494" s="24">
        <x:v>85</x:v>
      </x:c>
      <x:c r="E2494" s="24" t="s">
        <x:v>96</x:v>
      </x:c>
      <x:c r="F2494" s="20" t="s">
        <x:v>97</x:v>
      </x:c>
      <x:c r="G2494" s="26">
        <x:v>41657</x:v>
      </x:c>
      <x:c r="H2494" s="24" t="s">
        <x:v>11316</x:v>
      </x:c>
      <x:c r="I2494" s="28" t="s">
        <x:v>11317</x:v>
      </x:c>
      <x:c r="J2494" s="29" t="s">
        <x:v>11318</x:v>
      </x:c>
    </x:row>
    <x:row r="2495" ht="10.050000190734863" customHeight="1">
      <x:c r="A2495" s="21" t="s">
        <x:v>11319</x:v>
      </x:c>
      <x:c r="B2495" s="20" t="s">
        <x:v>11319</x:v>
      </x:c>
      <x:c r="C2495" s="20" t="s">
        <x:v>4505</x:v>
      </x:c>
      <x:c r="D2495" s="24">
        <x:v>7</x:v>
      </x:c>
      <x:c r="E2495" s="24" t="s">
        <x:v>257</x:v>
      </x:c>
      <x:c r="F2495" s="20" t="s">
        <x:v>97</x:v>
      </x:c>
      <x:c r="G2495" s="26">
        <x:v>42211</x:v>
      </x:c>
      <x:c r="H2495" s="24" t="s">
        <x:v>11320</x:v>
      </x:c>
      <x:c r="I2495" s="28" t="s">
        <x:v>11321</x:v>
      </x:c>
      <x:c r="J2495" s="29" t="s">
        <x:v>11322</x:v>
      </x:c>
    </x:row>
    <x:row r="2496" ht="10.050000190734863" customHeight="1">
      <x:c r="A2496" s="21" t="s">
        <x:v>11323</x:v>
      </x:c>
      <x:c r="B2496" s="20" t="s">
        <x:v>11323</x:v>
      </x:c>
      <x:c r="C2496" s="20" t="s">
        <x:v>4505</x:v>
      </x:c>
      <x:c r="D2496" s="24">
        <x:v>10</x:v>
      </x:c>
      <x:c r="E2496" s="24" t="s">
        <x:v>103</x:v>
      </x:c>
      <x:c r="F2496" s="20" t="s">
        <x:v>97</x:v>
      </x:c>
      <x:c r="G2496" s="26">
        <x:v>42546</x:v>
      </x:c>
      <x:c r="H2496" s="24" t="s">
        <x:v>11324</x:v>
      </x:c>
      <x:c r="I2496" s="28" t="s">
        <x:v>11325</x:v>
      </x:c>
      <x:c r="J2496" s="29" t="s">
        <x:v>11326</x:v>
      </x:c>
    </x:row>
    <x:row r="2497" ht="10.050000190734863" customHeight="1">
      <x:c r="A2497" s="21" t="s">
        <x:v>11327</x:v>
      </x:c>
      <x:c r="B2497" s="20" t="s">
        <x:v>11327</x:v>
      </x:c>
      <x:c r="C2497" s="20" t="s">
        <x:v>6642</x:v>
      </x:c>
      <x:c r="D2497" s="24">
        <x:v>10</x:v>
      </x:c>
      <x:c r="E2497" s="24" t="s">
        <x:v>257</x:v>
      </x:c>
      <x:c r="F2497" s="20" t="s">
        <x:v>97</x:v>
      </x:c>
      <x:c r="G2497" s="26">
        <x:v>41447</x:v>
      </x:c>
      <x:c r="H2497" s="24" t="s">
        <x:v>11328</x:v>
      </x:c>
      <x:c r="I2497" s="28" t="s">
        <x:v>11329</x:v>
      </x:c>
      <x:c r="J2497" s="29" t="s">
        <x:v>11330</x:v>
      </x:c>
    </x:row>
    <x:row r="2498" ht="10.050000190734863" customHeight="1">
      <x:c r="A2498" s="21" t="s">
        <x:v>11331</x:v>
      </x:c>
      <x:c r="B2498" s="20" t="s">
        <x:v>11331</x:v>
      </x:c>
      <x:c r="C2498" s="20" t="s">
        <x:v>11332</x:v>
      </x:c>
      <x:c r="D2498" s="24">
        <x:v>18</x:v>
      </x:c>
      <x:c r="E2498" s="24" t="s">
        <x:v>257</x:v>
      </x:c>
      <x:c r="F2498" s="20" t="s">
        <x:v>97</x:v>
      </x:c>
      <x:c r="G2498" s="26">
        <x:v>42312</x:v>
      </x:c>
      <x:c r="H2498" s="24" t="s">
        <x:v>11333</x:v>
      </x:c>
      <x:c r="I2498" s="28" t="s">
        <x:v>11334</x:v>
      </x:c>
      <x:c r="J2498" s="29" t="s">
        <x:v>11335</x:v>
      </x:c>
    </x:row>
    <x:row r="2499" ht="10.050000190734863" customHeight="1">
      <x:c r="A2499" s="21" t="s">
        <x:v>11336</x:v>
      </x:c>
      <x:c r="B2499" s="20" t="s">
        <x:v>11336</x:v>
      </x:c>
      <x:c r="C2499" s="20" t="s">
        <x:v>1472</x:v>
      </x:c>
      <x:c r="D2499" s="24">
        <x:v>8</x:v>
      </x:c>
      <x:c r="E2499" s="24" t="s">
        <x:v>89</x:v>
      </x:c>
      <x:c r="F2499" s="20" t="s">
        <x:v>90</x:v>
      </x:c>
      <x:c r="G2499" s="26">
        <x:v>45585</x:v>
      </x:c>
      <x:c r="H2499" s="24" t="s">
        <x:v>11337</x:v>
      </x:c>
      <x:c r="I2499" s="28" t="s">
        <x:v>11338</x:v>
      </x:c>
      <x:c r="J2499" s="29" t="s">
        <x:v>11339</x:v>
      </x:c>
    </x:row>
    <x:row r="2500" ht="10.050000190734863" customHeight="1">
      <x:c r="A2500" s="21" t="s">
        <x:v>11340</x:v>
      </x:c>
      <x:c r="B2500" s="20" t="s">
        <x:v>11340</x:v>
      </x:c>
      <x:c r="C2500" s="20" t="s">
        <x:v>11341</x:v>
      </x:c>
      <x:c r="D2500" s="24">
        <x:v>4</x:v>
      </x:c>
      <x:c r="E2500" s="24" t="s">
        <x:v>257</x:v>
      </x:c>
      <x:c r="F2500" s="20" t="s">
        <x:v>97</x:v>
      </x:c>
      <x:c r="G2500" s="26">
        <x:v>42209</x:v>
      </x:c>
      <x:c r="H2500" s="24" t="s">
        <x:v>11342</x:v>
      </x:c>
      <x:c r="I2500" s="28" t="s">
        <x:v>11343</x:v>
      </x:c>
      <x:c r="J2500" s="29" t="s">
        <x:v>11344</x:v>
      </x:c>
    </x:row>
    <x:row r="2501" ht="10.050000190734863" customHeight="1">
      <x:c r="A2501" s="21" t="s">
        <x:v>11345</x:v>
      </x:c>
      <x:c r="B2501" s="20" t="s">
        <x:v>11345</x:v>
      </x:c>
      <x:c r="C2501" s="20" t="s">
        <x:v>11346</x:v>
      </x:c>
      <x:c r="D2501" s="24">
        <x:v>16</x:v>
      </x:c>
      <x:c r="E2501" s="24" t="s">
        <x:v>96</x:v>
      </x:c>
      <x:c r="F2501" s="20" t="s">
        <x:v>90</x:v>
      </x:c>
      <x:c r="G2501" s="26">
        <x:v>44487</x:v>
      </x:c>
      <x:c r="H2501" s="24" t="s">
        <x:v>11347</x:v>
      </x:c>
      <x:c r="I2501" s="28" t="s">
        <x:v>11348</x:v>
      </x:c>
      <x:c r="J2501" s="29" t="s">
        <x:v>11349</x:v>
      </x:c>
    </x:row>
    <x:row r="2502" ht="10.050000190734863" customHeight="1">
      <x:c r="A2502" s="21" t="s">
        <x:v>11350</x:v>
      </x:c>
      <x:c r="B2502" s="20" t="s">
        <x:v>11350</x:v>
      </x:c>
      <x:c r="C2502" s="20" t="s">
        <x:v>11346</x:v>
      </x:c>
      <x:c r="D2502" s="24">
        <x:v>12</x:v>
      </x:c>
      <x:c r="E2502" s="24" t="s">
        <x:v>96</x:v>
      </x:c>
      <x:c r="F2502" s="20" t="s">
        <x:v>90</x:v>
      </x:c>
      <x:c r="G2502" s="26">
        <x:v>44797</x:v>
      </x:c>
      <x:c r="H2502" s="24" t="s">
        <x:v>11351</x:v>
      </x:c>
      <x:c r="I2502" s="28" t="s">
        <x:v>11352</x:v>
      </x:c>
      <x:c r="J2502" s="29" t="s">
        <x:v>11353</x:v>
      </x:c>
    </x:row>
    <x:row r="2503" ht="10.050000190734863" customHeight="1">
      <x:c r="A2503" s="21" t="s">
        <x:v>11354</x:v>
      </x:c>
      <x:c r="B2503" s="20" t="s">
        <x:v>11354</x:v>
      </x:c>
      <x:c r="C2503" s="20" t="s">
        <x:v>11346</x:v>
      </x:c>
      <x:c r="D2503" s="24">
        <x:v>13</x:v>
      </x:c>
      <x:c r="E2503" s="24" t="s">
        <x:v>89</x:v>
      </x:c>
      <x:c r="F2503" s="20" t="s">
        <x:v>90</x:v>
      </x:c>
      <x:c r="G2503" s="26">
        <x:v>44613</x:v>
      </x:c>
      <x:c r="H2503" s="24" t="s">
        <x:v>11355</x:v>
      </x:c>
      <x:c r="I2503" s="28" t="s">
        <x:v>11356</x:v>
      </x:c>
      <x:c r="J2503" s="29" t="s">
        <x:v>11357</x:v>
      </x:c>
    </x:row>
    <x:row r="2504" ht="10.050000190734863" customHeight="1">
      <x:c r="A2504" s="21" t="s">
        <x:v>11358</x:v>
      </x:c>
      <x:c r="B2504" s="20" t="s">
        <x:v>11358</x:v>
      </x:c>
      <x:c r="C2504" s="20" t="s">
        <x:v>11359</x:v>
      </x:c>
      <x:c r="D2504" s="24">
        <x:v>1</x:v>
      </x:c>
      <x:c r="E2504" s="24" t="s">
        <x:v>198</x:v>
      </x:c>
      <x:c r="F2504" s="20" t="s">
        <x:v>90</x:v>
      </x:c>
      <x:c r="G2504" s="26">
        <x:v>45215</x:v>
      </x:c>
      <x:c r="H2504" s="24" t="s">
        <x:v>11360</x:v>
      </x:c>
      <x:c r="I2504" s="28" t="s">
        <x:v>11361</x:v>
      </x:c>
      <x:c r="J2504" s="29" t="s">
        <x:v>11362</x:v>
      </x:c>
    </x:row>
    <x:row r="2505" ht="10.050000190734863" customHeight="1">
      <x:c r="A2505" s="21" t="s">
        <x:v>11363</x:v>
      </x:c>
      <x:c r="B2505" s="20" t="s">
        <x:v>11363</x:v>
      </x:c>
      <x:c r="C2505" s="20" t="s">
        <x:v>11364</x:v>
      </x:c>
      <x:c r="D2505" s="24">
        <x:v>38</x:v>
      </x:c>
      <x:c r="E2505" s="24" t="s">
        <x:v>257</x:v>
      </x:c>
      <x:c r="F2505" s="20" t="s">
        <x:v>97</x:v>
      </x:c>
      <x:c r="G2505" s="26">
        <x:v>42972</x:v>
      </x:c>
      <x:c r="H2505" s="24" t="s">
        <x:v>11365</x:v>
      </x:c>
      <x:c r="I2505" s="28" t="s">
        <x:v>11366</x:v>
      </x:c>
      <x:c r="J2505" s="29" t="s">
        <x:v>11367</x:v>
      </x:c>
    </x:row>
    <x:row r="2506" ht="10.050000190734863" customHeight="1">
      <x:c r="A2506" s="21" t="s">
        <x:v>11368</x:v>
      </x:c>
      <x:c r="B2506" s="20" t="s">
        <x:v>11368</x:v>
      </x:c>
      <x:c r="C2506" s="20" t="s">
        <x:v>11369</x:v>
      </x:c>
      <x:c r="D2506" s="24">
        <x:v>38</x:v>
      </x:c>
      <x:c r="E2506" s="24" t="s">
        <x:v>114</x:v>
      </x:c>
      <x:c r="F2506" s="20" t="s">
        <x:v>90</x:v>
      </x:c>
      <x:c r="G2506" s="26">
        <x:v>45349</x:v>
      </x:c>
      <x:c r="H2506" s="24" t="s">
        <x:v>11370</x:v>
      </x:c>
      <x:c r="I2506" s="28" t="s">
        <x:v>11371</x:v>
      </x:c>
      <x:c r="J2506" s="29" t="s">
        <x:v>11372</x:v>
      </x:c>
    </x:row>
    <x:row r="2507" ht="10.050000190734863" customHeight="1">
      <x:c r="A2507" s="21" t="s">
        <x:v>11373</x:v>
      </x:c>
      <x:c r="B2507" s="20" t="s">
        <x:v>11373</x:v>
      </x:c>
      <x:c r="C2507" s="20" t="s">
        <x:v>3322</x:v>
      </x:c>
      <x:c r="D2507" s="24">
        <x:v>5</x:v>
      </x:c>
      <x:c r="E2507" s="24" t="s">
        <x:v>103</x:v>
      </x:c>
      <x:c r="F2507" s="20" t="s">
        <x:v>97</x:v>
      </x:c>
      <x:c r="G2507" s="26">
        <x:v>42293</x:v>
      </x:c>
      <x:c r="H2507" s="24" t="s">
        <x:v>11374</x:v>
      </x:c>
      <x:c r="I2507" s="28" t="s">
        <x:v>11375</x:v>
      </x:c>
      <x:c r="J2507" s="29" t="s">
        <x:v>11376</x:v>
      </x:c>
    </x:row>
    <x:row r="2508" ht="10.050000190734863" customHeight="1">
      <x:c r="A2508" s="21" t="s">
        <x:v>11377</x:v>
      </x:c>
      <x:c r="B2508" s="20" t="s">
        <x:v>11377</x:v>
      </x:c>
      <x:c r="C2508" s="20" t="s">
        <x:v>983</x:v>
      </x:c>
      <x:c r="D2508" s="24">
        <x:v>12</x:v>
      </x:c>
      <x:c r="E2508" s="24" t="s">
        <x:v>114</x:v>
      </x:c>
      <x:c r="F2508" s="20" t="s">
        <x:v>90</x:v>
      </x:c>
      <x:c r="G2508" s="26">
        <x:v>46004</x:v>
      </x:c>
      <x:c r="H2508" s="24" t="s">
        <x:v>11378</x:v>
      </x:c>
      <x:c r="I2508" s="28" t="s">
        <x:v>11379</x:v>
      </x:c>
      <x:c r="J2508" s="29" t="s">
        <x:v>11380</x:v>
      </x:c>
    </x:row>
    <x:row r="2509" ht="10.050000190734863" customHeight="1">
      <x:c r="A2509" s="21" t="s">
        <x:v>11381</x:v>
      </x:c>
      <x:c r="B2509" s="20" t="s">
        <x:v>11381</x:v>
      </x:c>
      <x:c r="C2509" s="20" t="s">
        <x:v>11382</x:v>
      </x:c>
      <x:c r="D2509" s="24">
        <x:v>47</x:v>
      </x:c>
      <x:c r="E2509" s="24" t="s">
        <x:v>103</x:v>
      </x:c>
      <x:c r="F2509" s="20" t="s">
        <x:v>97</x:v>
      </x:c>
      <x:c r="G2509" s="26">
        <x:v>42219</x:v>
      </x:c>
      <x:c r="H2509" s="24" t="s">
        <x:v>11383</x:v>
      </x:c>
      <x:c r="I2509" s="28" t="s">
        <x:v>11384</x:v>
      </x:c>
      <x:c r="J2509" s="29" t="s">
        <x:v>11385</x:v>
      </x:c>
    </x:row>
    <x:row r="2510" ht="10.050000190734863" customHeight="1">
      <x:c r="A2510" s="21" t="s">
        <x:v>11386</x:v>
      </x:c>
      <x:c r="B2510" s="20" t="s">
        <x:v>11386</x:v>
      </x:c>
      <x:c r="C2510" s="20" t="s">
        <x:v>11387</x:v>
      </x:c>
      <x:c r="D2510" s="24">
        <x:v>6</x:v>
      </x:c>
      <x:c r="E2510" s="24" t="s">
        <x:v>103</x:v>
      </x:c>
      <x:c r="F2510" s="20" t="s">
        <x:v>97</x:v>
      </x:c>
      <x:c r="G2510" s="26">
        <x:v>42288</x:v>
      </x:c>
      <x:c r="H2510" s="24" t="s">
        <x:v>11388</x:v>
      </x:c>
      <x:c r="I2510" s="28" t="s">
        <x:v>11389</x:v>
      </x:c>
      <x:c r="J2510" s="29" t="s">
        <x:v>11390</x:v>
      </x:c>
    </x:row>
    <x:row r="2511" ht="10.050000190734863" customHeight="1">
      <x:c r="A2511" s="21" t="s">
        <x:v>11391</x:v>
      </x:c>
      <x:c r="B2511" s="20" t="s">
        <x:v>11391</x:v>
      </x:c>
      <x:c r="C2511" s="20" t="s">
        <x:v>11392</x:v>
      </x:c>
      <x:c r="D2511" s="24">
        <x:v>39</x:v>
      </x:c>
      <x:c r="E2511" s="24" t="s">
        <x:v>96</x:v>
      </x:c>
      <x:c r="F2511" s="20" t="s">
        <x:v>97</x:v>
      </x:c>
      <x:c r="G2511" s="26">
        <x:v>42397</x:v>
      </x:c>
      <x:c r="H2511" s="24" t="s">
        <x:v>11393</x:v>
      </x:c>
      <x:c r="I2511" s="28" t="s">
        <x:v>11394</x:v>
      </x:c>
      <x:c r="J2511" s="29" t="s">
        <x:v>11395</x:v>
      </x:c>
    </x:row>
    <x:row r="2512" ht="10.050000190734863" customHeight="1">
      <x:c r="A2512" s="21" t="s">
        <x:v>11396</x:v>
      </x:c>
      <x:c r="B2512" s="20" t="s">
        <x:v>11396</x:v>
      </x:c>
      <x:c r="C2512" s="20" t="s">
        <x:v>524</x:v>
      </x:c>
      <x:c r="D2512" s="24">
        <x:v>7</x:v>
      </x:c>
      <x:c r="E2512" s="24" t="s">
        <x:v>198</x:v>
      </x:c>
      <x:c r="F2512" s="20" t="s">
        <x:v>90</x:v>
      </x:c>
      <x:c r="G2512" s="26">
        <x:v>44683</x:v>
      </x:c>
      <x:c r="H2512" s="24" t="s">
        <x:v>11397</x:v>
      </x:c>
      <x:c r="I2512" s="28" t="s">
        <x:v>11398</x:v>
      </x:c>
      <x:c r="J2512" s="29" t="s">
        <x:v>11399</x:v>
      </x:c>
    </x:row>
    <x:row r="2513" ht="10.050000190734863" customHeight="1">
      <x:c r="A2513" s="21" t="s">
        <x:v>11400</x:v>
      </x:c>
      <x:c r="B2513" s="20" t="s">
        <x:v>11400</x:v>
      </x:c>
      <x:c r="C2513" s="20" t="s">
        <x:v>11401</x:v>
      </x:c>
      <x:c r="D2513" s="24">
        <x:v>11</x:v>
      </x:c>
      <x:c r="E2513" s="24" t="s">
        <x:v>198</x:v>
      </x:c>
      <x:c r="F2513" s="20" t="s">
        <x:v>90</x:v>
      </x:c>
      <x:c r="G2513" s="26">
        <x:v>43630</x:v>
      </x:c>
      <x:c r="H2513" s="24" t="s">
        <x:v>11402</x:v>
      </x:c>
      <x:c r="I2513" s="28" t="s">
        <x:v>11403</x:v>
      </x:c>
      <x:c r="J2513" s="29" t="s">
        <x:v>11404</x:v>
      </x:c>
    </x:row>
    <x:row r="2514" ht="10.050000190734863" customHeight="1">
      <x:c r="A2514" s="21" t="s">
        <x:v>11405</x:v>
      </x:c>
      <x:c r="B2514" s="20" t="s">
        <x:v>11405</x:v>
      </x:c>
      <x:c r="C2514" s="20" t="s">
        <x:v>11406</x:v>
      </x:c>
      <x:c r="D2514" s="24">
        <x:v>26</x:v>
      </x:c>
      <x:c r="E2514" s="24" t="s">
        <x:v>198</x:v>
      </x:c>
      <x:c r="F2514" s="20" t="s">
        <x:v>90</x:v>
      </x:c>
      <x:c r="G2514" s="26">
        <x:v>44365</x:v>
      </x:c>
      <x:c r="H2514" s="24" t="s">
        <x:v>11407</x:v>
      </x:c>
      <x:c r="I2514" s="28" t="s">
        <x:v>11408</x:v>
      </x:c>
      <x:c r="J2514" s="29" t="s">
        <x:v>11409</x:v>
      </x:c>
    </x:row>
    <x:row r="2515" ht="10.050000190734863" customHeight="1">
      <x:c r="A2515" s="21" t="s">
        <x:v>11410</x:v>
      </x:c>
      <x:c r="B2515" s="20" t="s">
        <x:v>11410</x:v>
      </x:c>
      <x:c r="C2515" s="20" t="s">
        <x:v>1613</x:v>
      </x:c>
      <x:c r="D2515" s="24">
        <x:v>42</x:v>
      </x:c>
      <x:c r="E2515" s="24" t="s">
        <x:v>89</x:v>
      </x:c>
      <x:c r="F2515" s="20" t="s">
        <x:v>90</x:v>
      </x:c>
      <x:c r="G2515" s="26">
        <x:v>44617</x:v>
      </x:c>
      <x:c r="H2515" s="24" t="s">
        <x:v>11411</x:v>
      </x:c>
      <x:c r="I2515" s="28" t="s">
        <x:v>11412</x:v>
      </x:c>
      <x:c r="J2515" s="29" t="s">
        <x:v>11413</x:v>
      </x:c>
    </x:row>
    <x:row r="2516" ht="10.050000190734863" customHeight="1">
      <x:c r="A2516" s="21" t="s">
        <x:v>11414</x:v>
      </x:c>
      <x:c r="B2516" s="20" t="s">
        <x:v>11414</x:v>
      </x:c>
      <x:c r="C2516" s="20" t="s">
        <x:v>11415</x:v>
      </x:c>
      <x:c r="D2516" s="24">
        <x:v>92</x:v>
      </x:c>
      <x:c r="E2516" s="24" t="s">
        <x:v>103</x:v>
      </x:c>
      <x:c r="F2516" s="20" t="s">
        <x:v>97</x:v>
      </x:c>
      <x:c r="G2516" s="26">
        <x:v>42229</x:v>
      </x:c>
      <x:c r="H2516" s="24" t="s">
        <x:v>11416</x:v>
      </x:c>
      <x:c r="I2516" s="28" t="s">
        <x:v>11417</x:v>
      </x:c>
      <x:c r="J2516" s="29" t="s">
        <x:v>11418</x:v>
      </x:c>
    </x:row>
    <x:row r="2517" ht="10.050000190734863" customHeight="1">
      <x:c r="A2517" s="21" t="s">
        <x:v>11419</x:v>
      </x:c>
      <x:c r="B2517" s="20" t="s">
        <x:v>11419</x:v>
      </x:c>
      <x:c r="C2517" s="20" t="s">
        <x:v>11415</x:v>
      </x:c>
      <x:c r="D2517" s="24">
        <x:v>93</x:v>
      </x:c>
      <x:c r="E2517" s="24" t="s">
        <x:v>103</x:v>
      </x:c>
      <x:c r="F2517" s="20" t="s">
        <x:v>97</x:v>
      </x:c>
      <x:c r="G2517" s="26">
        <x:v>41667</x:v>
      </x:c>
      <x:c r="H2517" s="24" t="s">
        <x:v>11420</x:v>
      </x:c>
      <x:c r="I2517" s="28" t="s">
        <x:v>11421</x:v>
      </x:c>
      <x:c r="J2517" s="29" t="s">
        <x:v>11422</x:v>
      </x:c>
    </x:row>
    <x:row r="2518" ht="10.050000190734863" customHeight="1">
      <x:c r="A2518" s="21" t="s">
        <x:v>11423</x:v>
      </x:c>
      <x:c r="B2518" s="20" t="s">
        <x:v>11423</x:v>
      </x:c>
      <x:c r="C2518" s="20" t="s">
        <x:v>262</x:v>
      </x:c>
      <x:c r="D2518" s="24">
        <x:v>8</x:v>
      </x:c>
      <x:c r="E2518" s="24" t="s">
        <x:v>257</x:v>
      </x:c>
      <x:c r="F2518" s="20" t="s">
        <x:v>97</x:v>
      </x:c>
      <x:c r="G2518" s="26">
        <x:v>42845</x:v>
      </x:c>
      <x:c r="H2518" s="24" t="s">
        <x:v>11424</x:v>
      </x:c>
      <x:c r="I2518" s="28" t="s">
        <x:v>11425</x:v>
      </x:c>
      <x:c r="J2518" s="29" t="s">
        <x:v>11426</x:v>
      </x:c>
    </x:row>
    <x:row r="2519" ht="10.050000190734863" customHeight="1">
      <x:c r="A2519" s="21" t="s">
        <x:v>11427</x:v>
      </x:c>
      <x:c r="B2519" s="20" t="s">
        <x:v>11427</x:v>
      </x:c>
      <x:c r="C2519" s="20" t="s">
        <x:v>11428</x:v>
      </x:c>
      <x:c r="D2519" s="24">
        <x:v>6</x:v>
      </x:c>
      <x:c r="E2519" s="24" t="s">
        <x:v>89</x:v>
      </x:c>
      <x:c r="F2519" s="20" t="s">
        <x:v>90</x:v>
      </x:c>
      <x:c r="G2519" s="26">
        <x:v>44060</x:v>
      </x:c>
      <x:c r="H2519" s="24" t="s">
        <x:v>11429</x:v>
      </x:c>
      <x:c r="I2519" s="28" t="s">
        <x:v>11430</x:v>
      </x:c>
      <x:c r="J2519" s="29" t="s">
        <x:v>11431</x:v>
      </x:c>
    </x:row>
    <x:row r="2520" ht="10.050000190734863" customHeight="1">
      <x:c r="A2520" s="21" t="s">
        <x:v>11432</x:v>
      </x:c>
      <x:c r="B2520" s="20" t="s">
        <x:v>11432</x:v>
      </x:c>
      <x:c r="C2520" s="20" t="s">
        <x:v>11433</x:v>
      </x:c>
      <x:c r="D2520" s="24">
        <x:v>15</x:v>
      </x:c>
      <x:c r="E2520" s="24" t="s">
        <x:v>198</x:v>
      </x:c>
      <x:c r="F2520" s="20" t="s">
        <x:v>90</x:v>
      </x:c>
      <x:c r="G2520" s="26">
        <x:v>45313</x:v>
      </x:c>
      <x:c r="H2520" s="24" t="s">
        <x:v>11434</x:v>
      </x:c>
      <x:c r="I2520" s="28" t="s">
        <x:v>11435</x:v>
      </x:c>
      <x:c r="J2520" s="29" t="s">
        <x:v>11436</x:v>
      </x:c>
    </x:row>
    <x:row r="2521" ht="10.050000190734863" customHeight="1">
      <x:c r="A2521" s="21" t="s">
        <x:v>11437</x:v>
      </x:c>
      <x:c r="B2521" s="20" t="s">
        <x:v>11437</x:v>
      </x:c>
      <x:c r="C2521" s="20" t="s">
        <x:v>102</x:v>
      </x:c>
      <x:c r="D2521" s="24">
        <x:v>80</x:v>
      </x:c>
      <x:c r="E2521" s="24" t="s">
        <x:v>89</x:v>
      </x:c>
      <x:c r="F2521" s="20" t="s">
        <x:v>97</x:v>
      </x:c>
      <x:c r="G2521" s="26">
        <x:v>41717</x:v>
      </x:c>
      <x:c r="H2521" s="24" t="s">
        <x:v>11438</x:v>
      </x:c>
      <x:c r="I2521" s="28" t="s">
        <x:v>11439</x:v>
      </x:c>
      <x:c r="J2521" s="29" t="s">
        <x:v>11440</x:v>
      </x:c>
    </x:row>
    <x:row r="2522" ht="10.050000190734863" customHeight="1">
      <x:c r="A2522" s="21" t="s">
        <x:v>11441</x:v>
      </x:c>
      <x:c r="B2522" s="20" t="s">
        <x:v>11441</x:v>
      </x:c>
      <x:c r="C2522" s="20" t="s">
        <x:v>9264</x:v>
      </x:c>
      <x:c r="D2522" s="24">
        <x:v>3</x:v>
      </x:c>
      <x:c r="E2522" s="24" t="s">
        <x:v>103</x:v>
      </x:c>
      <x:c r="F2522" s="20" t="s">
        <x:v>97</x:v>
      </x:c>
      <x:c r="G2522" s="26">
        <x:v>44155</x:v>
      </x:c>
      <x:c r="H2522" s="24" t="s">
        <x:v>11442</x:v>
      </x:c>
      <x:c r="I2522" s="28" t="s">
        <x:v>11443</x:v>
      </x:c>
      <x:c r="J2522" s="29" t="s">
        <x:v>11444</x:v>
      </x:c>
    </x:row>
    <x:row r="2523" ht="10.050000190734863" customHeight="1">
      <x:c r="A2523" s="21" t="s">
        <x:v>11445</x:v>
      </x:c>
      <x:c r="B2523" s="20" t="s">
        <x:v>11445</x:v>
      </x:c>
      <x:c r="C2523" s="20" t="s">
        <x:v>124</x:v>
      </x:c>
      <x:c r="D2523" s="24">
        <x:v>1</x:v>
      </x:c>
      <x:c r="E2523" s="24" t="s">
        <x:v>125</x:v>
      </x:c>
      <x:c r="F2523" s="20" t="s">
        <x:v>126</x:v>
      </x:c>
      <x:c r="G2523" s="26">
        <x:v>42854</x:v>
      </x:c>
      <x:c r="H2523" s="24" t="s">
        <x:v>11446</x:v>
      </x:c>
      <x:c r="I2523" s="28" t="s">
        <x:v>11447</x:v>
      </x:c>
      <x:c r="J2523" s="29" t="s">
        <x:v>11448</x:v>
      </x:c>
    </x:row>
    <x:row r="2524" ht="10.050000190734863" customHeight="1">
      <x:c r="A2524" s="21" t="s">
        <x:v>11449</x:v>
      </x:c>
      <x:c r="B2524" s="20" t="s">
        <x:v>11449</x:v>
      </x:c>
      <x:c r="C2524" s="20" t="s">
        <x:v>5298</x:v>
      </x:c>
      <x:c r="D2524" s="24">
        <x:v>5</x:v>
      </x:c>
      <x:c r="E2524" s="24" t="s">
        <x:v>257</x:v>
      </x:c>
      <x:c r="F2524" s="20" t="s">
        <x:v>97</x:v>
      </x:c>
      <x:c r="G2524" s="26">
        <x:v>41491</x:v>
      </x:c>
      <x:c r="H2524" s="24" t="s">
        <x:v>11450</x:v>
      </x:c>
      <x:c r="I2524" s="28" t="s">
        <x:v>11451</x:v>
      </x:c>
      <x:c r="J2524" s="29" t="s">
        <x:v>11452</x:v>
      </x:c>
    </x:row>
    <x:row r="2525" ht="10.050000190734863" customHeight="1">
      <x:c r="A2525" s="21" t="s">
        <x:v>11453</x:v>
      </x:c>
      <x:c r="B2525" s="20" t="s">
        <x:v>11453</x:v>
      </x:c>
      <x:c r="C2525" s="20" t="s">
        <x:v>11454</x:v>
      </x:c>
      <x:c r="D2525" s="24">
        <x:v>43</x:v>
      </x:c>
      <x:c r="E2525" s="24" t="s">
        <x:v>96</x:v>
      </x:c>
      <x:c r="F2525" s="20" t="s">
        <x:v>97</x:v>
      </x:c>
      <x:c r="G2525" s="26">
        <x:v>42276</x:v>
      </x:c>
      <x:c r="H2525" s="24" t="s">
        <x:v>11455</x:v>
      </x:c>
      <x:c r="I2525" s="28" t="s">
        <x:v>11456</x:v>
      </x:c>
      <x:c r="J2525" s="29" t="s">
        <x:v>11457</x:v>
      </x:c>
    </x:row>
    <x:row r="2526" ht="10.050000190734863" customHeight="1">
      <x:c r="A2526" s="21" t="s">
        <x:v>11458</x:v>
      </x:c>
      <x:c r="B2526" s="20" t="s">
        <x:v>11458</x:v>
      </x:c>
      <x:c r="C2526" s="20" t="s">
        <x:v>6482</x:v>
      </x:c>
      <x:c r="D2526" s="24">
        <x:v>13</x:v>
      </x:c>
      <x:c r="E2526" s="24" t="s">
        <x:v>198</x:v>
      </x:c>
      <x:c r="F2526" s="20" t="s">
        <x:v>90</x:v>
      </x:c>
      <x:c r="G2526" s="26">
        <x:v>46199</x:v>
      </x:c>
      <x:c r="H2526" s="24" t="s">
        <x:v>11459</x:v>
      </x:c>
      <x:c r="I2526" s="28" t="s">
        <x:v>11460</x:v>
      </x:c>
      <x:c r="J2526" s="29" t="s">
        <x:v>11461</x:v>
      </x:c>
    </x:row>
    <x:row r="2527" ht="10.050000190734863" customHeight="1">
      <x:c r="A2527" s="21" t="s">
        <x:v>11462</x:v>
      </x:c>
      <x:c r="B2527" s="20" t="s">
        <x:v>11462</x:v>
      </x:c>
      <x:c r="C2527" s="20" t="s">
        <x:v>11463</x:v>
      </x:c>
      <x:c r="D2527" s="24">
        <x:v>13</x:v>
      </x:c>
      <x:c r="E2527" s="24" t="s">
        <x:v>96</x:v>
      </x:c>
      <x:c r="F2527" s="20" t="s">
        <x:v>97</x:v>
      </x:c>
      <x:c r="G2527" s="26">
        <x:v>45076</x:v>
      </x:c>
      <x:c r="H2527" s="24" t="s">
        <x:v>11464</x:v>
      </x:c>
      <x:c r="I2527" s="28" t="s">
        <x:v>11465</x:v>
      </x:c>
      <x:c r="J2527" s="29" t="s">
        <x:v>11466</x:v>
      </x:c>
    </x:row>
    <x:row r="2528" ht="10.050000190734863" customHeight="1">
      <x:c r="A2528" s="21" t="s">
        <x:v>11467</x:v>
      </x:c>
      <x:c r="B2528" s="20" t="s">
        <x:v>11467</x:v>
      </x:c>
      <x:c r="C2528" s="20" t="s">
        <x:v>2170</x:v>
      </x:c>
      <x:c r="D2528" s="24">
        <x:v>10</x:v>
      </x:c>
      <x:c r="E2528" s="24" t="s">
        <x:v>114</x:v>
      </x:c>
      <x:c r="F2528" s="20" t="s">
        <x:v>90</x:v>
      </x:c>
      <x:c r="G2528" s="26">
        <x:v>44455</x:v>
      </x:c>
      <x:c r="H2528" s="24" t="s">
        <x:v>11468</x:v>
      </x:c>
      <x:c r="I2528" s="28" t="s">
        <x:v>11469</x:v>
      </x:c>
      <x:c r="J2528" s="29" t="s">
        <x:v>11470</x:v>
      </x:c>
    </x:row>
    <x:row r="2529" ht="10.050000190734863" customHeight="1">
      <x:c r="A2529" s="21" t="s">
        <x:v>11471</x:v>
      </x:c>
      <x:c r="B2529" s="20" t="s">
        <x:v>11471</x:v>
      </x:c>
      <x:c r="C2529" s="20" t="s">
        <x:v>756</x:v>
      </x:c>
      <x:c r="D2529" s="24">
        <x:v>80</x:v>
      </x:c>
      <x:c r="E2529" s="24" t="s">
        <x:v>198</x:v>
      </x:c>
      <x:c r="F2529" s="20" t="s">
        <x:v>90</x:v>
      </x:c>
      <x:c r="G2529" s="26">
        <x:v>44545</x:v>
      </x:c>
      <x:c r="H2529" s="24" t="s">
        <x:v>11472</x:v>
      </x:c>
      <x:c r="I2529" s="28" t="s">
        <x:v>11473</x:v>
      </x:c>
      <x:c r="J2529" s="29" t="s">
        <x:v>11474</x:v>
      </x:c>
    </x:row>
    <x:row r="2530" ht="10.050000190734863" customHeight="1">
      <x:c r="A2530" s="21" t="s">
        <x:v>11475</x:v>
      </x:c>
      <x:c r="B2530" s="20" t="s">
        <x:v>11475</x:v>
      </x:c>
      <x:c r="C2530" s="20" t="s">
        <x:v>2267</x:v>
      </x:c>
      <x:c r="D2530" s="24">
        <x:v>14</x:v>
      </x:c>
      <x:c r="E2530" s="24" t="s">
        <x:v>96</x:v>
      </x:c>
      <x:c r="F2530" s="20" t="s">
        <x:v>90</x:v>
      </x:c>
      <x:c r="G2530" s="26">
        <x:v>44272</x:v>
      </x:c>
      <x:c r="H2530" s="24" t="s">
        <x:v>11476</x:v>
      </x:c>
      <x:c r="I2530" s="28" t="s">
        <x:v>11477</x:v>
      </x:c>
      <x:c r="J2530" s="29" t="s">
        <x:v>11478</x:v>
      </x:c>
    </x:row>
    <x:row r="2531" ht="10.050000190734863" customHeight="1">
      <x:c r="A2531" s="21" t="s">
        <x:v>11479</x:v>
      </x:c>
      <x:c r="B2531" s="20" t="s">
        <x:v>11479</x:v>
      </x:c>
      <x:c r="C2531" s="20" t="s">
        <x:v>2742</x:v>
      </x:c>
      <x:c r="D2531" s="24">
        <x:v>15</x:v>
      </x:c>
      <x:c r="E2531" s="24" t="s">
        <x:v>89</x:v>
      </x:c>
      <x:c r="F2531" s="20" t="s">
        <x:v>90</x:v>
      </x:c>
      <x:c r="G2531" s="26">
        <x:v>44864</x:v>
      </x:c>
      <x:c r="H2531" s="24" t="s">
        <x:v>11480</x:v>
      </x:c>
      <x:c r="I2531" s="28" t="s">
        <x:v>11481</x:v>
      </x:c>
      <x:c r="J2531" s="29" t="s">
        <x:v>11482</x:v>
      </x:c>
    </x:row>
    <x:row r="2532" ht="10.050000190734863" customHeight="1">
      <x:c r="A2532" s="21" t="s">
        <x:v>11483</x:v>
      </x:c>
      <x:c r="B2532" s="20" t="s">
        <x:v>11483</x:v>
      </x:c>
      <x:c r="C2532" s="20" t="s">
        <x:v>742</x:v>
      </x:c>
      <x:c r="D2532" s="24">
        <x:v>56</x:v>
      </x:c>
      <x:c r="E2532" s="24" t="s">
        <x:v>257</x:v>
      </x:c>
      <x:c r="F2532" s="20" t="s">
        <x:v>97</x:v>
      </x:c>
      <x:c r="G2532" s="26">
        <x:v>44661</x:v>
      </x:c>
      <x:c r="H2532" s="24" t="s">
        <x:v>11484</x:v>
      </x:c>
      <x:c r="I2532" s="28" t="s">
        <x:v>11485</x:v>
      </x:c>
      <x:c r="J2532" s="29" t="s">
        <x:v>11486</x:v>
      </x:c>
    </x:row>
    <x:row r="2533" ht="10.050000190734863" customHeight="1">
      <x:c r="A2533" s="21" t="s">
        <x:v>11487</x:v>
      </x:c>
      <x:c r="B2533" s="20" t="s">
        <x:v>11487</x:v>
      </x:c>
      <x:c r="C2533" s="20" t="s">
        <x:v>11488</x:v>
      </x:c>
      <x:c r="D2533" s="24">
        <x:v>118</x:v>
      </x:c>
      <x:c r="E2533" s="24" t="s">
        <x:v>96</x:v>
      </x:c>
      <x:c r="F2533" s="20" t="s">
        <x:v>97</x:v>
      </x:c>
      <x:c r="G2533" s="26">
        <x:v>45081</x:v>
      </x:c>
      <x:c r="H2533" s="24" t="s">
        <x:v>11489</x:v>
      </x:c>
      <x:c r="I2533" s="28" t="s">
        <x:v>11490</x:v>
      </x:c>
      <x:c r="J2533" s="29" t="s">
        <x:v>11491</x:v>
      </x:c>
    </x:row>
    <x:row r="2534" ht="10.050000190734863" customHeight="1">
      <x:c r="A2534" s="21" t="s">
        <x:v>11492</x:v>
      </x:c>
      <x:c r="B2534" s="20" t="s">
        <x:v>11492</x:v>
      </x:c>
      <x:c r="C2534" s="20" t="s">
        <x:v>933</x:v>
      </x:c>
      <x:c r="D2534" s="24">
        <x:v>7</x:v>
      </x:c>
      <x:c r="E2534" s="24" t="s">
        <x:v>96</x:v>
      </x:c>
      <x:c r="F2534" s="20" t="s">
        <x:v>97</x:v>
      </x:c>
      <x:c r="G2534" s="26">
        <x:v>42744</x:v>
      </x:c>
      <x:c r="H2534" s="24" t="s">
        <x:v>11493</x:v>
      </x:c>
      <x:c r="I2534" s="28" t="s">
        <x:v>11494</x:v>
      </x:c>
      <x:c r="J2534" s="29" t="s">
        <x:v>11495</x:v>
      </x:c>
    </x:row>
    <x:row r="2535" ht="10.050000190734863" customHeight="1">
      <x:c r="A2535" s="21" t="s">
        <x:v>11496</x:v>
      </x:c>
      <x:c r="B2535" s="20" t="s">
        <x:v>11496</x:v>
      </x:c>
      <x:c r="C2535" s="20" t="s">
        <x:v>11497</x:v>
      </x:c>
      <x:c r="D2535" s="24">
        <x:v>26</x:v>
      </x:c>
      <x:c r="E2535" s="24" t="s">
        <x:v>89</x:v>
      </x:c>
      <x:c r="F2535" s="20" t="s">
        <x:v>90</x:v>
      </x:c>
      <x:c r="G2535" s="26">
        <x:v>44396</x:v>
      </x:c>
      <x:c r="H2535" s="24" t="s">
        <x:v>11498</x:v>
      </x:c>
      <x:c r="I2535" s="28" t="s">
        <x:v>11499</x:v>
      </x:c>
      <x:c r="J2535" s="29" t="s">
        <x:v>11500</x:v>
      </x:c>
    </x:row>
    <x:row r="2536" ht="10.050000190734863" customHeight="1">
      <x:c r="A2536" s="21" t="s">
        <x:v>11501</x:v>
      </x:c>
      <x:c r="B2536" s="20" t="s">
        <x:v>11501</x:v>
      </x:c>
      <x:c r="C2536" s="20" t="s">
        <x:v>1427</x:v>
      </x:c>
      <x:c r="D2536" s="24">
        <x:v>9</x:v>
      </x:c>
      <x:c r="E2536" s="24" t="s">
        <x:v>103</x:v>
      </x:c>
      <x:c r="F2536" s="20" t="s">
        <x:v>90</x:v>
      </x:c>
      <x:c r="G2536" s="26">
        <x:v>46167</x:v>
      </x:c>
      <x:c r="H2536" s="24" t="s">
        <x:v>11502</x:v>
      </x:c>
      <x:c r="I2536" s="28" t="s">
        <x:v>11503</x:v>
      </x:c>
      <x:c r="J2536" s="29" t="s">
        <x:v>11504</x:v>
      </x:c>
    </x:row>
    <x:row r="2537" ht="10.050000190734863" customHeight="1">
      <x:c r="A2537" s="21" t="s">
        <x:v>11505</x:v>
      </x:c>
      <x:c r="B2537" s="20" t="s">
        <x:v>11505</x:v>
      </x:c>
      <x:c r="C2537" s="20" t="s">
        <x:v>4519</x:v>
      </x:c>
      <x:c r="D2537" s="24">
        <x:v>21</x:v>
      </x:c>
      <x:c r="E2537" s="24" t="s">
        <x:v>257</x:v>
      </x:c>
      <x:c r="F2537" s="20" t="s">
        <x:v>97</x:v>
      </x:c>
      <x:c r="G2537" s="26">
        <x:v>42230</x:v>
      </x:c>
      <x:c r="H2537" s="24" t="s">
        <x:v>11506</x:v>
      </x:c>
      <x:c r="I2537" s="28" t="s">
        <x:v>11507</x:v>
      </x:c>
      <x:c r="J2537" s="29" t="s">
        <x:v>11508</x:v>
      </x:c>
    </x:row>
    <x:row r="2538" ht="10.050000190734863" customHeight="1">
      <x:c r="A2538" s="21" t="s">
        <x:v>11509</x:v>
      </x:c>
      <x:c r="B2538" s="20" t="s">
        <x:v>11509</x:v>
      </x:c>
      <x:c r="C2538" s="20" t="s">
        <x:v>379</x:v>
      </x:c>
      <x:c r="D2538" s="24">
        <x:v>1</x:v>
      </x:c>
      <x:c r="E2538" s="24" t="s">
        <x:v>114</x:v>
      </x:c>
      <x:c r="F2538" s="20" t="s">
        <x:v>90</x:v>
      </x:c>
      <x:c r="G2538" s="26">
        <x:v>45214</x:v>
      </x:c>
      <x:c r="H2538" s="24" t="s">
        <x:v>11510</x:v>
      </x:c>
      <x:c r="I2538" s="28" t="s">
        <x:v>11511</x:v>
      </x:c>
      <x:c r="J2538" s="29" t="s">
        <x:v>11512</x:v>
      </x:c>
    </x:row>
    <x:row r="2539" ht="10.050000190734863" customHeight="1">
      <x:c r="A2539" s="21" t="s">
        <x:v>11513</x:v>
      </x:c>
      <x:c r="B2539" s="20" t="s">
        <x:v>11513</x:v>
      </x:c>
      <x:c r="C2539" s="20" t="s">
        <x:v>6292</x:v>
      </x:c>
      <x:c r="D2539" s="24">
        <x:v>12</x:v>
      </x:c>
      <x:c r="E2539" s="24" t="s">
        <x:v>96</x:v>
      </x:c>
      <x:c r="F2539" s="20" t="s">
        <x:v>97</x:v>
      </x:c>
      <x:c r="G2539" s="26">
        <x:v>45941</x:v>
      </x:c>
      <x:c r="H2539" s="24" t="s">
        <x:v>11514</x:v>
      </x:c>
      <x:c r="I2539" s="28" t="s">
        <x:v>11515</x:v>
      </x:c>
      <x:c r="J2539" s="29" t="s">
        <x:v>11516</x:v>
      </x:c>
    </x:row>
    <x:row r="2540" ht="10.050000190734863" customHeight="1">
      <x:c r="A2540" s="21" t="s">
        <x:v>11517</x:v>
      </x:c>
      <x:c r="B2540" s="20" t="s">
        <x:v>11517</x:v>
      </x:c>
      <x:c r="C2540" s="20" t="s">
        <x:v>11518</x:v>
      </x:c>
      <x:c r="D2540" s="24">
        <x:v>22</x:v>
      </x:c>
      <x:c r="E2540" s="24" t="s">
        <x:v>103</x:v>
      </x:c>
      <x:c r="F2540" s="20" t="s">
        <x:v>97</x:v>
      </x:c>
      <x:c r="G2540" s="26">
        <x:v>42326</x:v>
      </x:c>
      <x:c r="H2540" s="24" t="s">
        <x:v>11519</x:v>
      </x:c>
      <x:c r="I2540" s="28" t="s">
        <x:v>11520</x:v>
      </x:c>
      <x:c r="J2540" s="29" t="s">
        <x:v>11521</x:v>
      </x:c>
    </x:row>
    <x:row r="2541" ht="10.050000190734863" customHeight="1">
      <x:c r="A2541" s="21" t="s">
        <x:v>11522</x:v>
      </x:c>
      <x:c r="B2541" s="20" t="s">
        <x:v>11522</x:v>
      </x:c>
      <x:c r="C2541" s="20" t="s">
        <x:v>119</x:v>
      </x:c>
      <x:c r="D2541" s="24">
        <x:v>17</x:v>
      </x:c>
      <x:c r="E2541" s="24" t="s">
        <x:v>89</x:v>
      </x:c>
      <x:c r="F2541" s="20" t="s">
        <x:v>90</x:v>
      </x:c>
      <x:c r="G2541" s="26">
        <x:v>46075</x:v>
      </x:c>
      <x:c r="H2541" s="24" t="s">
        <x:v>11523</x:v>
      </x:c>
      <x:c r="I2541" s="28" t="s">
        <x:v>11524</x:v>
      </x:c>
      <x:c r="J2541" s="29" t="s">
        <x:v>11525</x:v>
      </x:c>
    </x:row>
    <x:row r="2542" ht="10.050000190734863" customHeight="1">
      <x:c r="A2542" s="21" t="s">
        <x:v>11526</x:v>
      </x:c>
      <x:c r="B2542" s="20" t="s">
        <x:v>11526</x:v>
      </x:c>
      <x:c r="C2542" s="20" t="s">
        <x:v>5424</x:v>
      </x:c>
      <x:c r="D2542" s="24">
        <x:v>11</x:v>
      </x:c>
      <x:c r="E2542" s="24" t="s">
        <x:v>103</x:v>
      </x:c>
      <x:c r="F2542" s="20" t="s">
        <x:v>97</x:v>
      </x:c>
      <x:c r="G2542" s="26">
        <x:v>44467</x:v>
      </x:c>
      <x:c r="H2542" s="24" t="s">
        <x:v>11527</x:v>
      </x:c>
      <x:c r="I2542" s="28" t="s">
        <x:v>11528</x:v>
      </x:c>
      <x:c r="J2542" s="29" t="s">
        <x:v>11529</x:v>
      </x:c>
    </x:row>
    <x:row r="2543" ht="10.050000190734863" customHeight="1">
      <x:c r="A2543" s="21" t="s">
        <x:v>11530</x:v>
      </x:c>
      <x:c r="B2543" s="20" t="s">
        <x:v>11530</x:v>
      </x:c>
      <x:c r="C2543" s="20" t="s">
        <x:v>11531</x:v>
      </x:c>
      <x:c r="D2543" s="24">
        <x:v>12</x:v>
      </x:c>
      <x:c r="E2543" s="24" t="s">
        <x:v>89</x:v>
      </x:c>
      <x:c r="F2543" s="20" t="s">
        <x:v>97</x:v>
      </x:c>
      <x:c r="G2543" s="26">
        <x:v>45717</x:v>
      </x:c>
      <x:c r="H2543" s="24" t="s">
        <x:v>11532</x:v>
      </x:c>
      <x:c r="I2543" s="28" t="s">
        <x:v>11533</x:v>
      </x:c>
      <x:c r="J2543" s="29" t="s">
        <x:v>11534</x:v>
      </x:c>
    </x:row>
    <x:row r="2544" ht="10.050000190734863" customHeight="1">
      <x:c r="A2544" s="21" t="s">
        <x:v>11535</x:v>
      </x:c>
      <x:c r="B2544" s="20" t="s">
        <x:v>11535</x:v>
      </x:c>
      <x:c r="C2544" s="20" t="s">
        <x:v>1608</x:v>
      </x:c>
      <x:c r="D2544" s="24">
        <x:v>4</x:v>
      </x:c>
      <x:c r="E2544" s="24" t="s">
        <x:v>89</x:v>
      </x:c>
      <x:c r="F2544" s="20" t="s">
        <x:v>90</x:v>
      </x:c>
      <x:c r="G2544" s="26">
        <x:v>44305</x:v>
      </x:c>
      <x:c r="H2544" s="24" t="s">
        <x:v>11536</x:v>
      </x:c>
      <x:c r="I2544" s="28" t="s">
        <x:v>11537</x:v>
      </x:c>
      <x:c r="J2544" s="29" t="s">
        <x:v>11538</x:v>
      </x:c>
    </x:row>
    <x:row r="2545" ht="10.050000190734863" customHeight="1">
      <x:c r="A2545" s="21" t="s">
        <x:v>11539</x:v>
      </x:c>
      <x:c r="B2545" s="20" t="s">
        <x:v>11539</x:v>
      </x:c>
      <x:c r="C2545" s="20" t="s">
        <x:v>11540</x:v>
      </x:c>
      <x:c r="D2545" s="24">
        <x:v>9</x:v>
      </x:c>
      <x:c r="E2545" s="24" t="s">
        <x:v>114</x:v>
      </x:c>
      <x:c r="F2545" s="20" t="s">
        <x:v>90</x:v>
      </x:c>
      <x:c r="G2545" s="26">
        <x:v>44523</x:v>
      </x:c>
      <x:c r="H2545" s="24" t="s">
        <x:v>11541</x:v>
      </x:c>
      <x:c r="I2545" s="28" t="s">
        <x:v>11542</x:v>
      </x:c>
      <x:c r="J2545" s="29" t="s">
        <x:v>11543</x:v>
      </x:c>
    </x:row>
    <x:row r="2546" ht="10.050000190734863" customHeight="1">
      <x:c r="A2546" s="21" t="s">
        <x:v>11544</x:v>
      </x:c>
      <x:c r="B2546" s="20" t="s">
        <x:v>11544</x:v>
      </x:c>
      <x:c r="C2546" s="20" t="s">
        <x:v>2496</x:v>
      </x:c>
      <x:c r="D2546" s="24">
        <x:v>4</x:v>
      </x:c>
      <x:c r="E2546" s="24" t="s">
        <x:v>96</x:v>
      </x:c>
      <x:c r="F2546" s="20" t="s">
        <x:v>97</x:v>
      </x:c>
      <x:c r="G2546" s="26">
        <x:v>42044</x:v>
      </x:c>
      <x:c r="H2546" s="24" t="s">
        <x:v>11545</x:v>
      </x:c>
      <x:c r="I2546" s="28" t="s">
        <x:v>11546</x:v>
      </x:c>
      <x:c r="J2546" s="29" t="s">
        <x:v>11547</x:v>
      </x:c>
    </x:row>
    <x:row r="2547" ht="10.050000190734863" customHeight="1">
      <x:c r="A2547" s="21" t="s">
        <x:v>11548</x:v>
      </x:c>
      <x:c r="B2547" s="20" t="s">
        <x:v>11548</x:v>
      </x:c>
      <x:c r="C2547" s="20" t="s">
        <x:v>1563</x:v>
      </x:c>
      <x:c r="D2547" s="24">
        <x:v>10</x:v>
      </x:c>
      <x:c r="E2547" s="24" t="s">
        <x:v>114</x:v>
      </x:c>
      <x:c r="F2547" s="20" t="s">
        <x:v>90</x:v>
      </x:c>
      <x:c r="G2547" s="26">
        <x:v>44983</x:v>
      </x:c>
      <x:c r="H2547" s="24" t="s">
        <x:v>11549</x:v>
      </x:c>
      <x:c r="I2547" s="28" t="s">
        <x:v>11550</x:v>
      </x:c>
      <x:c r="J2547" s="29" t="s">
        <x:v>11551</x:v>
      </x:c>
    </x:row>
    <x:row r="2548" ht="10.050000190734863" customHeight="1">
      <x:c r="A2548" s="21" t="s">
        <x:v>11552</x:v>
      </x:c>
      <x:c r="B2548" s="20" t="s">
        <x:v>11552</x:v>
      </x:c>
      <x:c r="C2548" s="20" t="s">
        <x:v>1831</x:v>
      </x:c>
      <x:c r="D2548" s="24">
        <x:v>11</x:v>
      </x:c>
      <x:c r="E2548" s="24" t="s">
        <x:v>114</x:v>
      </x:c>
      <x:c r="F2548" s="20" t="s">
        <x:v>90</x:v>
      </x:c>
      <x:c r="G2548" s="26">
        <x:v>44449</x:v>
      </x:c>
      <x:c r="H2548" s="24" t="s">
        <x:v>11553</x:v>
      </x:c>
      <x:c r="I2548" s="28" t="s">
        <x:v>11554</x:v>
      </x:c>
      <x:c r="J2548" s="29" t="s">
        <x:v>11555</x:v>
      </x:c>
    </x:row>
    <x:row r="2549" ht="10.050000190734863" customHeight="1">
      <x:c r="A2549" s="21" t="s">
        <x:v>11556</x:v>
      </x:c>
      <x:c r="B2549" s="20" t="s">
        <x:v>11556</x:v>
      </x:c>
      <x:c r="C2549" s="20" t="s">
        <x:v>1831</x:v>
      </x:c>
      <x:c r="D2549" s="24">
        <x:v>14</x:v>
      </x:c>
      <x:c r="E2549" s="24" t="s">
        <x:v>114</x:v>
      </x:c>
      <x:c r="F2549" s="20" t="s">
        <x:v>90</x:v>
      </x:c>
      <x:c r="G2549" s="26">
        <x:v>45424</x:v>
      </x:c>
      <x:c r="H2549" s="24" t="s">
        <x:v>11557</x:v>
      </x:c>
      <x:c r="I2549" s="28" t="s">
        <x:v>11558</x:v>
      </x:c>
      <x:c r="J2549" s="29" t="s">
        <x:v>11559</x:v>
      </x:c>
    </x:row>
    <x:row r="2550" ht="10.050000190734863" customHeight="1">
      <x:c r="A2550" s="21" t="s">
        <x:v>11560</x:v>
      </x:c>
      <x:c r="B2550" s="20" t="s">
        <x:v>11560</x:v>
      </x:c>
      <x:c r="C2550" s="20" t="s">
        <x:v>3012</x:v>
      </x:c>
      <x:c r="D2550" s="24">
        <x:v>13</x:v>
      </x:c>
      <x:c r="E2550" s="24" t="s">
        <x:v>114</x:v>
      </x:c>
      <x:c r="F2550" s="20" t="s">
        <x:v>152</x:v>
      </x:c>
      <x:c r="G2550" s="26">
        <x:v>43965</x:v>
      </x:c>
      <x:c r="H2550" s="24" t="s">
        <x:v>11561</x:v>
      </x:c>
      <x:c r="I2550" s="28" t="s">
        <x:v>11562</x:v>
      </x:c>
      <x:c r="J2550" s="29" t="s">
        <x:v>11563</x:v>
      </x:c>
    </x:row>
    <x:row r="2551" ht="10.050000190734863" customHeight="1">
      <x:c r="A2551" s="21" t="s">
        <x:v>11564</x:v>
      </x:c>
      <x:c r="B2551" s="20" t="s">
        <x:v>11564</x:v>
      </x:c>
      <x:c r="C2551" s="20" t="s">
        <x:v>5298</x:v>
      </x:c>
      <x:c r="D2551" s="24">
        <x:v>12</x:v>
      </x:c>
      <x:c r="E2551" s="24" t="s">
        <x:v>103</x:v>
      </x:c>
      <x:c r="F2551" s="20" t="s">
        <x:v>97</x:v>
      </x:c>
      <x:c r="G2551" s="26">
        <x:v>41445</x:v>
      </x:c>
      <x:c r="H2551" s="24" t="s">
        <x:v>11565</x:v>
      </x:c>
      <x:c r="I2551" s="28" t="s">
        <x:v>11566</x:v>
      </x:c>
      <x:c r="J2551" s="29" t="s">
        <x:v>11567</x:v>
      </x:c>
    </x:row>
    <x:row r="2552" ht="10.050000190734863" customHeight="1">
      <x:c r="A2552" s="21" t="s">
        <x:v>11568</x:v>
      </x:c>
      <x:c r="B2552" s="20" t="s">
        <x:v>11568</x:v>
      </x:c>
      <x:c r="C2552" s="20" t="s">
        <x:v>1209</x:v>
      </x:c>
      <x:c r="D2552" s="24">
        <x:v>6</x:v>
      </x:c>
      <x:c r="E2552" s="24" t="s">
        <x:v>96</x:v>
      </x:c>
      <x:c r="F2552" s="20" t="s">
        <x:v>90</x:v>
      </x:c>
      <x:c r="G2552" s="26">
        <x:v>44677</x:v>
      </x:c>
      <x:c r="H2552" s="24" t="s">
        <x:v>11569</x:v>
      </x:c>
      <x:c r="I2552" s="28" t="s">
        <x:v>11570</x:v>
      </x:c>
      <x:c r="J2552" s="29" t="s">
        <x:v>11571</x:v>
      </x:c>
    </x:row>
    <x:row r="2553" ht="10.050000190734863" customHeight="1">
      <x:c r="A2553" s="21" t="s">
        <x:v>11572</x:v>
      </x:c>
      <x:c r="B2553" s="20" t="s">
        <x:v>11572</x:v>
      </x:c>
      <x:c r="C2553" s="20" t="s">
        <x:v>5092</x:v>
      </x:c>
      <x:c r="D2553" s="24">
        <x:v>5</x:v>
      </x:c>
      <x:c r="E2553" s="24" t="s">
        <x:v>257</x:v>
      </x:c>
      <x:c r="F2553" s="20" t="s">
        <x:v>97</x:v>
      </x:c>
      <x:c r="G2553" s="26">
        <x:v>42178</x:v>
      </x:c>
      <x:c r="H2553" s="24" t="s">
        <x:v>11573</x:v>
      </x:c>
      <x:c r="I2553" s="28" t="s">
        <x:v>11574</x:v>
      </x:c>
      <x:c r="J2553" s="29" t="s">
        <x:v>11575</x:v>
      </x:c>
    </x:row>
    <x:row r="2554" ht="10.050000190734863" customHeight="1">
      <x:c r="A2554" s="21" t="s">
        <x:v>11576</x:v>
      </x:c>
      <x:c r="B2554" s="20" t="s">
        <x:v>11576</x:v>
      </x:c>
      <x:c r="C2554" s="20" t="s">
        <x:v>11577</x:v>
      </x:c>
      <x:c r="D2554" s="24">
        <x:v>11</x:v>
      </x:c>
      <x:c r="E2554" s="24" t="s">
        <x:v>114</x:v>
      </x:c>
      <x:c r="F2554" s="20" t="s">
        <x:v>90</x:v>
      </x:c>
      <x:c r="G2554" s="26">
        <x:v>45386</x:v>
      </x:c>
      <x:c r="H2554" s="24" t="s">
        <x:v>11578</x:v>
      </x:c>
      <x:c r="I2554" s="28" t="s">
        <x:v>11579</x:v>
      </x:c>
      <x:c r="J2554" s="29" t="s">
        <x:v>11580</x:v>
      </x:c>
    </x:row>
    <x:row r="2555" ht="10.050000190734863" customHeight="1">
      <x:c r="A2555" s="21" t="s">
        <x:v>11581</x:v>
      </x:c>
      <x:c r="B2555" s="20" t="s">
        <x:v>11581</x:v>
      </x:c>
      <x:c r="C2555" s="20" t="s">
        <x:v>11582</x:v>
      </x:c>
      <x:c r="D2555" s="24">
        <x:v>22</x:v>
      </x:c>
      <x:c r="E2555" s="24" t="s">
        <x:v>89</x:v>
      </x:c>
      <x:c r="F2555" s="20" t="s">
        <x:v>90</x:v>
      </x:c>
      <x:c r="G2555" s="26">
        <x:v>43970</x:v>
      </x:c>
      <x:c r="H2555" s="24" t="s">
        <x:v>11583</x:v>
      </x:c>
      <x:c r="I2555" s="28" t="s">
        <x:v>11584</x:v>
      </x:c>
      <x:c r="J2555" s="29" t="s">
        <x:v>11585</x:v>
      </x:c>
    </x:row>
    <x:row r="2556" ht="10.050000190734863" customHeight="1">
      <x:c r="A2556" s="21" t="s">
        <x:v>11586</x:v>
      </x:c>
      <x:c r="B2556" s="20" t="s">
        <x:v>11586</x:v>
      </x:c>
      <x:c r="C2556" s="20" t="s">
        <x:v>6099</x:v>
      </x:c>
      <x:c r="D2556" s="24">
        <x:v>17</x:v>
      </x:c>
      <x:c r="E2556" s="24" t="s">
        <x:v>89</x:v>
      </x:c>
      <x:c r="F2556" s="20" t="s">
        <x:v>90</x:v>
      </x:c>
      <x:c r="G2556" s="26">
        <x:v>44318</x:v>
      </x:c>
      <x:c r="H2556" s="24" t="s">
        <x:v>11587</x:v>
      </x:c>
      <x:c r="I2556" s="28" t="s">
        <x:v>11588</x:v>
      </x:c>
      <x:c r="J2556" s="29" t="s">
        <x:v>11589</x:v>
      </x:c>
    </x:row>
    <x:row r="2557" ht="10.050000190734863" customHeight="1">
      <x:c r="A2557" s="21" t="s">
        <x:v>11590</x:v>
      </x:c>
      <x:c r="B2557" s="20" t="s">
        <x:v>11590</x:v>
      </x:c>
      <x:c r="C2557" s="20" t="s">
        <x:v>491</x:v>
      </x:c>
      <x:c r="D2557" s="24">
        <x:v>18</x:v>
      </x:c>
      <x:c r="E2557" s="24" t="s">
        <x:v>96</x:v>
      </x:c>
      <x:c r="F2557" s="20" t="s">
        <x:v>97</x:v>
      </x:c>
      <x:c r="G2557" s="26">
        <x:v>45573</x:v>
      </x:c>
      <x:c r="H2557" s="24" t="s">
        <x:v>11591</x:v>
      </x:c>
      <x:c r="I2557" s="28" t="s">
        <x:v>11592</x:v>
      </x:c>
      <x:c r="J2557" s="29" t="s">
        <x:v>11593</x:v>
      </x:c>
    </x:row>
    <x:row r="2558" ht="10.050000190734863" customHeight="1">
      <x:c r="A2558" s="21" t="s">
        <x:v>11594</x:v>
      </x:c>
      <x:c r="B2558" s="20" t="s">
        <x:v>11594</x:v>
      </x:c>
      <x:c r="C2558" s="20" t="s">
        <x:v>11595</x:v>
      </x:c>
      <x:c r="D2558" s="24">
        <x:v>56</x:v>
      </x:c>
      <x:c r="E2558" s="24" t="s">
        <x:v>89</x:v>
      </x:c>
      <x:c r="F2558" s="20" t="s">
        <x:v>97</x:v>
      </x:c>
      <x:c r="G2558" s="26">
        <x:v>46222</x:v>
      </x:c>
      <x:c r="H2558" s="24" t="s">
        <x:v>11596</x:v>
      </x:c>
      <x:c r="I2558" s="28" t="s">
        <x:v>11597</x:v>
      </x:c>
      <x:c r="J2558" s="29" t="s">
        <x:v>11598</x:v>
      </x:c>
    </x:row>
    <x:row r="2559" ht="10.050000190734863" customHeight="1">
      <x:c r="A2559" s="21" t="s">
        <x:v>11599</x:v>
      </x:c>
      <x:c r="B2559" s="20" t="s">
        <x:v>11599</x:v>
      </x:c>
      <x:c r="C2559" s="20" t="s">
        <x:v>5087</x:v>
      </x:c>
      <x:c r="D2559" s="24">
        <x:v>65</x:v>
      </x:c>
      <x:c r="E2559" s="24" t="s">
        <x:v>96</x:v>
      </x:c>
      <x:c r="F2559" s="20" t="s">
        <x:v>97</x:v>
      </x:c>
      <x:c r="G2559" s="26">
        <x:v>45725</x:v>
      </x:c>
      <x:c r="H2559" s="24" t="s">
        <x:v>11600</x:v>
      </x:c>
      <x:c r="I2559" s="28" t="s">
        <x:v>11601</x:v>
      </x:c>
      <x:c r="J2559" s="29" t="s">
        <x:v>11602</x:v>
      </x:c>
    </x:row>
    <x:row r="2560" ht="10.050000190734863" customHeight="1">
      <x:c r="A2560" s="21" t="s">
        <x:v>11603</x:v>
      </x:c>
      <x:c r="B2560" s="20" t="s">
        <x:v>11603</x:v>
      </x:c>
      <x:c r="C2560" s="20" t="s">
        <x:v>11604</x:v>
      </x:c>
      <x:c r="D2560" s="24">
        <x:v>9</x:v>
      </x:c>
      <x:c r="E2560" s="24" t="s">
        <x:v>257</x:v>
      </x:c>
      <x:c r="F2560" s="20" t="s">
        <x:v>97</x:v>
      </x:c>
      <x:c r="G2560" s="26">
        <x:v>43783</x:v>
      </x:c>
      <x:c r="H2560" s="24" t="s">
        <x:v>11605</x:v>
      </x:c>
      <x:c r="I2560" s="28" t="s">
        <x:v>11606</x:v>
      </x:c>
      <x:c r="J2560" s="29" t="s">
        <x:v>11607</x:v>
      </x:c>
    </x:row>
    <x:row r="2561" ht="10.050000190734863" customHeight="1">
      <x:c r="A2561" s="21" t="s">
        <x:v>11608</x:v>
      </x:c>
      <x:c r="B2561" s="20" t="s">
        <x:v>11608</x:v>
      </x:c>
      <x:c r="C2561" s="20" t="s">
        <x:v>141</x:v>
      </x:c>
      <x:c r="D2561" s="24">
        <x:v>27</x:v>
      </x:c>
      <x:c r="E2561" s="24" t="s">
        <x:v>114</x:v>
      </x:c>
      <x:c r="F2561" s="20" t="s">
        <x:v>90</x:v>
      </x:c>
      <x:c r="G2561" s="26">
        <x:v>44872</x:v>
      </x:c>
      <x:c r="H2561" s="24" t="s">
        <x:v>11609</x:v>
      </x:c>
      <x:c r="I2561" s="28" t="s">
        <x:v>11610</x:v>
      </x:c>
      <x:c r="J2561" s="29" t="s">
        <x:v>11611</x:v>
      </x:c>
    </x:row>
    <x:row r="2562" ht="10.050000190734863" customHeight="1">
      <x:c r="A2562" s="21" t="s">
        <x:v>11612</x:v>
      </x:c>
      <x:c r="B2562" s="20" t="s">
        <x:v>11612</x:v>
      </x:c>
      <x:c r="C2562" s="20" t="s">
        <x:v>10217</x:v>
      </x:c>
      <x:c r="D2562" s="24">
        <x:v>10</x:v>
      </x:c>
      <x:c r="E2562" s="24" t="s">
        <x:v>89</x:v>
      </x:c>
      <x:c r="F2562" s="20" t="s">
        <x:v>90</x:v>
      </x:c>
      <x:c r="G2562" s="26">
        <x:v>44449</x:v>
      </x:c>
      <x:c r="H2562" s="24" t="s">
        <x:v>11613</x:v>
      </x:c>
      <x:c r="I2562" s="28" t="s">
        <x:v>11614</x:v>
      </x:c>
      <x:c r="J2562" s="29" t="s">
        <x:v>11615</x:v>
      </x:c>
    </x:row>
    <x:row r="2563" ht="10.050000190734863" customHeight="1">
      <x:c r="A2563" s="21" t="s">
        <x:v>11616</x:v>
      </x:c>
      <x:c r="B2563" s="20" t="s">
        <x:v>11616</x:v>
      </x:c>
      <x:c r="C2563" s="20" t="s">
        <x:v>524</x:v>
      </x:c>
      <x:c r="D2563" s="24">
        <x:v>9</x:v>
      </x:c>
      <x:c r="E2563" s="24" t="s">
        <x:v>114</x:v>
      </x:c>
      <x:c r="F2563" s="20" t="s">
        <x:v>90</x:v>
      </x:c>
      <x:c r="G2563" s="26">
        <x:v>44909</x:v>
      </x:c>
      <x:c r="H2563" s="24" t="s">
        <x:v>11617</x:v>
      </x:c>
      <x:c r="I2563" s="28" t="s">
        <x:v>11618</x:v>
      </x:c>
      <x:c r="J2563" s="29" t="s">
        <x:v>11619</x:v>
      </x:c>
    </x:row>
    <x:row r="2564" ht="10.050000190734863" customHeight="1">
      <x:c r="A2564" s="21" t="s">
        <x:v>11620</x:v>
      </x:c>
      <x:c r="B2564" s="20" t="s">
        <x:v>11620</x:v>
      </x:c>
      <x:c r="C2564" s="20" t="s">
        <x:v>11621</x:v>
      </x:c>
      <x:c r="D2564" s="24">
        <x:v>20</x:v>
      </x:c>
      <x:c r="E2564" s="24" t="s">
        <x:v>89</x:v>
      </x:c>
      <x:c r="F2564" s="20" t="s">
        <x:v>97</x:v>
      </x:c>
      <x:c r="G2564" s="26">
        <x:v>45859</x:v>
      </x:c>
      <x:c r="H2564" s="24" t="s">
        <x:v>11622</x:v>
      </x:c>
      <x:c r="I2564" s="28" t="s">
        <x:v>11623</x:v>
      </x:c>
      <x:c r="J2564" s="29" t="s">
        <x:v>11624</x:v>
      </x:c>
    </x:row>
    <x:row r="2565" ht="10.050000190734863" customHeight="1">
      <x:c r="A2565" s="21" t="s">
        <x:v>11625</x:v>
      </x:c>
      <x:c r="B2565" s="20" t="s">
        <x:v>11625</x:v>
      </x:c>
      <x:c r="C2565" s="20" t="s">
        <x:v>2282</x:v>
      </x:c>
      <x:c r="D2565" s="24">
        <x:v>8</x:v>
      </x:c>
      <x:c r="E2565" s="24" t="s">
        <x:v>198</x:v>
      </x:c>
      <x:c r="F2565" s="20" t="s">
        <x:v>90</x:v>
      </x:c>
      <x:c r="G2565" s="26">
        <x:v>43666</x:v>
      </x:c>
      <x:c r="H2565" s="24" t="s">
        <x:v>11626</x:v>
      </x:c>
      <x:c r="I2565" s="28" t="s">
        <x:v>11627</x:v>
      </x:c>
      <x:c r="J2565" s="29" t="s">
        <x:v>11628</x:v>
      </x:c>
    </x:row>
    <x:row r="2566" ht="10.050000190734863" customHeight="1">
      <x:c r="A2566" s="21" t="s">
        <x:v>11629</x:v>
      </x:c>
      <x:c r="B2566" s="20" t="s">
        <x:v>11629</x:v>
      </x:c>
      <x:c r="C2566" s="20" t="s">
        <x:v>2282</x:v>
      </x:c>
      <x:c r="D2566" s="24">
        <x:v>5</x:v>
      </x:c>
      <x:c r="E2566" s="24" t="s">
        <x:v>198</x:v>
      </x:c>
      <x:c r="F2566" s="20" t="s">
        <x:v>90</x:v>
      </x:c>
      <x:c r="G2566" s="26">
        <x:v>44147</x:v>
      </x:c>
      <x:c r="H2566" s="24" t="s">
        <x:v>11630</x:v>
      </x:c>
      <x:c r="I2566" s="28" t="s">
        <x:v>11631</x:v>
      </x:c>
      <x:c r="J2566" s="29" t="s">
        <x:v>11632</x:v>
      </x:c>
    </x:row>
    <x:row r="2567" ht="10.050000190734863" customHeight="1">
      <x:c r="A2567" s="21" t="s">
        <x:v>11633</x:v>
      </x:c>
      <x:c r="B2567" s="20" t="s">
        <x:v>11633</x:v>
      </x:c>
      <x:c r="C2567" s="20" t="s">
        <x:v>2282</x:v>
      </x:c>
      <x:c r="D2567" s="24">
        <x:v>7</x:v>
      </x:c>
      <x:c r="E2567" s="24" t="s">
        <x:v>198</x:v>
      </x:c>
      <x:c r="F2567" s="20" t="s">
        <x:v>90</x:v>
      </x:c>
      <x:c r="G2567" s="26">
        <x:v>44146</x:v>
      </x:c>
      <x:c r="H2567" s="24" t="s">
        <x:v>11634</x:v>
      </x:c>
      <x:c r="I2567" s="28" t="s">
        <x:v>11635</x:v>
      </x:c>
      <x:c r="J2567" s="29" t="s">
        <x:v>11636</x:v>
      </x:c>
    </x:row>
    <x:row r="2568" ht="10.050000190734863" customHeight="1">
      <x:c r="A2568" s="21" t="s">
        <x:v>11637</x:v>
      </x:c>
      <x:c r="B2568" s="20" t="s">
        <x:v>11637</x:v>
      </x:c>
      <x:c r="C2568" s="20" t="s">
        <x:v>11638</x:v>
      </x:c>
      <x:c r="D2568" s="24">
        <x:v>33</x:v>
      </x:c>
      <x:c r="E2568" s="24" t="s">
        <x:v>198</x:v>
      </x:c>
      <x:c r="F2568" s="20" t="s">
        <x:v>90</x:v>
      </x:c>
      <x:c r="G2568" s="26">
        <x:v>44735</x:v>
      </x:c>
      <x:c r="H2568" s="24" t="s">
        <x:v>11639</x:v>
      </x:c>
      <x:c r="I2568" s="28" t="s">
        <x:v>11640</x:v>
      </x:c>
      <x:c r="J2568" s="29" t="s">
        <x:v>11641</x:v>
      </x:c>
    </x:row>
    <x:row r="2569" ht="10.050000190734863" customHeight="1">
      <x:c r="A2569" s="21" t="s">
        <x:v>11642</x:v>
      </x:c>
      <x:c r="B2569" s="20" t="s">
        <x:v>11642</x:v>
      </x:c>
      <x:c r="C2569" s="20" t="s">
        <x:v>11638</x:v>
      </x:c>
      <x:c r="D2569" s="24">
        <x:v>23</x:v>
      </x:c>
      <x:c r="E2569" s="24" t="s">
        <x:v>114</x:v>
      </x:c>
      <x:c r="F2569" s="20" t="s">
        <x:v>90</x:v>
      </x:c>
      <x:c r="G2569" s="26">
        <x:v>45642</x:v>
      </x:c>
      <x:c r="H2569" s="24" t="s">
        <x:v>11643</x:v>
      </x:c>
      <x:c r="I2569" s="28" t="s">
        <x:v>11644</x:v>
      </x:c>
      <x:c r="J2569" s="29" t="s">
        <x:v>11645</x:v>
      </x:c>
    </x:row>
    <x:row r="2570" ht="10.050000190734863" customHeight="1">
      <x:c r="A2570" s="21" t="s">
        <x:v>11646</x:v>
      </x:c>
      <x:c r="B2570" s="20" t="s">
        <x:v>11646</x:v>
      </x:c>
      <x:c r="C2570" s="20" t="s">
        <x:v>11638</x:v>
      </x:c>
      <x:c r="D2570" s="24">
        <x:v>44</x:v>
      </x:c>
      <x:c r="E2570" s="24" t="s">
        <x:v>198</x:v>
      </x:c>
      <x:c r="F2570" s="20" t="s">
        <x:v>90</x:v>
      </x:c>
      <x:c r="G2570" s="26">
        <x:v>45383</x:v>
      </x:c>
      <x:c r="H2570" s="24" t="s">
        <x:v>11647</x:v>
      </x:c>
      <x:c r="I2570" s="28" t="s">
        <x:v>11648</x:v>
      </x:c>
      <x:c r="J2570" s="29" t="s">
        <x:v>11649</x:v>
      </x:c>
    </x:row>
    <x:row r="2571" ht="10.050000190734863" customHeight="1">
      <x:c r="A2571" s="21" t="s">
        <x:v>11650</x:v>
      </x:c>
      <x:c r="B2571" s="20" t="s">
        <x:v>11650</x:v>
      </x:c>
      <x:c r="C2571" s="20" t="s">
        <x:v>11651</x:v>
      </x:c>
      <x:c r="D2571" s="24">
        <x:v>26</x:v>
      </x:c>
      <x:c r="E2571" s="24" t="s">
        <x:v>96</x:v>
      </x:c>
      <x:c r="F2571" s="20" t="s">
        <x:v>97</x:v>
      </x:c>
      <x:c r="G2571" s="26">
        <x:v>44726</x:v>
      </x:c>
      <x:c r="H2571" s="24" t="s">
        <x:v>11652</x:v>
      </x:c>
      <x:c r="I2571" s="28" t="s">
        <x:v>11653</x:v>
      </x:c>
      <x:c r="J2571" s="29" t="s">
        <x:v>11654</x:v>
      </x:c>
    </x:row>
    <x:row r="2572" ht="10.050000190734863" customHeight="1">
      <x:c r="A2572" s="21" t="s">
        <x:v>11655</x:v>
      </x:c>
      <x:c r="B2572" s="20" t="s">
        <x:v>11655</x:v>
      </x:c>
      <x:c r="C2572" s="20" t="s">
        <x:v>11651</x:v>
      </x:c>
      <x:c r="D2572" s="24">
        <x:v>23</x:v>
      </x:c>
      <x:c r="E2572" s="24" t="s">
        <x:v>103</x:v>
      </x:c>
      <x:c r="F2572" s="20" t="s">
        <x:v>97</x:v>
      </x:c>
      <x:c r="G2572" s="26">
        <x:v>43449</x:v>
      </x:c>
      <x:c r="H2572" s="24" t="s">
        <x:v>11656</x:v>
      </x:c>
      <x:c r="I2572" s="28" t="s">
        <x:v>11657</x:v>
      </x:c>
      <x:c r="J2572" s="29" t="s">
        <x:v>11658</x:v>
      </x:c>
    </x:row>
    <x:row r="2573" ht="10.050000190734863" customHeight="1">
      <x:c r="A2573" s="21" t="s">
        <x:v>11659</x:v>
      </x:c>
      <x:c r="B2573" s="20" t="s">
        <x:v>11659</x:v>
      </x:c>
      <x:c r="C2573" s="20" t="s">
        <x:v>1841</x:v>
      </x:c>
      <x:c r="D2573" s="24">
        <x:v>9</x:v>
      </x:c>
      <x:c r="E2573" s="24" t="s">
        <x:v>96</x:v>
      </x:c>
      <x:c r="F2573" s="20" t="s">
        <x:v>97</x:v>
      </x:c>
      <x:c r="G2573" s="26">
        <x:v>44035</x:v>
      </x:c>
      <x:c r="H2573" s="24" t="s">
        <x:v>11660</x:v>
      </x:c>
      <x:c r="I2573" s="28" t="s">
        <x:v>11661</x:v>
      </x:c>
      <x:c r="J2573" s="29" t="s">
        <x:v>11662</x:v>
      </x:c>
    </x:row>
    <x:row r="2574" ht="10.050000190734863" customHeight="1">
      <x:c r="A2574" s="21" t="s">
        <x:v>11663</x:v>
      </x:c>
      <x:c r="B2574" s="20" t="s">
        <x:v>11663</x:v>
      </x:c>
      <x:c r="C2574" s="20" t="s">
        <x:v>4992</x:v>
      </x:c>
      <x:c r="D2574" s="24">
        <x:v>19</x:v>
      </x:c>
      <x:c r="E2574" s="24" t="s">
        <x:v>114</x:v>
      </x:c>
      <x:c r="F2574" s="20" t="s">
        <x:v>90</x:v>
      </x:c>
      <x:c r="G2574" s="26">
        <x:v>44268</x:v>
      </x:c>
      <x:c r="H2574" s="24" t="s">
        <x:v>11664</x:v>
      </x:c>
      <x:c r="I2574" s="28" t="s">
        <x:v>11665</x:v>
      </x:c>
      <x:c r="J2574" s="29" t="s">
        <x:v>11666</x:v>
      </x:c>
    </x:row>
    <x:row r="2575" ht="10.050000190734863" customHeight="1">
      <x:c r="A2575" s="21" t="s">
        <x:v>11667</x:v>
      </x:c>
      <x:c r="B2575" s="20" t="s">
        <x:v>11667</x:v>
      </x:c>
      <x:c r="C2575" s="20" t="s">
        <x:v>11668</x:v>
      </x:c>
      <x:c r="D2575" s="24">
        <x:v>18</x:v>
      </x:c>
      <x:c r="E2575" s="24" t="s">
        <x:v>96</x:v>
      </x:c>
      <x:c r="F2575" s="20" t="s">
        <x:v>97</x:v>
      </x:c>
      <x:c r="G2575" s="26">
        <x:v>41650</x:v>
      </x:c>
      <x:c r="H2575" s="24" t="s">
        <x:v>11669</x:v>
      </x:c>
      <x:c r="I2575" s="28" t="s">
        <x:v>11670</x:v>
      </x:c>
      <x:c r="J2575" s="29" t="s">
        <x:v>11671</x:v>
      </x:c>
    </x:row>
    <x:row r="2576" ht="10.050000190734863" customHeight="1">
      <x:c r="A2576" s="21" t="s">
        <x:v>11672</x:v>
      </x:c>
      <x:c r="B2576" s="20" t="s">
        <x:v>11672</x:v>
      </x:c>
      <x:c r="C2576" s="20" t="s">
        <x:v>394</x:v>
      </x:c>
      <x:c r="D2576" s="24">
        <x:v>1</x:v>
      </x:c>
      <x:c r="E2576" s="24" t="s">
        <x:v>198</x:v>
      </x:c>
      <x:c r="F2576" s="20" t="s">
        <x:v>6328</x:v>
      </x:c>
      <x:c r="G2576" s="26">
        <x:v>45736</x:v>
      </x:c>
      <x:c r="H2576" s="24" t="s">
        <x:v>11673</x:v>
      </x:c>
      <x:c r="I2576" s="28" t="s">
        <x:v>11674</x:v>
      </x:c>
      <x:c r="J2576" s="29" t="s">
        <x:v>11675</x:v>
      </x:c>
    </x:row>
    <x:row r="2577" ht="10.050000190734863" customHeight="1">
      <x:c r="A2577" s="21" t="s">
        <x:v>11676</x:v>
      </x:c>
      <x:c r="B2577" s="20" t="s">
        <x:v>11676</x:v>
      </x:c>
      <x:c r="C2577" s="20" t="s">
        <x:v>11677</x:v>
      </x:c>
      <x:c r="D2577" s="24">
        <x:v>1</x:v>
      </x:c>
      <x:c r="E2577" s="24" t="s">
        <x:v>89</x:v>
      </x:c>
      <x:c r="F2577" s="20" t="s">
        <x:v>90</x:v>
      </x:c>
      <x:c r="G2577" s="26">
        <x:v>45481</x:v>
      </x:c>
      <x:c r="H2577" s="24" t="s">
        <x:v>11678</x:v>
      </x:c>
      <x:c r="I2577" s="28" t="s">
        <x:v>11679</x:v>
      </x:c>
      <x:c r="J2577" s="29" t="s">
        <x:v>11680</x:v>
      </x:c>
    </x:row>
    <x:row r="2578" ht="10.050000190734863" customHeight="1">
      <x:c r="A2578" s="21" t="s">
        <x:v>11681</x:v>
      </x:c>
      <x:c r="B2578" s="20" t="s">
        <x:v>11681</x:v>
      </x:c>
      <x:c r="C2578" s="20" t="s">
        <x:v>11677</x:v>
      </x:c>
      <x:c r="D2578" s="24">
        <x:v>0</x:v>
      </x:c>
      <x:c r="E2578" s="24" t="s">
        <x:v>89</x:v>
      </x:c>
      <x:c r="F2578" s="20" t="s">
        <x:v>90</x:v>
      </x:c>
      <x:c r="G2578" s="26">
        <x:v>46191</x:v>
      </x:c>
      <x:c r="H2578" s="24" t="s">
        <x:v>11682</x:v>
      </x:c>
      <x:c r="I2578" s="28" t="s">
        <x:v>11683</x:v>
      </x:c>
      <x:c r="J2578" s="29" t="s">
        <x:v>11684</x:v>
      </x:c>
    </x:row>
    <x:row r="2579" ht="10.050000190734863" customHeight="1">
      <x:c r="A2579" s="21" t="s">
        <x:v>11685</x:v>
      </x:c>
      <x:c r="B2579" s="20" t="s">
        <x:v>11685</x:v>
      </x:c>
      <x:c r="C2579" s="20" t="s">
        <x:v>2529</x:v>
      </x:c>
      <x:c r="D2579" s="24">
        <x:v>1</x:v>
      </x:c>
      <x:c r="E2579" s="24" t="s">
        <x:v>198</x:v>
      </x:c>
      <x:c r="F2579" s="20" t="s">
        <x:v>90</x:v>
      </x:c>
      <x:c r="G2579" s="26">
        <x:v>42638</x:v>
      </x:c>
      <x:c r="H2579" s="24" t="s">
        <x:v>11686</x:v>
      </x:c>
      <x:c r="I2579" s="28" t="s">
        <x:v>11687</x:v>
      </x:c>
      <x:c r="J2579" s="29" t="s">
        <x:v>11688</x:v>
      </x:c>
    </x:row>
    <x:row r="2580" ht="10.050000190734863" customHeight="1">
      <x:c r="A2580" s="21" t="s">
        <x:v>11689</x:v>
      </x:c>
      <x:c r="B2580" s="20" t="s">
        <x:v>11689</x:v>
      </x:c>
      <x:c r="C2580" s="20" t="s">
        <x:v>2118</x:v>
      </x:c>
      <x:c r="D2580" s="24">
        <x:v>1</x:v>
      </x:c>
      <x:c r="E2580" s="24" t="s">
        <x:v>198</x:v>
      </x:c>
      <x:c r="F2580" s="20" t="s">
        <x:v>90</x:v>
      </x:c>
      <x:c r="G2580" s="26">
        <x:v>45613</x:v>
      </x:c>
      <x:c r="H2580" s="24" t="s">
        <x:v>11690</x:v>
      </x:c>
      <x:c r="I2580" s="28" t="s">
        <x:v>11691</x:v>
      </x:c>
      <x:c r="J2580" s="29" t="s">
        <x:v>11692</x:v>
      </x:c>
    </x:row>
    <x:row r="2581" ht="10.050000190734863" customHeight="1">
      <x:c r="A2581" s="21" t="s">
        <x:v>11693</x:v>
      </x:c>
      <x:c r="B2581" s="20" t="s">
        <x:v>11693</x:v>
      </x:c>
      <x:c r="C2581" s="20" t="s">
        <x:v>1516</x:v>
      </x:c>
      <x:c r="D2581" s="24">
        <x:v>2</x:v>
      </x:c>
      <x:c r="E2581" s="24" t="s">
        <x:v>114</x:v>
      </x:c>
      <x:c r="F2581" s="20" t="s">
        <x:v>90</x:v>
      </x:c>
      <x:c r="G2581" s="26">
        <x:v>44816</x:v>
      </x:c>
      <x:c r="H2581" s="24" t="s">
        <x:v>11694</x:v>
      </x:c>
      <x:c r="I2581" s="28" t="s">
        <x:v>11695</x:v>
      </x:c>
      <x:c r="J2581" s="29" t="s">
        <x:v>11696</x:v>
      </x:c>
    </x:row>
    <x:row r="2582" ht="10.050000190734863" customHeight="1">
      <x:c r="A2582" s="21" t="s">
        <x:v>11697</x:v>
      </x:c>
      <x:c r="B2582" s="20" t="s">
        <x:v>11697</x:v>
      </x:c>
      <x:c r="C2582" s="20" t="s">
        <x:v>1516</x:v>
      </x:c>
      <x:c r="D2582" s="24">
        <x:v>1</x:v>
      </x:c>
      <x:c r="E2582" s="24" t="s">
        <x:v>198</x:v>
      </x:c>
      <x:c r="F2582" s="20" t="s">
        <x:v>90</x:v>
      </x:c>
      <x:c r="G2582" s="26">
        <x:v>44400</x:v>
      </x:c>
      <x:c r="H2582" s="24" t="s">
        <x:v>11698</x:v>
      </x:c>
      <x:c r="I2582" s="28" t="s">
        <x:v>11699</x:v>
      </x:c>
      <x:c r="J2582" s="29" t="s">
        <x:v>11700</x:v>
      </x:c>
    </x:row>
    <x:row r="2583" ht="10.050000190734863" customHeight="1">
      <x:c r="A2583" s="21" t="s">
        <x:v>11701</x:v>
      </x:c>
      <x:c r="B2583" s="20" t="s">
        <x:v>11701</x:v>
      </x:c>
      <x:c r="C2583" s="20" t="s">
        <x:v>533</x:v>
      </x:c>
      <x:c r="D2583" s="24">
        <x:v>5</x:v>
      </x:c>
      <x:c r="E2583" s="24" t="s">
        <x:v>125</x:v>
      </x:c>
      <x:c r="F2583" s="20" t="s">
        <x:v>90</x:v>
      </x:c>
      <x:c r="G2583" s="26">
        <x:v>44953</x:v>
      </x:c>
      <x:c r="H2583" s="24" t="s">
        <x:v>11702</x:v>
      </x:c>
      <x:c r="I2583" s="28" t="s">
        <x:v>11703</x:v>
      </x:c>
      <x:c r="J2583" s="29" t="s">
        <x:v>11704</x:v>
      </x:c>
    </x:row>
    <x:row r="2584" ht="10.050000190734863" customHeight="1">
      <x:c r="A2584" s="21" t="s">
        <x:v>11705</x:v>
      </x:c>
      <x:c r="B2584" s="20" t="s">
        <x:v>11705</x:v>
      </x:c>
      <x:c r="C2584" s="20" t="s">
        <x:v>5920</x:v>
      </x:c>
      <x:c r="D2584" s="24">
        <x:v>9</x:v>
      </x:c>
      <x:c r="E2584" s="24" t="s">
        <x:v>114</x:v>
      </x:c>
      <x:c r="F2584" s="20" t="s">
        <x:v>90</x:v>
      </x:c>
      <x:c r="G2584" s="26">
        <x:v>45462</x:v>
      </x:c>
      <x:c r="H2584" s="24" t="s">
        <x:v>11706</x:v>
      </x:c>
      <x:c r="I2584" s="28" t="s">
        <x:v>11707</x:v>
      </x:c>
      <x:c r="J2584" s="29" t="s">
        <x:v>11708</x:v>
      </x:c>
    </x:row>
    <x:row r="2585" ht="10.050000190734863" customHeight="1">
      <x:c r="A2585" s="21" t="s">
        <x:v>11709</x:v>
      </x:c>
      <x:c r="B2585" s="20" t="s">
        <x:v>11709</x:v>
      </x:c>
      <x:c r="C2585" s="20" t="s">
        <x:v>6692</x:v>
      </x:c>
      <x:c r="D2585" s="24">
        <x:v>6</x:v>
      </x:c>
      <x:c r="E2585" s="24" t="s">
        <x:v>198</x:v>
      </x:c>
      <x:c r="F2585" s="20" t="s">
        <x:v>152</x:v>
      </x:c>
      <x:c r="G2585" s="26">
        <x:v>44623</x:v>
      </x:c>
      <x:c r="H2585" s="24" t="s">
        <x:v>11710</x:v>
      </x:c>
      <x:c r="I2585" s="28" t="s">
        <x:v>11711</x:v>
      </x:c>
      <x:c r="J2585" s="29" t="s">
        <x:v>11712</x:v>
      </x:c>
    </x:row>
    <x:row r="2586" ht="10.050000190734863" customHeight="1">
      <x:c r="A2586" s="21" t="s">
        <x:v>11713</x:v>
      </x:c>
      <x:c r="B2586" s="20" t="s">
        <x:v>11713</x:v>
      </x:c>
      <x:c r="C2586" s="20" t="s">
        <x:v>2033</x:v>
      </x:c>
      <x:c r="D2586" s="24">
        <x:v>20</x:v>
      </x:c>
      <x:c r="E2586" s="24" t="s">
        <x:v>96</x:v>
      </x:c>
      <x:c r="F2586" s="20" t="s">
        <x:v>97</x:v>
      </x:c>
      <x:c r="G2586" s="26">
        <x:v>42977</x:v>
      </x:c>
      <x:c r="H2586" s="24" t="s">
        <x:v>11714</x:v>
      </x:c>
      <x:c r="I2586" s="28" t="s">
        <x:v>11715</x:v>
      </x:c>
      <x:c r="J2586" s="29" t="s">
        <x:v>11716</x:v>
      </x:c>
    </x:row>
    <x:row r="2587" ht="10.050000190734863" customHeight="1">
      <x:c r="A2587" s="21" t="s">
        <x:v>11717</x:v>
      </x:c>
      <x:c r="B2587" s="20" t="s">
        <x:v>11717</x:v>
      </x:c>
      <x:c r="C2587" s="20" t="s">
        <x:v>2282</x:v>
      </x:c>
      <x:c r="D2587" s="24">
        <x:v>29</x:v>
      </x:c>
      <x:c r="E2587" s="24" t="s">
        <x:v>89</x:v>
      </x:c>
      <x:c r="F2587" s="20" t="s">
        <x:v>97</x:v>
      </x:c>
      <x:c r="G2587" s="26">
        <x:v>44312</x:v>
      </x:c>
      <x:c r="H2587" s="24" t="s">
        <x:v>11718</x:v>
      </x:c>
      <x:c r="I2587" s="28" t="s">
        <x:v>11719</x:v>
      </x:c>
      <x:c r="J2587" s="29" t="s">
        <x:v>11720</x:v>
      </x:c>
    </x:row>
    <x:row r="2588" ht="10.050000190734863" customHeight="1">
      <x:c r="A2588" s="21" t="s">
        <x:v>11721</x:v>
      </x:c>
      <x:c r="B2588" s="20" t="s">
        <x:v>11721</x:v>
      </x:c>
      <x:c r="C2588" s="20" t="s">
        <x:v>1268</x:v>
      </x:c>
      <x:c r="D2588" s="24">
        <x:v>5</x:v>
      </x:c>
      <x:c r="E2588" s="24" t="s">
        <x:v>103</x:v>
      </x:c>
      <x:c r="F2588" s="20" t="s">
        <x:v>97</x:v>
      </x:c>
      <x:c r="G2588" s="26">
        <x:v>42482</x:v>
      </x:c>
      <x:c r="H2588" s="24" t="s">
        <x:v>11722</x:v>
      </x:c>
      <x:c r="I2588" s="28" t="s">
        <x:v>11723</x:v>
      </x:c>
      <x:c r="J2588" s="29" t="s">
        <x:v>11724</x:v>
      </x:c>
    </x:row>
    <x:row r="2589" ht="10.050000190734863" customHeight="1">
      <x:c r="A2589" s="21" t="s">
        <x:v>11725</x:v>
      </x:c>
      <x:c r="B2589" s="20" t="s">
        <x:v>11725</x:v>
      </x:c>
      <x:c r="C2589" s="20" t="s">
        <x:v>11726</x:v>
      </x:c>
      <x:c r="D2589" s="24">
        <x:v>16</x:v>
      </x:c>
      <x:c r="E2589" s="24" t="s">
        <x:v>96</x:v>
      </x:c>
      <x:c r="F2589" s="20" t="s">
        <x:v>90</x:v>
      </x:c>
      <x:c r="G2589" s="26">
        <x:v>46220</x:v>
      </x:c>
      <x:c r="H2589" s="24" t="s">
        <x:v>11727</x:v>
      </x:c>
      <x:c r="I2589" s="28" t="s">
        <x:v>11728</x:v>
      </x:c>
      <x:c r="J2589" s="29" t="s">
        <x:v>11729</x:v>
      </x:c>
    </x:row>
    <x:row r="2590" ht="10.050000190734863" customHeight="1">
      <x:c r="A2590" s="21" t="s">
        <x:v>11730</x:v>
      </x:c>
      <x:c r="B2590" s="20" t="s">
        <x:v>11730</x:v>
      </x:c>
      <x:c r="C2590" s="20" t="s">
        <x:v>11731</x:v>
      </x:c>
      <x:c r="D2590" s="24">
        <x:v>8</x:v>
      </x:c>
      <x:c r="E2590" s="24" t="s">
        <x:v>198</x:v>
      </x:c>
      <x:c r="F2590" s="20" t="s">
        <x:v>90</x:v>
      </x:c>
      <x:c r="G2590" s="26">
        <x:v>43957</x:v>
      </x:c>
      <x:c r="H2590" s="24" t="s">
        <x:v>11732</x:v>
      </x:c>
      <x:c r="I2590" s="28" t="s">
        <x:v>11733</x:v>
      </x:c>
      <x:c r="J2590" s="29" t="s">
        <x:v>11734</x:v>
      </x:c>
    </x:row>
    <x:row r="2591" ht="10.050000190734863" customHeight="1">
      <x:c r="A2591" s="21" t="s">
        <x:v>11735</x:v>
      </x:c>
      <x:c r="B2591" s="20" t="s">
        <x:v>11735</x:v>
      </x:c>
      <x:c r="C2591" s="20" t="s">
        <x:v>11731</x:v>
      </x:c>
      <x:c r="D2591" s="24">
        <x:v>7</x:v>
      </x:c>
      <x:c r="E2591" s="24" t="s">
        <x:v>114</x:v>
      </x:c>
      <x:c r="F2591" s="20" t="s">
        <x:v>90</x:v>
      </x:c>
      <x:c r="G2591" s="26">
        <x:v>44506</x:v>
      </x:c>
      <x:c r="H2591" s="24" t="s">
        <x:v>11736</x:v>
      </x:c>
      <x:c r="I2591" s="28" t="s">
        <x:v>11737</x:v>
      </x:c>
      <x:c r="J2591" s="29" t="s">
        <x:v>11738</x:v>
      </x:c>
    </x:row>
    <x:row r="2592" ht="10.050000190734863" customHeight="1">
      <x:c r="A2592" s="21" t="s">
        <x:v>11739</x:v>
      </x:c>
      <x:c r="B2592" s="20" t="s">
        <x:v>11739</x:v>
      </x:c>
      <x:c r="C2592" s="20" t="s">
        <x:v>703</x:v>
      </x:c>
      <x:c r="D2592" s="24">
        <x:v>14</x:v>
      </x:c>
      <x:c r="E2592" s="24" t="s">
        <x:v>198</x:v>
      </x:c>
      <x:c r="F2592" s="20" t="s">
        <x:v>90</x:v>
      </x:c>
      <x:c r="G2592" s="26">
        <x:v>45022</x:v>
      </x:c>
      <x:c r="H2592" s="24" t="s">
        <x:v>11740</x:v>
      </x:c>
      <x:c r="I2592" s="28" t="s">
        <x:v>11741</x:v>
      </x:c>
      <x:c r="J2592" s="29" t="s">
        <x:v>11742</x:v>
      </x:c>
    </x:row>
    <x:row r="2593" ht="10.050000190734863" customHeight="1">
      <x:c r="A2593" s="21" t="s">
        <x:v>11743</x:v>
      </x:c>
      <x:c r="B2593" s="20" t="s">
        <x:v>11743</x:v>
      </x:c>
      <x:c r="C2593" s="20" t="s">
        <x:v>7238</x:v>
      </x:c>
      <x:c r="D2593" s="24">
        <x:v>10</x:v>
      </x:c>
      <x:c r="E2593" s="24" t="s">
        <x:v>96</x:v>
      </x:c>
      <x:c r="F2593" s="20" t="s">
        <x:v>97</x:v>
      </x:c>
      <x:c r="G2593" s="26">
        <x:v>45295</x:v>
      </x:c>
      <x:c r="H2593" s="24" t="s">
        <x:v>11744</x:v>
      </x:c>
      <x:c r="I2593" s="28" t="s">
        <x:v>11745</x:v>
      </x:c>
      <x:c r="J2593" s="29" t="s">
        <x:v>11746</x:v>
      </x:c>
    </x:row>
    <x:row r="2594" ht="10.050000190734863" customHeight="1">
      <x:c r="A2594" s="21" t="s">
        <x:v>11747</x:v>
      </x:c>
      <x:c r="B2594" s="20" t="s">
        <x:v>11747</x:v>
      </x:c>
      <x:c r="C2594" s="20" t="s">
        <x:v>11748</x:v>
      </x:c>
      <x:c r="D2594" s="24">
        <x:v>17</x:v>
      </x:c>
      <x:c r="E2594" s="24" t="s">
        <x:v>103</x:v>
      </x:c>
      <x:c r="F2594" s="20" t="s">
        <x:v>97</x:v>
      </x:c>
      <x:c r="G2594" s="26">
        <x:v>42611</x:v>
      </x:c>
      <x:c r="H2594" s="24" t="s">
        <x:v>11749</x:v>
      </x:c>
      <x:c r="I2594" s="28" t="s">
        <x:v>11750</x:v>
      </x:c>
      <x:c r="J2594" s="29" t="s">
        <x:v>11751</x:v>
      </x:c>
    </x:row>
    <x:row r="2595" ht="10.050000190734863" customHeight="1">
      <x:c r="A2595" s="21" t="s">
        <x:v>11752</x:v>
      </x:c>
      <x:c r="B2595" s="20" t="s">
        <x:v>11752</x:v>
      </x:c>
      <x:c r="C2595" s="20" t="s">
        <x:v>7549</x:v>
      </x:c>
      <x:c r="D2595" s="24">
        <x:v>43</x:v>
      </x:c>
      <x:c r="E2595" s="24" t="s">
        <x:v>89</x:v>
      </x:c>
      <x:c r="F2595" s="20" t="s">
        <x:v>97</x:v>
      </x:c>
      <x:c r="G2595" s="26">
        <x:v>45314</x:v>
      </x:c>
      <x:c r="H2595" s="24" t="s">
        <x:v>11753</x:v>
      </x:c>
      <x:c r="I2595" s="28" t="s">
        <x:v>11754</x:v>
      </x:c>
      <x:c r="J2595" s="29" t="s">
        <x:v>11755</x:v>
      </x:c>
    </x:row>
    <x:row r="2596" ht="10.050000190734863" customHeight="1">
      <x:c r="A2596" s="21" t="s">
        <x:v>11756</x:v>
      </x:c>
      <x:c r="B2596" s="20" t="s">
        <x:v>11756</x:v>
      </x:c>
      <x:c r="C2596" s="20" t="s">
        <x:v>8843</x:v>
      </x:c>
      <x:c r="D2596" s="24">
        <x:v>1</x:v>
      </x:c>
      <x:c r="E2596" s="24" t="s">
        <x:v>103</x:v>
      </x:c>
      <x:c r="F2596" s="20" t="s">
        <x:v>97</x:v>
      </x:c>
      <x:c r="G2596" s="26">
        <x:v>42128</x:v>
      </x:c>
      <x:c r="H2596" s="24" t="s">
        <x:v>11757</x:v>
      </x:c>
      <x:c r="I2596" s="28" t="s">
        <x:v>11758</x:v>
      </x:c>
      <x:c r="J2596" s="29" t="s">
        <x:v>11759</x:v>
      </x:c>
    </x:row>
    <x:row r="2597" ht="10.050000190734863" customHeight="1">
      <x:c r="A2597" s="21" t="s">
        <x:v>11760</x:v>
      </x:c>
      <x:c r="B2597" s="20" t="s">
        <x:v>11760</x:v>
      </x:c>
      <x:c r="C2597" s="20" t="s">
        <x:v>8556</x:v>
      </x:c>
      <x:c r="D2597" s="24">
        <x:v>9</x:v>
      </x:c>
      <x:c r="E2597" s="24" t="s">
        <x:v>103</x:v>
      </x:c>
      <x:c r="F2597" s="20" t="s">
        <x:v>97</x:v>
      </x:c>
      <x:c r="G2597" s="26">
        <x:v>41445</x:v>
      </x:c>
      <x:c r="H2597" s="24" t="s">
        <x:v>11761</x:v>
      </x:c>
      <x:c r="I2597" s="28" t="s">
        <x:v>11762</x:v>
      </x:c>
      <x:c r="J2597" s="29" t="s">
        <x:v>11763</x:v>
      </x:c>
    </x:row>
    <x:row r="2598" ht="10.050000190734863" customHeight="1">
      <x:c r="A2598" s="21" t="s">
        <x:v>11764</x:v>
      </x:c>
      <x:c r="B2598" s="20" t="s">
        <x:v>11764</x:v>
      </x:c>
      <x:c r="C2598" s="20" t="s">
        <x:v>1135</x:v>
      </x:c>
      <x:c r="D2598" s="24">
        <x:v>1</x:v>
      </x:c>
      <x:c r="E2598" s="24" t="s">
        <x:v>114</x:v>
      </x:c>
      <x:c r="F2598" s="20" t="s">
        <x:v>90</x:v>
      </x:c>
      <x:c r="G2598" s="26">
        <x:v>44197</x:v>
      </x:c>
      <x:c r="H2598" s="24" t="s">
        <x:v>11765</x:v>
      </x:c>
      <x:c r="I2598" s="28" t="s">
        <x:v>11766</x:v>
      </x:c>
      <x:c r="J2598" s="29" t="s">
        <x:v>11767</x:v>
      </x:c>
    </x:row>
    <x:row r="2599" ht="10.050000190734863" customHeight="1">
      <x:c r="A2599" s="21" t="s">
        <x:v>11768</x:v>
      </x:c>
      <x:c r="B2599" s="20" t="s">
        <x:v>11768</x:v>
      </x:c>
      <x:c r="C2599" s="20" t="s">
        <x:v>11769</x:v>
      </x:c>
      <x:c r="D2599" s="24">
        <x:v>4</x:v>
      </x:c>
      <x:c r="E2599" s="24" t="s">
        <x:v>103</x:v>
      </x:c>
      <x:c r="F2599" s="20" t="s">
        <x:v>97</x:v>
      </x:c>
      <x:c r="G2599" s="26">
        <x:v>44021</x:v>
      </x:c>
      <x:c r="H2599" s="24" t="s">
        <x:v>11770</x:v>
      </x:c>
      <x:c r="I2599" s="28" t="s">
        <x:v>11771</x:v>
      </x:c>
      <x:c r="J2599" s="29" t="s">
        <x:v>11772</x:v>
      </x:c>
    </x:row>
    <x:row r="2600" ht="10.050000190734863" customHeight="1">
      <x:c r="A2600" s="21" t="s">
        <x:v>11773</x:v>
      </x:c>
      <x:c r="B2600" s="20" t="s">
        <x:v>11773</x:v>
      </x:c>
      <x:c r="C2600" s="20" t="s">
        <x:v>11774</x:v>
      </x:c>
      <x:c r="D2600" s="24">
        <x:v>11</x:v>
      </x:c>
      <x:c r="E2600" s="24" t="s">
        <x:v>89</x:v>
      </x:c>
      <x:c r="F2600" s="20" t="s">
        <x:v>90</x:v>
      </x:c>
      <x:c r="G2600" s="26">
        <x:v>44595</x:v>
      </x:c>
      <x:c r="H2600" s="24" t="s">
        <x:v>11775</x:v>
      </x:c>
      <x:c r="I2600" s="28" t="s">
        <x:v>11776</x:v>
      </x:c>
      <x:c r="J2600" s="29" t="s">
        <x:v>11777</x:v>
      </x:c>
    </x:row>
    <x:row r="2601" ht="10.050000190734863" customHeight="1">
      <x:c r="A2601" s="21" t="s">
        <x:v>11778</x:v>
      </x:c>
      <x:c r="B2601" s="20" t="s">
        <x:v>11778</x:v>
      </x:c>
      <x:c r="C2601" s="20" t="s">
        <x:v>11779</x:v>
      </x:c>
      <x:c r="D2601" s="24">
        <x:v>31</x:v>
      </x:c>
      <x:c r="E2601" s="24" t="s">
        <x:v>103</x:v>
      </x:c>
      <x:c r="F2601" s="20" t="s">
        <x:v>97</x:v>
      </x:c>
      <x:c r="G2601" s="26">
        <x:v>45370</x:v>
      </x:c>
      <x:c r="H2601" s="24" t="s">
        <x:v>11780</x:v>
      </x:c>
      <x:c r="I2601" s="28" t="s">
        <x:v>11781</x:v>
      </x:c>
      <x:c r="J2601" s="29" t="s">
        <x:v>11782</x:v>
      </x:c>
    </x:row>
    <x:row r="2602" ht="10.050000190734863" customHeight="1">
      <x:c r="A2602" s="21" t="s">
        <x:v>11783</x:v>
      </x:c>
      <x:c r="B2602" s="20" t="s">
        <x:v>11783</x:v>
      </x:c>
      <x:c r="C2602" s="20" t="s">
        <x:v>3012</x:v>
      </x:c>
      <x:c r="D2602" s="24">
        <x:v>12</x:v>
      </x:c>
      <x:c r="E2602" s="24" t="s">
        <x:v>89</x:v>
      </x:c>
      <x:c r="F2602" s="20" t="s">
        <x:v>90</x:v>
      </x:c>
      <x:c r="G2602" s="26">
        <x:v>45680</x:v>
      </x:c>
      <x:c r="H2602" s="24" t="s">
        <x:v>11784</x:v>
      </x:c>
      <x:c r="I2602" s="28" t="s">
        <x:v>11785</x:v>
      </x:c>
      <x:c r="J2602" s="29" t="s">
        <x:v>11786</x:v>
      </x:c>
    </x:row>
    <x:row r="2603" ht="10.050000190734863" customHeight="1">
      <x:c r="A2603" s="21" t="s">
        <x:v>11787</x:v>
      </x:c>
      <x:c r="B2603" s="20" t="s">
        <x:v>11787</x:v>
      </x:c>
      <x:c r="C2603" s="20" t="s">
        <x:v>680</x:v>
      </x:c>
      <x:c r="D2603" s="24">
        <x:v>34</x:v>
      </x:c>
      <x:c r="E2603" s="24" t="s">
        <x:v>114</x:v>
      </x:c>
      <x:c r="F2603" s="20" t="s">
        <x:v>90</x:v>
      </x:c>
      <x:c r="G2603" s="26">
        <x:v>45665</x:v>
      </x:c>
      <x:c r="H2603" s="24" t="s">
        <x:v>11788</x:v>
      </x:c>
      <x:c r="I2603" s="28" t="s">
        <x:v>11789</x:v>
      </x:c>
      <x:c r="J2603" s="29" t="s">
        <x:v>11790</x:v>
      </x:c>
    </x:row>
    <x:row r="2604" ht="10.050000190734863" customHeight="1">
      <x:c r="A2604" s="21" t="s">
        <x:v>11791</x:v>
      </x:c>
      <x:c r="B2604" s="20" t="s">
        <x:v>11791</x:v>
      </x:c>
      <x:c r="C2604" s="20" t="s">
        <x:v>11792</x:v>
      </x:c>
      <x:c r="D2604" s="24">
        <x:v>4</x:v>
      </x:c>
      <x:c r="E2604" s="24" t="s">
        <x:v>103</x:v>
      </x:c>
      <x:c r="F2604" s="20" t="s">
        <x:v>97</x:v>
      </x:c>
      <x:c r="G2604" s="26">
        <x:v>42211</x:v>
      </x:c>
      <x:c r="H2604" s="24" t="s">
        <x:v>11793</x:v>
      </x:c>
      <x:c r="I2604" s="28" t="s">
        <x:v>11794</x:v>
      </x:c>
      <x:c r="J2604" s="29" t="s">
        <x:v>11795</x:v>
      </x:c>
    </x:row>
    <x:row r="2605" ht="10.050000190734863" customHeight="1">
      <x:c r="A2605" s="21" t="s">
        <x:v>11796</x:v>
      </x:c>
      <x:c r="B2605" s="20" t="s">
        <x:v>11796</x:v>
      </x:c>
      <x:c r="C2605" s="20" t="s">
        <x:v>10015</x:v>
      </x:c>
      <x:c r="D2605" s="24">
        <x:v>25</x:v>
      </x:c>
      <x:c r="E2605" s="24" t="s">
        <x:v>114</x:v>
      </x:c>
      <x:c r="F2605" s="20" t="s">
        <x:v>90</x:v>
      </x:c>
      <x:c r="G2605" s="26">
        <x:v>43449</x:v>
      </x:c>
      <x:c r="H2605" s="24" t="s">
        <x:v>11797</x:v>
      </x:c>
      <x:c r="I2605" s="28" t="s">
        <x:v>11798</x:v>
      </x:c>
      <x:c r="J2605" s="29" t="s">
        <x:v>11799</x:v>
      </x:c>
    </x:row>
    <x:row r="2606" ht="10.050000190734863" customHeight="1">
      <x:c r="A2606" s="21" t="s">
        <x:v>11800</x:v>
      </x:c>
      <x:c r="B2606" s="20" t="s">
        <x:v>11800</x:v>
      </x:c>
      <x:c r="C2606" s="20" t="s">
        <x:v>10015</x:v>
      </x:c>
      <x:c r="D2606" s="24">
        <x:v>20</x:v>
      </x:c>
      <x:c r="E2606" s="24" t="s">
        <x:v>114</x:v>
      </x:c>
      <x:c r="F2606" s="20" t="s">
        <x:v>90</x:v>
      </x:c>
      <x:c r="G2606" s="26">
        <x:v>43962</x:v>
      </x:c>
      <x:c r="H2606" s="24" t="s">
        <x:v>11801</x:v>
      </x:c>
      <x:c r="I2606" s="28" t="s">
        <x:v>11802</x:v>
      </x:c>
      <x:c r="J2606" s="29" t="s">
        <x:v>11803</x:v>
      </x:c>
    </x:row>
    <x:row r="2607" ht="10.050000190734863" customHeight="1">
      <x:c r="A2607" s="21" t="s">
        <x:v>11804</x:v>
      </x:c>
      <x:c r="B2607" s="20" t="s">
        <x:v>11804</x:v>
      </x:c>
      <x:c r="C2607" s="20" t="s">
        <x:v>10231</x:v>
      </x:c>
      <x:c r="D2607" s="24">
        <x:v>2</x:v>
      </x:c>
      <x:c r="E2607" s="24" t="s">
        <x:v>103</x:v>
      </x:c>
      <x:c r="F2607" s="20" t="s">
        <x:v>97</x:v>
      </x:c>
      <x:c r="G2607" s="26">
        <x:v>42108</x:v>
      </x:c>
      <x:c r="H2607" s="24" t="s">
        <x:v>11805</x:v>
      </x:c>
      <x:c r="I2607" s="28" t="s">
        <x:v>11806</x:v>
      </x:c>
      <x:c r="J2607" s="29" t="s">
        <x:v>11807</x:v>
      </x:c>
    </x:row>
    <x:row r="2608" ht="10.050000190734863" customHeight="1">
      <x:c r="A2608" s="21" t="s">
        <x:v>11808</x:v>
      </x:c>
      <x:c r="B2608" s="20" t="s">
        <x:v>11808</x:v>
      </x:c>
      <x:c r="C2608" s="20" t="s">
        <x:v>2004</x:v>
      </x:c>
      <x:c r="D2608" s="24">
        <x:v>11</x:v>
      </x:c>
      <x:c r="E2608" s="24" t="s">
        <x:v>114</x:v>
      </x:c>
      <x:c r="F2608" s="20" t="s">
        <x:v>90</x:v>
      </x:c>
      <x:c r="G2608" s="26">
        <x:v>44063</x:v>
      </x:c>
      <x:c r="H2608" s="24" t="s">
        <x:v>11809</x:v>
      </x:c>
      <x:c r="I2608" s="28" t="s">
        <x:v>11810</x:v>
      </x:c>
      <x:c r="J2608" s="29" t="s">
        <x:v>11811</x:v>
      </x:c>
    </x:row>
    <x:row r="2609" ht="10.050000190734863" customHeight="1">
      <x:c r="A2609" s="21" t="s">
        <x:v>11812</x:v>
      </x:c>
      <x:c r="B2609" s="20" t="s">
        <x:v>11812</x:v>
      </x:c>
      <x:c r="C2609" s="20" t="s">
        <x:v>1558</x:v>
      </x:c>
      <x:c r="D2609" s="24">
        <x:v>38</x:v>
      </x:c>
      <x:c r="E2609" s="24" t="s">
        <x:v>96</x:v>
      </x:c>
      <x:c r="F2609" s="20" t="s">
        <x:v>97</x:v>
      </x:c>
      <x:c r="G2609" s="26">
        <x:v>43723</x:v>
      </x:c>
      <x:c r="H2609" s="24" t="s">
        <x:v>11813</x:v>
      </x:c>
      <x:c r="I2609" s="28" t="s">
        <x:v>11814</x:v>
      </x:c>
      <x:c r="J2609" s="29" t="s">
        <x:v>11815</x:v>
      </x:c>
    </x:row>
    <x:row r="2610" ht="10.050000190734863" customHeight="1">
      <x:c r="A2610" s="21" t="s">
        <x:v>11816</x:v>
      </x:c>
      <x:c r="B2610" s="20" t="s">
        <x:v>11816</x:v>
      </x:c>
      <x:c r="C2610" s="20" t="s">
        <x:v>3110</x:v>
      </x:c>
      <x:c r="D2610" s="24">
        <x:v>63</x:v>
      </x:c>
      <x:c r="E2610" s="24" t="s">
        <x:v>89</x:v>
      </x:c>
      <x:c r="F2610" s="20" t="s">
        <x:v>152</x:v>
      </x:c>
      <x:c r="G2610" s="26">
        <x:v>46026</x:v>
      </x:c>
      <x:c r="H2610" s="24" t="s">
        <x:v>11817</x:v>
      </x:c>
      <x:c r="I2610" s="28" t="s">
        <x:v>11818</x:v>
      </x:c>
      <x:c r="J2610" s="29" t="s">
        <x:v>11819</x:v>
      </x:c>
    </x:row>
    <x:row r="2611" ht="10.050000190734863" customHeight="1">
      <x:c r="A2611" s="21" t="s">
        <x:v>11820</x:v>
      </x:c>
      <x:c r="B2611" s="20" t="s">
        <x:v>11820</x:v>
      </x:c>
      <x:c r="C2611" s="20" t="s">
        <x:v>11821</x:v>
      </x:c>
      <x:c r="D2611" s="24">
        <x:v>11</x:v>
      </x:c>
      <x:c r="E2611" s="24" t="s">
        <x:v>125</x:v>
      </x:c>
      <x:c r="F2611" s="20" t="s">
        <x:v>90</x:v>
      </x:c>
      <x:c r="G2611" s="26">
        <x:v>45867</x:v>
      </x:c>
      <x:c r="H2611" s="24" t="s">
        <x:v>11822</x:v>
      </x:c>
      <x:c r="I2611" s="28" t="s">
        <x:v>11823</x:v>
      </x:c>
      <x:c r="J2611" s="29" t="s">
        <x:v>11824</x:v>
      </x:c>
    </x:row>
    <x:row r="2612" ht="10.050000190734863" customHeight="1">
      <x:c r="A2612" s="21" t="s">
        <x:v>11825</x:v>
      </x:c>
      <x:c r="B2612" s="20" t="s">
        <x:v>11825</x:v>
      </x:c>
      <x:c r="C2612" s="20" t="s">
        <x:v>11826</x:v>
      </x:c>
      <x:c r="D2612" s="24">
        <x:v>8</x:v>
      </x:c>
      <x:c r="E2612" s="24" t="s">
        <x:v>257</x:v>
      </x:c>
      <x:c r="F2612" s="20" t="s">
        <x:v>97</x:v>
      </x:c>
      <x:c r="G2612" s="26">
        <x:v>43721</x:v>
      </x:c>
      <x:c r="H2612" s="24" t="s">
        <x:v>11827</x:v>
      </x:c>
      <x:c r="I2612" s="28" t="s">
        <x:v>11828</x:v>
      </x:c>
      <x:c r="J2612" s="29" t="s">
        <x:v>11829</x:v>
      </x:c>
    </x:row>
    <x:row r="2613" ht="10.050000190734863" customHeight="1">
      <x:c r="A2613" s="21" t="s">
        <x:v>11830</x:v>
      </x:c>
      <x:c r="B2613" s="20" t="s">
        <x:v>11830</x:v>
      </x:c>
      <x:c r="C2613" s="20" t="s">
        <x:v>167</x:v>
      </x:c>
      <x:c r="D2613" s="24">
        <x:v>2</x:v>
      </x:c>
      <x:c r="E2613" s="24" t="s">
        <x:v>103</x:v>
      </x:c>
      <x:c r="F2613" s="20" t="s">
        <x:v>97</x:v>
      </x:c>
      <x:c r="G2613" s="26">
        <x:v>42744</x:v>
      </x:c>
      <x:c r="H2613" s="24" t="s">
        <x:v>11831</x:v>
      </x:c>
      <x:c r="I2613" s="28" t="s">
        <x:v>11832</x:v>
      </x:c>
      <x:c r="J2613" s="29" t="s">
        <x:v>11833</x:v>
      </x:c>
    </x:row>
    <x:row r="2614" ht="10.050000190734863" customHeight="1">
      <x:c r="A2614" s="21" t="s">
        <x:v>11834</x:v>
      </x:c>
      <x:c r="B2614" s="20" t="s">
        <x:v>11834</x:v>
      </x:c>
      <x:c r="C2614" s="20" t="s">
        <x:v>1344</x:v>
      </x:c>
      <x:c r="D2614" s="24">
        <x:v>39</x:v>
      </x:c>
      <x:c r="E2614" s="24" t="s">
        <x:v>114</x:v>
      </x:c>
      <x:c r="F2614" s="20" t="s">
        <x:v>152</x:v>
      </x:c>
      <x:c r="G2614" s="26">
        <x:v>44571</x:v>
      </x:c>
      <x:c r="H2614" s="24" t="s">
        <x:v>11835</x:v>
      </x:c>
      <x:c r="I2614" s="28" t="s">
        <x:v>11836</x:v>
      </x:c>
      <x:c r="J2614" s="29" t="s">
        <x:v>11837</x:v>
      </x:c>
    </x:row>
    <x:row r="2615" ht="10.050000190734863" customHeight="1">
      <x:c r="A2615" s="21" t="s">
        <x:v>11838</x:v>
      </x:c>
      <x:c r="B2615" s="20" t="s">
        <x:v>11838</x:v>
      </x:c>
      <x:c r="C2615" s="20" t="s">
        <x:v>1344</x:v>
      </x:c>
      <x:c r="D2615" s="24">
        <x:v>27</x:v>
      </x:c>
      <x:c r="E2615" s="24" t="s">
        <x:v>96</x:v>
      </x:c>
      <x:c r="F2615" s="20" t="s">
        <x:v>97</x:v>
      </x:c>
      <x:c r="G2615" s="26">
        <x:v>44888</x:v>
      </x:c>
      <x:c r="H2615" s="24" t="s">
        <x:v>11839</x:v>
      </x:c>
      <x:c r="I2615" s="28" t="s">
        <x:v>11840</x:v>
      </x:c>
      <x:c r="J2615" s="29" t="s">
        <x:v>11841</x:v>
      </x:c>
    </x:row>
    <x:row r="2616" ht="10.050000190734863" customHeight="1">
      <x:c r="A2616" s="21" t="s">
        <x:v>11842</x:v>
      </x:c>
      <x:c r="B2616" s="20" t="s">
        <x:v>11842</x:v>
      </x:c>
      <x:c r="C2616" s="20" t="s">
        <x:v>1344</x:v>
      </x:c>
      <x:c r="D2616" s="24">
        <x:v>25</x:v>
      </x:c>
      <x:c r="E2616" s="24" t="s">
        <x:v>96</x:v>
      </x:c>
      <x:c r="F2616" s="20" t="s">
        <x:v>97</x:v>
      </x:c>
      <x:c r="G2616" s="26">
        <x:v>45189</x:v>
      </x:c>
      <x:c r="H2616" s="24" t="s">
        <x:v>11843</x:v>
      </x:c>
      <x:c r="I2616" s="28" t="s">
        <x:v>11844</x:v>
      </x:c>
      <x:c r="J2616" s="29" t="s">
        <x:v>11845</x:v>
      </x:c>
    </x:row>
    <x:row r="2617" ht="10.050000190734863" customHeight="1">
      <x:c r="A2617" s="21" t="s">
        <x:v>11846</x:v>
      </x:c>
      <x:c r="B2617" s="20" t="s">
        <x:v>11846</x:v>
      </x:c>
      <x:c r="C2617" s="20" t="s">
        <x:v>1344</x:v>
      </x:c>
      <x:c r="D2617" s="24">
        <x:v>37</x:v>
      </x:c>
      <x:c r="E2617" s="24" t="s">
        <x:v>89</x:v>
      </x:c>
      <x:c r="F2617" s="20" t="s">
        <x:v>97</x:v>
      </x:c>
      <x:c r="G2617" s="26">
        <x:v>45443</x:v>
      </x:c>
      <x:c r="H2617" s="24" t="s">
        <x:v>11847</x:v>
      </x:c>
      <x:c r="I2617" s="28" t="s">
        <x:v>11848</x:v>
      </x:c>
      <x:c r="J2617" s="29" t="s">
        <x:v>11849</x:v>
      </x:c>
    </x:row>
    <x:row r="2618" ht="10.050000190734863" customHeight="1">
      <x:c r="A2618" s="21" t="s">
        <x:v>11850</x:v>
      </x:c>
      <x:c r="B2618" s="20" t="s">
        <x:v>11850</x:v>
      </x:c>
      <x:c r="C2618" s="20" t="s">
        <x:v>11851</x:v>
      </x:c>
      <x:c r="D2618" s="24">
        <x:v>1</x:v>
      </x:c>
      <x:c r="E2618" s="24" t="s">
        <x:v>198</x:v>
      </x:c>
      <x:c r="F2618" s="20" t="s">
        <x:v>90</x:v>
      </x:c>
      <x:c r="G2618" s="26">
        <x:v>44789</x:v>
      </x:c>
      <x:c r="H2618" s="24" t="s">
        <x:v>11852</x:v>
      </x:c>
      <x:c r="I2618" s="28" t="s">
        <x:v>11853</x:v>
      </x:c>
      <x:c r="J2618" s="29" t="s">
        <x:v>11854</x:v>
      </x:c>
    </x:row>
    <x:row r="2619" ht="10.050000190734863" customHeight="1">
      <x:c r="A2619" s="21" t="s">
        <x:v>11855</x:v>
      </x:c>
      <x:c r="B2619" s="20" t="s">
        <x:v>11855</x:v>
      </x:c>
      <x:c r="C2619" s="20" t="s">
        <x:v>394</x:v>
      </x:c>
      <x:c r="D2619" s="24">
        <x:v>11</x:v>
      </x:c>
      <x:c r="E2619" s="24" t="s">
        <x:v>198</x:v>
      </x:c>
      <x:c r="F2619" s="20" t="s">
        <x:v>90</x:v>
      </x:c>
      <x:c r="G2619" s="26">
        <x:v>44172</x:v>
      </x:c>
      <x:c r="H2619" s="24" t="s">
        <x:v>11856</x:v>
      </x:c>
      <x:c r="I2619" s="28" t="s">
        <x:v>11857</x:v>
      </x:c>
      <x:c r="J2619" s="29" t="s">
        <x:v>11858</x:v>
      </x:c>
    </x:row>
    <x:row r="2620" ht="10.050000190734863" customHeight="1">
      <x:c r="A2620" s="21" t="s">
        <x:v>11859</x:v>
      </x:c>
      <x:c r="B2620" s="20" t="s">
        <x:v>11859</x:v>
      </x:c>
      <x:c r="C2620" s="20" t="s">
        <x:v>394</x:v>
      </x:c>
      <x:c r="D2620" s="24">
        <x:v>10</x:v>
      </x:c>
      <x:c r="E2620" s="24" t="s">
        <x:v>198</x:v>
      </x:c>
      <x:c r="F2620" s="20" t="s">
        <x:v>90</x:v>
      </x:c>
      <x:c r="G2620" s="26">
        <x:v>44369</x:v>
      </x:c>
      <x:c r="H2620" s="24" t="s">
        <x:v>11860</x:v>
      </x:c>
      <x:c r="I2620" s="28" t="s">
        <x:v>11861</x:v>
      </x:c>
      <x:c r="J2620" s="29" t="s">
        <x:v>11862</x:v>
      </x:c>
    </x:row>
    <x:row r="2621" ht="10.050000190734863" customHeight="1">
      <x:c r="A2621" s="21" t="s">
        <x:v>11863</x:v>
      </x:c>
      <x:c r="B2621" s="20" t="s">
        <x:v>11863</x:v>
      </x:c>
      <x:c r="C2621" s="20" t="s">
        <x:v>394</x:v>
      </x:c>
      <x:c r="D2621" s="24">
        <x:v>9</x:v>
      </x:c>
      <x:c r="E2621" s="24" t="s">
        <x:v>198</x:v>
      </x:c>
      <x:c r="F2621" s="20" t="s">
        <x:v>90</x:v>
      </x:c>
      <x:c r="G2621" s="26">
        <x:v>44833</x:v>
      </x:c>
      <x:c r="H2621" s="24" t="s">
        <x:v>11864</x:v>
      </x:c>
      <x:c r="I2621" s="28" t="s">
        <x:v>11865</x:v>
      </x:c>
      <x:c r="J2621" s="29" t="s">
        <x:v>11866</x:v>
      </x:c>
    </x:row>
    <x:row r="2622" ht="10.050000190734863" customHeight="1">
      <x:c r="A2622" s="21" t="s">
        <x:v>11867</x:v>
      </x:c>
      <x:c r="B2622" s="20" t="s">
        <x:v>11867</x:v>
      </x:c>
      <x:c r="C2622" s="20" t="s">
        <x:v>3716</x:v>
      </x:c>
      <x:c r="D2622" s="24">
        <x:v>31</x:v>
      </x:c>
      <x:c r="E2622" s="24" t="s">
        <x:v>198</x:v>
      </x:c>
      <x:c r="F2622" s="20" t="s">
        <x:v>97</x:v>
      </x:c>
      <x:c r="G2622" s="26">
        <x:v>44167</x:v>
      </x:c>
      <x:c r="H2622" s="24" t="s">
        <x:v>11868</x:v>
      </x:c>
      <x:c r="I2622" s="28" t="s">
        <x:v>11869</x:v>
      </x:c>
      <x:c r="J2622" s="29" t="s">
        <x:v>11870</x:v>
      </x:c>
    </x:row>
    <x:row r="2623" ht="10.050000190734863" customHeight="1">
      <x:c r="A2623" s="21" t="s">
        <x:v>11871</x:v>
      </x:c>
      <x:c r="B2623" s="20" t="s">
        <x:v>11871</x:v>
      </x:c>
      <x:c r="C2623" s="20" t="s">
        <x:v>1768</x:v>
      </x:c>
      <x:c r="D2623" s="24">
        <x:v>6</x:v>
      </x:c>
      <x:c r="E2623" s="24" t="s">
        <x:v>114</x:v>
      </x:c>
      <x:c r="F2623" s="20" t="s">
        <x:v>90</x:v>
      </x:c>
      <x:c r="G2623" s="26">
        <x:v>44161</x:v>
      </x:c>
      <x:c r="H2623" s="24" t="s">
        <x:v>11872</x:v>
      </x:c>
      <x:c r="I2623" s="28" t="s">
        <x:v>11873</x:v>
      </x:c>
      <x:c r="J2623" s="29" t="s">
        <x:v>11874</x:v>
      </x:c>
    </x:row>
    <x:row r="2624" ht="10.050000190734863" customHeight="1">
      <x:c r="A2624" s="21" t="s">
        <x:v>11875</x:v>
      </x:c>
      <x:c r="B2624" s="20" t="s">
        <x:v>11875</x:v>
      </x:c>
      <x:c r="C2624" s="20" t="s">
        <x:v>11876</x:v>
      </x:c>
      <x:c r="D2624" s="24">
        <x:v>12</x:v>
      </x:c>
      <x:c r="E2624" s="24" t="s">
        <x:v>96</x:v>
      </x:c>
      <x:c r="F2624" s="20" t="s">
        <x:v>97</x:v>
      </x:c>
      <x:c r="G2624" s="26">
        <x:v>43944</x:v>
      </x:c>
      <x:c r="H2624" s="24" t="s">
        <x:v>11877</x:v>
      </x:c>
      <x:c r="I2624" s="28" t="s">
        <x:v>11878</x:v>
      </x:c>
      <x:c r="J2624" s="29" t="s">
        <x:v>11879</x:v>
      </x:c>
    </x:row>
    <x:row r="2625" ht="10.050000190734863" customHeight="1">
      <x:c r="A2625" s="21" t="s">
        <x:v>11880</x:v>
      </x:c>
      <x:c r="B2625" s="20" t="s">
        <x:v>11880</x:v>
      </x:c>
      <x:c r="C2625" s="20" t="s">
        <x:v>11190</x:v>
      </x:c>
      <x:c r="D2625" s="24">
        <x:v>1</x:v>
      </x:c>
      <x:c r="E2625" s="24" t="s">
        <x:v>114</x:v>
      </x:c>
      <x:c r="F2625" s="20" t="s">
        <x:v>126</x:v>
      </x:c>
      <x:c r="G2625" s="26">
        <x:v>43228</x:v>
      </x:c>
      <x:c r="H2625" s="24" t="s">
        <x:v>11881</x:v>
      </x:c>
      <x:c r="I2625" s="28" t="s">
        <x:v>11882</x:v>
      </x:c>
      <x:c r="J2625" s="29" t="s">
        <x:v>11883</x:v>
      </x:c>
    </x:row>
    <x:row r="2626" ht="10.050000190734863" customHeight="1">
      <x:c r="A2626" s="21" t="s">
        <x:v>11884</x:v>
      </x:c>
      <x:c r="B2626" s="20" t="s">
        <x:v>11884</x:v>
      </x:c>
      <x:c r="C2626" s="20" t="s">
        <x:v>8268</x:v>
      </x:c>
      <x:c r="D2626" s="24">
        <x:v>2</x:v>
      </x:c>
      <x:c r="E2626" s="24" t="s">
        <x:v>89</x:v>
      </x:c>
      <x:c r="F2626" s="20" t="s">
        <x:v>90</x:v>
      </x:c>
      <x:c r="G2626" s="26">
        <x:v>44593</x:v>
      </x:c>
      <x:c r="H2626" s="24" t="s">
        <x:v>11885</x:v>
      </x:c>
      <x:c r="I2626" s="28" t="s">
        <x:v>11886</x:v>
      </x:c>
      <x:c r="J2626" s="29" t="s">
        <x:v>11887</x:v>
      </x:c>
    </x:row>
    <x:row r="2627" ht="10.050000190734863" customHeight="1">
      <x:c r="A2627" s="21" t="s">
        <x:v>11888</x:v>
      </x:c>
      <x:c r="B2627" s="20" t="s">
        <x:v>11888</x:v>
      </x:c>
      <x:c r="C2627" s="20" t="s">
        <x:v>680</x:v>
      </x:c>
      <x:c r="D2627" s="24">
        <x:v>10</x:v>
      </x:c>
      <x:c r="E2627" s="24" t="s">
        <x:v>125</x:v>
      </x:c>
      <x:c r="F2627" s="20" t="s">
        <x:v>90</x:v>
      </x:c>
      <x:c r="G2627" s="26">
        <x:v>44893</x:v>
      </x:c>
      <x:c r="H2627" s="24" t="s">
        <x:v>11889</x:v>
      </x:c>
      <x:c r="I2627" s="28" t="s">
        <x:v>11890</x:v>
      </x:c>
      <x:c r="J2627" s="29" t="s">
        <x:v>11891</x:v>
      </x:c>
    </x:row>
    <x:row r="2628" ht="10.050000190734863" customHeight="1">
      <x:c r="A2628" s="21" t="s">
        <x:v>11892</x:v>
      </x:c>
      <x:c r="B2628" s="20" t="s">
        <x:v>11892</x:v>
      </x:c>
      <x:c r="C2628" s="20" t="s">
        <x:v>2524</x:v>
      </x:c>
      <x:c r="D2628" s="24">
        <x:v>15</x:v>
      </x:c>
      <x:c r="E2628" s="24" t="s">
        <x:v>89</x:v>
      </x:c>
      <x:c r="F2628" s="20" t="s">
        <x:v>90</x:v>
      </x:c>
      <x:c r="G2628" s="26">
        <x:v>44882</x:v>
      </x:c>
      <x:c r="H2628" s="24" t="s">
        <x:v>11893</x:v>
      </x:c>
      <x:c r="I2628" s="28" t="s">
        <x:v>11894</x:v>
      </x:c>
      <x:c r="J2628" s="29" t="s">
        <x:v>11895</x:v>
      </x:c>
    </x:row>
    <x:row r="2629" ht="10.050000190734863" customHeight="1">
      <x:c r="A2629" s="21" t="s">
        <x:v>11896</x:v>
      </x:c>
      <x:c r="B2629" s="20" t="s">
        <x:v>11896</x:v>
      </x:c>
      <x:c r="C2629" s="20" t="s">
        <x:v>361</x:v>
      </x:c>
      <x:c r="D2629" s="24">
        <x:v>6</x:v>
      </x:c>
      <x:c r="E2629" s="24" t="s">
        <x:v>198</x:v>
      </x:c>
      <x:c r="F2629" s="20" t="s">
        <x:v>90</x:v>
      </x:c>
      <x:c r="G2629" s="26">
        <x:v>41780</x:v>
      </x:c>
      <x:c r="H2629" s="24" t="s">
        <x:v>11897</x:v>
      </x:c>
      <x:c r="I2629" s="28" t="s">
        <x:v>11898</x:v>
      </x:c>
      <x:c r="J2629" s="29" t="s">
        <x:v>11899</x:v>
      </x:c>
    </x:row>
    <x:row r="2630" ht="10.050000190734863" customHeight="1">
      <x:c r="A2630" s="21" t="s">
        <x:v>11900</x:v>
      </x:c>
      <x:c r="B2630" s="20" t="s">
        <x:v>11900</x:v>
      </x:c>
      <x:c r="C2630" s="20" t="s">
        <x:v>11901</x:v>
      </x:c>
      <x:c r="D2630" s="24">
        <x:v>8</x:v>
      </x:c>
      <x:c r="E2630" s="24" t="s">
        <x:v>198</x:v>
      </x:c>
      <x:c r="F2630" s="20" t="s">
        <x:v>90</x:v>
      </x:c>
      <x:c r="G2630" s="26">
        <x:v>43964</x:v>
      </x:c>
      <x:c r="H2630" s="24" t="s">
        <x:v>11902</x:v>
      </x:c>
      <x:c r="I2630" s="28" t="s">
        <x:v>11903</x:v>
      </x:c>
      <x:c r="J2630" s="29" t="s">
        <x:v>11904</x:v>
      </x:c>
    </x:row>
    <x:row r="2631" ht="10.050000190734863" customHeight="1">
      <x:c r="A2631" s="21" t="s">
        <x:v>11905</x:v>
      </x:c>
      <x:c r="B2631" s="20" t="s">
        <x:v>11905</x:v>
      </x:c>
      <x:c r="C2631" s="20" t="s">
        <x:v>11906</x:v>
      </x:c>
      <x:c r="D2631" s="24">
        <x:v>5</x:v>
      </x:c>
      <x:c r="E2631" s="24" t="s">
        <x:v>89</x:v>
      </x:c>
      <x:c r="F2631" s="20" t="s">
        <x:v>90</x:v>
      </x:c>
      <x:c r="G2631" s="26">
        <x:v>42093</x:v>
      </x:c>
      <x:c r="H2631" s="24" t="s">
        <x:v>11907</x:v>
      </x:c>
      <x:c r="I2631" s="28" t="s">
        <x:v>11908</x:v>
      </x:c>
      <x:c r="J2631" s="29" t="s">
        <x:v>11909</x:v>
      </x:c>
    </x:row>
    <x:row r="2632" ht="10.050000190734863" customHeight="1">
      <x:c r="A2632" s="21" t="s">
        <x:v>11910</x:v>
      </x:c>
      <x:c r="B2632" s="20" t="s">
        <x:v>11910</x:v>
      </x:c>
      <x:c r="C2632" s="20" t="s">
        <x:v>756</x:v>
      </x:c>
      <x:c r="D2632" s="24">
        <x:v>8</x:v>
      </x:c>
      <x:c r="E2632" s="24" t="s">
        <x:v>198</x:v>
      </x:c>
      <x:c r="F2632" s="20" t="s">
        <x:v>90</x:v>
      </x:c>
      <x:c r="G2632" s="26">
        <x:v>45404</x:v>
      </x:c>
      <x:c r="H2632" s="24" t="s">
        <x:v>11911</x:v>
      </x:c>
      <x:c r="I2632" s="28" t="s">
        <x:v>11912</x:v>
      </x:c>
      <x:c r="J2632" s="29" t="s">
        <x:v>11913</x:v>
      </x:c>
    </x:row>
    <x:row r="2633" ht="10.050000190734863" customHeight="1">
      <x:c r="A2633" s="21" t="s">
        <x:v>11914</x:v>
      </x:c>
      <x:c r="B2633" s="20" t="s">
        <x:v>11914</x:v>
      </x:c>
      <x:c r="C2633" s="20" t="s">
        <x:v>8096</x:v>
      </x:c>
      <x:c r="D2633" s="24">
        <x:v>8</x:v>
      </x:c>
      <x:c r="E2633" s="24" t="s">
        <x:v>198</x:v>
      </x:c>
      <x:c r="F2633" s="20" t="s">
        <x:v>90</x:v>
      </x:c>
      <x:c r="G2633" s="26">
        <x:v>45254</x:v>
      </x:c>
      <x:c r="H2633" s="24" t="s">
        <x:v>11915</x:v>
      </x:c>
      <x:c r="I2633" s="28" t="s">
        <x:v>11916</x:v>
      </x:c>
      <x:c r="J2633" s="29" t="s">
        <x:v>11917</x:v>
      </x:c>
    </x:row>
    <x:row r="2634" ht="10.050000190734863" customHeight="1">
      <x:c r="A2634" s="21" t="s">
        <x:v>11918</x:v>
      </x:c>
      <x:c r="B2634" s="20" t="s">
        <x:v>11918</x:v>
      </x:c>
      <x:c r="C2634" s="20" t="s">
        <x:v>2624</x:v>
      </x:c>
      <x:c r="D2634" s="24">
        <x:v>11</x:v>
      </x:c>
      <x:c r="E2634" s="24" t="s">
        <x:v>114</x:v>
      </x:c>
      <x:c r="F2634" s="20" t="s">
        <x:v>90</x:v>
      </x:c>
      <x:c r="G2634" s="26">
        <x:v>46080</x:v>
      </x:c>
      <x:c r="H2634" s="24" t="s">
        <x:v>11919</x:v>
      </x:c>
      <x:c r="I2634" s="28" t="s">
        <x:v>11920</x:v>
      </x:c>
      <x:c r="J2634" s="29" t="s">
        <x:v>11921</x:v>
      </x:c>
    </x:row>
    <x:row r="2635" ht="10.050000190734863" customHeight="1">
      <x:c r="A2635" s="21" t="s">
        <x:v>11922</x:v>
      </x:c>
      <x:c r="B2635" s="20" t="s">
        <x:v>11922</x:v>
      </x:c>
      <x:c r="C2635" s="20" t="s">
        <x:v>10832</x:v>
      </x:c>
      <x:c r="D2635" s="24">
        <x:v>39</x:v>
      </x:c>
      <x:c r="E2635" s="24" t="s">
        <x:v>96</x:v>
      </x:c>
      <x:c r="F2635" s="20" t="s">
        <x:v>97</x:v>
      </x:c>
      <x:c r="G2635" s="26">
        <x:v>45042</x:v>
      </x:c>
      <x:c r="H2635" s="24" t="s">
        <x:v>11923</x:v>
      </x:c>
      <x:c r="I2635" s="28" t="s">
        <x:v>11924</x:v>
      </x:c>
      <x:c r="J2635" s="29" t="s">
        <x:v>11925</x:v>
      </x:c>
    </x:row>
    <x:row r="2636" ht="10.050000190734863" customHeight="1">
      <x:c r="A2636" s="21" t="s">
        <x:v>11926</x:v>
      </x:c>
      <x:c r="B2636" s="20" t="s">
        <x:v>11926</x:v>
      </x:c>
      <x:c r="C2636" s="20" t="s">
        <x:v>1157</x:v>
      </x:c>
      <x:c r="D2636" s="24">
        <x:v>7</x:v>
      </x:c>
      <x:c r="E2636" s="24" t="s">
        <x:v>257</x:v>
      </x:c>
      <x:c r="F2636" s="20" t="s">
        <x:v>97</x:v>
      </x:c>
      <x:c r="G2636" s="26">
        <x:v>41445</x:v>
      </x:c>
      <x:c r="H2636" s="24" t="s">
        <x:v>11927</x:v>
      </x:c>
      <x:c r="I2636" s="28" t="s">
        <x:v>11928</x:v>
      </x:c>
      <x:c r="J2636" s="29" t="s">
        <x:v>11929</x:v>
      </x:c>
    </x:row>
    <x:row r="2637" ht="10.050000190734863" customHeight="1">
      <x:c r="A2637" s="21" t="s">
        <x:v>11930</x:v>
      </x:c>
      <x:c r="B2637" s="20" t="s">
        <x:v>11930</x:v>
      </x:c>
      <x:c r="C2637" s="20" t="s">
        <x:v>4665</x:v>
      </x:c>
      <x:c r="D2637" s="24">
        <x:v>74</x:v>
      </x:c>
      <x:c r="E2637" s="24" t="s">
        <x:v>96</x:v>
      </x:c>
      <x:c r="F2637" s="20" t="s">
        <x:v>97</x:v>
      </x:c>
      <x:c r="G2637" s="26">
        <x:v>45753</x:v>
      </x:c>
      <x:c r="H2637" s="24" t="s">
        <x:v>11931</x:v>
      </x:c>
      <x:c r="I2637" s="28" t="s">
        <x:v>11932</x:v>
      </x:c>
      <x:c r="J2637" s="29" t="s">
        <x:v>11933</x:v>
      </x:c>
    </x:row>
    <x:row r="2638" ht="10.050000190734863" customHeight="1">
      <x:c r="A2638" s="21" t="s">
        <x:v>11934</x:v>
      </x:c>
      <x:c r="B2638" s="20" t="s">
        <x:v>11934</x:v>
      </x:c>
      <x:c r="C2638" s="20" t="s">
        <x:v>272</x:v>
      </x:c>
      <x:c r="D2638" s="24">
        <x:v>12</x:v>
      </x:c>
      <x:c r="E2638" s="24" t="s">
        <x:v>89</x:v>
      </x:c>
      <x:c r="F2638" s="20" t="s">
        <x:v>97</x:v>
      </x:c>
      <x:c r="G2638" s="26">
        <x:v>46079</x:v>
      </x:c>
      <x:c r="H2638" s="24" t="s">
        <x:v>11935</x:v>
      </x:c>
      <x:c r="I2638" s="28" t="s">
        <x:v>11936</x:v>
      </x:c>
      <x:c r="J2638" s="29" t="s">
        <x:v>11937</x:v>
      </x:c>
    </x:row>
    <x:row r="2639" ht="10.050000190734863" customHeight="1">
      <x:c r="A2639" s="21" t="s">
        <x:v>11938</x:v>
      </x:c>
      <x:c r="B2639" s="20" t="s">
        <x:v>11938</x:v>
      </x:c>
      <x:c r="C2639" s="20" t="s">
        <x:v>5507</x:v>
      </x:c>
      <x:c r="D2639" s="24">
        <x:v>27</x:v>
      </x:c>
      <x:c r="E2639" s="24" t="s">
        <x:v>198</x:v>
      </x:c>
      <x:c r="F2639" s="20" t="s">
        <x:v>90</x:v>
      </x:c>
      <x:c r="G2639" s="26">
        <x:v>44151</x:v>
      </x:c>
      <x:c r="H2639" s="24" t="s">
        <x:v>11939</x:v>
      </x:c>
      <x:c r="I2639" s="28" t="s">
        <x:v>11940</x:v>
      </x:c>
      <x:c r="J2639" s="29" t="s">
        <x:v>11941</x:v>
      </x:c>
    </x:row>
    <x:row r="2640" ht="10.050000190734863" customHeight="1">
      <x:c r="A2640" s="21" t="s">
        <x:v>11942</x:v>
      </x:c>
      <x:c r="B2640" s="20" t="s">
        <x:v>11942</x:v>
      </x:c>
      <x:c r="C2640" s="20" t="s">
        <x:v>11943</x:v>
      </x:c>
      <x:c r="D2640" s="24">
        <x:v>17</x:v>
      </x:c>
      <x:c r="E2640" s="24" t="s">
        <x:v>103</x:v>
      </x:c>
      <x:c r="F2640" s="20" t="s">
        <x:v>97</x:v>
      </x:c>
      <x:c r="G2640" s="26">
        <x:v>44101</x:v>
      </x:c>
      <x:c r="H2640" s="24" t="s">
        <x:v>11944</x:v>
      </x:c>
      <x:c r="I2640" s="28" t="s">
        <x:v>11945</x:v>
      </x:c>
      <x:c r="J2640" s="29" t="s">
        <x:v>11946</x:v>
      </x:c>
    </x:row>
    <x:row r="2641" ht="10.050000190734863" customHeight="1">
      <x:c r="A2641" s="21" t="s">
        <x:v>11947</x:v>
      </x:c>
      <x:c r="B2641" s="20" t="s">
        <x:v>11947</x:v>
      </x:c>
      <x:c r="C2641" s="20" t="s">
        <x:v>7838</x:v>
      </x:c>
      <x:c r="D2641" s="24">
        <x:v>31</x:v>
      </x:c>
      <x:c r="E2641" s="24" t="s">
        <x:v>198</x:v>
      </x:c>
      <x:c r="F2641" s="20" t="s">
        <x:v>90</x:v>
      </x:c>
      <x:c r="G2641" s="26">
        <x:v>44691</x:v>
      </x:c>
      <x:c r="H2641" s="24" t="s">
        <x:v>11948</x:v>
      </x:c>
      <x:c r="I2641" s="28" t="s">
        <x:v>11949</x:v>
      </x:c>
      <x:c r="J2641" s="29" t="s">
        <x:v>11950</x:v>
      </x:c>
    </x:row>
    <x:row r="2642" ht="10.050000190734863" customHeight="1">
      <x:c r="A2642" s="21" t="s">
        <x:v>11951</x:v>
      </x:c>
      <x:c r="B2642" s="20" t="s">
        <x:v>11951</x:v>
      </x:c>
      <x:c r="C2642" s="20" t="s">
        <x:v>3012</x:v>
      </x:c>
      <x:c r="D2642" s="24">
        <x:v>23</x:v>
      </x:c>
      <x:c r="E2642" s="24" t="s">
        <x:v>103</x:v>
      </x:c>
      <x:c r="F2642" s="20" t="s">
        <x:v>97</x:v>
      </x:c>
      <x:c r="G2642" s="26">
        <x:v>41811</x:v>
      </x:c>
      <x:c r="H2642" s="24" t="s">
        <x:v>11952</x:v>
      </x:c>
      <x:c r="I2642" s="28" t="s">
        <x:v>11953</x:v>
      </x:c>
      <x:c r="J2642" s="29" t="s">
        <x:v>11954</x:v>
      </x:c>
    </x:row>
    <x:row r="2643" ht="10.050000190734863" customHeight="1">
      <x:c r="A2643" s="21" t="s">
        <x:v>11955</x:v>
      </x:c>
      <x:c r="B2643" s="20" t="s">
        <x:v>11955</x:v>
      </x:c>
      <x:c r="C2643" s="20" t="s">
        <x:v>543</x:v>
      </x:c>
      <x:c r="D2643" s="24">
        <x:v>14</x:v>
      </x:c>
      <x:c r="E2643" s="24" t="s">
        <x:v>103</x:v>
      </x:c>
      <x:c r="F2643" s="20" t="s">
        <x:v>97</x:v>
      </x:c>
      <x:c r="G2643" s="26">
        <x:v>43501</x:v>
      </x:c>
      <x:c r="H2643" s="24" t="s">
        <x:v>11956</x:v>
      </x:c>
      <x:c r="I2643" s="28" t="s">
        <x:v>11957</x:v>
      </x:c>
      <x:c r="J2643" s="29" t="s">
        <x:v>11958</x:v>
      </x:c>
    </x:row>
    <x:row r="2644" ht="10.050000190734863" customHeight="1">
      <x:c r="A2644" s="21" t="s">
        <x:v>11959</x:v>
      </x:c>
      <x:c r="B2644" s="20" t="s">
        <x:v>11959</x:v>
      </x:c>
      <x:c r="C2644" s="20" t="s">
        <x:v>3666</x:v>
      </x:c>
      <x:c r="D2644" s="24">
        <x:v>9</x:v>
      </x:c>
      <x:c r="E2644" s="24" t="s">
        <x:v>114</x:v>
      </x:c>
      <x:c r="F2644" s="20" t="s">
        <x:v>90</x:v>
      </x:c>
      <x:c r="G2644" s="26">
        <x:v>44453</x:v>
      </x:c>
      <x:c r="H2644" s="24" t="s">
        <x:v>11960</x:v>
      </x:c>
      <x:c r="I2644" s="28" t="s">
        <x:v>11961</x:v>
      </x:c>
      <x:c r="J2644" s="29" t="s">
        <x:v>11962</x:v>
      </x:c>
    </x:row>
    <x:row r="2645" ht="10.050000190734863" customHeight="1">
      <x:c r="A2645" s="21" t="s">
        <x:v>11963</x:v>
      </x:c>
      <x:c r="B2645" s="20" t="s">
        <x:v>11963</x:v>
      </x:c>
      <x:c r="C2645" s="20" t="s">
        <x:v>11964</x:v>
      </x:c>
      <x:c r="D2645" s="24">
        <x:v>7</x:v>
      </x:c>
      <x:c r="E2645" s="24" t="s">
        <x:v>257</x:v>
      </x:c>
      <x:c r="F2645" s="20" t="s">
        <x:v>97</x:v>
      </x:c>
      <x:c r="G2645" s="26">
        <x:v>42265</x:v>
      </x:c>
      <x:c r="H2645" s="24" t="s">
        <x:v>11965</x:v>
      </x:c>
      <x:c r="I2645" s="28" t="s">
        <x:v>11966</x:v>
      </x:c>
      <x:c r="J2645" s="29" t="s">
        <x:v>11967</x:v>
      </x:c>
    </x:row>
    <x:row r="2646" ht="10.050000190734863" customHeight="1">
      <x:c r="A2646" s="21" t="s">
        <x:v>11968</x:v>
      </x:c>
      <x:c r="B2646" s="20" t="s">
        <x:v>11968</x:v>
      </x:c>
      <x:c r="C2646" s="20" t="s">
        <x:v>1383</x:v>
      </x:c>
      <x:c r="D2646" s="24">
        <x:v>8</x:v>
      </x:c>
      <x:c r="E2646" s="24" t="s">
        <x:v>125</x:v>
      </x:c>
      <x:c r="F2646" s="20" t="s">
        <x:v>90</x:v>
      </x:c>
      <x:c r="G2646" s="26">
        <x:v>45384</x:v>
      </x:c>
      <x:c r="H2646" s="24" t="s">
        <x:v>11969</x:v>
      </x:c>
      <x:c r="I2646" s="28" t="s">
        <x:v>11970</x:v>
      </x:c>
      <x:c r="J2646" s="29" t="s">
        <x:v>11971</x:v>
      </x:c>
    </x:row>
    <x:row r="2647" ht="10.050000190734863" customHeight="1">
      <x:c r="A2647" s="21" t="s">
        <x:v>11972</x:v>
      </x:c>
      <x:c r="B2647" s="20" t="s">
        <x:v>11972</x:v>
      </x:c>
      <x:c r="C2647" s="20" t="s">
        <x:v>1344</x:v>
      </x:c>
      <x:c r="D2647" s="24">
        <x:v>72</x:v>
      </x:c>
      <x:c r="E2647" s="24" t="s">
        <x:v>114</x:v>
      </x:c>
      <x:c r="F2647" s="20" t="s">
        <x:v>152</x:v>
      </x:c>
      <x:c r="G2647" s="26">
        <x:v>45724</x:v>
      </x:c>
      <x:c r="H2647" s="24" t="s">
        <x:v>11973</x:v>
      </x:c>
      <x:c r="I2647" s="28" t="s">
        <x:v>11974</x:v>
      </x:c>
      <x:c r="J2647" s="29" t="s">
        <x:v>11975</x:v>
      </x:c>
    </x:row>
    <x:row r="2648" ht="10.050000190734863" customHeight="1">
      <x:c r="A2648" s="21" t="s">
        <x:v>11976</x:v>
      </x:c>
      <x:c r="B2648" s="20" t="s">
        <x:v>11976</x:v>
      </x:c>
      <x:c r="C2648" s="20" t="s">
        <x:v>3891</x:v>
      </x:c>
      <x:c r="D2648" s="24">
        <x:v>10</x:v>
      </x:c>
      <x:c r="E2648" s="24" t="s">
        <x:v>198</x:v>
      </x:c>
      <x:c r="F2648" s="20" t="s">
        <x:v>90</x:v>
      </x:c>
      <x:c r="G2648" s="26">
        <x:v>45419</x:v>
      </x:c>
      <x:c r="H2648" s="24" t="s">
        <x:v>11977</x:v>
      </x:c>
      <x:c r="I2648" s="28" t="s">
        <x:v>11978</x:v>
      </x:c>
      <x:c r="J2648" s="29" t="s">
        <x:v>11979</x:v>
      </x:c>
    </x:row>
    <x:row r="2649" ht="10.050000190734863" customHeight="1">
      <x:c r="A2649" s="21" t="s">
        <x:v>11980</x:v>
      </x:c>
      <x:c r="B2649" s="20" t="s">
        <x:v>11980</x:v>
      </x:c>
      <x:c r="C2649" s="20" t="s">
        <x:v>11731</x:v>
      </x:c>
      <x:c r="D2649" s="24">
        <x:v>6</x:v>
      </x:c>
      <x:c r="E2649" s="24" t="s">
        <x:v>103</x:v>
      </x:c>
      <x:c r="F2649" s="20" t="s">
        <x:v>97</x:v>
      </x:c>
      <x:c r="G2649" s="26">
        <x:v>43731</x:v>
      </x:c>
      <x:c r="H2649" s="24" t="s">
        <x:v>11981</x:v>
      </x:c>
      <x:c r="I2649" s="28" t="s">
        <x:v>11982</x:v>
      </x:c>
      <x:c r="J2649" s="29" t="s">
        <x:v>11983</x:v>
      </x:c>
    </x:row>
    <x:row r="2650" ht="10.050000190734863" customHeight="1">
      <x:c r="A2650" s="21" t="s">
        <x:v>11984</x:v>
      </x:c>
      <x:c r="B2650" s="20" t="s">
        <x:v>11984</x:v>
      </x:c>
      <x:c r="C2650" s="20" t="s">
        <x:v>2529</x:v>
      </x:c>
      <x:c r="D2650" s="24">
        <x:v>13</x:v>
      </x:c>
      <x:c r="E2650" s="24" t="s">
        <x:v>114</x:v>
      </x:c>
      <x:c r="F2650" s="20" t="s">
        <x:v>90</x:v>
      </x:c>
      <x:c r="G2650" s="26">
        <x:v>45853</x:v>
      </x:c>
      <x:c r="H2650" s="24" t="s">
        <x:v>11985</x:v>
      </x:c>
      <x:c r="I2650" s="28" t="s">
        <x:v>11986</x:v>
      </x:c>
      <x:c r="J2650" s="29" t="s">
        <x:v>11987</x:v>
      </x:c>
    </x:row>
    <x:row r="2651" ht="10.050000190734863" customHeight="1">
      <x:c r="A2651" s="21" t="s">
        <x:v>11988</x:v>
      </x:c>
      <x:c r="B2651" s="20" t="s">
        <x:v>11988</x:v>
      </x:c>
      <x:c r="C2651" s="20" t="s">
        <x:v>4282</x:v>
      </x:c>
      <x:c r="D2651" s="24">
        <x:v>14</x:v>
      </x:c>
      <x:c r="E2651" s="24" t="s">
        <x:v>198</x:v>
      </x:c>
      <x:c r="F2651" s="20" t="s">
        <x:v>90</x:v>
      </x:c>
      <x:c r="G2651" s="26">
        <x:v>44741</x:v>
      </x:c>
      <x:c r="H2651" s="24" t="s">
        <x:v>11989</x:v>
      </x:c>
      <x:c r="I2651" s="28" t="s">
        <x:v>11990</x:v>
      </x:c>
      <x:c r="J2651" s="29" t="s">
        <x:v>11991</x:v>
      </x:c>
    </x:row>
    <x:row r="2652" ht="10.050000190734863" customHeight="1">
      <x:c r="A2652" s="21" t="s">
        <x:v>11992</x:v>
      </x:c>
      <x:c r="B2652" s="20" t="s">
        <x:v>11992</x:v>
      </x:c>
      <x:c r="C2652" s="20" t="s">
        <x:v>11993</x:v>
      </x:c>
      <x:c r="D2652" s="24">
        <x:v>78</x:v>
      </x:c>
      <x:c r="E2652" s="24" t="s">
        <x:v>198</x:v>
      </x:c>
      <x:c r="F2652" s="20" t="s">
        <x:v>97</x:v>
      </x:c>
      <x:c r="G2652" s="26">
        <x:v>42234</x:v>
      </x:c>
      <x:c r="H2652" s="24" t="s">
        <x:v>11994</x:v>
      </x:c>
      <x:c r="I2652" s="28" t="s">
        <x:v>11995</x:v>
      </x:c>
      <x:c r="J2652" s="29" t="s">
        <x:v>11996</x:v>
      </x:c>
    </x:row>
    <x:row r="2653" ht="10.050000190734863" customHeight="1">
      <x:c r="A2653" s="21" t="s">
        <x:v>11997</x:v>
      </x:c>
      <x:c r="B2653" s="20" t="s">
        <x:v>11997</x:v>
      </x:c>
      <x:c r="C2653" s="20" t="s">
        <x:v>11993</x:v>
      </x:c>
      <x:c r="D2653" s="24">
        <x:v>78</x:v>
      </x:c>
      <x:c r="E2653" s="24" t="s">
        <x:v>198</x:v>
      </x:c>
      <x:c r="F2653" s="20" t="s">
        <x:v>97</x:v>
      </x:c>
      <x:c r="G2653" s="26">
        <x:v>42234</x:v>
      </x:c>
      <x:c r="H2653" s="24" t="s">
        <x:v>11998</x:v>
      </x:c>
      <x:c r="I2653" s="28" t="s">
        <x:v>11999</x:v>
      </x:c>
      <x:c r="J2653" s="29" t="s">
        <x:v>12000</x:v>
      </x:c>
    </x:row>
    <x:row r="2654" ht="10.050000190734863" customHeight="1">
      <x:c r="A2654" s="21" t="s">
        <x:v>12001</x:v>
      </x:c>
      <x:c r="B2654" s="20" t="s">
        <x:v>12001</x:v>
      </x:c>
      <x:c r="C2654" s="20" t="s">
        <x:v>11993</x:v>
      </x:c>
      <x:c r="D2654" s="24">
        <x:v>103</x:v>
      </x:c>
      <x:c r="E2654" s="24" t="s">
        <x:v>198</x:v>
      </x:c>
      <x:c r="F2654" s="20" t="s">
        <x:v>97</x:v>
      </x:c>
      <x:c r="G2654" s="26">
        <x:v>42280</x:v>
      </x:c>
      <x:c r="H2654" s="24" t="s">
        <x:v>12002</x:v>
      </x:c>
      <x:c r="I2654" s="28" t="s">
        <x:v>12003</x:v>
      </x:c>
      <x:c r="J2654" s="29" t="s">
        <x:v>12004</x:v>
      </x:c>
    </x:row>
    <x:row r="2655" ht="10.050000190734863" customHeight="1">
      <x:c r="A2655" s="21" t="s">
        <x:v>12005</x:v>
      </x:c>
      <x:c r="B2655" s="20" t="s">
        <x:v>12005</x:v>
      </x:c>
      <x:c r="C2655" s="20" t="s">
        <x:v>11993</x:v>
      </x:c>
      <x:c r="D2655" s="24">
        <x:v>103</x:v>
      </x:c>
      <x:c r="E2655" s="24" t="s">
        <x:v>198</x:v>
      </x:c>
      <x:c r="F2655" s="20" t="s">
        <x:v>97</x:v>
      </x:c>
      <x:c r="G2655" s="26">
        <x:v>42280</x:v>
      </x:c>
      <x:c r="H2655" s="24" t="s">
        <x:v>12006</x:v>
      </x:c>
      <x:c r="I2655" s="28" t="s">
        <x:v>12007</x:v>
      </x:c>
      <x:c r="J2655" s="29" t="s">
        <x:v>12008</x:v>
      </x:c>
    </x:row>
    <x:row r="2656" ht="10.050000190734863" customHeight="1">
      <x:c r="A2656" s="21" t="s">
        <x:v>12009</x:v>
      </x:c>
      <x:c r="B2656" s="20" t="s">
        <x:v>12009</x:v>
      </x:c>
      <x:c r="C2656" s="20" t="s">
        <x:v>11993</x:v>
      </x:c>
      <x:c r="D2656" s="24">
        <x:v>100</x:v>
      </x:c>
      <x:c r="E2656" s="24" t="s">
        <x:v>89</x:v>
      </x:c>
      <x:c r="F2656" s="20" t="s">
        <x:v>97</x:v>
      </x:c>
      <x:c r="G2656" s="26">
        <x:v>42325</x:v>
      </x:c>
      <x:c r="H2656" s="24" t="s">
        <x:v>12010</x:v>
      </x:c>
      <x:c r="I2656" s="28" t="s">
        <x:v>12011</x:v>
      </x:c>
      <x:c r="J2656" s="29" t="s">
        <x:v>12012</x:v>
      </x:c>
    </x:row>
    <x:row r="2657" ht="10.050000190734863" customHeight="1">
      <x:c r="A2657" s="21" t="s">
        <x:v>12013</x:v>
      </x:c>
      <x:c r="B2657" s="20" t="s">
        <x:v>12013</x:v>
      </x:c>
      <x:c r="C2657" s="20" t="s">
        <x:v>11993</x:v>
      </x:c>
      <x:c r="D2657" s="24">
        <x:v>99</x:v>
      </x:c>
      <x:c r="E2657" s="24" t="s">
        <x:v>89</x:v>
      </x:c>
      <x:c r="F2657" s="20" t="s">
        <x:v>97</x:v>
      </x:c>
      <x:c r="G2657" s="26">
        <x:v>42325</x:v>
      </x:c>
      <x:c r="H2657" s="24" t="s">
        <x:v>12014</x:v>
      </x:c>
      <x:c r="I2657" s="28" t="s">
        <x:v>12015</x:v>
      </x:c>
      <x:c r="J2657" s="29" t="s">
        <x:v>12016</x:v>
      </x:c>
    </x:row>
    <x:row r="2658" ht="10.050000190734863" customHeight="1">
      <x:c r="A2658" s="21" t="s">
        <x:v>12017</x:v>
      </x:c>
      <x:c r="B2658" s="20" t="s">
        <x:v>12017</x:v>
      </x:c>
      <x:c r="C2658" s="20" t="s">
        <x:v>11993</x:v>
      </x:c>
      <x:c r="D2658" s="24">
        <x:v>115</x:v>
      </x:c>
      <x:c r="E2658" s="24" t="s">
        <x:v>89</x:v>
      </x:c>
      <x:c r="F2658" s="20" t="s">
        <x:v>97</x:v>
      </x:c>
      <x:c r="G2658" s="26">
        <x:v>42337</x:v>
      </x:c>
      <x:c r="H2658" s="24" t="s">
        <x:v>12018</x:v>
      </x:c>
      <x:c r="I2658" s="28" t="s">
        <x:v>12019</x:v>
      </x:c>
      <x:c r="J2658" s="29" t="s">
        <x:v>12020</x:v>
      </x:c>
    </x:row>
    <x:row r="2659" ht="10.050000190734863" customHeight="1">
      <x:c r="A2659" s="21" t="s">
        <x:v>12021</x:v>
      </x:c>
      <x:c r="B2659" s="20" t="s">
        <x:v>12021</x:v>
      </x:c>
      <x:c r="C2659" s="20" t="s">
        <x:v>11993</x:v>
      </x:c>
      <x:c r="D2659" s="24">
        <x:v>115</x:v>
      </x:c>
      <x:c r="E2659" s="24" t="s">
        <x:v>89</x:v>
      </x:c>
      <x:c r="F2659" s="20" t="s">
        <x:v>97</x:v>
      </x:c>
      <x:c r="G2659" s="26">
        <x:v>42337</x:v>
      </x:c>
      <x:c r="H2659" s="24" t="s">
        <x:v>12022</x:v>
      </x:c>
      <x:c r="I2659" s="28" t="s">
        <x:v>12023</x:v>
      </x:c>
      <x:c r="J2659" s="29" t="s">
        <x:v>12024</x:v>
      </x:c>
    </x:row>
    <x:row r="2660" ht="10.050000190734863" customHeight="1">
      <x:c r="A2660" s="21" t="s">
        <x:v>12025</x:v>
      </x:c>
      <x:c r="B2660" s="20" t="s">
        <x:v>12025</x:v>
      </x:c>
      <x:c r="C2660" s="20" t="s">
        <x:v>973</x:v>
      </x:c>
      <x:c r="D2660" s="24">
        <x:v>13</x:v>
      </x:c>
      <x:c r="E2660" s="24" t="s">
        <x:v>114</x:v>
      </x:c>
      <x:c r="F2660" s="20" t="s">
        <x:v>90</x:v>
      </x:c>
      <x:c r="G2660" s="26">
        <x:v>45316</x:v>
      </x:c>
      <x:c r="H2660" s="24" t="s">
        <x:v>12026</x:v>
      </x:c>
      <x:c r="I2660" s="28" t="s">
        <x:v>12027</x:v>
      </x:c>
      <x:c r="J2660" s="29" t="s">
        <x:v>12028</x:v>
      </x:c>
    </x:row>
    <x:row r="2661" ht="10.050000190734863" customHeight="1">
      <x:c r="A2661" s="21" t="s">
        <x:v>12029</x:v>
      </x:c>
      <x:c r="B2661" s="20" t="s">
        <x:v>12029</x:v>
      </x:c>
      <x:c r="C2661" s="20" t="s">
        <x:v>3176</x:v>
      </x:c>
      <x:c r="D2661" s="24">
        <x:v>24</x:v>
      </x:c>
      <x:c r="E2661" s="24" t="s">
        <x:v>198</x:v>
      </x:c>
      <x:c r="F2661" s="20" t="s">
        <x:v>90</x:v>
      </x:c>
      <x:c r="G2661" s="26">
        <x:v>44505</x:v>
      </x:c>
      <x:c r="H2661" s="24" t="s">
        <x:v>12030</x:v>
      </x:c>
      <x:c r="I2661" s="28" t="s">
        <x:v>12031</x:v>
      </x:c>
      <x:c r="J2661" s="29" t="s">
        <x:v>12032</x:v>
      </x:c>
    </x:row>
    <x:row r="2662" ht="10.050000190734863" customHeight="1">
      <x:c r="A2662" s="21" t="s">
        <x:v>12033</x:v>
      </x:c>
      <x:c r="B2662" s="20" t="s">
        <x:v>12033</x:v>
      </x:c>
      <x:c r="C2662" s="20" t="s">
        <x:v>2768</x:v>
      </x:c>
      <x:c r="D2662" s="24">
        <x:v>22</x:v>
      </x:c>
      <x:c r="E2662" s="24" t="s">
        <x:v>198</x:v>
      </x:c>
      <x:c r="F2662" s="20" t="s">
        <x:v>3171</x:v>
      </x:c>
      <x:c r="G2662" s="26">
        <x:v>42473</x:v>
      </x:c>
      <x:c r="H2662" s="24" t="s">
        <x:v>12034</x:v>
      </x:c>
      <x:c r="I2662" s="28" t="s">
        <x:v>12035</x:v>
      </x:c>
      <x:c r="J2662" s="29" t="s">
        <x:v>12036</x:v>
      </x:c>
    </x:row>
    <x:row r="2663" ht="10.050000190734863" customHeight="1">
      <x:c r="A2663" s="21" t="s">
        <x:v>12037</x:v>
      </x:c>
      <x:c r="B2663" s="20" t="s">
        <x:v>12037</x:v>
      </x:c>
      <x:c r="C2663" s="20" t="s">
        <x:v>10591</x:v>
      </x:c>
      <x:c r="D2663" s="24">
        <x:v>8</x:v>
      </x:c>
      <x:c r="E2663" s="24" t="s">
        <x:v>198</x:v>
      </x:c>
      <x:c r="F2663" s="20" t="s">
        <x:v>90</x:v>
      </x:c>
      <x:c r="G2663" s="26">
        <x:v>45929</x:v>
      </x:c>
      <x:c r="H2663" s="24" t="s">
        <x:v>12038</x:v>
      </x:c>
      <x:c r="I2663" s="28" t="s">
        <x:v>12039</x:v>
      </x:c>
      <x:c r="J2663" s="29" t="s">
        <x:v>12040</x:v>
      </x:c>
    </x:row>
    <x:row r="2664" ht="10.050000190734863" customHeight="1">
      <x:c r="A2664" s="21" t="s">
        <x:v>12041</x:v>
      </x:c>
      <x:c r="B2664" s="20" t="s">
        <x:v>12041</x:v>
      </x:c>
      <x:c r="C2664" s="20" t="s">
        <x:v>12042</x:v>
      </x:c>
      <x:c r="D2664" s="24">
        <x:v>28</x:v>
      </x:c>
      <x:c r="E2664" s="24" t="s">
        <x:v>89</x:v>
      </x:c>
      <x:c r="F2664" s="20" t="s">
        <x:v>152</x:v>
      </x:c>
      <x:c r="G2664" s="26">
        <x:v>45216</x:v>
      </x:c>
      <x:c r="H2664" s="24" t="s">
        <x:v>12043</x:v>
      </x:c>
      <x:c r="I2664" s="28" t="s">
        <x:v>12044</x:v>
      </x:c>
      <x:c r="J2664" s="29" t="s">
        <x:v>12045</x:v>
      </x:c>
    </x:row>
    <x:row r="2665" ht="10.050000190734863" customHeight="1">
      <x:c r="A2665" s="21" t="s">
        <x:v>12046</x:v>
      </x:c>
      <x:c r="B2665" s="20" t="s">
        <x:v>12046</x:v>
      </x:c>
      <x:c r="C2665" s="20" t="s">
        <x:v>12042</x:v>
      </x:c>
      <x:c r="D2665" s="24">
        <x:v>15</x:v>
      </x:c>
      <x:c r="E2665" s="24" t="s">
        <x:v>89</x:v>
      </x:c>
      <x:c r="F2665" s="20" t="s">
        <x:v>152</x:v>
      </x:c>
      <x:c r="G2665" s="26">
        <x:v>45327</x:v>
      </x:c>
      <x:c r="H2665" s="24" t="s">
        <x:v>12047</x:v>
      </x:c>
      <x:c r="I2665" s="28" t="s">
        <x:v>12048</x:v>
      </x:c>
      <x:c r="J2665" s="29" t="s">
        <x:v>12049</x:v>
      </x:c>
    </x:row>
    <x:row r="2666" ht="10.050000190734863" customHeight="1">
      <x:c r="A2666" s="21" t="s">
        <x:v>12050</x:v>
      </x:c>
      <x:c r="B2666" s="20" t="s">
        <x:v>12050</x:v>
      </x:c>
      <x:c r="C2666" s="20" t="s">
        <x:v>12051</x:v>
      </x:c>
      <x:c r="D2666" s="24">
        <x:v>33</x:v>
      </x:c>
      <x:c r="E2666" s="24" t="s">
        <x:v>103</x:v>
      </x:c>
      <x:c r="F2666" s="20" t="s">
        <x:v>97</x:v>
      </x:c>
      <x:c r="G2666" s="26">
        <x:v>46094</x:v>
      </x:c>
      <x:c r="H2666" s="24" t="s">
        <x:v>12052</x:v>
      </x:c>
      <x:c r="I2666" s="28" t="s">
        <x:v>12053</x:v>
      </x:c>
      <x:c r="J2666" s="29" t="s">
        <x:v>12054</x:v>
      </x:c>
    </x:row>
    <x:row r="2667" ht="10.050000190734863" customHeight="1">
      <x:c r="A2667" s="21" t="s">
        <x:v>12055</x:v>
      </x:c>
      <x:c r="B2667" s="20" t="s">
        <x:v>12055</x:v>
      </x:c>
      <x:c r="C2667" s="20" t="s">
        <x:v>12056</x:v>
      </x:c>
      <x:c r="D2667" s="24">
        <x:v>10</x:v>
      </x:c>
      <x:c r="E2667" s="24" t="s">
        <x:v>103</x:v>
      </x:c>
      <x:c r="F2667" s="20" t="s">
        <x:v>97</x:v>
      </x:c>
      <x:c r="G2667" s="26">
        <x:v>42315</x:v>
      </x:c>
      <x:c r="H2667" s="24" t="s">
        <x:v>12057</x:v>
      </x:c>
      <x:c r="I2667" s="28" t="s">
        <x:v>12058</x:v>
      </x:c>
      <x:c r="J2667" s="29" t="s">
        <x:v>12059</x:v>
      </x:c>
    </x:row>
    <x:row r="2668" ht="10.050000190734863" customHeight="1">
      <x:c r="A2668" s="21" t="s">
        <x:v>12060</x:v>
      </x:c>
      <x:c r="B2668" s="20" t="s">
        <x:v>12060</x:v>
      </x:c>
      <x:c r="C2668" s="20" t="s">
        <x:v>404</x:v>
      </x:c>
      <x:c r="D2668" s="24">
        <x:v>16</x:v>
      </x:c>
      <x:c r="E2668" s="24" t="s">
        <x:v>103</x:v>
      </x:c>
      <x:c r="F2668" s="20" t="s">
        <x:v>97</x:v>
      </x:c>
      <x:c r="G2668" s="26">
        <x:v>42292</x:v>
      </x:c>
      <x:c r="H2668" s="24" t="s">
        <x:v>12061</x:v>
      </x:c>
      <x:c r="I2668" s="28" t="s">
        <x:v>12062</x:v>
      </x:c>
      <x:c r="J2668" s="29" t="s">
        <x:v>12063</x:v>
      </x:c>
    </x:row>
    <x:row r="2669" ht="10.050000190734863" customHeight="1">
      <x:c r="A2669" s="21" t="s">
        <x:v>12064</x:v>
      </x:c>
      <x:c r="B2669" s="20" t="s">
        <x:v>12064</x:v>
      </x:c>
      <x:c r="C2669" s="20" t="s">
        <x:v>4210</x:v>
      </x:c>
      <x:c r="D2669" s="24">
        <x:v>104</x:v>
      </x:c>
      <x:c r="E2669" s="24" t="s">
        <x:v>96</x:v>
      </x:c>
      <x:c r="F2669" s="20" t="s">
        <x:v>97</x:v>
      </x:c>
      <x:c r="G2669" s="26">
        <x:v>45968</x:v>
      </x:c>
      <x:c r="H2669" s="24" t="s">
        <x:v>12065</x:v>
      </x:c>
      <x:c r="I2669" s="28" t="s">
        <x:v>12066</x:v>
      </x:c>
      <x:c r="J2669" s="29" t="s">
        <x:v>12067</x:v>
      </x:c>
    </x:row>
    <x:row r="2670" ht="10.050000190734863" customHeight="1">
      <x:c r="A2670" s="21" t="s">
        <x:v>12068</x:v>
      </x:c>
      <x:c r="B2670" s="20" t="s">
        <x:v>12068</x:v>
      </x:c>
      <x:c r="C2670" s="20" t="s">
        <x:v>4210</x:v>
      </x:c>
      <x:c r="D2670" s="24">
        <x:v>112</x:v>
      </x:c>
      <x:c r="E2670" s="24" t="s">
        <x:v>96</x:v>
      </x:c>
      <x:c r="F2670" s="20" t="s">
        <x:v>97</x:v>
      </x:c>
      <x:c r="G2670" s="26">
        <x:v>44439</x:v>
      </x:c>
      <x:c r="H2670" s="24" t="s">
        <x:v>12069</x:v>
      </x:c>
      <x:c r="I2670" s="28" t="s">
        <x:v>12070</x:v>
      </x:c>
      <x:c r="J2670" s="29" t="s">
        <x:v>12071</x:v>
      </x:c>
    </x:row>
    <x:row r="2671" ht="10.050000190734863" customHeight="1">
      <x:c r="A2671" s="21" t="s">
        <x:v>12072</x:v>
      </x:c>
      <x:c r="B2671" s="20" t="s">
        <x:v>12072</x:v>
      </x:c>
      <x:c r="C2671" s="20" t="s">
        <x:v>471</x:v>
      </x:c>
      <x:c r="D2671" s="24">
        <x:v>11</x:v>
      </x:c>
      <x:c r="E2671" s="24" t="s">
        <x:v>103</x:v>
      </x:c>
      <x:c r="F2671" s="20" t="s">
        <x:v>97</x:v>
      </x:c>
      <x:c r="G2671" s="26">
        <x:v>43293</x:v>
      </x:c>
      <x:c r="H2671" s="24" t="s">
        <x:v>12073</x:v>
      </x:c>
      <x:c r="I2671" s="28" t="s">
        <x:v>12074</x:v>
      </x:c>
      <x:c r="J2671" s="29" t="s">
        <x:v>12075</x:v>
      </x:c>
    </x:row>
    <x:row r="2672" ht="10.050000190734863" customHeight="1">
      <x:c r="A2672" s="21" t="s">
        <x:v>12076</x:v>
      </x:c>
      <x:c r="B2672" s="20" t="s">
        <x:v>12076</x:v>
      </x:c>
      <x:c r="C2672" s="20" t="s">
        <x:v>1258</x:v>
      </x:c>
      <x:c r="D2672" s="24">
        <x:v>6</x:v>
      </x:c>
      <x:c r="E2672" s="24" t="s">
        <x:v>103</x:v>
      </x:c>
      <x:c r="F2672" s="20" t="s">
        <x:v>97</x:v>
      </x:c>
      <x:c r="G2672" s="26">
        <x:v>42108</x:v>
      </x:c>
      <x:c r="H2672" s="24" t="s">
        <x:v>12077</x:v>
      </x:c>
      <x:c r="I2672" s="28" t="s">
        <x:v>12078</x:v>
      </x:c>
      <x:c r="J2672" s="29" t="s">
        <x:v>12079</x:v>
      </x:c>
    </x:row>
    <x:row r="2673" ht="10.050000190734863" customHeight="1">
      <x:c r="A2673" s="21" t="s">
        <x:v>12080</x:v>
      </x:c>
      <x:c r="B2673" s="20" t="s">
        <x:v>12080</x:v>
      </x:c>
      <x:c r="C2673" s="20" t="s">
        <x:v>12081</x:v>
      </x:c>
      <x:c r="D2673" s="24">
        <x:v>5</x:v>
      </x:c>
      <x:c r="E2673" s="24" t="s">
        <x:v>257</x:v>
      </x:c>
      <x:c r="F2673" s="20" t="s">
        <x:v>97</x:v>
      </x:c>
      <x:c r="G2673" s="26">
        <x:v>42220</x:v>
      </x:c>
      <x:c r="H2673" s="24" t="s">
        <x:v>12082</x:v>
      </x:c>
      <x:c r="I2673" s="28" t="s">
        <x:v>12083</x:v>
      </x:c>
      <x:c r="J2673" s="29" t="s">
        <x:v>12084</x:v>
      </x:c>
    </x:row>
    <x:row r="2674" ht="10.050000190734863" customHeight="1">
      <x:c r="A2674" s="21" t="s">
        <x:v>12085</x:v>
      </x:c>
      <x:c r="B2674" s="20" t="s">
        <x:v>12085</x:v>
      </x:c>
      <x:c r="C2674" s="20" t="s">
        <x:v>12086</x:v>
      </x:c>
      <x:c r="D2674" s="24">
        <x:v>7</x:v>
      </x:c>
      <x:c r="E2674" s="24" t="s">
        <x:v>257</x:v>
      </x:c>
      <x:c r="F2674" s="20" t="s">
        <x:v>97</x:v>
      </x:c>
      <x:c r="G2674" s="26">
        <x:v>41445</x:v>
      </x:c>
      <x:c r="H2674" s="24" t="s">
        <x:v>12087</x:v>
      </x:c>
      <x:c r="I2674" s="28" t="s">
        <x:v>12088</x:v>
      </x:c>
      <x:c r="J2674" s="29" t="s">
        <x:v>12089</x:v>
      </x:c>
    </x:row>
    <x:row r="2675" ht="10.050000190734863" customHeight="1">
      <x:c r="A2675" s="21" t="s">
        <x:v>12090</x:v>
      </x:c>
      <x:c r="B2675" s="20" t="s">
        <x:v>12090</x:v>
      </x:c>
      <x:c r="C2675" s="20" t="s">
        <x:v>12091</x:v>
      </x:c>
      <x:c r="D2675" s="24">
        <x:v>77</x:v>
      </x:c>
      <x:c r="E2675" s="24" t="s">
        <x:v>198</x:v>
      </x:c>
      <x:c r="F2675" s="20" t="s">
        <x:v>97</x:v>
      </x:c>
      <x:c r="G2675" s="26">
        <x:v>42098</x:v>
      </x:c>
      <x:c r="H2675" s="24" t="s">
        <x:v>12092</x:v>
      </x:c>
      <x:c r="I2675" s="28" t="s">
        <x:v>12093</x:v>
      </x:c>
      <x:c r="J2675" s="29" t="s">
        <x:v>12094</x:v>
      </x:c>
    </x:row>
    <x:row r="2676" ht="10.050000190734863" customHeight="1">
      <x:c r="A2676" s="21" t="s">
        <x:v>12095</x:v>
      </x:c>
      <x:c r="B2676" s="20" t="s">
        <x:v>12095</x:v>
      </x:c>
      <x:c r="C2676" s="20" t="s">
        <x:v>4146</x:v>
      </x:c>
      <x:c r="D2676" s="24">
        <x:v>7</x:v>
      </x:c>
      <x:c r="E2676" s="24" t="s">
        <x:v>103</x:v>
      </x:c>
      <x:c r="F2676" s="20" t="s">
        <x:v>97</x:v>
      </x:c>
      <x:c r="G2676" s="26">
        <x:v>41445</x:v>
      </x:c>
      <x:c r="H2676" s="24" t="s">
        <x:v>12096</x:v>
      </x:c>
      <x:c r="I2676" s="28" t="s">
        <x:v>12097</x:v>
      </x:c>
      <x:c r="J2676" s="29" t="s">
        <x:v>12098</x:v>
      </x:c>
    </x:row>
    <x:row r="2677" ht="10.050000190734863" customHeight="1">
      <x:c r="A2677" s="21" t="s">
        <x:v>12099</x:v>
      </x:c>
      <x:c r="B2677" s="20" t="s">
        <x:v>12099</x:v>
      </x:c>
      <x:c r="C2677" s="20" t="s">
        <x:v>10217</x:v>
      </x:c>
      <x:c r="D2677" s="24">
        <x:v>10</x:v>
      </x:c>
      <x:c r="E2677" s="24" t="s">
        <x:v>89</x:v>
      </x:c>
      <x:c r="F2677" s="20" t="s">
        <x:v>90</x:v>
      </x:c>
      <x:c r="G2677" s="26">
        <x:v>44664</x:v>
      </x:c>
      <x:c r="H2677" s="24" t="s">
        <x:v>12100</x:v>
      </x:c>
      <x:c r="I2677" s="28" t="s">
        <x:v>12101</x:v>
      </x:c>
      <x:c r="J2677" s="29" t="s">
        <x:v>12102</x:v>
      </x:c>
    </x:row>
    <x:row r="2678" ht="10.050000190734863" customHeight="1">
      <x:c r="A2678" s="21" t="s">
        <x:v>12103</x:v>
      </x:c>
      <x:c r="B2678" s="20" t="s">
        <x:v>12103</x:v>
      </x:c>
      <x:c r="C2678" s="20" t="s">
        <x:v>12104</x:v>
      </x:c>
      <x:c r="D2678" s="24">
        <x:v>77</x:v>
      </x:c>
      <x:c r="E2678" s="24" t="s">
        <x:v>103</x:v>
      </x:c>
      <x:c r="F2678" s="20" t="s">
        <x:v>97</x:v>
      </x:c>
      <x:c r="G2678" s="26">
        <x:v>43300</x:v>
      </x:c>
      <x:c r="H2678" s="24" t="s">
        <x:v>12105</x:v>
      </x:c>
      <x:c r="I2678" s="28" t="s">
        <x:v>12106</x:v>
      </x:c>
      <x:c r="J2678" s="29" t="s">
        <x:v>12107</x:v>
      </x:c>
    </x:row>
    <x:row r="2679" ht="10.050000190734863" customHeight="1">
      <x:c r="A2679" s="21" t="s">
        <x:v>12108</x:v>
      </x:c>
      <x:c r="B2679" s="20" t="s">
        <x:v>12108</x:v>
      </x:c>
      <x:c r="C2679" s="20" t="s">
        <x:v>2132</x:v>
      </x:c>
      <x:c r="D2679" s="24">
        <x:v>21</x:v>
      </x:c>
      <x:c r="E2679" s="24" t="s">
        <x:v>96</x:v>
      </x:c>
      <x:c r="F2679" s="20" t="s">
        <x:v>90</x:v>
      </x:c>
      <x:c r="G2679" s="26">
        <x:v>43549</x:v>
      </x:c>
      <x:c r="H2679" s="24" t="s">
        <x:v>12109</x:v>
      </x:c>
      <x:c r="I2679" s="28" t="s">
        <x:v>12110</x:v>
      </x:c>
      <x:c r="J2679" s="29" t="s">
        <x:v>12111</x:v>
      </x:c>
    </x:row>
    <x:row r="2680" ht="10.050000190734863" customHeight="1">
      <x:c r="A2680" s="21" t="s">
        <x:v>12112</x:v>
      </x:c>
      <x:c r="B2680" s="20" t="s">
        <x:v>12112</x:v>
      </x:c>
      <x:c r="C2680" s="20" t="s">
        <x:v>1224</x:v>
      </x:c>
      <x:c r="D2680" s="24">
        <x:v>14</x:v>
      </x:c>
      <x:c r="E2680" s="24" t="s">
        <x:v>114</x:v>
      </x:c>
      <x:c r="F2680" s="20" t="s">
        <x:v>90</x:v>
      </x:c>
      <x:c r="G2680" s="26">
        <x:v>44336</x:v>
      </x:c>
      <x:c r="H2680" s="24" t="s">
        <x:v>12113</x:v>
      </x:c>
      <x:c r="I2680" s="28" t="s">
        <x:v>12114</x:v>
      </x:c>
      <x:c r="J2680" s="29" t="s">
        <x:v>12115</x:v>
      </x:c>
    </x:row>
    <x:row r="2681" ht="10.050000190734863" customHeight="1">
      <x:c r="A2681" s="21" t="s">
        <x:v>12116</x:v>
      </x:c>
      <x:c r="B2681" s="20" t="s">
        <x:v>12116</x:v>
      </x:c>
      <x:c r="C2681" s="20" t="s">
        <x:v>2567</x:v>
      </x:c>
      <x:c r="D2681" s="24">
        <x:v>5</x:v>
      </x:c>
      <x:c r="E2681" s="24" t="s">
        <x:v>114</x:v>
      </x:c>
      <x:c r="F2681" s="20" t="s">
        <x:v>90</x:v>
      </x:c>
      <x:c r="G2681" s="26">
        <x:v>45175</x:v>
      </x:c>
      <x:c r="H2681" s="24" t="s">
        <x:v>12117</x:v>
      </x:c>
      <x:c r="I2681" s="28" t="s">
        <x:v>12118</x:v>
      </x:c>
      <x:c r="J2681" s="29" t="s">
        <x:v>12119</x:v>
      </x:c>
    </x:row>
    <x:row r="2682" ht="10.050000190734863" customHeight="1">
      <x:c r="A2682" s="21" t="s">
        <x:v>12120</x:v>
      </x:c>
      <x:c r="B2682" s="20" t="s">
        <x:v>12120</x:v>
      </x:c>
      <x:c r="C2682" s="20" t="s">
        <x:v>524</x:v>
      </x:c>
      <x:c r="D2682" s="24">
        <x:v>21</x:v>
      </x:c>
      <x:c r="E2682" s="24" t="s">
        <x:v>125</x:v>
      </x:c>
      <x:c r="F2682" s="20" t="s">
        <x:v>90</x:v>
      </x:c>
      <x:c r="G2682" s="26">
        <x:v>45572</x:v>
      </x:c>
      <x:c r="H2682" s="24" t="s">
        <x:v>12121</x:v>
      </x:c>
      <x:c r="I2682" s="28" t="s">
        <x:v>12122</x:v>
      </x:c>
      <x:c r="J2682" s="29" t="s">
        <x:v>12123</x:v>
      </x:c>
    </x:row>
    <x:row r="2683" ht="10.050000190734863" customHeight="1">
      <x:c r="A2683" s="21" t="s">
        <x:v>12124</x:v>
      </x:c>
      <x:c r="B2683" s="20" t="s">
        <x:v>12124</x:v>
      </x:c>
      <x:c r="C2683" s="20" t="s">
        <x:v>8939</x:v>
      </x:c>
      <x:c r="D2683" s="24">
        <x:v>43</x:v>
      </x:c>
      <x:c r="E2683" s="24" t="s">
        <x:v>198</x:v>
      </x:c>
      <x:c r="F2683" s="20" t="s">
        <x:v>90</x:v>
      </x:c>
      <x:c r="G2683" s="26">
        <x:v>45449</x:v>
      </x:c>
      <x:c r="H2683" s="24" t="s">
        <x:v>12125</x:v>
      </x:c>
      <x:c r="I2683" s="28" t="s">
        <x:v>12126</x:v>
      </x:c>
      <x:c r="J2683" s="29" t="s">
        <x:v>12127</x:v>
      </x:c>
    </x:row>
    <x:row r="2684" ht="10.050000190734863" customHeight="1">
      <x:c r="A2684" s="21" t="s">
        <x:v>12128</x:v>
      </x:c>
      <x:c r="B2684" s="20" t="s">
        <x:v>12128</x:v>
      </x:c>
      <x:c r="C2684" s="20" t="s">
        <x:v>9910</x:v>
      </x:c>
      <x:c r="D2684" s="24">
        <x:v>6</x:v>
      </x:c>
      <x:c r="E2684" s="24" t="s">
        <x:v>198</x:v>
      </x:c>
      <x:c r="F2684" s="20" t="s">
        <x:v>90</x:v>
      </x:c>
      <x:c r="G2684" s="26">
        <x:v>45807</x:v>
      </x:c>
      <x:c r="H2684" s="24" t="s">
        <x:v>12129</x:v>
      </x:c>
      <x:c r="I2684" s="28" t="s">
        <x:v>12130</x:v>
      </x:c>
      <x:c r="J2684" s="29" t="s">
        <x:v>12131</x:v>
      </x:c>
    </x:row>
    <x:row r="2685" ht="10.050000190734863" customHeight="1">
      <x:c r="A2685" s="21" t="s">
        <x:v>12132</x:v>
      </x:c>
      <x:c r="B2685" s="20" t="s">
        <x:v>12132</x:v>
      </x:c>
      <x:c r="C2685" s="20" t="s">
        <x:v>2567</x:v>
      </x:c>
      <x:c r="D2685" s="24">
        <x:v>6</x:v>
      </x:c>
      <x:c r="E2685" s="24" t="s">
        <x:v>114</x:v>
      </x:c>
      <x:c r="F2685" s="20" t="s">
        <x:v>90</x:v>
      </x:c>
      <x:c r="G2685" s="26">
        <x:v>45516</x:v>
      </x:c>
      <x:c r="H2685" s="24" t="s">
        <x:v>12133</x:v>
      </x:c>
      <x:c r="I2685" s="28" t="s">
        <x:v>12134</x:v>
      </x:c>
      <x:c r="J2685" s="29" t="s">
        <x:v>12135</x:v>
      </x:c>
    </x:row>
    <x:row r="2686" ht="10.050000190734863" customHeight="1">
      <x:c r="A2686" s="21" t="s">
        <x:v>12136</x:v>
      </x:c>
      <x:c r="B2686" s="20" t="s">
        <x:v>12136</x:v>
      </x:c>
      <x:c r="C2686" s="20" t="s">
        <x:v>3308</x:v>
      </x:c>
      <x:c r="D2686" s="24">
        <x:v>6</x:v>
      </x:c>
      <x:c r="E2686" s="24" t="s">
        <x:v>198</x:v>
      </x:c>
      <x:c r="F2686" s="20" t="s">
        <x:v>90</x:v>
      </x:c>
      <x:c r="G2686" s="26">
        <x:v>45733</x:v>
      </x:c>
      <x:c r="H2686" s="24" t="s">
        <x:v>12137</x:v>
      </x:c>
      <x:c r="I2686" s="28" t="s">
        <x:v>12138</x:v>
      </x:c>
      <x:c r="J2686" s="29" t="s">
        <x:v>12139</x:v>
      </x:c>
    </x:row>
    <x:row r="2687" ht="10.050000190734863" customHeight="1">
      <x:c r="A2687" s="21" t="s">
        <x:v>12140</x:v>
      </x:c>
      <x:c r="B2687" s="20" t="s">
        <x:v>12140</x:v>
      </x:c>
      <x:c r="C2687" s="20" t="s">
        <x:v>12141</x:v>
      </x:c>
      <x:c r="D2687" s="24">
        <x:v>26</x:v>
      </x:c>
      <x:c r="E2687" s="24" t="s">
        <x:v>198</x:v>
      </x:c>
      <x:c r="F2687" s="20" t="s">
        <x:v>90</x:v>
      </x:c>
      <x:c r="G2687" s="26">
        <x:v>44418</x:v>
      </x:c>
      <x:c r="H2687" s="24" t="s">
        <x:v>12142</x:v>
      </x:c>
      <x:c r="I2687" s="28" t="s">
        <x:v>12143</x:v>
      </x:c>
      <x:c r="J2687" s="29" t="s">
        <x:v>12144</x:v>
      </x:c>
    </x:row>
    <x:row r="2688" ht="10.050000190734863" customHeight="1">
      <x:c r="A2688" s="21" t="s">
        <x:v>12145</x:v>
      </x:c>
      <x:c r="B2688" s="20" t="s">
        <x:v>12145</x:v>
      </x:c>
      <x:c r="C2688" s="20" t="s">
        <x:v>7544</x:v>
      </x:c>
      <x:c r="D2688" s="24">
        <x:v>10</x:v>
      </x:c>
      <x:c r="E2688" s="24" t="s">
        <x:v>96</x:v>
      </x:c>
      <x:c r="F2688" s="20" t="s">
        <x:v>97</x:v>
      </x:c>
      <x:c r="G2688" s="26">
        <x:v>44252</x:v>
      </x:c>
      <x:c r="H2688" s="24" t="s">
        <x:v>12146</x:v>
      </x:c>
      <x:c r="I2688" s="28" t="s">
        <x:v>12147</x:v>
      </x:c>
      <x:c r="J2688" s="29" t="s">
        <x:v>12148</x:v>
      </x:c>
    </x:row>
    <x:row r="2689" ht="10.050000190734863" customHeight="1">
      <x:c r="A2689" s="21" t="s">
        <x:v>12149</x:v>
      </x:c>
      <x:c r="B2689" s="20" t="s">
        <x:v>12149</x:v>
      </x:c>
      <x:c r="C2689" s="20" t="s">
        <x:v>12150</x:v>
      </x:c>
      <x:c r="D2689" s="24">
        <x:v>69</x:v>
      </x:c>
      <x:c r="E2689" s="24" t="s">
        <x:v>96</x:v>
      </x:c>
      <x:c r="F2689" s="20" t="s">
        <x:v>152</x:v>
      </x:c>
      <x:c r="G2689" s="26">
        <x:v>45558</x:v>
      </x:c>
      <x:c r="H2689" s="24" t="s">
        <x:v>12151</x:v>
      </x:c>
      <x:c r="I2689" s="28" t="s">
        <x:v>12152</x:v>
      </x:c>
      <x:c r="J2689" s="29" t="s">
        <x:v>12153</x:v>
      </x:c>
    </x:row>
    <x:row r="2690" ht="10.050000190734863" customHeight="1">
      <x:c r="A2690" s="21" t="s">
        <x:v>12154</x:v>
      </x:c>
      <x:c r="B2690" s="20" t="s">
        <x:v>12154</x:v>
      </x:c>
      <x:c r="C2690" s="20" t="s">
        <x:v>2529</x:v>
      </x:c>
      <x:c r="D2690" s="24">
        <x:v>9</x:v>
      </x:c>
      <x:c r="E2690" s="24" t="s">
        <x:v>96</x:v>
      </x:c>
      <x:c r="F2690" s="20" t="s">
        <x:v>97</x:v>
      </x:c>
      <x:c r="G2690" s="26">
        <x:v>41729</x:v>
      </x:c>
      <x:c r="H2690" s="24" t="s">
        <x:v>12155</x:v>
      </x:c>
      <x:c r="I2690" s="28" t="s">
        <x:v>12156</x:v>
      </x:c>
      <x:c r="J2690" s="29" t="s">
        <x:v>12157</x:v>
      </x:c>
    </x:row>
    <x:row r="2691" ht="10.050000190734863" customHeight="1">
      <x:c r="A2691" s="21" t="s">
        <x:v>12158</x:v>
      </x:c>
      <x:c r="B2691" s="20" t="s">
        <x:v>12158</x:v>
      </x:c>
      <x:c r="C2691" s="20" t="s">
        <x:v>1875</x:v>
      </x:c>
      <x:c r="D2691" s="24">
        <x:v>15</x:v>
      </x:c>
      <x:c r="E2691" s="24" t="s">
        <x:v>198</x:v>
      </x:c>
      <x:c r="F2691" s="20" t="s">
        <x:v>90</x:v>
      </x:c>
      <x:c r="G2691" s="26">
        <x:v>44363</x:v>
      </x:c>
      <x:c r="H2691" s="24" t="s">
        <x:v>12159</x:v>
      </x:c>
      <x:c r="I2691" s="28" t="s">
        <x:v>12160</x:v>
      </x:c>
      <x:c r="J2691" s="29" t="s">
        <x:v>12161</x:v>
      </x:c>
    </x:row>
    <x:row r="2692" ht="10.050000190734863" customHeight="1">
      <x:c r="A2692" s="21" t="s">
        <x:v>12162</x:v>
      </x:c>
      <x:c r="B2692" s="20" t="s">
        <x:v>12162</x:v>
      </x:c>
      <x:c r="C2692" s="20" t="s">
        <x:v>11964</x:v>
      </x:c>
      <x:c r="D2692" s="24">
        <x:v>8</x:v>
      </x:c>
      <x:c r="E2692" s="24" t="s">
        <x:v>103</x:v>
      </x:c>
      <x:c r="F2692" s="20" t="s">
        <x:v>97</x:v>
      </x:c>
      <x:c r="G2692" s="26">
        <x:v>42266</x:v>
      </x:c>
      <x:c r="H2692" s="24" t="s">
        <x:v>12163</x:v>
      </x:c>
      <x:c r="I2692" s="28" t="s">
        <x:v>12164</x:v>
      </x:c>
      <x:c r="J2692" s="29" t="s">
        <x:v>12165</x:v>
      </x:c>
    </x:row>
    <x:row r="2693" ht="10.050000190734863" customHeight="1">
      <x:c r="A2693" s="21" t="s">
        <x:v>12166</x:v>
      </x:c>
      <x:c r="B2693" s="20" t="s">
        <x:v>12166</x:v>
      </x:c>
      <x:c r="C2693" s="20" t="s">
        <x:v>12167</x:v>
      </x:c>
      <x:c r="D2693" s="24">
        <x:v>2</x:v>
      </x:c>
      <x:c r="E2693" s="24" t="s">
        <x:v>257</x:v>
      </x:c>
      <x:c r="F2693" s="20" t="s">
        <x:v>97</x:v>
      </x:c>
      <x:c r="G2693" s="26">
        <x:v>43871</x:v>
      </x:c>
      <x:c r="H2693" s="24" t="s">
        <x:v>12168</x:v>
      </x:c>
      <x:c r="I2693" s="28" t="s">
        <x:v>12169</x:v>
      </x:c>
      <x:c r="J2693" s="29" t="s">
        <x:v>12170</x:v>
      </x:c>
    </x:row>
    <x:row r="2694" ht="10.050000190734863" customHeight="1">
      <x:c r="A2694" s="21" t="s">
        <x:v>12171</x:v>
      </x:c>
      <x:c r="B2694" s="20" t="s">
        <x:v>12171</x:v>
      </x:c>
      <x:c r="C2694" s="20" t="s">
        <x:v>7031</x:v>
      </x:c>
      <x:c r="D2694" s="24">
        <x:v>1</x:v>
      </x:c>
      <x:c r="E2694" s="24" t="s">
        <x:v>96</x:v>
      </x:c>
      <x:c r="F2694" s="20" t="s">
        <x:v>152</x:v>
      </x:c>
      <x:c r="G2694" s="26">
        <x:v>43688</x:v>
      </x:c>
      <x:c r="H2694" s="24" t="s">
        <x:v>12172</x:v>
      </x:c>
      <x:c r="I2694" s="28" t="s">
        <x:v>12173</x:v>
      </x:c>
      <x:c r="J2694" s="29" t="s">
        <x:v>12174</x:v>
      </x:c>
    </x:row>
    <x:row r="2695" ht="10.050000190734863" customHeight="1">
      <x:c r="A2695" s="21" t="s">
        <x:v>12175</x:v>
      </x:c>
      <x:c r="B2695" s="20" t="s">
        <x:v>12175</x:v>
      </x:c>
      <x:c r="C2695" s="20" t="s">
        <x:v>524</x:v>
      </x:c>
      <x:c r="D2695" s="24">
        <x:v>6</x:v>
      </x:c>
      <x:c r="E2695" s="24" t="s">
        <x:v>125</x:v>
      </x:c>
      <x:c r="F2695" s="20" t="s">
        <x:v>90</x:v>
      </x:c>
      <x:c r="G2695" s="26">
        <x:v>45394</x:v>
      </x:c>
      <x:c r="H2695" s="24" t="s">
        <x:v>12176</x:v>
      </x:c>
      <x:c r="I2695" s="28" t="s">
        <x:v>12177</x:v>
      </x:c>
      <x:c r="J2695" s="29" t="s">
        <x:v>12178</x:v>
      </x:c>
    </x:row>
    <x:row r="2696" ht="10.050000190734863" customHeight="1">
      <x:c r="A2696" s="21" t="s">
        <x:v>12179</x:v>
      </x:c>
      <x:c r="B2696" s="20" t="s">
        <x:v>12179</x:v>
      </x:c>
      <x:c r="C2696" s="20" t="s">
        <x:v>10548</x:v>
      </x:c>
      <x:c r="D2696" s="24">
        <x:v>9</x:v>
      </x:c>
      <x:c r="E2696" s="24" t="s">
        <x:v>125</x:v>
      </x:c>
      <x:c r="F2696" s="20" t="s">
        <x:v>90</x:v>
      </x:c>
      <x:c r="G2696" s="26">
        <x:v>46207</x:v>
      </x:c>
      <x:c r="H2696" s="24" t="s">
        <x:v>12180</x:v>
      </x:c>
      <x:c r="I2696" s="28" t="s">
        <x:v>12181</x:v>
      </x:c>
      <x:c r="J2696" s="29" t="s">
        <x:v>12182</x:v>
      </x:c>
    </x:row>
    <x:row r="2697" ht="10.050000190734863" customHeight="1">
      <x:c r="A2697" s="21" t="s">
        <x:v>12183</x:v>
      </x:c>
      <x:c r="B2697" s="20" t="s">
        <x:v>12183</x:v>
      </x:c>
      <x:c r="C2697" s="20" t="s">
        <x:v>2798</x:v>
      </x:c>
      <x:c r="D2697" s="24">
        <x:v>12</x:v>
      </x:c>
      <x:c r="E2697" s="24" t="s">
        <x:v>114</x:v>
      </x:c>
      <x:c r="F2697" s="20" t="s">
        <x:v>90</x:v>
      </x:c>
      <x:c r="G2697" s="26">
        <x:v>44609</x:v>
      </x:c>
      <x:c r="H2697" s="24" t="s">
        <x:v>12184</x:v>
      </x:c>
      <x:c r="I2697" s="28" t="s">
        <x:v>12185</x:v>
      </x:c>
      <x:c r="J2697" s="29" t="s">
        <x:v>12186</x:v>
      </x:c>
    </x:row>
    <x:row r="2698" ht="10.050000190734863" customHeight="1">
      <x:c r="A2698" s="21" t="s">
        <x:v>12187</x:v>
      </x:c>
      <x:c r="B2698" s="20" t="s">
        <x:v>12187</x:v>
      </x:c>
      <x:c r="C2698" s="20" t="s">
        <x:v>12188</x:v>
      </x:c>
      <x:c r="D2698" s="24">
        <x:v>13</x:v>
      </x:c>
      <x:c r="E2698" s="24" t="s">
        <x:v>103</x:v>
      </x:c>
      <x:c r="F2698" s="20" t="s">
        <x:v>97</x:v>
      </x:c>
      <x:c r="G2698" s="26">
        <x:v>42013</x:v>
      </x:c>
      <x:c r="H2698" s="24" t="s">
        <x:v>12189</x:v>
      </x:c>
      <x:c r="I2698" s="28" t="s">
        <x:v>12190</x:v>
      </x:c>
      <x:c r="J2698" s="29" t="s">
        <x:v>12191</x:v>
      </x:c>
    </x:row>
    <x:row r="2699" ht="10.050000190734863" customHeight="1">
      <x:c r="A2699" s="21" t="s">
        <x:v>12192</x:v>
      </x:c>
      <x:c r="B2699" s="20" t="s">
        <x:v>12192</x:v>
      </x:c>
      <x:c r="C2699" s="20" t="s">
        <x:v>1841</x:v>
      </x:c>
      <x:c r="D2699" s="24">
        <x:v>11</x:v>
      </x:c>
      <x:c r="E2699" s="24" t="s">
        <x:v>96</x:v>
      </x:c>
      <x:c r="F2699" s="20" t="s">
        <x:v>97</x:v>
      </x:c>
      <x:c r="G2699" s="26">
        <x:v>42799</x:v>
      </x:c>
      <x:c r="H2699" s="24" t="s">
        <x:v>12193</x:v>
      </x:c>
      <x:c r="I2699" s="28" t="s">
        <x:v>12194</x:v>
      </x:c>
      <x:c r="J2699" s="29" t="s">
        <x:v>12195</x:v>
      </x:c>
    </x:row>
    <x:row r="2700" ht="10.050000190734863" customHeight="1">
      <x:c r="A2700" s="21" t="s">
        <x:v>12196</x:v>
      </x:c>
      <x:c r="B2700" s="20" t="s">
        <x:v>12196</x:v>
      </x:c>
      <x:c r="C2700" s="20" t="s">
        <x:v>1841</x:v>
      </x:c>
      <x:c r="D2700" s="24">
        <x:v>6</x:v>
      </x:c>
      <x:c r="E2700" s="24" t="s">
        <x:v>89</x:v>
      </x:c>
      <x:c r="F2700" s="20" t="s">
        <x:v>97</x:v>
      </x:c>
      <x:c r="G2700" s="26">
        <x:v>44990</x:v>
      </x:c>
      <x:c r="H2700" s="24" t="s">
        <x:v>12197</x:v>
      </x:c>
      <x:c r="I2700" s="28" t="s">
        <x:v>12198</x:v>
      </x:c>
      <x:c r="J2700" s="29" t="s">
        <x:v>12199</x:v>
      </x:c>
    </x:row>
    <x:row r="2701" ht="10.050000190734863" customHeight="1">
      <x:c r="A2701" s="21" t="s">
        <x:v>12200</x:v>
      </x:c>
      <x:c r="B2701" s="20" t="s">
        <x:v>12200</x:v>
      </x:c>
      <x:c r="C2701" s="20" t="s">
        <x:v>1618</x:v>
      </x:c>
      <x:c r="D2701" s="24">
        <x:v>20</x:v>
      </x:c>
      <x:c r="E2701" s="24" t="s">
        <x:v>89</x:v>
      </x:c>
      <x:c r="F2701" s="20" t="s">
        <x:v>90</x:v>
      </x:c>
      <x:c r="G2701" s="26">
        <x:v>43140</x:v>
      </x:c>
      <x:c r="H2701" s="24" t="s">
        <x:v>12201</x:v>
      </x:c>
      <x:c r="I2701" s="28" t="s">
        <x:v>12202</x:v>
      </x:c>
      <x:c r="J2701" s="29" t="s">
        <x:v>12203</x:v>
      </x:c>
    </x:row>
    <x:row r="2702" ht="10.050000190734863" customHeight="1">
      <x:c r="A2702" s="21" t="s">
        <x:v>12204</x:v>
      </x:c>
      <x:c r="B2702" s="20" t="s">
        <x:v>12204</x:v>
      </x:c>
      <x:c r="C2702" s="20" t="s">
        <x:v>12205</x:v>
      </x:c>
      <x:c r="D2702" s="24">
        <x:v>18</x:v>
      </x:c>
      <x:c r="E2702" s="24" t="s">
        <x:v>198</x:v>
      </x:c>
      <x:c r="F2702" s="20" t="s">
        <x:v>610</x:v>
      </x:c>
      <x:c r="G2702" s="26">
        <x:v>44545</x:v>
      </x:c>
      <x:c r="H2702" s="24" t="s">
        <x:v>12206</x:v>
      </x:c>
      <x:c r="I2702" s="28" t="s">
        <x:v>12207</x:v>
      </x:c>
      <x:c r="J2702" s="29" t="s">
        <x:v>12208</x:v>
      </x:c>
    </x:row>
    <x:row r="2703" ht="10.050000190734863" customHeight="1">
      <x:c r="A2703" s="21" t="s">
        <x:v>12209</x:v>
      </x:c>
      <x:c r="B2703" s="20" t="s">
        <x:v>12209</x:v>
      </x:c>
      <x:c r="C2703" s="20" t="s">
        <x:v>923</x:v>
      </x:c>
      <x:c r="D2703" s="24">
        <x:v>10</x:v>
      </x:c>
      <x:c r="E2703" s="24" t="s">
        <x:v>198</x:v>
      </x:c>
      <x:c r="F2703" s="20" t="s">
        <x:v>90</x:v>
      </x:c>
      <x:c r="G2703" s="26">
        <x:v>44070</x:v>
      </x:c>
      <x:c r="H2703" s="24" t="s">
        <x:v>12210</x:v>
      </x:c>
      <x:c r="I2703" s="28" t="s">
        <x:v>12211</x:v>
      </x:c>
      <x:c r="J2703" s="29" t="s">
        <x:v>12212</x:v>
      </x:c>
    </x:row>
    <x:row r="2704" ht="10.050000190734863" customHeight="1">
      <x:c r="A2704" s="21" t="s">
        <x:v>12213</x:v>
      </x:c>
      <x:c r="B2704" s="20" t="s">
        <x:v>12213</x:v>
      </x:c>
      <x:c r="C2704" s="20" t="s">
        <x:v>923</x:v>
      </x:c>
      <x:c r="D2704" s="24">
        <x:v>24</x:v>
      </x:c>
      <x:c r="E2704" s="24" t="s">
        <x:v>89</x:v>
      </x:c>
      <x:c r="F2704" s="20" t="s">
        <x:v>90</x:v>
      </x:c>
      <x:c r="G2704" s="26">
        <x:v>44275</x:v>
      </x:c>
      <x:c r="H2704" s="24" t="s">
        <x:v>12214</x:v>
      </x:c>
      <x:c r="I2704" s="28" t="s">
        <x:v>12215</x:v>
      </x:c>
      <x:c r="J2704" s="29" t="s">
        <x:v>12216</x:v>
      </x:c>
    </x:row>
    <x:row r="2705" ht="10.050000190734863" customHeight="1">
      <x:c r="A2705" s="21" t="s">
        <x:v>12217</x:v>
      </x:c>
      <x:c r="B2705" s="20" t="s">
        <x:v>12217</x:v>
      </x:c>
      <x:c r="C2705" s="20" t="s">
        <x:v>12218</x:v>
      </x:c>
      <x:c r="D2705" s="24">
        <x:v>34</x:v>
      </x:c>
      <x:c r="E2705" s="24" t="s">
        <x:v>89</x:v>
      </x:c>
      <x:c r="F2705" s="20" t="s">
        <x:v>97</x:v>
      </x:c>
      <x:c r="G2705" s="26">
        <x:v>41445</x:v>
      </x:c>
      <x:c r="H2705" s="24" t="s">
        <x:v>12219</x:v>
      </x:c>
      <x:c r="I2705" s="28" t="s">
        <x:v>12220</x:v>
      </x:c>
      <x:c r="J2705" s="29" t="s">
        <x:v>12221</x:v>
      </x:c>
    </x:row>
    <x:row r="2706" ht="10.050000190734863" customHeight="1">
      <x:c r="A2706" s="21" t="s">
        <x:v>12222</x:v>
      </x:c>
      <x:c r="B2706" s="20" t="s">
        <x:v>12222</x:v>
      </x:c>
      <x:c r="C2706" s="20" t="s">
        <x:v>12223</x:v>
      </x:c>
      <x:c r="D2706" s="24">
        <x:v>29</x:v>
      </x:c>
      <x:c r="E2706" s="24" t="s">
        <x:v>198</x:v>
      </x:c>
      <x:c r="F2706" s="20" t="s">
        <x:v>90</x:v>
      </x:c>
      <x:c r="G2706" s="26">
        <x:v>46030</x:v>
      </x:c>
      <x:c r="H2706" s="24" t="s">
        <x:v>12224</x:v>
      </x:c>
      <x:c r="I2706" s="28" t="s">
        <x:v>12225</x:v>
      </x:c>
      <x:c r="J2706" s="29" t="s">
        <x:v>12226</x:v>
      </x:c>
    </x:row>
    <x:row r="2707" ht="10.050000190734863" customHeight="1">
      <x:c r="A2707" s="21" t="s">
        <x:v>12227</x:v>
      </x:c>
      <x:c r="B2707" s="20" t="s">
        <x:v>12227</x:v>
      </x:c>
      <x:c r="C2707" s="20" t="s">
        <x:v>7096</x:v>
      </x:c>
      <x:c r="D2707" s="24">
        <x:v>11</x:v>
      </x:c>
      <x:c r="E2707" s="24" t="s">
        <x:v>114</x:v>
      </x:c>
      <x:c r="F2707" s="20" t="s">
        <x:v>90</x:v>
      </x:c>
      <x:c r="G2707" s="26">
        <x:v>44929</x:v>
      </x:c>
      <x:c r="H2707" s="24" t="s">
        <x:v>12228</x:v>
      </x:c>
      <x:c r="I2707" s="28" t="s">
        <x:v>12229</x:v>
      </x:c>
      <x:c r="J2707" s="29" t="s">
        <x:v>12230</x:v>
      </x:c>
    </x:row>
    <x:row r="2708" ht="10.050000190734863" customHeight="1">
      <x:c r="A2708" s="21" t="s">
        <x:v>12231</x:v>
      </x:c>
      <x:c r="B2708" s="20" t="s">
        <x:v>12231</x:v>
      </x:c>
      <x:c r="C2708" s="20" t="s">
        <x:v>756</x:v>
      </x:c>
      <x:c r="D2708" s="24">
        <x:v>0</x:v>
      </x:c>
      <x:c r="E2708" s="24" t="s">
        <x:v>89</x:v>
      </x:c>
      <x:c r="F2708" s="20" t="s">
        <x:v>90</x:v>
      </x:c>
      <x:c r="G2708" s="26">
        <x:v>44943</x:v>
      </x:c>
      <x:c r="H2708" s="24" t="s">
        <x:v>12232</x:v>
      </x:c>
      <x:c r="I2708" s="28" t="s">
        <x:v>12233</x:v>
      </x:c>
      <x:c r="J2708" s="29" t="s">
        <x:v>12234</x:v>
      </x:c>
    </x:row>
    <x:row r="2709" ht="10.050000190734863" customHeight="1">
      <x:c r="A2709" s="21" t="s">
        <x:v>12235</x:v>
      </x:c>
      <x:c r="B2709" s="20" t="s">
        <x:v>12235</x:v>
      </x:c>
      <x:c r="C2709" s="20" t="s">
        <x:v>3426</x:v>
      </x:c>
      <x:c r="D2709" s="24">
        <x:v>4</x:v>
      </x:c>
      <x:c r="E2709" s="24" t="s">
        <x:v>96</x:v>
      </x:c>
      <x:c r="F2709" s="20" t="s">
        <x:v>90</x:v>
      </x:c>
      <x:c r="G2709" s="26">
        <x:v>45802</x:v>
      </x:c>
      <x:c r="H2709" s="24" t="s">
        <x:v>12236</x:v>
      </x:c>
      <x:c r="I2709" s="28" t="s">
        <x:v>12237</x:v>
      </x:c>
      <x:c r="J2709" s="29" t="s">
        <x:v>12238</x:v>
      </x:c>
    </x:row>
    <x:row r="2710" ht="10.050000190734863" customHeight="1">
      <x:c r="A2710" s="21" t="s">
        <x:v>12239</x:v>
      </x:c>
      <x:c r="B2710" s="20" t="s">
        <x:v>12239</x:v>
      </x:c>
      <x:c r="C2710" s="20" t="s">
        <x:v>12240</x:v>
      </x:c>
      <x:c r="D2710" s="24">
        <x:v>10</x:v>
      </x:c>
      <x:c r="E2710" s="24" t="s">
        <x:v>114</x:v>
      </x:c>
      <x:c r="F2710" s="20" t="s">
        <x:v>90</x:v>
      </x:c>
      <x:c r="G2710" s="26">
        <x:v>43860</x:v>
      </x:c>
      <x:c r="H2710" s="24" t="s">
        <x:v>12241</x:v>
      </x:c>
      <x:c r="I2710" s="28" t="s">
        <x:v>12242</x:v>
      </x:c>
      <x:c r="J2710" s="29" t="s">
        <x:v>12243</x:v>
      </x:c>
    </x:row>
    <x:row r="2711" ht="10.050000190734863" customHeight="1">
      <x:c r="A2711" s="21" t="s">
        <x:v>12244</x:v>
      </x:c>
      <x:c r="B2711" s="20" t="s">
        <x:v>12244</x:v>
      </x:c>
      <x:c r="C2711" s="20" t="s">
        <x:v>2189</x:v>
      </x:c>
      <x:c r="D2711" s="24">
        <x:v>18</x:v>
      </x:c>
      <x:c r="E2711" s="24" t="s">
        <x:v>96</x:v>
      </x:c>
      <x:c r="F2711" s="20" t="s">
        <x:v>97</x:v>
      </x:c>
      <x:c r="G2711" s="26">
        <x:v>42523</x:v>
      </x:c>
      <x:c r="H2711" s="24" t="s">
        <x:v>12245</x:v>
      </x:c>
      <x:c r="I2711" s="28" t="s">
        <x:v>12246</x:v>
      </x:c>
      <x:c r="J2711" s="29" t="s">
        <x:v>12247</x:v>
      </x:c>
    </x:row>
    <x:row r="2712" ht="10.050000190734863" customHeight="1">
      <x:c r="A2712" s="21" t="s">
        <x:v>12248</x:v>
      </x:c>
      <x:c r="B2712" s="20" t="s">
        <x:v>12248</x:v>
      </x:c>
      <x:c r="C2712" s="20" t="s">
        <x:v>12249</x:v>
      </x:c>
      <x:c r="D2712" s="24">
        <x:v>67</x:v>
      </x:c>
      <x:c r="E2712" s="24" t="s">
        <x:v>89</x:v>
      </x:c>
      <x:c r="F2712" s="20" t="s">
        <x:v>97</x:v>
      </x:c>
      <x:c r="G2712" s="26">
        <x:v>45039</x:v>
      </x:c>
      <x:c r="H2712" s="24" t="s">
        <x:v>12250</x:v>
      </x:c>
      <x:c r="I2712" s="28" t="s">
        <x:v>12251</x:v>
      </x:c>
      <x:c r="J2712" s="29" t="s">
        <x:v>12252</x:v>
      </x:c>
    </x:row>
    <x:row r="2713" ht="10.050000190734863" customHeight="1">
      <x:c r="A2713" s="21" t="s">
        <x:v>12253</x:v>
      </x:c>
      <x:c r="B2713" s="20" t="s">
        <x:v>12253</x:v>
      </x:c>
      <x:c r="C2713" s="20" t="s">
        <x:v>12254</x:v>
      </x:c>
      <x:c r="D2713" s="24">
        <x:v>4</x:v>
      </x:c>
      <x:c r="E2713" s="24" t="s">
        <x:v>103</x:v>
      </x:c>
      <x:c r="F2713" s="20" t="s">
        <x:v>97</x:v>
      </x:c>
      <x:c r="G2713" s="26">
        <x:v>43221</x:v>
      </x:c>
      <x:c r="H2713" s="24" t="s">
        <x:v>12255</x:v>
      </x:c>
      <x:c r="I2713" s="28" t="s">
        <x:v>12256</x:v>
      </x:c>
      <x:c r="J2713" s="29" t="s">
        <x:v>12257</x:v>
      </x:c>
    </x:row>
    <x:row r="2714" ht="10.050000190734863" customHeight="1">
      <x:c r="A2714" s="21" t="s">
        <x:v>12258</x:v>
      </x:c>
      <x:c r="B2714" s="20" t="s">
        <x:v>12258</x:v>
      </x:c>
      <x:c r="C2714" s="20" t="s">
        <x:v>409</x:v>
      </x:c>
      <x:c r="D2714" s="24">
        <x:v>14</x:v>
      </x:c>
      <x:c r="E2714" s="24" t="s">
        <x:v>198</x:v>
      </x:c>
      <x:c r="F2714" s="20" t="s">
        <x:v>90</x:v>
      </x:c>
      <x:c r="G2714" s="26">
        <x:v>43922</x:v>
      </x:c>
      <x:c r="H2714" s="24" t="s">
        <x:v>12259</x:v>
      </x:c>
      <x:c r="I2714" s="28" t="s">
        <x:v>12260</x:v>
      </x:c>
      <x:c r="J2714" s="29" t="s">
        <x:v>12261</x:v>
      </x:c>
    </x:row>
    <x:row r="2715" ht="10.050000190734863" customHeight="1">
      <x:c r="A2715" s="21" t="s">
        <x:v>12262</x:v>
      </x:c>
      <x:c r="B2715" s="20" t="s">
        <x:v>12262</x:v>
      </x:c>
      <x:c r="C2715" s="20" t="s">
        <x:v>12263</x:v>
      </x:c>
      <x:c r="D2715" s="24">
        <x:v>2</x:v>
      </x:c>
      <x:c r="E2715" s="24" t="s">
        <x:v>89</x:v>
      </x:c>
      <x:c r="F2715" s="20" t="s">
        <x:v>152</x:v>
      </x:c>
      <x:c r="G2715" s="26">
        <x:v>45765</x:v>
      </x:c>
      <x:c r="H2715" s="24" t="s">
        <x:v>12264</x:v>
      </x:c>
      <x:c r="I2715" s="28" t="s">
        <x:v>12265</x:v>
      </x:c>
      <x:c r="J2715" s="29" t="s">
        <x:v>12266</x:v>
      </x:c>
    </x:row>
    <x:row r="2716" ht="10.050000190734863" customHeight="1">
      <x:c r="A2716" s="21" t="s">
        <x:v>12267</x:v>
      </x:c>
      <x:c r="B2716" s="20" t="s">
        <x:v>12267</x:v>
      </x:c>
      <x:c r="C2716" s="20" t="s">
        <x:v>11359</x:v>
      </x:c>
      <x:c r="D2716" s="24">
        <x:v>12</x:v>
      </x:c>
      <x:c r="E2716" s="24" t="s">
        <x:v>89</x:v>
      </x:c>
      <x:c r="F2716" s="20" t="s">
        <x:v>90</x:v>
      </x:c>
      <x:c r="G2716" s="26">
        <x:v>44318</x:v>
      </x:c>
      <x:c r="H2716" s="24" t="s">
        <x:v>12268</x:v>
      </x:c>
      <x:c r="I2716" s="28" t="s">
        <x:v>12269</x:v>
      </x:c>
      <x:c r="J2716" s="29" t="s">
        <x:v>12270</x:v>
      </x:c>
    </x:row>
    <x:row r="2717" ht="10.050000190734863" customHeight="1">
      <x:c r="A2717" s="21" t="s">
        <x:v>12271</x:v>
      </x:c>
      <x:c r="B2717" s="20" t="s">
        <x:v>12271</x:v>
      </x:c>
      <x:c r="C2717" s="20" t="s">
        <x:v>4947</x:v>
      </x:c>
      <x:c r="D2717" s="24">
        <x:v>33</x:v>
      </x:c>
      <x:c r="E2717" s="24" t="s">
        <x:v>96</x:v>
      </x:c>
      <x:c r="F2717" s="20" t="s">
        <x:v>97</x:v>
      </x:c>
      <x:c r="G2717" s="26">
        <x:v>42946</x:v>
      </x:c>
      <x:c r="H2717" s="24" t="s">
        <x:v>12272</x:v>
      </x:c>
      <x:c r="I2717" s="28" t="s">
        <x:v>12273</x:v>
      </x:c>
      <x:c r="J2717" s="29" t="s">
        <x:v>12274</x:v>
      </x:c>
    </x:row>
    <x:row r="2718" ht="10.050000190734863" customHeight="1">
      <x:c r="A2718" s="21" t="s">
        <x:v>12275</x:v>
      </x:c>
      <x:c r="B2718" s="20" t="s">
        <x:v>12275</x:v>
      </x:c>
      <x:c r="C2718" s="20" t="s">
        <x:v>3012</x:v>
      </x:c>
      <x:c r="D2718" s="24">
        <x:v>10</x:v>
      </x:c>
      <x:c r="E2718" s="24" t="s">
        <x:v>96</x:v>
      </x:c>
      <x:c r="F2718" s="20" t="s">
        <x:v>97</x:v>
      </x:c>
      <x:c r="G2718" s="26">
        <x:v>44153</x:v>
      </x:c>
      <x:c r="H2718" s="24" t="s">
        <x:v>12276</x:v>
      </x:c>
      <x:c r="I2718" s="28" t="s">
        <x:v>12277</x:v>
      </x:c>
      <x:c r="J2718" s="29" t="s">
        <x:v>12278</x:v>
      </x:c>
    </x:row>
    <x:row r="2719" ht="10.050000190734863" customHeight="1">
      <x:c r="A2719" s="21" t="s">
        <x:v>12279</x:v>
      </x:c>
      <x:c r="B2719" s="20" t="s">
        <x:v>12279</x:v>
      </x:c>
      <x:c r="C2719" s="20" t="s">
        <x:v>1268</x:v>
      </x:c>
      <x:c r="D2719" s="24">
        <x:v>1</x:v>
      </x:c>
      <x:c r="E2719" s="24" t="s">
        <x:v>96</x:v>
      </x:c>
      <x:c r="F2719" s="20" t="s">
        <x:v>97</x:v>
      </x:c>
      <x:c r="G2719" s="26">
        <x:v>42209</x:v>
      </x:c>
      <x:c r="H2719" s="24" t="s">
        <x:v>12280</x:v>
      </x:c>
      <x:c r="I2719" s="28" t="s">
        <x:v>12281</x:v>
      </x:c>
      <x:c r="J2719" s="29" t="s">
        <x:v>12282</x:v>
      </x:c>
    </x:row>
    <x:row r="2720" ht="10.050000190734863" customHeight="1">
      <x:c r="A2720" s="21" t="s">
        <x:v>12283</x:v>
      </x:c>
      <x:c r="B2720" s="20" t="s">
        <x:v>12283</x:v>
      </x:c>
      <x:c r="C2720" s="20" t="s">
        <x:v>12284</x:v>
      </x:c>
      <x:c r="D2720" s="24">
        <x:v>15</x:v>
      </x:c>
      <x:c r="E2720" s="24" t="s">
        <x:v>198</x:v>
      </x:c>
      <x:c r="F2720" s="20" t="s">
        <x:v>90</x:v>
      </x:c>
      <x:c r="G2720" s="26">
        <x:v>44504</x:v>
      </x:c>
      <x:c r="H2720" s="24" t="s">
        <x:v>12285</x:v>
      </x:c>
      <x:c r="I2720" s="28" t="s">
        <x:v>12286</x:v>
      </x:c>
      <x:c r="J2720" s="29" t="s">
        <x:v>12287</x:v>
      </x:c>
    </x:row>
    <x:row r="2721" ht="10.050000190734863" customHeight="1">
      <x:c r="A2721" s="21" t="s">
        <x:v>12288</x:v>
      </x:c>
      <x:c r="B2721" s="20" t="s">
        <x:v>12288</x:v>
      </x:c>
      <x:c r="C2721" s="20" t="s">
        <x:v>12289</x:v>
      </x:c>
      <x:c r="D2721" s="24">
        <x:v>113</x:v>
      </x:c>
      <x:c r="E2721" s="24" t="s">
        <x:v>198</x:v>
      </x:c>
      <x:c r="F2721" s="20" t="s">
        <x:v>97</x:v>
      </x:c>
      <x:c r="G2721" s="26">
        <x:v>46201</x:v>
      </x:c>
      <x:c r="H2721" s="24" t="s">
        <x:v>12290</x:v>
      </x:c>
      <x:c r="I2721" s="28" t="s">
        <x:v>12291</x:v>
      </x:c>
      <x:c r="J2721" s="29" t="s">
        <x:v>12292</x:v>
      </x:c>
    </x:row>
    <x:row r="2722" ht="10.050000190734863" customHeight="1">
      <x:c r="A2722" s="21" t="s">
        <x:v>12293</x:v>
      </x:c>
      <x:c r="B2722" s="20" t="s">
        <x:v>12293</x:v>
      </x:c>
      <x:c r="C2722" s="20" t="s">
        <x:v>2432</x:v>
      </x:c>
      <x:c r="D2722" s="24">
        <x:v>11</x:v>
      </x:c>
      <x:c r="E2722" s="24" t="s">
        <x:v>96</x:v>
      </x:c>
      <x:c r="F2722" s="20" t="s">
        <x:v>97</x:v>
      </x:c>
      <x:c r="G2722" s="26">
        <x:v>43272</x:v>
      </x:c>
      <x:c r="H2722" s="24" t="s">
        <x:v>12294</x:v>
      </x:c>
      <x:c r="I2722" s="28" t="s">
        <x:v>12295</x:v>
      </x:c>
      <x:c r="J2722" s="29" t="s">
        <x:v>12296</x:v>
      </x:c>
    </x:row>
    <x:row r="2723" ht="10.050000190734863" customHeight="1">
      <x:c r="A2723" s="21" t="s">
        <x:v>12297</x:v>
      </x:c>
      <x:c r="B2723" s="20" t="s">
        <x:v>12297</x:v>
      </x:c>
      <x:c r="C2723" s="20" t="s">
        <x:v>119</x:v>
      </x:c>
      <x:c r="D2723" s="24">
        <x:v>4</x:v>
      </x:c>
      <x:c r="E2723" s="24" t="s">
        <x:v>114</x:v>
      </x:c>
      <x:c r="F2723" s="20" t="s">
        <x:v>90</x:v>
      </x:c>
      <x:c r="G2723" s="26">
        <x:v>44284</x:v>
      </x:c>
      <x:c r="H2723" s="24" t="s">
        <x:v>12298</x:v>
      </x:c>
      <x:c r="I2723" s="28" t="s">
        <x:v>12299</x:v>
      </x:c>
      <x:c r="J2723" s="29" t="s">
        <x:v>12300</x:v>
      </x:c>
    </x:row>
    <x:row r="2724" ht="10.050000190734863" customHeight="1">
      <x:c r="A2724" s="21" t="s">
        <x:v>12301</x:v>
      </x:c>
      <x:c r="B2724" s="20" t="s">
        <x:v>12301</x:v>
      </x:c>
      <x:c r="C2724" s="20" t="s">
        <x:v>119</x:v>
      </x:c>
      <x:c r="D2724" s="24">
        <x:v>7</x:v>
      </x:c>
      <x:c r="E2724" s="24" t="s">
        <x:v>103</x:v>
      </x:c>
      <x:c r="F2724" s="20" t="s">
        <x:v>97</x:v>
      </x:c>
      <x:c r="G2724" s="26">
        <x:v>44314</x:v>
      </x:c>
      <x:c r="H2724" s="24" t="s">
        <x:v>12302</x:v>
      </x:c>
      <x:c r="I2724" s="28" t="s">
        <x:v>12303</x:v>
      </x:c>
      <x:c r="J2724" s="29" t="s">
        <x:v>12304</x:v>
      </x:c>
    </x:row>
    <x:row r="2725" ht="10.050000190734863" customHeight="1">
      <x:c r="A2725" s="21" t="s">
        <x:v>12305</x:v>
      </x:c>
      <x:c r="B2725" s="20" t="s">
        <x:v>12305</x:v>
      </x:c>
      <x:c r="C2725" s="20" t="s">
        <x:v>12306</x:v>
      </x:c>
      <x:c r="D2725" s="24">
        <x:v>14</x:v>
      </x:c>
      <x:c r="E2725" s="24" t="s">
        <x:v>257</x:v>
      </x:c>
      <x:c r="F2725" s="20" t="s">
        <x:v>97</x:v>
      </x:c>
      <x:c r="G2725" s="26">
        <x:v>42210</x:v>
      </x:c>
      <x:c r="H2725" s="24" t="s">
        <x:v>12307</x:v>
      </x:c>
      <x:c r="I2725" s="28" t="s">
        <x:v>12308</x:v>
      </x:c>
      <x:c r="J2725" s="29" t="s">
        <x:v>12309</x:v>
      </x:c>
    </x:row>
    <x:row r="2726" ht="10.050000190734863" customHeight="1">
      <x:c r="A2726" s="21" t="s">
        <x:v>12310</x:v>
      </x:c>
      <x:c r="B2726" s="20" t="s">
        <x:v>12310</x:v>
      </x:c>
      <x:c r="C2726" s="20" t="s">
        <x:v>1055</x:v>
      </x:c>
      <x:c r="D2726" s="24">
        <x:v>11</x:v>
      </x:c>
      <x:c r="E2726" s="24" t="s">
        <x:v>103</x:v>
      </x:c>
      <x:c r="F2726" s="20" t="s">
        <x:v>97</x:v>
      </x:c>
      <x:c r="G2726" s="26">
        <x:v>45093</x:v>
      </x:c>
      <x:c r="H2726" s="24" t="s">
        <x:v>12311</x:v>
      </x:c>
      <x:c r="I2726" s="28" t="s">
        <x:v>12312</x:v>
      </x:c>
      <x:c r="J2726" s="29" t="s">
        <x:v>12313</x:v>
      </x:c>
    </x:row>
    <x:row r="2727" ht="10.050000190734863" customHeight="1">
      <x:c r="A2727" s="21" t="s">
        <x:v>12314</x:v>
      </x:c>
      <x:c r="B2727" s="20" t="s">
        <x:v>12314</x:v>
      </x:c>
      <x:c r="C2727" s="20" t="s">
        <x:v>292</x:v>
      </x:c>
      <x:c r="D2727" s="24">
        <x:v>5</x:v>
      </x:c>
      <x:c r="E2727" s="24" t="s">
        <x:v>198</x:v>
      </x:c>
      <x:c r="F2727" s="20" t="s">
        <x:v>90</x:v>
      </x:c>
      <x:c r="G2727" s="26">
        <x:v>43588</x:v>
      </x:c>
      <x:c r="H2727" s="24" t="s">
        <x:v>12315</x:v>
      </x:c>
      <x:c r="I2727" s="28" t="s">
        <x:v>12316</x:v>
      </x:c>
      <x:c r="J2727" s="29" t="s">
        <x:v>12317</x:v>
      </x:c>
    </x:row>
    <x:row r="2728" ht="10.050000190734863" customHeight="1">
      <x:c r="A2728" s="21" t="s">
        <x:v>12318</x:v>
      </x:c>
      <x:c r="B2728" s="20" t="s">
        <x:v>12318</x:v>
      </x:c>
      <x:c r="C2728" s="20" t="s">
        <x:v>12319</x:v>
      </x:c>
      <x:c r="D2728" s="24">
        <x:v>12</x:v>
      </x:c>
      <x:c r="E2728" s="24" t="s">
        <x:v>89</x:v>
      </x:c>
      <x:c r="F2728" s="20" t="s">
        <x:v>97</x:v>
      </x:c>
      <x:c r="G2728" s="26">
        <x:v>44586</x:v>
      </x:c>
      <x:c r="H2728" s="24" t="s">
        <x:v>12320</x:v>
      </x:c>
      <x:c r="I2728" s="28" t="s">
        <x:v>12321</x:v>
      </x:c>
      <x:c r="J2728" s="29" t="s">
        <x:v>12322</x:v>
      </x:c>
    </x:row>
    <x:row r="2729" ht="10.050000190734863" customHeight="1">
      <x:c r="A2729" s="21" t="s">
        <x:v>12323</x:v>
      </x:c>
      <x:c r="B2729" s="20" t="s">
        <x:v>12323</x:v>
      </x:c>
      <x:c r="C2729" s="20" t="s">
        <x:v>12324</x:v>
      </x:c>
      <x:c r="D2729" s="24">
        <x:v>21</x:v>
      </x:c>
      <x:c r="E2729" s="24" t="s">
        <x:v>257</x:v>
      </x:c>
      <x:c r="F2729" s="20" t="s">
        <x:v>97</x:v>
      </x:c>
      <x:c r="G2729" s="26">
        <x:v>42277</x:v>
      </x:c>
      <x:c r="H2729" s="24" t="s">
        <x:v>12325</x:v>
      </x:c>
      <x:c r="I2729" s="28" t="s">
        <x:v>12326</x:v>
      </x:c>
      <x:c r="J2729" s="29" t="s">
        <x:v>12327</x:v>
      </x:c>
    </x:row>
    <x:row r="2730" ht="10.050000190734863" customHeight="1">
      <x:c r="A2730" s="21" t="s">
        <x:v>12328</x:v>
      </x:c>
      <x:c r="B2730" s="20" t="s">
        <x:v>12328</x:v>
      </x:c>
      <x:c r="C2730" s="20" t="s">
        <x:v>7179</x:v>
      </x:c>
      <x:c r="D2730" s="24">
        <x:v>13</x:v>
      </x:c>
      <x:c r="E2730" s="24" t="s">
        <x:v>89</x:v>
      </x:c>
      <x:c r="F2730" s="20" t="s">
        <x:v>90</x:v>
      </x:c>
      <x:c r="G2730" s="26">
        <x:v>45324</x:v>
      </x:c>
      <x:c r="H2730" s="24" t="s">
        <x:v>12329</x:v>
      </x:c>
      <x:c r="I2730" s="28" t="s">
        <x:v>12330</x:v>
      </x:c>
      <x:c r="J2730" s="29" t="s">
        <x:v>12331</x:v>
      </x:c>
    </x:row>
    <x:row r="2731" ht="10.050000190734863" customHeight="1">
      <x:c r="A2731" s="21" t="s">
        <x:v>12332</x:v>
      </x:c>
      <x:c r="B2731" s="20" t="s">
        <x:v>12332</x:v>
      </x:c>
      <x:c r="C2731" s="20" t="s">
        <x:v>6970</x:v>
      </x:c>
      <x:c r="D2731" s="24">
        <x:v>46</x:v>
      </x:c>
      <x:c r="E2731" s="24" t="s">
        <x:v>114</x:v>
      </x:c>
      <x:c r="F2731" s="20" t="s">
        <x:v>90</x:v>
      </x:c>
      <x:c r="G2731" s="26">
        <x:v>46198</x:v>
      </x:c>
      <x:c r="H2731" s="24" t="s">
        <x:v>12333</x:v>
      </x:c>
      <x:c r="I2731" s="28" t="s">
        <x:v>12334</x:v>
      </x:c>
      <x:c r="J2731" s="29" t="s">
        <x:v>12335</x:v>
      </x:c>
    </x:row>
    <x:row r="2732" ht="10.050000190734863" customHeight="1">
      <x:c r="A2732" s="21" t="s">
        <x:v>12336</x:v>
      </x:c>
      <x:c r="B2732" s="20" t="s">
        <x:v>12336</x:v>
      </x:c>
      <x:c r="C2732" s="20" t="s">
        <x:v>5241</x:v>
      </x:c>
      <x:c r="D2732" s="24">
        <x:v>100</x:v>
      </x:c>
      <x:c r="E2732" s="24" t="s">
        <x:v>114</x:v>
      </x:c>
      <x:c r="F2732" s="20" t="s">
        <x:v>97</x:v>
      </x:c>
      <x:c r="G2732" s="26">
        <x:v>42069</x:v>
      </x:c>
      <x:c r="H2732" s="24" t="s">
        <x:v>12337</x:v>
      </x:c>
      <x:c r="I2732" s="28" t="s">
        <x:v>12338</x:v>
      </x:c>
      <x:c r="J2732" s="29" t="s">
        <x:v>12339</x:v>
      </x:c>
    </x:row>
    <x:row r="2733" ht="10.050000190734863" customHeight="1">
      <x:c r="A2733" s="21" t="s">
        <x:v>12340</x:v>
      </x:c>
      <x:c r="B2733" s="20" t="s">
        <x:v>12340</x:v>
      </x:c>
      <x:c r="C2733" s="20" t="s">
        <x:v>12341</x:v>
      </x:c>
      <x:c r="D2733" s="24">
        <x:v>5</x:v>
      </x:c>
      <x:c r="E2733" s="24" t="s">
        <x:v>96</x:v>
      </x:c>
      <x:c r="F2733" s="20" t="s">
        <x:v>97</x:v>
      </x:c>
      <x:c r="G2733" s="26">
        <x:v>42264</x:v>
      </x:c>
      <x:c r="H2733" s="24" t="s">
        <x:v>12342</x:v>
      </x:c>
      <x:c r="I2733" s="28" t="s">
        <x:v>12343</x:v>
      </x:c>
      <x:c r="J2733" s="29" t="s">
        <x:v>12344</x:v>
      </x:c>
    </x:row>
    <x:row r="2734" ht="10.050000190734863" customHeight="1">
      <x:c r="A2734" s="21" t="s">
        <x:v>1573</x:v>
      </x:c>
      <x:c r="B2734" s="20" t="s">
        <x:v>1573</x:v>
      </x:c>
      <x:c r="C2734" s="20" t="s">
        <x:v>1573</x:v>
      </x:c>
      <x:c r="D2734" s="24">
        <x:v>30</x:v>
      </x:c>
      <x:c r="E2734" s="24" t="s">
        <x:v>103</x:v>
      </x:c>
      <x:c r="F2734" s="20" t="s">
        <x:v>97</x:v>
      </x:c>
      <x:c r="G2734" s="26">
        <x:v>42268</x:v>
      </x:c>
      <x:c r="H2734" s="24" t="s">
        <x:v>12345</x:v>
      </x:c>
      <x:c r="I2734" s="28" t="s">
        <x:v>12346</x:v>
      </x:c>
      <x:c r="J2734" s="29" t="s">
        <x:v>12347</x:v>
      </x:c>
    </x:row>
    <x:row r="2735" ht="10.050000190734863" customHeight="1">
      <x:c r="A2735" s="21" t="s">
        <x:v>12348</x:v>
      </x:c>
      <x:c r="B2735" s="20" t="s">
        <x:v>12348</x:v>
      </x:c>
      <x:c r="C2735" s="20" t="s">
        <x:v>742</x:v>
      </x:c>
      <x:c r="D2735" s="24">
        <x:v>0</x:v>
      </x:c>
      <x:c r="E2735" s="24" t="s">
        <x:v>96</x:v>
      </x:c>
      <x:c r="F2735" s="20" t="s">
        <x:v>97</x:v>
      </x:c>
      <x:c r="G2735" s="26">
        <x:v>45853</x:v>
      </x:c>
      <x:c r="H2735" s="24" t="s">
        <x:v>12349</x:v>
      </x:c>
      <x:c r="I2735" s="28" t="s">
        <x:v>12350</x:v>
      </x:c>
      <x:c r="J2735" s="29" t="s">
        <x:v>12351</x:v>
      </x:c>
    </x:row>
    <x:row r="2736" ht="10.050000190734863" customHeight="1">
      <x:c r="A2736" s="21" t="s">
        <x:v>12352</x:v>
      </x:c>
      <x:c r="B2736" s="20" t="s">
        <x:v>12352</x:v>
      </x:c>
      <x:c r="C2736" s="20" t="s">
        <x:v>3012</x:v>
      </x:c>
      <x:c r="D2736" s="24">
        <x:v>5</x:v>
      </x:c>
      <x:c r="E2736" s="24" t="s">
        <x:v>198</x:v>
      </x:c>
      <x:c r="F2736" s="20" t="s">
        <x:v>90</x:v>
      </x:c>
      <x:c r="G2736" s="26">
        <x:v>45768</x:v>
      </x:c>
      <x:c r="H2736" s="24" t="s">
        <x:v>12353</x:v>
      </x:c>
      <x:c r="I2736" s="28" t="s">
        <x:v>12354</x:v>
      </x:c>
      <x:c r="J2736" s="29" t="s">
        <x:v>12355</x:v>
      </x:c>
    </x:row>
    <x:row r="2737" ht="10.050000190734863" customHeight="1">
      <x:c r="A2737" s="21" t="s">
        <x:v>12356</x:v>
      </x:c>
      <x:c r="B2737" s="20" t="s">
        <x:v>12356</x:v>
      </x:c>
      <x:c r="C2737" s="20" t="s">
        <x:v>12357</x:v>
      </x:c>
      <x:c r="D2737" s="24">
        <x:v>15</x:v>
      </x:c>
      <x:c r="E2737" s="24" t="s">
        <x:v>198</x:v>
      </x:c>
      <x:c r="F2737" s="20" t="s">
        <x:v>90</x:v>
      </x:c>
      <x:c r="G2737" s="26">
        <x:v>45534</x:v>
      </x:c>
      <x:c r="H2737" s="24" t="s">
        <x:v>12358</x:v>
      </x:c>
      <x:c r="I2737" s="28" t="s">
        <x:v>12359</x:v>
      </x:c>
      <x:c r="J2737" s="29" t="s">
        <x:v>12360</x:v>
      </x:c>
    </x:row>
    <x:row r="2738" ht="10.050000190734863" customHeight="1">
      <x:c r="A2738" s="21" t="s">
        <x:v>12361</x:v>
      </x:c>
      <x:c r="B2738" s="20" t="s">
        <x:v>12361</x:v>
      </x:c>
      <x:c r="C2738" s="20" t="s">
        <x:v>12362</x:v>
      </x:c>
      <x:c r="D2738" s="24">
        <x:v>5</x:v>
      </x:c>
      <x:c r="E2738" s="24" t="s">
        <x:v>103</x:v>
      </x:c>
      <x:c r="F2738" s="20" t="s">
        <x:v>97</x:v>
      </x:c>
      <x:c r="G2738" s="26">
        <x:v>44920</x:v>
      </x:c>
      <x:c r="H2738" s="24" t="s">
        <x:v>12363</x:v>
      </x:c>
      <x:c r="I2738" s="28" t="s">
        <x:v>12364</x:v>
      </x:c>
      <x:c r="J2738" s="29" t="s">
        <x:v>12365</x:v>
      </x:c>
    </x:row>
    <x:row r="2739" ht="10.050000190734863" customHeight="1">
      <x:c r="A2739" s="21" t="s">
        <x:v>12366</x:v>
      </x:c>
      <x:c r="B2739" s="20" t="s">
        <x:v>12366</x:v>
      </x:c>
      <x:c r="C2739" s="20" t="s">
        <x:v>12367</x:v>
      </x:c>
      <x:c r="D2739" s="24">
        <x:v>120</x:v>
      </x:c>
      <x:c r="E2739" s="24" t="s">
        <x:v>198</x:v>
      </x:c>
      <x:c r="F2739" s="20" t="s">
        <x:v>152</x:v>
      </x:c>
      <x:c r="G2739" s="26">
        <x:v>42933</x:v>
      </x:c>
      <x:c r="H2739" s="24" t="s">
        <x:v>12368</x:v>
      </x:c>
      <x:c r="I2739" s="28" t="s">
        <x:v>12369</x:v>
      </x:c>
      <x:c r="J2739" s="29" t="s">
        <x:v>12370</x:v>
      </x:c>
    </x:row>
    <x:row r="2740" ht="10.050000190734863" customHeight="1">
      <x:c r="A2740" s="21" t="s">
        <x:v>12371</x:v>
      </x:c>
      <x:c r="B2740" s="20" t="s">
        <x:v>12371</x:v>
      </x:c>
      <x:c r="C2740" s="20" t="s">
        <x:v>12372</x:v>
      </x:c>
      <x:c r="D2740" s="24">
        <x:v>104</x:v>
      </x:c>
      <x:c r="E2740" s="24" t="s">
        <x:v>198</x:v>
      </x:c>
      <x:c r="F2740" s="20" t="s">
        <x:v>152</x:v>
      </x:c>
      <x:c r="G2740" s="26">
        <x:v>44030</x:v>
      </x:c>
      <x:c r="H2740" s="24" t="s">
        <x:v>12373</x:v>
      </x:c>
      <x:c r="I2740" s="28" t="s">
        <x:v>12374</x:v>
      </x:c>
      <x:c r="J2740" s="29" t="s">
        <x:v>12375</x:v>
      </x:c>
    </x:row>
    <x:row r="2741" ht="10.050000190734863" customHeight="1">
      <x:c r="A2741" s="21" t="s">
        <x:v>12376</x:v>
      </x:c>
      <x:c r="B2741" s="20" t="s">
        <x:v>12376</x:v>
      </x:c>
      <x:c r="C2741" s="20" t="s">
        <x:v>2156</x:v>
      </x:c>
      <x:c r="D2741" s="24">
        <x:v>19</x:v>
      </x:c>
      <x:c r="E2741" s="24" t="s">
        <x:v>96</x:v>
      </x:c>
      <x:c r="F2741" s="20" t="s">
        <x:v>97</x:v>
      </x:c>
      <x:c r="G2741" s="26">
        <x:v>43971</x:v>
      </x:c>
      <x:c r="H2741" s="24" t="s">
        <x:v>12377</x:v>
      </x:c>
      <x:c r="I2741" s="28" t="s">
        <x:v>12378</x:v>
      </x:c>
      <x:c r="J2741" s="29" t="s">
        <x:v>12379</x:v>
      </x:c>
    </x:row>
    <x:row r="2742" ht="10.050000190734863" customHeight="1">
      <x:c r="A2742" s="21" t="s">
        <x:v>12380</x:v>
      </x:c>
      <x:c r="B2742" s="20" t="s">
        <x:v>12380</x:v>
      </x:c>
      <x:c r="C2742" s="20" t="s">
        <x:v>7848</x:v>
      </x:c>
      <x:c r="D2742" s="24">
        <x:v>13</x:v>
      </x:c>
      <x:c r="E2742" s="24" t="s">
        <x:v>89</x:v>
      </x:c>
      <x:c r="F2742" s="20" t="s">
        <x:v>90</x:v>
      </x:c>
      <x:c r="G2742" s="26">
        <x:v>44084</x:v>
      </x:c>
      <x:c r="H2742" s="24" t="s">
        <x:v>12381</x:v>
      </x:c>
      <x:c r="I2742" s="28" t="s">
        <x:v>12382</x:v>
      </x:c>
      <x:c r="J2742" s="29" t="s">
        <x:v>12383</x:v>
      </x:c>
    </x:row>
    <x:row r="2743" ht="10.050000190734863" customHeight="1">
      <x:c r="A2743" s="21" t="s">
        <x:v>12384</x:v>
      </x:c>
      <x:c r="B2743" s="20" t="s">
        <x:v>12384</x:v>
      </x:c>
      <x:c r="C2743" s="20" t="s">
        <x:v>12385</x:v>
      </x:c>
      <x:c r="D2743" s="24">
        <x:v>64</x:v>
      </x:c>
      <x:c r="E2743" s="24" t="s">
        <x:v>103</x:v>
      </x:c>
      <x:c r="F2743" s="20" t="s">
        <x:v>97</x:v>
      </x:c>
      <x:c r="G2743" s="26">
        <x:v>42939</x:v>
      </x:c>
      <x:c r="H2743" s="24" t="s">
        <x:v>12386</x:v>
      </x:c>
      <x:c r="I2743" s="28" t="s">
        <x:v>12387</x:v>
      </x:c>
      <x:c r="J2743" s="29" t="s">
        <x:v>12388</x:v>
      </x:c>
    </x:row>
    <x:row r="2744" ht="10.050000190734863" customHeight="1">
      <x:c r="A2744" s="21" t="s">
        <x:v>12389</x:v>
      </x:c>
      <x:c r="B2744" s="20" t="s">
        <x:v>12389</x:v>
      </x:c>
      <x:c r="C2744" s="20" t="s">
        <x:v>12390</x:v>
      </x:c>
      <x:c r="D2744" s="24">
        <x:v>11</x:v>
      </x:c>
      <x:c r="E2744" s="24" t="s">
        <x:v>89</x:v>
      </x:c>
      <x:c r="F2744" s="20" t="s">
        <x:v>90</x:v>
      </x:c>
      <x:c r="G2744" s="26">
        <x:v>44886</x:v>
      </x:c>
      <x:c r="H2744" s="24" t="s">
        <x:v>12391</x:v>
      </x:c>
      <x:c r="I2744" s="28" t="s">
        <x:v>12392</x:v>
      </x:c>
      <x:c r="J2744" s="29" t="s">
        <x:v>12393</x:v>
      </x:c>
    </x:row>
    <x:row r="2745" ht="10.050000190734863" customHeight="1">
      <x:c r="A2745" s="21" t="s">
        <x:v>12394</x:v>
      </x:c>
      <x:c r="B2745" s="20" t="s">
        <x:v>12394</x:v>
      </x:c>
      <x:c r="C2745" s="20" t="s">
        <x:v>12395</x:v>
      </x:c>
      <x:c r="D2745" s="24">
        <x:v>100</x:v>
      </x:c>
      <x:c r="E2745" s="24" t="s">
        <x:v>198</x:v>
      </x:c>
      <x:c r="F2745" s="20" t="s">
        <x:v>97</x:v>
      </x:c>
      <x:c r="G2745" s="26">
        <x:v>45452</x:v>
      </x:c>
      <x:c r="H2745" s="24" t="s">
        <x:v>12396</x:v>
      </x:c>
      <x:c r="I2745" s="28" t="s">
        <x:v>12397</x:v>
      </x:c>
      <x:c r="J2745" s="29" t="s">
        <x:v>12398</x:v>
      </x:c>
    </x:row>
    <x:row r="2746" ht="10.050000190734863" customHeight="1">
      <x:c r="A2746" s="21" t="s">
        <x:v>12399</x:v>
      </x:c>
      <x:c r="B2746" s="20" t="s">
        <x:v>12399</x:v>
      </x:c>
      <x:c r="C2746" s="20" t="s">
        <x:v>12400</x:v>
      </x:c>
      <x:c r="D2746" s="24">
        <x:v>4</x:v>
      </x:c>
      <x:c r="E2746" s="24" t="s">
        <x:v>198</x:v>
      </x:c>
      <x:c r="F2746" s="20" t="s">
        <x:v>90</x:v>
      </x:c>
      <x:c r="G2746" s="26">
        <x:v>45716</x:v>
      </x:c>
      <x:c r="H2746" s="24" t="s">
        <x:v>12401</x:v>
      </x:c>
      <x:c r="I2746" s="28" t="s">
        <x:v>12402</x:v>
      </x:c>
      <x:c r="J2746" s="29" t="s">
        <x:v>12403</x:v>
      </x:c>
    </x:row>
    <x:row r="2747" ht="10.050000190734863" customHeight="1">
      <x:c r="A2747" s="21" t="s">
        <x:v>12404</x:v>
      </x:c>
      <x:c r="B2747" s="20" t="s">
        <x:v>12404</x:v>
      </x:c>
      <x:c r="C2747" s="20" t="s">
        <x:v>12405</x:v>
      </x:c>
      <x:c r="D2747" s="24">
        <x:v>18</x:v>
      </x:c>
      <x:c r="E2747" s="24" t="s">
        <x:v>96</x:v>
      </x:c>
      <x:c r="F2747" s="20" t="s">
        <x:v>97</x:v>
      </x:c>
      <x:c r="G2747" s="26">
        <x:v>43846</x:v>
      </x:c>
      <x:c r="H2747" s="24" t="s">
        <x:v>12406</x:v>
      </x:c>
      <x:c r="I2747" s="28" t="s">
        <x:v>12407</x:v>
      </x:c>
      <x:c r="J2747" s="29" t="s">
        <x:v>12408</x:v>
      </x:c>
    </x:row>
    <x:row r="2748" ht="10.050000190734863" customHeight="1">
      <x:c r="A2748" s="22" t="s">
        <x:v>12409</x:v>
      </x:c>
      <x:c r="B2748" s="23" t="s">
        <x:v>12409</x:v>
      </x:c>
      <x:c r="C2748" s="23" t="s">
        <x:v>151</x:v>
      </x:c>
      <x:c r="D2748" s="25">
        <x:v>13</x:v>
      </x:c>
      <x:c r="E2748" s="25" t="s">
        <x:v>198</x:v>
      </x:c>
      <x:c r="F2748" s="23" t="s">
        <x:v>90</x:v>
      </x:c>
      <x:c r="G2748" s="27">
        <x:v>44938</x:v>
      </x:c>
      <x:c r="H2748" s="25" t="s">
        <x:v>12410</x:v>
      </x:c>
      <x:c r="I2748" s="30" t="s">
        <x:v>12411</x:v>
      </x:c>
      <x:c r="J2748" s="31" t="s">
        <x:v>12412</x:v>
      </x:c>
    </x:row>
  </x:sheetData>
  <x:conditionalFormatting sqref="A2:J2748">
    <x:cfRule type="expression" dxfId="23" priority="1">
      <x:formula>MOD(ROW(),2)=0</x:formula>
    </x:cfRule>
  </x:conditionalFormatting>
  <x:conditionalFormatting sqref="E2:E2748">
    <x:cfRule type="expression" dxfId="22" priority="2">
      <x:formula>E2="Newcomer"</x:formula>
    </x:cfRule>
    <x:cfRule type="expression" dxfId="21" priority="3">
      <x:formula>E2="Casual"</x:formula>
    </x:cfRule>
    <x:cfRule type="expression" dxfId="20" priority="4">
      <x:formula>E2="Intermediate"</x:formula>
    </x:cfRule>
    <x:cfRule type="expression" dxfId="19" priority="5">
      <x:formula>E2="Advanced"</x:formula>
    </x:cfRule>
    <x:cfRule type="expression" dxfId="18" priority="6">
      <x:formula>E2="Expert"</x:formula>
    </x:cfRule>
    <x:cfRule type="expression" dxfId="17" priority="7">
      <x:formula>E2="Master"</x:formula>
    </x:cfRule>
    <x:cfRule type="expression" dxfId="16" priority="8">
      <x:formula>E2="Grandmaster"</x:formula>
    </x:cfRule>
    <x:cfRule type="expression" dxfId="15" priority="9">
      <x:formula>E2="Unranked"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8" customWidth="1"/>
    <x:col min="2" max="3" width="15" customWidth="1"/>
    <x:col min="4" max="4" width="4" customWidth="1"/>
    <x:col min="5" max="5" width="20" customWidth="1"/>
    <x:col min="6" max="6" width="15" customWidth="1"/>
    <x:col min="7" max="7" width="18" customWidth="1"/>
    <x:col min="8" max="8" width="4" customWidth="1"/>
    <x:col min="9" max="9" width="16" hidden="0" customWidth="1"/>
    <x:col min="10" max="10" width="18" hidden="0" customWidth="1"/>
    <x:col min="11" max="11" width="18" hidden="0" customWidth="1"/>
  </x:cols>
  <x:sheetData>
    <x:row r="1" ht="21" customHeight="1">
      <x:c r="A1" s="92" t="s">
        <x:v>12413</x:v>
      </x:c>
      <x:c r="B1" s="92"/>
      <x:c r="C1" s="92"/>
      <x:c r="D1" s="92"/>
      <x:c r="E1" s="92"/>
      <x:c r="F1" s="92"/>
      <x:c r="G1" s="92"/>
      <x:c r="H1" s="86"/>
      <x:c r="I1" s="301" t="str">
        <x:v>Catalog Refresh</x:v>
      </x:c>
      <x:c r="J1" s="301"/>
      <x:c r="K1" s="301"/>
    </x:row>
    <x:row r="2" ht="12" customHeight="1">
      <x:c r="A2" s="76" t="s">
        <x:v>12414</x:v>
      </x:c>
      <x:c r="B2" s="76"/>
      <x:c r="C2" s="76"/>
      <x:c r="D2" s="76"/>
      <x:c r="E2" s="76"/>
      <x:c r="F2" s="76"/>
      <x:c r="G2" s="76"/>
      <x:c r="I2" s="307" t="str">
        <x:v>Status</x:v>
      </x:c>
      <x:c r="J2" s="315" t="str">
        <x:v>Ready for setup</x:v>
      </x:c>
      <x:c r="K2" s="316"/>
    </x:row>
    <x:row r="3" ht="14" customHeight="1">
      <x:c r="A3" s="95" t="s">
        <x:v>12415</x:v>
      </x:c>
      <x:c r="B3" s="96"/>
      <x:c r="C3" s="93" t="s">
        <x:v>12416</x:v>
      </x:c>
      <x:c r="D3" s="94"/>
      <x:c r="E3" s="99" t="s">
        <x:v>12417</x:v>
      </x:c>
      <x:c r="F3" s="100"/>
      <x:c r="G3" s="97" t="s">
        <x:v>12418</x:v>
      </x:c>
      <x:c r="H3" s="98"/>
      <x:c r="I3" s="308" t="str">
        <x:v>Last refresh</x:v>
      </x:c>
      <x:c r="J3" s="317" t="str">
        <x:v>Current embedded catalog</x:v>
      </x:c>
      <x:c r="K3" s="318"/>
    </x:row>
    <x:row r="4" ht="14" customHeight="1">
      <x:c r="A4" s="81" t="n">
        <x:f>COUNTA('Hack Database'!$A$2:$A$10000)</x:f>
        <x:v>2747</x:v>
      </x:c>
      <x:c r="B4" s="82"/>
      <x:c r="C4" s="77" t="n">
        <x:f>COUNTIF(Tracker!$B$2:$B$1000,"&lt;&gt;")</x:f>
        <x:v>28</x:v>
      </x:c>
      <x:c r="D4" s="78"/>
      <x:c r="E4" s="88" t="n">
        <x:f>COUNTIF(Tracker!$J$2:$J$1000,"Yes")</x:f>
        <x:v>28</x:v>
      </x:c>
      <x:c r="F4" s="89"/>
      <x:c r="G4" s="85" t="n">
        <x:f>IFERROR(E4/C4,0)</x:f>
        <x:v>1</x:v>
      </x:c>
      <x:c r="H4" s="86"/>
    </x:row>
    <x:row r="5" ht="14" customHeight="1">
      <x:c r="A5" s="83"/>
      <x:c r="B5" s="84"/>
      <x:c r="C5" s="79"/>
      <x:c r="D5" s="80"/>
      <x:c r="E5" s="90"/>
      <x:c r="F5" s="91"/>
      <x:c r="G5" s="87"/>
      <x:c r="H5" s="86"/>
      <x:c r="I5" s="344" t="str">
        <x:v>The optional VBA module included with the project adds a Refresh Hacks button. Refreshing replaces Online Database, preserves Manual Database, and rebuilds Hack Database.</x:v>
      </x:c>
      <x:c r="J5" s="345"/>
      <x:c r="K5" s="346"/>
    </x:row>
    <x:row r="6">
      <x:c r="I6" s="347"/>
      <x:c r="J6" s="348"/>
      <x:c r="K6" s="349"/>
    </x:row>
    <x:row r="7">
      <x:c r="I7" s="350"/>
      <x:c r="J7" s="351"/>
      <x:c r="K7" s="352"/>
    </x:row>
    <x:row r="8">
      <x:c r="A8" s="2" t="s">
        <x:v>5</x:v>
      </x:c>
      <x:c r="B8" s="2" t="s">
        <x:v>12419</x:v>
      </x:c>
      <x:c r="C8" s="2" t="s">
        <x:v>12417</x:v>
      </x:c>
      <x:c r="E8" s="2" t="s">
        <x:v>10</x:v>
      </x:c>
      <x:c r="F8" s="2" t="s">
        <x:v>12420</x:v>
      </x:c>
    </x:row>
    <x:row r="9">
      <x:c r="A9" s="32" t="s">
        <x:v>257</x:v>
      </x:c>
      <x:c r="B9" s="36" t="n">
        <x:f>COUNTIF(Tracker!$F$2:$F$1000,A9)</x:f>
        <x:v>0</x:v>
      </x:c>
      <x:c r="C9" s="37" t="n">
        <x:f>COUNTIFS(Tracker!$F$2:$F$1000,A9,Tracker!$J$2:$J$1000,"Yes")</x:f>
        <x:v>0</x:v>
      </x:c>
      <x:c r="E9" s="32" t="s">
        <x:v>12421</x:v>
      </x:c>
      <x:c r="F9" s="37" t="n">
        <x:f>COUNTIF(Tracker!$K$2:$K$1000,E9)</x:f>
        <x:v>0</x:v>
      </x:c>
      <x:c r="I9" s="409" t="str">
        <x:v>Online Catalog Configuration</x:v>
      </x:c>
      <x:c r="J9" s="410"/>
      <x:c r="K9" s="411"/>
    </x:row>
    <x:row r="10">
      <x:c r="A10" s="33" t="s">
        <x:v>103</x:v>
      </x:c>
      <x:c r="B10" s="38" t="n">
        <x:f>COUNTIF(Tracker!$F$2:$F$1000,A10)</x:f>
        <x:v>0</x:v>
      </x:c>
      <x:c r="C10" s="39" t="n">
        <x:f>COUNTIFS(Tracker!$F$2:$F$1000,A10,Tracker!$J$2:$J$1000,"Yes")</x:f>
        <x:v>0</x:v>
      </x:c>
      <x:c r="E10" s="33" t="s">
        <x:v>12422</x:v>
      </x:c>
      <x:c r="F10" s="39" t="n">
        <x:f>COUNTIF(Tracker!$K$2:$K$1000,E10)</x:f>
        <x:v>0</x:v>
      </x:c>
      <x:c r="I10" s="412" t="str">
        <x:v>Catalog URL</x:v>
      </x:c>
      <x:c r="J10" s="399" t="str">
        <x:v>PASTE_RAW_GITHUB_CSV_URL_HERE</x:v>
      </x:c>
      <x:c r="K10" s="413"/>
    </x:row>
    <x:row r="11">
      <x:c r="A11" s="33" t="s">
        <x:v>96</x:v>
      </x:c>
      <x:c r="B11" s="38" t="n">
        <x:f>COUNTIF(Tracker!$F$2:$F$1000,A11)</x:f>
        <x:v>3</x:v>
      </x:c>
      <x:c r="C11" s="39" t="n">
        <x:f>COUNTIFS(Tracker!$F$2:$F$1000,A11,Tracker!$J$2:$J$1000,"Yes")</x:f>
        <x:v>3</x:v>
      </x:c>
      <x:c r="E11" s="33" t="s">
        <x:v>12423</x:v>
      </x:c>
      <x:c r="F11" s="39" t="n">
        <x:f>COUNTIF(Tracker!$K$2:$K$1000,E11)</x:f>
        <x:v>0</x:v>
      </x:c>
      <x:c r="I11" s="414"/>
      <x:c r="J11" s="415"/>
      <x:c r="K11" s="416"/>
    </x:row>
    <x:row r="12">
      <x:c r="A12" s="33" t="s">
        <x:v>89</x:v>
      </x:c>
      <x:c r="B12" s="38" t="n">
        <x:f>COUNTIF(Tracker!$F$2:$F$1000,A12)</x:f>
        <x:v>10</x:v>
      </x:c>
      <x:c r="C12" s="39" t="n">
        <x:f>COUNTIFS(Tracker!$F$2:$F$1000,A12,Tracker!$J$2:$J$1000,"Yes")</x:f>
        <x:v>10</x:v>
      </x:c>
      <x:c r="E12" s="35" t="s">
        <x:v>12417</x:v>
      </x:c>
      <x:c r="F12" s="42" t="n">
        <x:f>COUNTIF(Tracker!$K$2:$K$1000,E12)</x:f>
        <x:v>28</x:v>
      </x:c>
      <x:c r="I12" s="417" t="str">
        <x:v>Add a Custom Hack</x:v>
      </x:c>
      <x:c r="J12" s="389"/>
      <x:c r="K12" s="418"/>
    </x:row>
    <x:row r="13">
      <x:c r="A13" s="33" t="s">
        <x:v>198</x:v>
      </x:c>
      <x:c r="B13" s="38" t="n">
        <x:f>COUNTIF(Tracker!$F$2:$F$1000,A13)</x:f>
        <x:v>11</x:v>
      </x:c>
      <x:c r="C13" s="39" t="n">
        <x:f>COUNTIFS(Tracker!$F$2:$F$1000,A13,Tracker!$J$2:$J$1000,"Yes")</x:f>
        <x:v>11</x:v>
      </x:c>
      <x:c r="I13" s="419" t="str">
        <x:v>Title</x:v>
      </x:c>
      <x:c r="J13" s="405"/>
      <x:c r="K13" s="420"/>
    </x:row>
    <x:row r="14">
      <x:c r="A14" s="33" t="s">
        <x:v>114</x:v>
      </x:c>
      <x:c r="B14" s="38" t="n">
        <x:f>COUNTIF(Tracker!$F$2:$F$1000,A14)</x:f>
        <x:v>3</x:v>
      </x:c>
      <x:c r="C14" s="39" t="n">
        <x:f>COUNTIFS(Tracker!$F$2:$F$1000,A14,Tracker!$J$2:$J$1000,"Yes")</x:f>
        <x:v>3</x:v>
      </x:c>
      <x:c r="I14" s="419" t="str">
        <x:v>Created By</x:v>
      </x:c>
      <x:c r="J14" s="405"/>
      <x:c r="K14" s="420"/>
    </x:row>
    <x:row r="15">
      <x:c r="A15" s="33" t="s">
        <x:v>125</x:v>
      </x:c>
      <x:c r="B15" s="38" t="n">
        <x:f>COUNTIF(Tracker!$F$2:$F$1000,A15)</x:f>
        <x:v>0</x:v>
      </x:c>
      <x:c r="C15" s="39" t="n">
        <x:f>COUNTIFS(Tracker!$F$2:$F$1000,A15,Tracker!$J$2:$J$1000,"Yes")</x:f>
        <x:v>0</x:v>
      </x:c>
      <x:c r="I15" s="419" t="str">
        <x:v>Exits</x:v>
      </x:c>
      <x:c r="J15" s="405"/>
      <x:c r="K15" s="420"/>
    </x:row>
    <x:row r="16">
      <x:c r="A16" s="34" t="s">
        <x:v>2874</x:v>
      </x:c>
      <x:c r="B16" s="40" t="n">
        <x:f>COUNTIF(Tracker!$F$2:$F$1000,A16)</x:f>
        <x:v>1</x:v>
      </x:c>
      <x:c r="C16" s="41" t="n">
        <x:f>COUNTIFS(Tracker!$F$2:$F$1000,A16,Tracker!$J$2:$J$1000,"Yes")</x:f>
        <x:v>1</x:v>
      </x:c>
      <x:c r="I16" s="419" t="str">
        <x:v>Difficulty</x:v>
      </x:c>
      <x:c r="J16" s="405"/>
      <x:c r="K16" s="420"/>
    </x:row>
    <x:row r="17">
      <x:c r="I17" s="419" t="str">
        <x:v>Type</x:v>
      </x:c>
      <x:c r="J17" s="405"/>
      <x:c r="K17" s="420"/>
    </x:row>
    <x:row r="18">
      <x:c r="I18" s="419" t="str">
        <x:v>Added Date</x:v>
      </x:c>
      <x:c r="J18" s="407"/>
      <x:c r="K18" s="420"/>
    </x:row>
    <x:row r="19">
      <x:c r="I19" s="419" t="str">
        <x:v>Page URL</x:v>
      </x:c>
      <x:c r="J19" s="405"/>
      <x:c r="K19" s="420"/>
    </x:row>
    <x:row r="20">
      <x:c r="I20" s="421" t="str">
        <x:v>Download URL</x:v>
      </x:c>
      <x:c r="J20" s="422"/>
      <x:c r="K20" s="423"/>
    </x:row>
  </x:sheetData>
  <x:mergeCells>
    <x:mergeCell ref="C4:D5"/>
    <x:mergeCell ref="A4:B5"/>
    <x:mergeCell ref="G4:H5"/>
    <x:mergeCell ref="E4:F5"/>
    <x:mergeCell ref="A1:H1"/>
    <x:mergeCell ref="C3:D3"/>
    <x:mergeCell ref="A3:B3"/>
    <x:mergeCell ref="G3:H3"/>
    <x:mergeCell ref="E3:F3"/>
    <x:mergeCell ref="A2:G2"/>
    <x:mergeCell ref="I1:K1"/>
    <x:mergeCell ref="J2:K2"/>
    <x:mergeCell ref="J3:K3"/>
    <x:mergeCell ref="I5:K7"/>
    <x:mergeCell ref="I9:K9"/>
    <x:mergeCell ref="J10:K10"/>
    <x:mergeCell ref="I12:K12"/>
    <x:mergeCell ref="J13:K13"/>
    <x:mergeCell ref="J14:K14"/>
    <x:mergeCell ref="J15:K15"/>
    <x:mergeCell ref="J16:K16"/>
    <x:mergeCell ref="J17:K17"/>
    <x:mergeCell ref="J18:K18"/>
    <x:mergeCell ref="J19:K19"/>
    <x:mergeCell ref="J20:K20"/>
  </x:mergeCells>
  <x:conditionalFormatting sqref="A9:A16">
    <x:cfRule type="expression" dxfId="14" priority="5">
      <x:formula>A9="Newcomer"</x:formula>
    </x:cfRule>
    <x:cfRule type="expression" dxfId="13" priority="6">
      <x:formula>A9="Casual"</x:formula>
    </x:cfRule>
    <x:cfRule type="expression" dxfId="12" priority="7">
      <x:formula>A9="Intermediate"</x:formula>
    </x:cfRule>
    <x:cfRule type="expression" dxfId="11" priority="8">
      <x:formula>A9="Advanced"</x:formula>
    </x:cfRule>
    <x:cfRule type="expression" dxfId="10" priority="9">
      <x:formula>A9="Expert"</x:formula>
    </x:cfRule>
    <x:cfRule type="expression" dxfId="9" priority="10">
      <x:formula>A9="Master"</x:formula>
    </x:cfRule>
    <x:cfRule type="expression" dxfId="8" priority="11">
      <x:formula>A9="Grandmaster"</x:formula>
    </x:cfRule>
    <x:cfRule type="expression" dxfId="7" priority="12">
      <x:formula>A9="Unranked"</x:formula>
    </x:cfRule>
  </x:conditionalFormatting>
  <x:conditionalFormatting sqref="A9:C16">
    <x:cfRule type="expression" dxfId="6" priority="1">
      <x:formula>MOD(ROW(),2)=0</x:formula>
    </x:cfRule>
  </x:conditionalFormatting>
  <x:conditionalFormatting sqref="B9:C16">
    <x:cfRule type="dataBar" priority="3">
      <x:dataBar>
        <x:cfvo type="min"/>
        <x:cfvo type="max"/>
        <x:color rgb="FF5B9BD5"/>
      </x:dataBar>
    </x:cfRule>
    <x:cfRule type="dataBar" priority="17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conditionalFormatting sqref="E9:E12">
    <x:cfRule type="expression" dxfId="5" priority="13">
      <x:formula>E9="Planned"</x:formula>
    </x:cfRule>
    <x:cfRule type="expression" dxfId="4" priority="14">
      <x:formula>E9="In Progress"</x:formula>
    </x:cfRule>
    <x:cfRule type="expression" dxfId="3" priority="15">
      <x:formula>E9="Finished"</x:formula>
    </x:cfRule>
    <x:cfRule type="expression" dxfId="2" priority="16">
      <x:formula>E9="100% Complete"</x:formula>
    </x:cfRule>
  </x:conditionalFormatting>
  <x:conditionalFormatting sqref="E9:F12">
    <x:cfRule type="expression" dxfId="1" priority="2">
      <x:formula>MOD(ROW(),2)=0</x:formula>
    </x:cfRule>
  </x:conditionalFormatting>
  <x:conditionalFormatting sqref="F9:F12">
    <x:cfRule type="dataBar" priority="4">
      <x:dataBar>
        <x:cfvo type="min"/>
        <x:cfvo type="max"/>
        <x:color rgb="FF70AD47"/>
      </x:dataBar>
    </x:cfRule>
    <x:cfRule type="dataBar" priority="18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{9FB71B9A-F398-1C5C-AB63-4C1EA09CC5DA}</x14:id>
        </x:ext>
      </x:extLst>
    </x:cfRule>
  </x:conditionalFormatting>
  <x:dataValidations count="2">
    <x:dataValidation operator="between" sqref="J15">
      <x:formula1>0</x:formula1>
      <x:formula2>999</x:formula2>
    </x:dataValidation>
    <x:dataValidation type="list" sqref="J16">
      <x:formula1>"Newcomer,Casual,Intermediate,Advanced,Expert,Master,Grandmaster,Unranked"</x:formula1>
    </x:dataValidation>
  </x:dataValidations>
  <x:pageMargins left="0.7" right="0.7" top="0.75" bottom="0.75" header="0.3" footer="0.3"/>
  <x:drawing xmlns:r="http://schemas.openxmlformats.org/officeDocument/2006/relationships" r:id="R8c7237c3f4cb4d2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7" id="{C5593AA7-0028-5BEA-E3E0-8178783C1A47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B9:C16</xm:sqref>
        </x14:conditionalFormatting>
        <x14:conditionalFormatting>
          <x14:cfRule type="dataBar" priority="18" id="{9FB71B9A-F398-1C5C-AB63-4C1EA09CC5DA}">
            <x14:dataBar>
              <x14:cfvo type="min"/>
              <x14:cfvo type="max"/>
              <x14:fillColor rgb="FF70AD47"/>
              <x14:negativeFillColor auto="1"/>
              <x14:axisColor auto="1"/>
            </x14:dataBar>
          </x14:cfRule>
          <xm:sqref>F9:F12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4.25"/>
  <x:cols>
    <x:col min="1" max="1" width="50" customWidth="1"/>
    <x:col min="2" max="2" width="20" customWidth="1"/>
    <x:col min="4" max="6" width="16" customWidth="1"/>
  </x:cols>
  <x:sheetData>
    <x:row r="1" ht="16.049999237060547" customHeight="1">
      <x:c r="A1" s="2" t="s">
        <x:v>12424</x:v>
      </x:c>
      <x:c r="B1" s="2" t="s">
        <x:v>9</x:v>
      </x:c>
      <x:c r="D1" s="101" t="s">
        <x:v>12425</x:v>
      </x:c>
      <x:c r="E1" s="102"/>
      <x:c r="F1" s="103"/>
    </x:row>
    <x:row r="2">
      <x:c r="A2" s="47" t="s">
        <x:v>87</x:v>
      </x:c>
      <x:c r="B2" s="48" t="s">
        <x:v>17</x:v>
      </x:c>
      <x:c r="D2" s="104" t="s">
        <x:v>12426</x:v>
      </x:c>
      <x:c r="E2" s="105"/>
      <x:c r="F2" s="106"/>
    </x:row>
    <x:row r="3">
      <x:c r="A3" s="49" t="s">
        <x:v>94</x:v>
      </x:c>
      <x:c r="B3" s="50" t="s">
        <x:v>12427</x:v>
      </x:c>
      <x:c r="D3" s="107"/>
      <x:c r="E3" s="108"/>
      <x:c r="F3" s="109"/>
    </x:row>
    <x:row r="4">
      <x:c r="A4" s="49" t="s">
        <x:v>101</x:v>
      </x:c>
      <x:c r="B4" s="50"/>
    </x:row>
    <x:row r="5">
      <x:c r="A5" s="49" t="s">
        <x:v>107</x:v>
      </x:c>
      <x:c r="B5" s="50"/>
    </x:row>
    <x:row r="6">
      <x:c r="A6" s="49" t="s">
        <x:v>112</x:v>
      </x:c>
      <x:c r="B6" s="50"/>
    </x:row>
    <x:row r="7">
      <x:c r="A7" s="49" t="s">
        <x:v>118</x:v>
      </x:c>
      <x:c r="B7" s="50"/>
    </x:row>
    <x:row r="8">
      <x:c r="A8" s="49" t="s">
        <x:v>123</x:v>
      </x:c>
      <x:c r="B8" s="50"/>
    </x:row>
    <x:row r="9">
      <x:c r="A9" s="49" t="s">
        <x:v>130</x:v>
      </x:c>
      <x:c r="B9" s="50"/>
    </x:row>
    <x:row r="10">
      <x:c r="A10" s="49" t="s">
        <x:v>135</x:v>
      </x:c>
      <x:c r="B10" s="50"/>
    </x:row>
    <x:row r="11">
      <x:c r="A11" s="49" t="s">
        <x:v>140</x:v>
      </x:c>
      <x:c r="B11" s="50"/>
    </x:row>
    <x:row r="12">
      <x:c r="A12" s="49" t="s">
        <x:v>145</x:v>
      </x:c>
      <x:c r="B12" s="50"/>
    </x:row>
    <x:row r="13">
      <x:c r="A13" s="49" t="s">
        <x:v>150</x:v>
      </x:c>
      <x:c r="B13" s="50"/>
    </x:row>
    <x:row r="14">
      <x:c r="A14" s="49" t="s">
        <x:v>156</x:v>
      </x:c>
      <x:c r="B14" s="50"/>
    </x:row>
    <x:row r="15">
      <x:c r="A15" s="49" t="s">
        <x:v>161</x:v>
      </x:c>
      <x:c r="B15" s="50"/>
    </x:row>
    <x:row r="16">
      <x:c r="A16" s="49" t="s">
        <x:v>166</x:v>
      </x:c>
      <x:c r="B16" s="50"/>
    </x:row>
    <x:row r="17">
      <x:c r="A17" s="49" t="s">
        <x:v>171</x:v>
      </x:c>
      <x:c r="B17" s="50"/>
    </x:row>
    <x:row r="18">
      <x:c r="A18" s="49" t="s">
        <x:v>175</x:v>
      </x:c>
      <x:c r="B18" s="50"/>
    </x:row>
    <x:row r="19">
      <x:c r="A19" s="49" t="s">
        <x:v>180</x:v>
      </x:c>
      <x:c r="B19" s="50"/>
    </x:row>
    <x:row r="20">
      <x:c r="A20" s="49" t="s">
        <x:v>184</x:v>
      </x:c>
      <x:c r="B20" s="50"/>
    </x:row>
    <x:row r="21">
      <x:c r="A21" s="49" t="s">
        <x:v>188</x:v>
      </x:c>
      <x:c r="B21" s="50"/>
    </x:row>
    <x:row r="22">
      <x:c r="A22" s="49" t="s">
        <x:v>192</x:v>
      </x:c>
      <x:c r="B22" s="50"/>
    </x:row>
    <x:row r="23">
      <x:c r="A23" s="49" t="s">
        <x:v>196</x:v>
      </x:c>
      <x:c r="B23" s="50"/>
    </x:row>
    <x:row r="24">
      <x:c r="A24" s="49" t="s">
        <x:v>202</x:v>
      </x:c>
      <x:c r="B24" s="50"/>
    </x:row>
    <x:row r="25">
      <x:c r="A25" s="49" t="s">
        <x:v>207</x:v>
      </x:c>
      <x:c r="B25" s="50"/>
    </x:row>
    <x:row r="26">
      <x:c r="A26" s="49" t="s">
        <x:v>212</x:v>
      </x:c>
      <x:c r="B26" s="50"/>
    </x:row>
    <x:row r="27">
      <x:c r="A27" s="49" t="s">
        <x:v>217</x:v>
      </x:c>
      <x:c r="B27" s="50"/>
    </x:row>
    <x:row r="28">
      <x:c r="A28" s="49" t="s">
        <x:v>222</x:v>
      </x:c>
      <x:c r="B28" s="50"/>
    </x:row>
    <x:row r="29">
      <x:c r="A29" s="49" t="s">
        <x:v>227</x:v>
      </x:c>
      <x:c r="B29" s="50"/>
    </x:row>
    <x:row r="30">
      <x:c r="A30" s="49" t="s">
        <x:v>231</x:v>
      </x:c>
      <x:c r="B30" s="50"/>
    </x:row>
    <x:row r="31">
      <x:c r="A31" s="49" t="s">
        <x:v>236</x:v>
      </x:c>
      <x:c r="B31" s="50"/>
    </x:row>
    <x:row r="32">
      <x:c r="A32" s="49" t="s">
        <x:v>241</x:v>
      </x:c>
      <x:c r="B32" s="50"/>
    </x:row>
    <x:row r="33">
      <x:c r="A33" s="49" t="s">
        <x:v>245</x:v>
      </x:c>
      <x:c r="B33" s="50"/>
    </x:row>
    <x:row r="34">
      <x:c r="A34" s="49" t="s">
        <x:v>250</x:v>
      </x:c>
      <x:c r="B34" s="50"/>
    </x:row>
    <x:row r="35">
      <x:c r="A35" s="49" t="s">
        <x:v>255</x:v>
      </x:c>
      <x:c r="B35" s="50"/>
    </x:row>
    <x:row r="36">
      <x:c r="A36" s="49" t="s">
        <x:v>261</x:v>
      </x:c>
      <x:c r="B36" s="50"/>
    </x:row>
    <x:row r="37">
      <x:c r="A37" s="49" t="s">
        <x:v>266</x:v>
      </x:c>
      <x:c r="B37" s="50"/>
    </x:row>
    <x:row r="38">
      <x:c r="A38" s="49" t="s">
        <x:v>271</x:v>
      </x:c>
      <x:c r="B38" s="50"/>
    </x:row>
    <x:row r="39">
      <x:c r="A39" s="49" t="s">
        <x:v>276</x:v>
      </x:c>
      <x:c r="B39" s="50"/>
    </x:row>
    <x:row r="40">
      <x:c r="A40" s="49" t="s">
        <x:v>281</x:v>
      </x:c>
      <x:c r="B40" s="50"/>
    </x:row>
    <x:row r="41">
      <x:c r="A41" s="49" t="s">
        <x:v>286</x:v>
      </x:c>
      <x:c r="B41" s="50"/>
    </x:row>
    <x:row r="42">
      <x:c r="A42" s="49" t="s">
        <x:v>291</x:v>
      </x:c>
      <x:c r="B42" s="50"/>
    </x:row>
    <x:row r="43">
      <x:c r="A43" s="49" t="s">
        <x:v>296</x:v>
      </x:c>
      <x:c r="B43" s="50"/>
    </x:row>
    <x:row r="44">
      <x:c r="A44" s="49" t="s">
        <x:v>301</x:v>
      </x:c>
      <x:c r="B44" s="50"/>
    </x:row>
    <x:row r="45">
      <x:c r="A45" s="49" t="s">
        <x:v>306</x:v>
      </x:c>
      <x:c r="B45" s="50"/>
    </x:row>
    <x:row r="46">
      <x:c r="A46" s="49" t="s">
        <x:v>311</x:v>
      </x:c>
      <x:c r="B46" s="50"/>
    </x:row>
    <x:row r="47">
      <x:c r="A47" s="49" t="s">
        <x:v>316</x:v>
      </x:c>
      <x:c r="B47" s="50"/>
    </x:row>
    <x:row r="48">
      <x:c r="A48" s="49" t="s">
        <x:v>321</x:v>
      </x:c>
      <x:c r="B48" s="50"/>
    </x:row>
    <x:row r="49">
      <x:c r="A49" s="49" t="s">
        <x:v>325</x:v>
      </x:c>
      <x:c r="B49" s="50"/>
    </x:row>
    <x:row r="50">
      <x:c r="A50" s="49" t="s">
        <x:v>330</x:v>
      </x:c>
      <x:c r="B50" s="50"/>
    </x:row>
    <x:row r="51">
      <x:c r="A51" s="49" t="s">
        <x:v>335</x:v>
      </x:c>
      <x:c r="B51" s="50"/>
    </x:row>
    <x:row r="52">
      <x:c r="A52" s="49" t="s">
        <x:v>340</x:v>
      </x:c>
      <x:c r="B52" s="50"/>
    </x:row>
    <x:row r="53">
      <x:c r="A53" s="49" t="s">
        <x:v>345</x:v>
      </x:c>
      <x:c r="B53" s="50"/>
    </x:row>
    <x:row r="54">
      <x:c r="A54" s="49" t="s">
        <x:v>350</x:v>
      </x:c>
      <x:c r="B54" s="50"/>
    </x:row>
    <x:row r="55">
      <x:c r="A55" s="49" t="s">
        <x:v>355</x:v>
      </x:c>
      <x:c r="B55" s="50"/>
    </x:row>
    <x:row r="56">
      <x:c r="A56" s="49" t="s">
        <x:v>360</x:v>
      </x:c>
      <x:c r="B56" s="50"/>
    </x:row>
    <x:row r="57">
      <x:c r="A57" s="49" t="s">
        <x:v>365</x:v>
      </x:c>
      <x:c r="B57" s="50"/>
    </x:row>
    <x:row r="58">
      <x:c r="A58" s="49" t="s">
        <x:v>369</x:v>
      </x:c>
      <x:c r="B58" s="50"/>
    </x:row>
    <x:row r="59">
      <x:c r="A59" s="49" t="s">
        <x:v>373</x:v>
      </x:c>
      <x:c r="B59" s="50"/>
    </x:row>
    <x:row r="60">
      <x:c r="A60" s="49" t="s">
        <x:v>378</x:v>
      </x:c>
      <x:c r="B60" s="50"/>
    </x:row>
    <x:row r="61">
      <x:c r="A61" s="49" t="s">
        <x:v>383</x:v>
      </x:c>
      <x:c r="B61" s="50"/>
    </x:row>
    <x:row r="62">
      <x:c r="A62" s="49" t="s">
        <x:v>388</x:v>
      </x:c>
      <x:c r="B62" s="50"/>
    </x:row>
    <x:row r="63">
      <x:c r="A63" s="49" t="s">
        <x:v>393</x:v>
      </x:c>
      <x:c r="B63" s="50"/>
    </x:row>
    <x:row r="64">
      <x:c r="A64" s="49" t="s">
        <x:v>398</x:v>
      </x:c>
      <x:c r="B64" s="50"/>
    </x:row>
    <x:row r="65">
      <x:c r="A65" s="49" t="s">
        <x:v>403</x:v>
      </x:c>
      <x:c r="B65" s="50"/>
    </x:row>
    <x:row r="66">
      <x:c r="A66" s="49" t="s">
        <x:v>408</x:v>
      </x:c>
      <x:c r="B66" s="50"/>
    </x:row>
    <x:row r="67">
      <x:c r="A67" s="49" t="s">
        <x:v>413</x:v>
      </x:c>
      <x:c r="B67" s="50"/>
    </x:row>
    <x:row r="68">
      <x:c r="A68" s="49" t="s">
        <x:v>418</x:v>
      </x:c>
      <x:c r="B68" s="50"/>
    </x:row>
    <x:row r="69">
      <x:c r="A69" s="49" t="s">
        <x:v>423</x:v>
      </x:c>
      <x:c r="B69" s="50"/>
    </x:row>
    <x:row r="70">
      <x:c r="A70" s="49" t="s">
        <x:v>427</x:v>
      </x:c>
      <x:c r="B70" s="50"/>
    </x:row>
    <x:row r="71">
      <x:c r="A71" s="49" t="s">
        <x:v>432</x:v>
      </x:c>
      <x:c r="B71" s="50"/>
    </x:row>
    <x:row r="72">
      <x:c r="A72" s="49" t="s">
        <x:v>437</x:v>
      </x:c>
      <x:c r="B72" s="50"/>
    </x:row>
    <x:row r="73">
      <x:c r="A73" s="49" t="s">
        <x:v>442</x:v>
      </x:c>
      <x:c r="B73" s="50"/>
    </x:row>
    <x:row r="74">
      <x:c r="A74" s="49" t="s">
        <x:v>446</x:v>
      </x:c>
      <x:c r="B74" s="50"/>
    </x:row>
    <x:row r="75">
      <x:c r="A75" s="49" t="s">
        <x:v>451</x:v>
      </x:c>
      <x:c r="B75" s="50"/>
    </x:row>
    <x:row r="76">
      <x:c r="A76" s="49" t="s">
        <x:v>456</x:v>
      </x:c>
      <x:c r="B76" s="50"/>
    </x:row>
    <x:row r="77">
      <x:c r="A77" s="49" t="s">
        <x:v>460</x:v>
      </x:c>
      <x:c r="B77" s="50"/>
    </x:row>
    <x:row r="78">
      <x:c r="A78" s="49" t="s">
        <x:v>465</x:v>
      </x:c>
      <x:c r="B78" s="50"/>
    </x:row>
    <x:row r="79">
      <x:c r="A79" s="49" t="s">
        <x:v>470</x:v>
      </x:c>
      <x:c r="B79" s="50"/>
    </x:row>
    <x:row r="80">
      <x:c r="A80" s="49" t="s">
        <x:v>475</x:v>
      </x:c>
      <x:c r="B80" s="50"/>
    </x:row>
    <x:row r="81">
      <x:c r="A81" s="49" t="s">
        <x:v>480</x:v>
      </x:c>
      <x:c r="B81" s="50"/>
    </x:row>
    <x:row r="82">
      <x:c r="A82" s="49" t="s">
        <x:v>485</x:v>
      </x:c>
      <x:c r="B82" s="50"/>
    </x:row>
    <x:row r="83">
      <x:c r="A83" s="49" t="s">
        <x:v>490</x:v>
      </x:c>
      <x:c r="B83" s="50"/>
    </x:row>
    <x:row r="84">
      <x:c r="A84" s="49" t="s">
        <x:v>495</x:v>
      </x:c>
      <x:c r="B84" s="50"/>
    </x:row>
    <x:row r="85">
      <x:c r="A85" s="49" t="s">
        <x:v>499</x:v>
      </x:c>
      <x:c r="B85" s="50"/>
    </x:row>
    <x:row r="86">
      <x:c r="A86" s="49" t="s">
        <x:v>504</x:v>
      </x:c>
      <x:c r="B86" s="50"/>
    </x:row>
    <x:row r="87">
      <x:c r="A87" s="49" t="s">
        <x:v>509</x:v>
      </x:c>
      <x:c r="B87" s="50"/>
    </x:row>
    <x:row r="88">
      <x:c r="A88" s="49" t="s">
        <x:v>514</x:v>
      </x:c>
      <x:c r="B88" s="50"/>
    </x:row>
    <x:row r="89">
      <x:c r="A89" s="49" t="s">
        <x:v>518</x:v>
      </x:c>
      <x:c r="B89" s="50"/>
    </x:row>
    <x:row r="90">
      <x:c r="A90" s="49" t="s">
        <x:v>523</x:v>
      </x:c>
      <x:c r="B90" s="50"/>
    </x:row>
    <x:row r="91">
      <x:c r="A91" s="49" t="s">
        <x:v>528</x:v>
      </x:c>
      <x:c r="B91" s="50"/>
    </x:row>
    <x:row r="92">
      <x:c r="A92" s="49" t="s">
        <x:v>532</x:v>
      </x:c>
      <x:c r="B92" s="50"/>
    </x:row>
    <x:row r="93">
      <x:c r="A93" s="49" t="s">
        <x:v>537</x:v>
      </x:c>
      <x:c r="B93" s="50"/>
    </x:row>
    <x:row r="94">
      <x:c r="A94" s="49" t="s">
        <x:v>542</x:v>
      </x:c>
      <x:c r="B94" s="50"/>
    </x:row>
    <x:row r="95">
      <x:c r="A95" s="49" t="s">
        <x:v>547</x:v>
      </x:c>
      <x:c r="B95" s="50"/>
    </x:row>
    <x:row r="96">
      <x:c r="A96" s="49" t="s">
        <x:v>552</x:v>
      </x:c>
      <x:c r="B96" s="50"/>
    </x:row>
    <x:row r="97">
      <x:c r="A97" s="49" t="s">
        <x:v>557</x:v>
      </x:c>
      <x:c r="B97" s="50"/>
    </x:row>
    <x:row r="98">
      <x:c r="A98" s="49" t="s">
        <x:v>561</x:v>
      </x:c>
      <x:c r="B98" s="50"/>
    </x:row>
    <x:row r="99">
      <x:c r="A99" s="49" t="s">
        <x:v>566</x:v>
      </x:c>
      <x:c r="B99" s="50"/>
    </x:row>
    <x:row r="100">
      <x:c r="A100" s="49" t="s">
        <x:v>571</x:v>
      </x:c>
      <x:c r="B100" s="50"/>
    </x:row>
    <x:row r="101">
      <x:c r="A101" s="49" t="s">
        <x:v>576</x:v>
      </x:c>
      <x:c r="B101" s="50"/>
    </x:row>
    <x:row r="102">
      <x:c r="A102" s="49" t="s">
        <x:v>581</x:v>
      </x:c>
      <x:c r="B102" s="50"/>
    </x:row>
    <x:row r="103">
      <x:c r="A103" s="49" t="s">
        <x:v>585</x:v>
      </x:c>
      <x:c r="B103" s="50"/>
    </x:row>
    <x:row r="104">
      <x:c r="A104" s="49" t="s">
        <x:v>590</x:v>
      </x:c>
      <x:c r="B104" s="50"/>
    </x:row>
    <x:row r="105">
      <x:c r="A105" s="49" t="s">
        <x:v>595</x:v>
      </x:c>
      <x:c r="B105" s="50"/>
    </x:row>
    <x:row r="106">
      <x:c r="A106" s="49" t="s">
        <x:v>599</x:v>
      </x:c>
      <x:c r="B106" s="50"/>
    </x:row>
    <x:row r="107">
      <x:c r="A107" s="49" t="s">
        <x:v>604</x:v>
      </x:c>
      <x:c r="B107" s="50"/>
    </x:row>
    <x:row r="108">
      <x:c r="A108" s="49" t="s">
        <x:v>608</x:v>
      </x:c>
      <x:c r="B108" s="50"/>
    </x:row>
    <x:row r="109">
      <x:c r="A109" s="49" t="s">
        <x:v>614</x:v>
      </x:c>
      <x:c r="B109" s="50"/>
    </x:row>
    <x:row r="110">
      <x:c r="A110" s="49" t="s">
        <x:v>619</x:v>
      </x:c>
      <x:c r="B110" s="50"/>
    </x:row>
    <x:row r="111">
      <x:c r="A111" s="49" t="s">
        <x:v>623</x:v>
      </x:c>
      <x:c r="B111" s="50"/>
    </x:row>
    <x:row r="112">
      <x:c r="A112" s="49" t="s">
        <x:v>628</x:v>
      </x:c>
      <x:c r="B112" s="50"/>
    </x:row>
    <x:row r="113">
      <x:c r="A113" s="49" t="s">
        <x:v>633</x:v>
      </x:c>
      <x:c r="B113" s="50"/>
    </x:row>
    <x:row r="114">
      <x:c r="A114" s="49" t="s">
        <x:v>637</x:v>
      </x:c>
      <x:c r="B114" s="50"/>
    </x:row>
    <x:row r="115">
      <x:c r="A115" s="49" t="s">
        <x:v>641</x:v>
      </x:c>
      <x:c r="B115" s="50"/>
    </x:row>
    <x:row r="116">
      <x:c r="A116" s="49" t="s">
        <x:v>646</x:v>
      </x:c>
      <x:c r="B116" s="50"/>
    </x:row>
    <x:row r="117">
      <x:c r="A117" s="49" t="s">
        <x:v>651</x:v>
      </x:c>
      <x:c r="B117" s="50"/>
    </x:row>
    <x:row r="118">
      <x:c r="A118" s="49" t="s">
        <x:v>656</x:v>
      </x:c>
      <x:c r="B118" s="50"/>
    </x:row>
    <x:row r="119">
      <x:c r="A119" s="49" t="s">
        <x:v>660</x:v>
      </x:c>
      <x:c r="B119" s="50"/>
    </x:row>
    <x:row r="120">
      <x:c r="A120" s="49" t="s">
        <x:v>665</x:v>
      </x:c>
      <x:c r="B120" s="50"/>
    </x:row>
    <x:row r="121">
      <x:c r="A121" s="49" t="s">
        <x:v>670</x:v>
      </x:c>
      <x:c r="B121" s="50"/>
    </x:row>
    <x:row r="122">
      <x:c r="A122" s="49" t="s">
        <x:v>674</x:v>
      </x:c>
      <x:c r="B122" s="50"/>
    </x:row>
    <x:row r="123">
      <x:c r="A123" s="49" t="s">
        <x:v>679</x:v>
      </x:c>
      <x:c r="B123" s="50"/>
    </x:row>
    <x:row r="124">
      <x:c r="A124" s="49" t="s">
        <x:v>684</x:v>
      </x:c>
      <x:c r="B124" s="50"/>
    </x:row>
    <x:row r="125">
      <x:c r="A125" s="49" t="s">
        <x:v>689</x:v>
      </x:c>
      <x:c r="B125" s="50"/>
    </x:row>
    <x:row r="126">
      <x:c r="A126" s="49" t="s">
        <x:v>694</x:v>
      </x:c>
      <x:c r="B126" s="50"/>
    </x:row>
    <x:row r="127">
      <x:c r="A127" s="49" t="s">
        <x:v>23</x:v>
      </x:c>
      <x:c r="B127" s="50"/>
    </x:row>
    <x:row r="128">
      <x:c r="A128" s="49" t="s">
        <x:v>702</x:v>
      </x:c>
      <x:c r="B128" s="50"/>
    </x:row>
    <x:row r="129">
      <x:c r="A129" s="49" t="s">
        <x:v>707</x:v>
      </x:c>
      <x:c r="B129" s="50"/>
    </x:row>
    <x:row r="130">
      <x:c r="A130" s="49" t="s">
        <x:v>712</x:v>
      </x:c>
      <x:c r="B130" s="50"/>
    </x:row>
    <x:row r="131">
      <x:c r="A131" s="49" t="s">
        <x:v>717</x:v>
      </x:c>
      <x:c r="B131" s="50"/>
    </x:row>
    <x:row r="132">
      <x:c r="A132" s="49" t="s">
        <x:v>722</x:v>
      </x:c>
      <x:c r="B132" s="50"/>
    </x:row>
    <x:row r="133">
      <x:c r="A133" s="49" t="s">
        <x:v>727</x:v>
      </x:c>
      <x:c r="B133" s="50"/>
    </x:row>
    <x:row r="134">
      <x:c r="A134" s="49" t="s">
        <x:v>731</x:v>
      </x:c>
      <x:c r="B134" s="50"/>
    </x:row>
    <x:row r="135">
      <x:c r="A135" s="49" t="s">
        <x:v>736</x:v>
      </x:c>
      <x:c r="B135" s="50"/>
    </x:row>
    <x:row r="136">
      <x:c r="A136" s="49" t="s">
        <x:v>741</x:v>
      </x:c>
      <x:c r="B136" s="50"/>
    </x:row>
    <x:row r="137">
      <x:c r="A137" s="49" t="s">
        <x:v>746</x:v>
      </x:c>
      <x:c r="B137" s="50"/>
    </x:row>
    <x:row r="138">
      <x:c r="A138" s="49" t="s">
        <x:v>750</x:v>
      </x:c>
      <x:c r="B138" s="50"/>
    </x:row>
    <x:row r="139">
      <x:c r="A139" s="49" t="s">
        <x:v>755</x:v>
      </x:c>
      <x:c r="B139" s="50"/>
    </x:row>
    <x:row r="140">
      <x:c r="A140" s="49" t="s">
        <x:v>760</x:v>
      </x:c>
      <x:c r="B140" s="50"/>
    </x:row>
    <x:row r="141">
      <x:c r="A141" s="49" t="s">
        <x:v>765</x:v>
      </x:c>
      <x:c r="B141" s="50"/>
    </x:row>
    <x:row r="142">
      <x:c r="A142" s="49" t="s">
        <x:v>770</x:v>
      </x:c>
      <x:c r="B142" s="50"/>
    </x:row>
    <x:row r="143">
      <x:c r="A143" s="49" t="s">
        <x:v>775</x:v>
      </x:c>
      <x:c r="B143" s="50"/>
    </x:row>
    <x:row r="144">
      <x:c r="A144" s="49" t="s">
        <x:v>780</x:v>
      </x:c>
      <x:c r="B144" s="50"/>
    </x:row>
    <x:row r="145">
      <x:c r="A145" s="49" t="s">
        <x:v>785</x:v>
      </x:c>
      <x:c r="B145" s="50"/>
    </x:row>
    <x:row r="146">
      <x:c r="A146" s="49" t="s">
        <x:v>790</x:v>
      </x:c>
      <x:c r="B146" s="50"/>
    </x:row>
    <x:row r="147">
      <x:c r="A147" s="49" t="s">
        <x:v>795</x:v>
      </x:c>
      <x:c r="B147" s="50"/>
    </x:row>
    <x:row r="148">
      <x:c r="A148" s="49" t="s">
        <x:v>799</x:v>
      </x:c>
      <x:c r="B148" s="50"/>
    </x:row>
    <x:row r="149">
      <x:c r="A149" s="49" t="s">
        <x:v>804</x:v>
      </x:c>
      <x:c r="B149" s="50"/>
    </x:row>
    <x:row r="150">
      <x:c r="A150" s="49" t="s">
        <x:v>809</x:v>
      </x:c>
      <x:c r="B150" s="50"/>
    </x:row>
    <x:row r="151">
      <x:c r="A151" s="49" t="s">
        <x:v>814</x:v>
      </x:c>
      <x:c r="B151" s="50"/>
    </x:row>
    <x:row r="152">
      <x:c r="A152" s="49" t="s">
        <x:v>819</x:v>
      </x:c>
      <x:c r="B152" s="50"/>
    </x:row>
    <x:row r="153">
      <x:c r="A153" s="49" t="s">
        <x:v>823</x:v>
      </x:c>
      <x:c r="B153" s="50"/>
    </x:row>
    <x:row r="154">
      <x:c r="A154" s="49" t="s">
        <x:v>827</x:v>
      </x:c>
      <x:c r="B154" s="50"/>
    </x:row>
    <x:row r="155">
      <x:c r="A155" s="49" t="s">
        <x:v>831</x:v>
      </x:c>
      <x:c r="B155" s="50"/>
    </x:row>
    <x:row r="156">
      <x:c r="A156" s="49" t="s">
        <x:v>836</x:v>
      </x:c>
      <x:c r="B156" s="50"/>
    </x:row>
    <x:row r="157">
      <x:c r="A157" s="49" t="s">
        <x:v>841</x:v>
      </x:c>
      <x:c r="B157" s="50"/>
    </x:row>
    <x:row r="158">
      <x:c r="A158" s="49" t="s">
        <x:v>845</x:v>
      </x:c>
      <x:c r="B158" s="50"/>
    </x:row>
    <x:row r="159">
      <x:c r="A159" s="49" t="s">
        <x:v>849</x:v>
      </x:c>
      <x:c r="B159" s="50"/>
    </x:row>
    <x:row r="160">
      <x:c r="A160" s="49" t="s">
        <x:v>854</x:v>
      </x:c>
      <x:c r="B160" s="50"/>
    </x:row>
    <x:row r="161">
      <x:c r="A161" s="49" t="s">
        <x:v>859</x:v>
      </x:c>
      <x:c r="B161" s="50"/>
    </x:row>
    <x:row r="162">
      <x:c r="A162" s="49" t="s">
        <x:v>864</x:v>
      </x:c>
      <x:c r="B162" s="50"/>
    </x:row>
    <x:row r="163">
      <x:c r="A163" s="49" t="s">
        <x:v>869</x:v>
      </x:c>
      <x:c r="B163" s="50"/>
    </x:row>
    <x:row r="164">
      <x:c r="A164" s="49" t="s">
        <x:v>874</x:v>
      </x:c>
      <x:c r="B164" s="50"/>
    </x:row>
    <x:row r="165">
      <x:c r="A165" s="49" t="s">
        <x:v>879</x:v>
      </x:c>
      <x:c r="B165" s="50"/>
    </x:row>
    <x:row r="166">
      <x:c r="A166" s="49" t="s">
        <x:v>884</x:v>
      </x:c>
      <x:c r="B166" s="50"/>
    </x:row>
    <x:row r="167">
      <x:c r="A167" s="49" t="s">
        <x:v>889</x:v>
      </x:c>
      <x:c r="B167" s="50"/>
    </x:row>
    <x:row r="168">
      <x:c r="A168" s="49" t="s">
        <x:v>894</x:v>
      </x:c>
      <x:c r="B168" s="50"/>
    </x:row>
    <x:row r="169">
      <x:c r="A169" s="49" t="s">
        <x:v>898</x:v>
      </x:c>
      <x:c r="B169" s="50"/>
    </x:row>
    <x:row r="170">
      <x:c r="A170" s="49" t="s">
        <x:v>902</x:v>
      </x:c>
      <x:c r="B170" s="50"/>
    </x:row>
    <x:row r="171">
      <x:c r="A171" s="49" t="s">
        <x:v>907</x:v>
      </x:c>
      <x:c r="B171" s="50"/>
    </x:row>
    <x:row r="172">
      <x:c r="A172" s="49" t="s">
        <x:v>912</x:v>
      </x:c>
      <x:c r="B172" s="50"/>
    </x:row>
    <x:row r="173">
      <x:c r="A173" s="49" t="s">
        <x:v>917</x:v>
      </x:c>
      <x:c r="B173" s="50"/>
    </x:row>
    <x:row r="174">
      <x:c r="A174" s="49" t="s">
        <x:v>922</x:v>
      </x:c>
      <x:c r="B174" s="50"/>
    </x:row>
    <x:row r="175">
      <x:c r="A175" s="49" t="s">
        <x:v>927</x:v>
      </x:c>
      <x:c r="B175" s="50"/>
    </x:row>
    <x:row r="176">
      <x:c r="A176" s="49" t="s">
        <x:v>932</x:v>
      </x:c>
      <x:c r="B176" s="50"/>
    </x:row>
    <x:row r="177">
      <x:c r="A177" s="49" t="s">
        <x:v>937</x:v>
      </x:c>
      <x:c r="B177" s="50"/>
    </x:row>
    <x:row r="178">
      <x:c r="A178" s="49" t="s">
        <x:v>942</x:v>
      </x:c>
      <x:c r="B178" s="50"/>
    </x:row>
    <x:row r="179">
      <x:c r="A179" s="49" t="s">
        <x:v>947</x:v>
      </x:c>
      <x:c r="B179" s="50"/>
    </x:row>
    <x:row r="180">
      <x:c r="A180" s="49" t="s">
        <x:v>952</x:v>
      </x:c>
      <x:c r="B180" s="50"/>
    </x:row>
    <x:row r="181">
      <x:c r="A181" s="49" t="s">
        <x:v>957</x:v>
      </x:c>
      <x:c r="B181" s="50"/>
    </x:row>
    <x:row r="182">
      <x:c r="A182" s="49" t="s">
        <x:v>962</x:v>
      </x:c>
      <x:c r="B182" s="50"/>
    </x:row>
    <x:row r="183">
      <x:c r="A183" s="49" t="s">
        <x:v>967</x:v>
      </x:c>
      <x:c r="B183" s="50"/>
    </x:row>
    <x:row r="184">
      <x:c r="A184" s="49" t="s">
        <x:v>972</x:v>
      </x:c>
      <x:c r="B184" s="50"/>
    </x:row>
    <x:row r="185">
      <x:c r="A185" s="49" t="s">
        <x:v>977</x:v>
      </x:c>
      <x:c r="B185" s="50"/>
    </x:row>
    <x:row r="186">
      <x:c r="A186" s="49" t="s">
        <x:v>982</x:v>
      </x:c>
      <x:c r="B186" s="50"/>
    </x:row>
    <x:row r="187">
      <x:c r="A187" s="49" t="s">
        <x:v>987</x:v>
      </x:c>
      <x:c r="B187" s="50"/>
    </x:row>
    <x:row r="188">
      <x:c r="A188" s="49" t="s">
        <x:v>992</x:v>
      </x:c>
      <x:c r="B188" s="50"/>
    </x:row>
    <x:row r="189">
      <x:c r="A189" s="49" t="s">
        <x:v>997</x:v>
      </x:c>
      <x:c r="B189" s="50"/>
    </x:row>
    <x:row r="190">
      <x:c r="A190" s="49" t="s">
        <x:v>1002</x:v>
      </x:c>
      <x:c r="B190" s="50"/>
    </x:row>
    <x:row r="191">
      <x:c r="A191" s="49" t="s">
        <x:v>1007</x:v>
      </x:c>
      <x:c r="B191" s="50"/>
    </x:row>
    <x:row r="192">
      <x:c r="A192" s="49" t="s">
        <x:v>1012</x:v>
      </x:c>
      <x:c r="B192" s="50"/>
    </x:row>
    <x:row r="193">
      <x:c r="A193" s="49" t="s">
        <x:v>1017</x:v>
      </x:c>
      <x:c r="B193" s="50"/>
    </x:row>
    <x:row r="194">
      <x:c r="A194" s="49" t="s">
        <x:v>1021</x:v>
      </x:c>
      <x:c r="B194" s="50"/>
    </x:row>
    <x:row r="195">
      <x:c r="A195" s="49" t="s">
        <x:v>1026</x:v>
      </x:c>
      <x:c r="B195" s="50"/>
    </x:row>
    <x:row r="196">
      <x:c r="A196" s="49" t="s">
        <x:v>1030</x:v>
      </x:c>
      <x:c r="B196" s="50"/>
    </x:row>
    <x:row r="197">
      <x:c r="A197" s="49" t="s">
        <x:v>1035</x:v>
      </x:c>
      <x:c r="B197" s="50"/>
    </x:row>
    <x:row r="198">
      <x:c r="A198" s="49" t="s">
        <x:v>1040</x:v>
      </x:c>
      <x:c r="B198" s="50"/>
    </x:row>
    <x:row r="199">
      <x:c r="A199" s="49" t="s">
        <x:v>1045</x:v>
      </x:c>
      <x:c r="B199" s="50"/>
    </x:row>
    <x:row r="200">
      <x:c r="A200" s="49" t="s">
        <x:v>1049</x:v>
      </x:c>
      <x:c r="B200" s="50"/>
    </x:row>
    <x:row r="201">
      <x:c r="A201" s="49" t="s">
        <x:v>1054</x:v>
      </x:c>
      <x:c r="B201" s="50"/>
    </x:row>
    <x:row r="202">
      <x:c r="A202" s="49" t="s">
        <x:v>1059</x:v>
      </x:c>
      <x:c r="B202" s="50"/>
    </x:row>
    <x:row r="203">
      <x:c r="A203" s="49" t="s">
        <x:v>1064</x:v>
      </x:c>
      <x:c r="B203" s="50"/>
    </x:row>
    <x:row r="204">
      <x:c r="A204" s="49" t="s">
        <x:v>1068</x:v>
      </x:c>
      <x:c r="B204" s="50"/>
    </x:row>
    <x:row r="205">
      <x:c r="A205" s="49" t="s">
        <x:v>1072</x:v>
      </x:c>
      <x:c r="B205" s="50"/>
    </x:row>
    <x:row r="206">
      <x:c r="A206" s="49" t="s">
        <x:v>1077</x:v>
      </x:c>
      <x:c r="B206" s="50"/>
    </x:row>
    <x:row r="207">
      <x:c r="A207" s="49" t="s">
        <x:v>1081</x:v>
      </x:c>
      <x:c r="B207" s="50"/>
    </x:row>
    <x:row r="208">
      <x:c r="A208" s="49" t="s">
        <x:v>1086</x:v>
      </x:c>
      <x:c r="B208" s="50"/>
    </x:row>
    <x:row r="209">
      <x:c r="A209" s="49" t="s">
        <x:v>1091</x:v>
      </x:c>
      <x:c r="B209" s="50"/>
    </x:row>
    <x:row r="210">
      <x:c r="A210" s="49" t="s">
        <x:v>1096</x:v>
      </x:c>
      <x:c r="B210" s="50"/>
    </x:row>
    <x:row r="211">
      <x:c r="A211" s="49" t="s">
        <x:v>1101</x:v>
      </x:c>
      <x:c r="B211" s="50"/>
    </x:row>
    <x:row r="212">
      <x:c r="A212" s="49" t="s">
        <x:v>1106</x:v>
      </x:c>
      <x:c r="B212" s="50"/>
    </x:row>
    <x:row r="213">
      <x:c r="A213" s="49" t="s">
        <x:v>1111</x:v>
      </x:c>
      <x:c r="B213" s="50"/>
    </x:row>
    <x:row r="214">
      <x:c r="A214" s="49" t="s">
        <x:v>1116</x:v>
      </x:c>
      <x:c r="B214" s="50"/>
    </x:row>
    <x:row r="215">
      <x:c r="A215" s="49" t="s">
        <x:v>1120</x:v>
      </x:c>
      <x:c r="B215" s="50"/>
    </x:row>
    <x:row r="216">
      <x:c r="A216" s="49" t="s">
        <x:v>1125</x:v>
      </x:c>
      <x:c r="B216" s="50"/>
    </x:row>
    <x:row r="217">
      <x:c r="A217" s="49" t="s">
        <x:v>1129</x:v>
      </x:c>
      <x:c r="B217" s="50"/>
    </x:row>
    <x:row r="218">
      <x:c r="A218" s="49" t="s">
        <x:v>1134</x:v>
      </x:c>
      <x:c r="B218" s="50"/>
    </x:row>
    <x:row r="219">
      <x:c r="A219" s="49" t="s">
        <x:v>1139</x:v>
      </x:c>
      <x:c r="B219" s="50"/>
    </x:row>
    <x:row r="220">
      <x:c r="A220" s="49" t="s">
        <x:v>1143</x:v>
      </x:c>
      <x:c r="B220" s="50"/>
    </x:row>
    <x:row r="221">
      <x:c r="A221" s="49" t="s">
        <x:v>1147</x:v>
      </x:c>
      <x:c r="B221" s="50"/>
    </x:row>
    <x:row r="222">
      <x:c r="A222" s="49" t="s">
        <x:v>1152</x:v>
      </x:c>
      <x:c r="B222" s="50"/>
    </x:row>
    <x:row r="223">
      <x:c r="A223" s="49" t="s">
        <x:v>1156</x:v>
      </x:c>
      <x:c r="B223" s="50"/>
    </x:row>
    <x:row r="224">
      <x:c r="A224" s="49" t="s">
        <x:v>1161</x:v>
      </x:c>
      <x:c r="B224" s="50"/>
    </x:row>
    <x:row r="225">
      <x:c r="A225" s="49" t="s">
        <x:v>1166</x:v>
      </x:c>
      <x:c r="B225" s="50"/>
    </x:row>
    <x:row r="226">
      <x:c r="A226" s="49" t="s">
        <x:v>1171</x:v>
      </x:c>
      <x:c r="B226" s="50"/>
    </x:row>
    <x:row r="227">
      <x:c r="A227" s="49" t="s">
        <x:v>1175</x:v>
      </x:c>
      <x:c r="B227" s="50"/>
    </x:row>
    <x:row r="228">
      <x:c r="A228" s="49" t="s">
        <x:v>1179</x:v>
      </x:c>
      <x:c r="B228" s="50"/>
    </x:row>
    <x:row r="229">
      <x:c r="A229" s="49" t="s">
        <x:v>1184</x:v>
      </x:c>
      <x:c r="B229" s="50"/>
    </x:row>
    <x:row r="230">
      <x:c r="A230" s="49" t="s">
        <x:v>1188</x:v>
      </x:c>
      <x:c r="B230" s="50"/>
    </x:row>
    <x:row r="231">
      <x:c r="A231" s="49" t="s">
        <x:v>1193</x:v>
      </x:c>
      <x:c r="B231" s="50"/>
    </x:row>
    <x:row r="232">
      <x:c r="A232" s="49" t="s">
        <x:v>1198</x:v>
      </x:c>
      <x:c r="B232" s="50"/>
    </x:row>
    <x:row r="233">
      <x:c r="A233" s="49" t="s">
        <x:v>1203</x:v>
      </x:c>
      <x:c r="B233" s="50"/>
    </x:row>
    <x:row r="234">
      <x:c r="A234" s="49" t="s">
        <x:v>1208</x:v>
      </x:c>
      <x:c r="B234" s="50"/>
    </x:row>
    <x:row r="235">
      <x:c r="A235" s="49" t="s">
        <x:v>1213</x:v>
      </x:c>
      <x:c r="B235" s="50"/>
    </x:row>
    <x:row r="236">
      <x:c r="A236" s="49" t="s">
        <x:v>1218</x:v>
      </x:c>
      <x:c r="B236" s="50"/>
    </x:row>
    <x:row r="237">
      <x:c r="A237" s="49" t="s">
        <x:v>1223</x:v>
      </x:c>
      <x:c r="B237" s="50"/>
    </x:row>
    <x:row r="238">
      <x:c r="A238" s="49" t="s">
        <x:v>1228</x:v>
      </x:c>
      <x:c r="B238" s="50"/>
    </x:row>
    <x:row r="239">
      <x:c r="A239" s="49" t="s">
        <x:v>1232</x:v>
      </x:c>
      <x:c r="B239" s="50"/>
    </x:row>
    <x:row r="240">
      <x:c r="A240" s="49" t="s">
        <x:v>1237</x:v>
      </x:c>
      <x:c r="B240" s="50"/>
    </x:row>
    <x:row r="241">
      <x:c r="A241" s="49" t="s">
        <x:v>1242</x:v>
      </x:c>
      <x:c r="B241" s="50"/>
    </x:row>
    <x:row r="242">
      <x:c r="A242" s="49" t="s">
        <x:v>1247</x:v>
      </x:c>
      <x:c r="B242" s="50"/>
    </x:row>
    <x:row r="243">
      <x:c r="A243" s="49" t="s">
        <x:v>1252</x:v>
      </x:c>
      <x:c r="B243" s="50"/>
    </x:row>
    <x:row r="244">
      <x:c r="A244" s="49" t="s">
        <x:v>1257</x:v>
      </x:c>
      <x:c r="B244" s="50"/>
    </x:row>
    <x:row r="245">
      <x:c r="A245" s="49" t="s">
        <x:v>1262</x:v>
      </x:c>
      <x:c r="B245" s="50"/>
    </x:row>
    <x:row r="246">
      <x:c r="A246" s="49" t="s">
        <x:v>1267</x:v>
      </x:c>
      <x:c r="B246" s="50"/>
    </x:row>
    <x:row r="247">
      <x:c r="A247" s="49" t="s">
        <x:v>1272</x:v>
      </x:c>
      <x:c r="B247" s="50"/>
    </x:row>
    <x:row r="248">
      <x:c r="A248" s="49" t="s">
        <x:v>1277</x:v>
      </x:c>
      <x:c r="B248" s="50"/>
    </x:row>
    <x:row r="249">
      <x:c r="A249" s="49" t="s">
        <x:v>1281</x:v>
      </x:c>
      <x:c r="B249" s="50"/>
    </x:row>
    <x:row r="250">
      <x:c r="A250" s="49" t="s">
        <x:v>1286</x:v>
      </x:c>
      <x:c r="B250" s="50"/>
    </x:row>
    <x:row r="251">
      <x:c r="A251" s="49" t="s">
        <x:v>1290</x:v>
      </x:c>
      <x:c r="B251" s="50"/>
    </x:row>
    <x:row r="252">
      <x:c r="A252" s="49" t="s">
        <x:v>1295</x:v>
      </x:c>
      <x:c r="B252" s="50"/>
    </x:row>
    <x:row r="253">
      <x:c r="A253" s="49" t="s">
        <x:v>1300</x:v>
      </x:c>
      <x:c r="B253" s="50"/>
    </x:row>
    <x:row r="254">
      <x:c r="A254" s="49" t="s">
        <x:v>1305</x:v>
      </x:c>
      <x:c r="B254" s="50"/>
    </x:row>
    <x:row r="255">
      <x:c r="A255" s="49" t="s">
        <x:v>1310</x:v>
      </x:c>
      <x:c r="B255" s="50"/>
    </x:row>
    <x:row r="256">
      <x:c r="A256" s="49" t="s">
        <x:v>1314</x:v>
      </x:c>
      <x:c r="B256" s="50"/>
    </x:row>
    <x:row r="257">
      <x:c r="A257" s="49" t="s">
        <x:v>1319</x:v>
      </x:c>
      <x:c r="B257" s="50"/>
    </x:row>
    <x:row r="258">
      <x:c r="A258" s="49" t="s">
        <x:v>1324</x:v>
      </x:c>
      <x:c r="B258" s="50"/>
    </x:row>
    <x:row r="259">
      <x:c r="A259" s="49" t="s">
        <x:v>1328</x:v>
      </x:c>
      <x:c r="B259" s="50"/>
    </x:row>
    <x:row r="260">
      <x:c r="A260" s="49" t="s">
        <x:v>1333</x:v>
      </x:c>
      <x:c r="B260" s="50"/>
    </x:row>
    <x:row r="261">
      <x:c r="A261" s="49" t="s">
        <x:v>1338</x:v>
      </x:c>
      <x:c r="B261" s="50"/>
    </x:row>
    <x:row r="262">
      <x:c r="A262" s="49" t="s">
        <x:v>1343</x:v>
      </x:c>
      <x:c r="B262" s="50"/>
    </x:row>
    <x:row r="263">
      <x:c r="A263" s="49" t="s">
        <x:v>1348</x:v>
      </x:c>
      <x:c r="B263" s="50"/>
    </x:row>
    <x:row r="264">
      <x:c r="A264" s="49" t="s">
        <x:v>1352</x:v>
      </x:c>
      <x:c r="B264" s="50"/>
    </x:row>
    <x:row r="265">
      <x:c r="A265" s="49" t="s">
        <x:v>1356</x:v>
      </x:c>
      <x:c r="B265" s="50"/>
    </x:row>
    <x:row r="266">
      <x:c r="A266" s="49" t="s">
        <x:v>1360</x:v>
      </x:c>
      <x:c r="B266" s="50"/>
    </x:row>
    <x:row r="267">
      <x:c r="A267" s="49" t="s">
        <x:v>1365</x:v>
      </x:c>
      <x:c r="B267" s="50"/>
    </x:row>
    <x:row r="268">
      <x:c r="A268" s="49" t="s">
        <x:v>1369</x:v>
      </x:c>
      <x:c r="B268" s="50"/>
    </x:row>
    <x:row r="269">
      <x:c r="A269" s="49" t="s">
        <x:v>1374</x:v>
      </x:c>
      <x:c r="B269" s="50"/>
    </x:row>
    <x:row r="270">
      <x:c r="A270" s="49" t="s">
        <x:v>1378</x:v>
      </x:c>
      <x:c r="B270" s="50"/>
    </x:row>
    <x:row r="271">
      <x:c r="A271" s="49" t="s">
        <x:v>1382</x:v>
      </x:c>
      <x:c r="B271" s="50"/>
    </x:row>
    <x:row r="272">
      <x:c r="A272" s="49" t="s">
        <x:v>1387</x:v>
      </x:c>
      <x:c r="B272" s="50"/>
    </x:row>
    <x:row r="273">
      <x:c r="A273" s="49" t="s">
        <x:v>1392</x:v>
      </x:c>
      <x:c r="B273" s="50"/>
    </x:row>
    <x:row r="274">
      <x:c r="A274" s="49" t="s">
        <x:v>1397</x:v>
      </x:c>
      <x:c r="B274" s="50"/>
    </x:row>
    <x:row r="275">
      <x:c r="A275" s="49" t="s">
        <x:v>1401</x:v>
      </x:c>
      <x:c r="B275" s="50"/>
    </x:row>
    <x:row r="276">
      <x:c r="A276" s="49" t="s">
        <x:v>1406</x:v>
      </x:c>
      <x:c r="B276" s="50"/>
    </x:row>
    <x:row r="277">
      <x:c r="A277" s="49" t="s">
        <x:v>1411</x:v>
      </x:c>
      <x:c r="B277" s="50"/>
    </x:row>
    <x:row r="278">
      <x:c r="A278" s="49" t="s">
        <x:v>1416</x:v>
      </x:c>
      <x:c r="B278" s="50"/>
    </x:row>
    <x:row r="279">
      <x:c r="A279" s="49" t="s">
        <x:v>1421</x:v>
      </x:c>
      <x:c r="B279" s="50"/>
    </x:row>
    <x:row r="280">
      <x:c r="A280" s="49" t="s">
        <x:v>1426</x:v>
      </x:c>
      <x:c r="B280" s="50"/>
    </x:row>
    <x:row r="281">
      <x:c r="A281" s="49" t="s">
        <x:v>1431</x:v>
      </x:c>
      <x:c r="B281" s="50"/>
    </x:row>
    <x:row r="282">
      <x:c r="A282" s="49" t="s">
        <x:v>1435</x:v>
      </x:c>
      <x:c r="B282" s="50"/>
    </x:row>
    <x:row r="283">
      <x:c r="A283" s="49" t="s">
        <x:v>1439</x:v>
      </x:c>
      <x:c r="B283" s="50"/>
    </x:row>
    <x:row r="284">
      <x:c r="A284" s="49" t="s">
        <x:v>1444</x:v>
      </x:c>
      <x:c r="B284" s="50"/>
    </x:row>
    <x:row r="285">
      <x:c r="A285" s="49" t="s">
        <x:v>1449</x:v>
      </x:c>
      <x:c r="B285" s="50"/>
    </x:row>
    <x:row r="286">
      <x:c r="A286" s="49" t="s">
        <x:v>1453</x:v>
      </x:c>
      <x:c r="B286" s="50"/>
    </x:row>
    <x:row r="287">
      <x:c r="A287" s="49" t="s">
        <x:v>1457</x:v>
      </x:c>
      <x:c r="B287" s="50"/>
    </x:row>
    <x:row r="288">
      <x:c r="A288" s="49" t="s">
        <x:v>1462</x:v>
      </x:c>
      <x:c r="B288" s="50"/>
    </x:row>
    <x:row r="289">
      <x:c r="A289" s="49" t="s">
        <x:v>1466</x:v>
      </x:c>
      <x:c r="B289" s="50"/>
    </x:row>
    <x:row r="290">
      <x:c r="A290" s="49" t="s">
        <x:v>1471</x:v>
      </x:c>
      <x:c r="B290" s="50"/>
    </x:row>
    <x:row r="291">
      <x:c r="A291" s="49" t="s">
        <x:v>1476</x:v>
      </x:c>
      <x:c r="B291" s="50"/>
    </x:row>
    <x:row r="292">
      <x:c r="A292" s="49" t="s">
        <x:v>1480</x:v>
      </x:c>
      <x:c r="B292" s="50"/>
    </x:row>
    <x:row r="293">
      <x:c r="A293" s="49" t="s">
        <x:v>1484</x:v>
      </x:c>
      <x:c r="B293" s="50"/>
    </x:row>
    <x:row r="294">
      <x:c r="A294" s="49" t="s">
        <x:v>1488</x:v>
      </x:c>
      <x:c r="B294" s="50"/>
    </x:row>
    <x:row r="295">
      <x:c r="A295" s="49" t="s">
        <x:v>1492</x:v>
      </x:c>
      <x:c r="B295" s="50"/>
    </x:row>
    <x:row r="296">
      <x:c r="A296" s="49" t="s">
        <x:v>1496</x:v>
      </x:c>
      <x:c r="B296" s="50"/>
    </x:row>
    <x:row r="297">
      <x:c r="A297" s="49" t="s">
        <x:v>1501</x:v>
      </x:c>
      <x:c r="B297" s="50"/>
    </x:row>
    <x:row r="298">
      <x:c r="A298" s="49" t="s">
        <x:v>1506</x:v>
      </x:c>
      <x:c r="B298" s="50"/>
    </x:row>
    <x:row r="299">
      <x:c r="A299" s="49" t="s">
        <x:v>1510</x:v>
      </x:c>
      <x:c r="B299" s="50"/>
    </x:row>
    <x:row r="300">
      <x:c r="A300" s="49" t="s">
        <x:v>1515</x:v>
      </x:c>
      <x:c r="B300" s="50"/>
    </x:row>
    <x:row r="301">
      <x:c r="A301" s="49" t="s">
        <x:v>1520</x:v>
      </x:c>
      <x:c r="B301" s="50"/>
    </x:row>
    <x:row r="302">
      <x:c r="A302" s="49" t="s">
        <x:v>1525</x:v>
      </x:c>
      <x:c r="B302" s="50"/>
    </x:row>
    <x:row r="303">
      <x:c r="A303" s="49" t="s">
        <x:v>1529</x:v>
      </x:c>
      <x:c r="B303" s="50"/>
    </x:row>
    <x:row r="304">
      <x:c r="A304" s="49" t="s">
        <x:v>1534</x:v>
      </x:c>
      <x:c r="B304" s="50"/>
    </x:row>
    <x:row r="305">
      <x:c r="A305" s="49" t="s">
        <x:v>1539</x:v>
      </x:c>
      <x:c r="B305" s="50"/>
    </x:row>
    <x:row r="306">
      <x:c r="A306" s="49" t="s">
        <x:v>1543</x:v>
      </x:c>
      <x:c r="B306" s="50"/>
    </x:row>
    <x:row r="307">
      <x:c r="A307" s="49" t="s">
        <x:v>1548</x:v>
      </x:c>
      <x:c r="B307" s="50"/>
    </x:row>
    <x:row r="308">
      <x:c r="A308" s="49" t="s">
        <x:v>1553</x:v>
      </x:c>
      <x:c r="B308" s="50"/>
    </x:row>
    <x:row r="309">
      <x:c r="A309" s="49" t="s">
        <x:v>1557</x:v>
      </x:c>
      <x:c r="B309" s="50"/>
    </x:row>
    <x:row r="310">
      <x:c r="A310" s="49" t="s">
        <x:v>1562</x:v>
      </x:c>
      <x:c r="B310" s="50"/>
    </x:row>
    <x:row r="311">
      <x:c r="A311" s="49" t="s">
        <x:v>1567</x:v>
      </x:c>
      <x:c r="B311" s="50"/>
    </x:row>
    <x:row r="312">
      <x:c r="A312" s="49" t="s">
        <x:v>1572</x:v>
      </x:c>
      <x:c r="B312" s="50"/>
    </x:row>
    <x:row r="313">
      <x:c r="A313" s="49" t="s">
        <x:v>1577</x:v>
      </x:c>
      <x:c r="B313" s="50"/>
    </x:row>
    <x:row r="314">
      <x:c r="A314" s="49" t="s">
        <x:v>1581</x:v>
      </x:c>
      <x:c r="B314" s="50"/>
    </x:row>
    <x:row r="315">
      <x:c r="A315" s="49" t="s">
        <x:v>1585</x:v>
      </x:c>
      <x:c r="B315" s="50"/>
    </x:row>
    <x:row r="316">
      <x:c r="A316" s="49" t="s">
        <x:v>1589</x:v>
      </x:c>
      <x:c r="B316" s="50"/>
    </x:row>
    <x:row r="317">
      <x:c r="A317" s="49" t="s">
        <x:v>1593</x:v>
      </x:c>
      <x:c r="B317" s="50"/>
    </x:row>
    <x:row r="318">
      <x:c r="A318" s="49" t="s">
        <x:v>1598</x:v>
      </x:c>
      <x:c r="B318" s="50"/>
    </x:row>
    <x:row r="319">
      <x:c r="A319" s="49" t="s">
        <x:v>1602</x:v>
      </x:c>
      <x:c r="B319" s="50"/>
    </x:row>
    <x:row r="320">
      <x:c r="A320" s="49" t="s">
        <x:v>1607</x:v>
      </x:c>
      <x:c r="B320" s="50"/>
    </x:row>
    <x:row r="321">
      <x:c r="A321" s="49" t="s">
        <x:v>1612</x:v>
      </x:c>
      <x:c r="B321" s="50"/>
    </x:row>
    <x:row r="322">
      <x:c r="A322" s="49" t="s">
        <x:v>1617</x:v>
      </x:c>
      <x:c r="B322" s="50"/>
    </x:row>
    <x:row r="323">
      <x:c r="A323" s="49" t="s">
        <x:v>1622</x:v>
      </x:c>
      <x:c r="B323" s="50"/>
    </x:row>
    <x:row r="324">
      <x:c r="A324" s="49" t="s">
        <x:v>1626</x:v>
      </x:c>
      <x:c r="B324" s="50"/>
    </x:row>
    <x:row r="325">
      <x:c r="A325" s="49" t="s">
        <x:v>1630</x:v>
      </x:c>
      <x:c r="B325" s="50"/>
    </x:row>
    <x:row r="326">
      <x:c r="A326" s="49" t="s">
        <x:v>1635</x:v>
      </x:c>
      <x:c r="B326" s="50"/>
    </x:row>
    <x:row r="327">
      <x:c r="A327" s="49" t="s">
        <x:v>1640</x:v>
      </x:c>
      <x:c r="B327" s="50"/>
    </x:row>
    <x:row r="328">
      <x:c r="A328" s="49" t="s">
        <x:v>1645</x:v>
      </x:c>
      <x:c r="B328" s="50"/>
    </x:row>
    <x:row r="329">
      <x:c r="A329" s="49" t="s">
        <x:v>1650</x:v>
      </x:c>
      <x:c r="B329" s="50"/>
    </x:row>
    <x:row r="330">
      <x:c r="A330" s="49" t="s">
        <x:v>1654</x:v>
      </x:c>
      <x:c r="B330" s="50"/>
    </x:row>
    <x:row r="331">
      <x:c r="A331" s="49" t="s">
        <x:v>1659</x:v>
      </x:c>
      <x:c r="B331" s="50"/>
    </x:row>
    <x:row r="332">
      <x:c r="A332" s="49" t="s">
        <x:v>38</x:v>
      </x:c>
      <x:c r="B332" s="50"/>
    </x:row>
    <x:row r="333">
      <x:c r="A333" s="49" t="s">
        <x:v>1668</x:v>
      </x:c>
      <x:c r="B333" s="50"/>
    </x:row>
    <x:row r="334">
      <x:c r="A334" s="49" t="s">
        <x:v>1673</x:v>
      </x:c>
      <x:c r="B334" s="50"/>
    </x:row>
    <x:row r="335">
      <x:c r="A335" s="49" t="s">
        <x:v>1678</x:v>
      </x:c>
      <x:c r="B335" s="50"/>
    </x:row>
    <x:row r="336">
      <x:c r="A336" s="49" t="s">
        <x:v>1682</x:v>
      </x:c>
      <x:c r="B336" s="50"/>
    </x:row>
    <x:row r="337">
      <x:c r="A337" s="49" t="s">
        <x:v>1687</x:v>
      </x:c>
      <x:c r="B337" s="50"/>
    </x:row>
    <x:row r="338">
      <x:c r="A338" s="49" t="s">
        <x:v>1692</x:v>
      </x:c>
      <x:c r="B338" s="50"/>
    </x:row>
    <x:row r="339">
      <x:c r="A339" s="49" t="s">
        <x:v>1696</x:v>
      </x:c>
      <x:c r="B339" s="50"/>
    </x:row>
    <x:row r="340">
      <x:c r="A340" s="49" t="s">
        <x:v>1701</x:v>
      </x:c>
      <x:c r="B340" s="50"/>
    </x:row>
    <x:row r="341">
      <x:c r="A341" s="49" t="s">
        <x:v>1706</x:v>
      </x:c>
      <x:c r="B341" s="50"/>
    </x:row>
    <x:row r="342">
      <x:c r="A342" s="49" t="s">
        <x:v>1710</x:v>
      </x:c>
      <x:c r="B342" s="50"/>
    </x:row>
    <x:row r="343">
      <x:c r="A343" s="49" t="s">
        <x:v>1714</x:v>
      </x:c>
      <x:c r="B343" s="50"/>
    </x:row>
    <x:row r="344">
      <x:c r="A344" s="49" t="s">
        <x:v>1718</x:v>
      </x:c>
      <x:c r="B344" s="50"/>
    </x:row>
    <x:row r="345">
      <x:c r="A345" s="49" t="s">
        <x:v>1722</x:v>
      </x:c>
      <x:c r="B345" s="50"/>
    </x:row>
    <x:row r="346">
      <x:c r="A346" s="49" t="s">
        <x:v>1727</x:v>
      </x:c>
      <x:c r="B346" s="50"/>
    </x:row>
    <x:row r="347">
      <x:c r="A347" s="49" t="s">
        <x:v>1731</x:v>
      </x:c>
      <x:c r="B347" s="50"/>
    </x:row>
    <x:row r="348">
      <x:c r="A348" s="49" t="s">
        <x:v>1735</x:v>
      </x:c>
      <x:c r="B348" s="50"/>
    </x:row>
    <x:row r="349">
      <x:c r="A349" s="49" t="s">
        <x:v>1740</x:v>
      </x:c>
      <x:c r="B349" s="50"/>
    </x:row>
    <x:row r="350">
      <x:c r="A350" s="49" t="s">
        <x:v>1745</x:v>
      </x:c>
      <x:c r="B350" s="50"/>
    </x:row>
    <x:row r="351">
      <x:c r="A351" s="49" t="s">
        <x:v>1750</x:v>
      </x:c>
      <x:c r="B351" s="50"/>
    </x:row>
    <x:row r="352">
      <x:c r="A352" s="49" t="s">
        <x:v>1755</x:v>
      </x:c>
      <x:c r="B352" s="50"/>
    </x:row>
    <x:row r="353">
      <x:c r="A353" s="49" t="s">
        <x:v>1759</x:v>
      </x:c>
      <x:c r="B353" s="50"/>
    </x:row>
    <x:row r="354">
      <x:c r="A354" s="49" t="s">
        <x:v>1763</x:v>
      </x:c>
      <x:c r="B354" s="50"/>
    </x:row>
    <x:row r="355">
      <x:c r="A355" s="49" t="s">
        <x:v>1767</x:v>
      </x:c>
      <x:c r="B355" s="50"/>
    </x:row>
    <x:row r="356">
      <x:c r="A356" s="49" t="s">
        <x:v>1772</x:v>
      </x:c>
      <x:c r="B356" s="50"/>
    </x:row>
    <x:row r="357">
      <x:c r="A357" s="49" t="s">
        <x:v>1776</x:v>
      </x:c>
      <x:c r="B357" s="50"/>
    </x:row>
    <x:row r="358">
      <x:c r="A358" s="49" t="s">
        <x:v>1781</x:v>
      </x:c>
      <x:c r="B358" s="50"/>
    </x:row>
    <x:row r="359">
      <x:c r="A359" s="49" t="s">
        <x:v>1786</x:v>
      </x:c>
      <x:c r="B359" s="50"/>
    </x:row>
    <x:row r="360">
      <x:c r="A360" s="49" t="s">
        <x:v>1791</x:v>
      </x:c>
      <x:c r="B360" s="50"/>
    </x:row>
    <x:row r="361">
      <x:c r="A361" s="49" t="s">
        <x:v>1795</x:v>
      </x:c>
      <x:c r="B361" s="50"/>
    </x:row>
    <x:row r="362">
      <x:c r="A362" s="49" t="s">
        <x:v>1800</x:v>
      </x:c>
      <x:c r="B362" s="50"/>
    </x:row>
    <x:row r="363">
      <x:c r="A363" s="49" t="s">
        <x:v>1806</x:v>
      </x:c>
      <x:c r="B363" s="50"/>
    </x:row>
    <x:row r="364">
      <x:c r="A364" s="49" t="s">
        <x:v>1812</x:v>
      </x:c>
      <x:c r="B364" s="50"/>
    </x:row>
    <x:row r="365">
      <x:c r="A365" s="49" t="s">
        <x:v>1816</x:v>
      </x:c>
      <x:c r="B365" s="50"/>
    </x:row>
    <x:row r="366">
      <x:c r="A366" s="49" t="s">
        <x:v>1820</x:v>
      </x:c>
      <x:c r="B366" s="50"/>
    </x:row>
    <x:row r="367">
      <x:c r="A367" s="49" t="s">
        <x:v>1825</x:v>
      </x:c>
      <x:c r="B367" s="50"/>
    </x:row>
    <x:row r="368">
      <x:c r="A368" s="49" t="s">
        <x:v>1830</x:v>
      </x:c>
      <x:c r="B368" s="50"/>
    </x:row>
    <x:row r="369">
      <x:c r="A369" s="49" t="s">
        <x:v>1835</x:v>
      </x:c>
      <x:c r="B369" s="50"/>
    </x:row>
    <x:row r="370">
      <x:c r="A370" s="49" t="s">
        <x:v>1840</x:v>
      </x:c>
      <x:c r="B370" s="50"/>
    </x:row>
    <x:row r="371">
      <x:c r="A371" s="49" t="s">
        <x:v>1845</x:v>
      </x:c>
      <x:c r="B371" s="50"/>
    </x:row>
    <x:row r="372">
      <x:c r="A372" s="49" t="s">
        <x:v>1850</x:v>
      </x:c>
      <x:c r="B372" s="50"/>
    </x:row>
    <x:row r="373">
      <x:c r="A373" s="49" t="s">
        <x:v>1855</x:v>
      </x:c>
      <x:c r="B373" s="50"/>
    </x:row>
    <x:row r="374">
      <x:c r="A374" s="49" t="s">
        <x:v>1860</x:v>
      </x:c>
      <x:c r="B374" s="50"/>
    </x:row>
    <x:row r="375">
      <x:c r="A375" s="49" t="s">
        <x:v>1865</x:v>
      </x:c>
      <x:c r="B375" s="50"/>
    </x:row>
    <x:row r="376">
      <x:c r="A376" s="49" t="s">
        <x:v>1869</x:v>
      </x:c>
      <x:c r="B376" s="50"/>
    </x:row>
    <x:row r="377">
      <x:c r="A377" s="49" t="s">
        <x:v>1874</x:v>
      </x:c>
      <x:c r="B377" s="50"/>
    </x:row>
    <x:row r="378">
      <x:c r="A378" s="49" t="s">
        <x:v>1879</x:v>
      </x:c>
      <x:c r="B378" s="50"/>
    </x:row>
    <x:row r="379">
      <x:c r="A379" s="49" t="s">
        <x:v>1884</x:v>
      </x:c>
      <x:c r="B379" s="50"/>
    </x:row>
    <x:row r="380">
      <x:c r="A380" s="49" t="s">
        <x:v>1889</x:v>
      </x:c>
      <x:c r="B380" s="50"/>
    </x:row>
    <x:row r="381">
      <x:c r="A381" s="49" t="s">
        <x:v>1893</x:v>
      </x:c>
      <x:c r="B381" s="50"/>
    </x:row>
    <x:row r="382">
      <x:c r="A382" s="49" t="s">
        <x:v>1897</x:v>
      </x:c>
      <x:c r="B382" s="50"/>
    </x:row>
    <x:row r="383">
      <x:c r="A383" s="49" t="s">
        <x:v>1902</x:v>
      </x:c>
      <x:c r="B383" s="50"/>
    </x:row>
    <x:row r="384">
      <x:c r="A384" s="49" t="s">
        <x:v>1906</x:v>
      </x:c>
      <x:c r="B384" s="50"/>
    </x:row>
    <x:row r="385">
      <x:c r="A385" s="49" t="s">
        <x:v>1911</x:v>
      </x:c>
      <x:c r="B385" s="50"/>
    </x:row>
    <x:row r="386">
      <x:c r="A386" s="49" t="s">
        <x:v>1916</x:v>
      </x:c>
      <x:c r="B386" s="50"/>
    </x:row>
    <x:row r="387">
      <x:c r="A387" s="49" t="s">
        <x:v>1920</x:v>
      </x:c>
      <x:c r="B387" s="50"/>
    </x:row>
    <x:row r="388">
      <x:c r="A388" s="49" t="s">
        <x:v>1925</x:v>
      </x:c>
      <x:c r="B388" s="50"/>
    </x:row>
    <x:row r="389">
      <x:c r="A389" s="49" t="s">
        <x:v>1929</x:v>
      </x:c>
      <x:c r="B389" s="50"/>
    </x:row>
    <x:row r="390">
      <x:c r="A390" s="49" t="s">
        <x:v>1933</x:v>
      </x:c>
      <x:c r="B390" s="50"/>
    </x:row>
    <x:row r="391">
      <x:c r="A391" s="49" t="s">
        <x:v>1937</x:v>
      </x:c>
      <x:c r="B391" s="50"/>
    </x:row>
    <x:row r="392">
      <x:c r="A392" s="49" t="s">
        <x:v>1941</x:v>
      </x:c>
      <x:c r="B392" s="50"/>
    </x:row>
    <x:row r="393">
      <x:c r="A393" s="49" t="s">
        <x:v>1946</x:v>
      </x:c>
      <x:c r="B393" s="50"/>
    </x:row>
    <x:row r="394">
      <x:c r="A394" s="49" t="s">
        <x:v>1950</x:v>
      </x:c>
      <x:c r="B394" s="50"/>
    </x:row>
    <x:row r="395">
      <x:c r="A395" s="49" t="s">
        <x:v>1954</x:v>
      </x:c>
      <x:c r="B395" s="50"/>
    </x:row>
    <x:row r="396">
      <x:c r="A396" s="49" t="s">
        <x:v>1959</x:v>
      </x:c>
      <x:c r="B396" s="50"/>
    </x:row>
    <x:row r="397">
      <x:c r="A397" s="49" t="s">
        <x:v>1963</x:v>
      </x:c>
      <x:c r="B397" s="50"/>
    </x:row>
    <x:row r="398">
      <x:c r="A398" s="49" t="s">
        <x:v>1968</x:v>
      </x:c>
      <x:c r="B398" s="50"/>
    </x:row>
    <x:row r="399">
      <x:c r="A399" s="49" t="s">
        <x:v>1973</x:v>
      </x:c>
      <x:c r="B399" s="50"/>
    </x:row>
    <x:row r="400">
      <x:c r="A400" s="49" t="s">
        <x:v>1977</x:v>
      </x:c>
      <x:c r="B400" s="50"/>
    </x:row>
    <x:row r="401">
      <x:c r="A401" s="49" t="s">
        <x:v>1981</x:v>
      </x:c>
      <x:c r="B401" s="50"/>
    </x:row>
    <x:row r="402">
      <x:c r="A402" s="49" t="s">
        <x:v>1986</x:v>
      </x:c>
      <x:c r="B402" s="50"/>
    </x:row>
    <x:row r="403">
      <x:c r="A403" s="49" t="s">
        <x:v>1990</x:v>
      </x:c>
      <x:c r="B403" s="50"/>
    </x:row>
    <x:row r="404">
      <x:c r="A404" s="49" t="s">
        <x:v>1994</x:v>
      </x:c>
      <x:c r="B404" s="50"/>
    </x:row>
    <x:row r="405">
      <x:c r="A405" s="49" t="s">
        <x:v>1999</x:v>
      </x:c>
      <x:c r="B405" s="50"/>
    </x:row>
    <x:row r="406">
      <x:c r="A406" s="49" t="s">
        <x:v>2003</x:v>
      </x:c>
      <x:c r="B406" s="50"/>
    </x:row>
    <x:row r="407">
      <x:c r="A407" s="49" t="s">
        <x:v>2008</x:v>
      </x:c>
      <x:c r="B407" s="50"/>
    </x:row>
    <x:row r="408">
      <x:c r="A408" s="49" t="s">
        <x:v>2012</x:v>
      </x:c>
      <x:c r="B408" s="50"/>
    </x:row>
    <x:row r="409">
      <x:c r="A409" s="49" t="s">
        <x:v>2017</x:v>
      </x:c>
      <x:c r="B409" s="50"/>
    </x:row>
    <x:row r="410">
      <x:c r="A410" s="49" t="s">
        <x:v>2022</x:v>
      </x:c>
      <x:c r="B410" s="50"/>
    </x:row>
    <x:row r="411">
      <x:c r="A411" s="49" t="s">
        <x:v>2027</x:v>
      </x:c>
      <x:c r="B411" s="50"/>
    </x:row>
    <x:row r="412">
      <x:c r="A412" s="49" t="s">
        <x:v>2032</x:v>
      </x:c>
      <x:c r="B412" s="50"/>
    </x:row>
    <x:row r="413">
      <x:c r="A413" s="49" t="s">
        <x:v>2037</x:v>
      </x:c>
      <x:c r="B413" s="50"/>
    </x:row>
    <x:row r="414">
      <x:c r="A414" s="49" t="s">
        <x:v>2042</x:v>
      </x:c>
      <x:c r="B414" s="50"/>
    </x:row>
    <x:row r="415">
      <x:c r="A415" s="49" t="s">
        <x:v>2047</x:v>
      </x:c>
      <x:c r="B415" s="50"/>
    </x:row>
    <x:row r="416">
      <x:c r="A416" s="49" t="s">
        <x:v>2052</x:v>
      </x:c>
      <x:c r="B416" s="50"/>
    </x:row>
    <x:row r="417">
      <x:c r="A417" s="49" t="s">
        <x:v>2057</x:v>
      </x:c>
      <x:c r="B417" s="50"/>
    </x:row>
    <x:row r="418">
      <x:c r="A418" s="49" t="s">
        <x:v>2062</x:v>
      </x:c>
      <x:c r="B418" s="50"/>
    </x:row>
    <x:row r="419">
      <x:c r="A419" s="49" t="s">
        <x:v>2066</x:v>
      </x:c>
      <x:c r="B419" s="50"/>
    </x:row>
    <x:row r="420">
      <x:c r="A420" s="49" t="s">
        <x:v>2071</x:v>
      </x:c>
      <x:c r="B420" s="50"/>
    </x:row>
    <x:row r="421">
      <x:c r="A421" s="49" t="s">
        <x:v>2076</x:v>
      </x:c>
      <x:c r="B421" s="50"/>
    </x:row>
    <x:row r="422">
      <x:c r="A422" s="49" t="s">
        <x:v>2080</x:v>
      </x:c>
      <x:c r="B422" s="50"/>
    </x:row>
    <x:row r="423">
      <x:c r="A423" s="49" t="s">
        <x:v>2085</x:v>
      </x:c>
      <x:c r="B423" s="50"/>
    </x:row>
    <x:row r="424">
      <x:c r="A424" s="49" t="s">
        <x:v>2089</x:v>
      </x:c>
      <x:c r="B424" s="50"/>
    </x:row>
    <x:row r="425">
      <x:c r="A425" s="49" t="s">
        <x:v>2093</x:v>
      </x:c>
      <x:c r="B425" s="50"/>
    </x:row>
    <x:row r="426">
      <x:c r="A426" s="49" t="s">
        <x:v>2098</x:v>
      </x:c>
      <x:c r="B426" s="50"/>
    </x:row>
    <x:row r="427">
      <x:c r="A427" s="49" t="s">
        <x:v>2103</x:v>
      </x:c>
      <x:c r="B427" s="50"/>
    </x:row>
    <x:row r="428">
      <x:c r="A428" s="49" t="s">
        <x:v>2108</x:v>
      </x:c>
      <x:c r="B428" s="50"/>
    </x:row>
    <x:row r="429">
      <x:c r="A429" s="49" t="s">
        <x:v>2113</x:v>
      </x:c>
      <x:c r="B429" s="50"/>
    </x:row>
    <x:row r="430">
      <x:c r="A430" s="49" t="s">
        <x:v>2117</x:v>
      </x:c>
      <x:c r="B430" s="50"/>
    </x:row>
    <x:row r="431">
      <x:c r="A431" s="49" t="s">
        <x:v>2122</x:v>
      </x:c>
      <x:c r="B431" s="50"/>
    </x:row>
    <x:row r="432">
      <x:c r="A432" s="49" t="s">
        <x:v>2127</x:v>
      </x:c>
      <x:c r="B432" s="50"/>
    </x:row>
    <x:row r="433">
      <x:c r="A433" s="49" t="s">
        <x:v>2131</x:v>
      </x:c>
      <x:c r="B433" s="50"/>
    </x:row>
    <x:row r="434">
      <x:c r="A434" s="49" t="s">
        <x:v>2136</x:v>
      </x:c>
      <x:c r="B434" s="50"/>
    </x:row>
    <x:row r="435">
      <x:c r="A435" s="49" t="s">
        <x:v>2141</x:v>
      </x:c>
      <x:c r="B435" s="50"/>
    </x:row>
    <x:row r="436">
      <x:c r="A436" s="49" t="s">
        <x:v>2145</x:v>
      </x:c>
      <x:c r="B436" s="50"/>
    </x:row>
    <x:row r="437">
      <x:c r="A437" s="49" t="s">
        <x:v>2150</x:v>
      </x:c>
      <x:c r="B437" s="50"/>
    </x:row>
    <x:row r="438">
      <x:c r="A438" s="49" t="s">
        <x:v>2155</x:v>
      </x:c>
      <x:c r="B438" s="50"/>
    </x:row>
    <x:row r="439">
      <x:c r="A439" s="49" t="s">
        <x:v>2160</x:v>
      </x:c>
      <x:c r="B439" s="50"/>
    </x:row>
    <x:row r="440">
      <x:c r="A440" s="49" t="s">
        <x:v>2164</x:v>
      </x:c>
      <x:c r="B440" s="50"/>
    </x:row>
    <x:row r="441">
      <x:c r="A441" s="49" t="s">
        <x:v>2169</x:v>
      </x:c>
      <x:c r="B441" s="50"/>
    </x:row>
    <x:row r="442">
      <x:c r="A442" s="49" t="s">
        <x:v>2174</x:v>
      </x:c>
      <x:c r="B442" s="50"/>
    </x:row>
    <x:row r="443">
      <x:c r="A443" s="49" t="s">
        <x:v>2178</x:v>
      </x:c>
      <x:c r="B443" s="50"/>
    </x:row>
    <x:row r="444">
      <x:c r="A444" s="49" t="s">
        <x:v>2183</x:v>
      </x:c>
      <x:c r="B444" s="50"/>
    </x:row>
    <x:row r="445">
      <x:c r="A445" s="49" t="s">
        <x:v>2188</x:v>
      </x:c>
      <x:c r="B445" s="50"/>
    </x:row>
    <x:row r="446">
      <x:c r="A446" s="49" t="s">
        <x:v>2193</x:v>
      </x:c>
      <x:c r="B446" s="50"/>
    </x:row>
    <x:row r="447">
      <x:c r="A447" s="49" t="s">
        <x:v>2197</x:v>
      </x:c>
      <x:c r="B447" s="50"/>
    </x:row>
    <x:row r="448">
      <x:c r="A448" s="49" t="s">
        <x:v>2201</x:v>
      </x:c>
      <x:c r="B448" s="50"/>
    </x:row>
    <x:row r="449">
      <x:c r="A449" s="49" t="s">
        <x:v>2206</x:v>
      </x:c>
      <x:c r="B449" s="50"/>
    </x:row>
    <x:row r="450">
      <x:c r="A450" s="49" t="s">
        <x:v>2210</x:v>
      </x:c>
      <x:c r="B450" s="50"/>
    </x:row>
    <x:row r="451">
      <x:c r="A451" s="49" t="s">
        <x:v>2215</x:v>
      </x:c>
      <x:c r="B451" s="50"/>
    </x:row>
    <x:row r="452">
      <x:c r="A452" s="49" t="s">
        <x:v>2220</x:v>
      </x:c>
      <x:c r="B452" s="50"/>
    </x:row>
    <x:row r="453">
      <x:c r="A453" s="49" t="s">
        <x:v>2224</x:v>
      </x:c>
      <x:c r="B453" s="50"/>
    </x:row>
    <x:row r="454">
      <x:c r="A454" s="49" t="s">
        <x:v>2229</x:v>
      </x:c>
      <x:c r="B454" s="50"/>
    </x:row>
    <x:row r="455">
      <x:c r="A455" s="49" t="s">
        <x:v>2233</x:v>
      </x:c>
      <x:c r="B455" s="50"/>
    </x:row>
    <x:row r="456">
      <x:c r="A456" s="49" t="s">
        <x:v>2238</x:v>
      </x:c>
      <x:c r="B456" s="50"/>
    </x:row>
    <x:row r="457">
      <x:c r="A457" s="49" t="s">
        <x:v>2242</x:v>
      </x:c>
      <x:c r="B457" s="50"/>
    </x:row>
    <x:row r="458">
      <x:c r="A458" s="49" t="s">
        <x:v>2246</x:v>
      </x:c>
      <x:c r="B458" s="50"/>
    </x:row>
    <x:row r="459">
      <x:c r="A459" s="49" t="s">
        <x:v>2251</x:v>
      </x:c>
      <x:c r="B459" s="50"/>
    </x:row>
    <x:row r="460">
      <x:c r="A460" s="49" t="s">
        <x:v>2256</x:v>
      </x:c>
      <x:c r="B460" s="50"/>
    </x:row>
    <x:row r="461">
      <x:c r="A461" s="49" t="s">
        <x:v>2261</x:v>
      </x:c>
      <x:c r="B461" s="50"/>
    </x:row>
    <x:row r="462">
      <x:c r="A462" s="49" t="s">
        <x:v>2266</x:v>
      </x:c>
      <x:c r="B462" s="50"/>
    </x:row>
    <x:row r="463">
      <x:c r="A463" s="49" t="s">
        <x:v>2271</x:v>
      </x:c>
      <x:c r="B463" s="50"/>
    </x:row>
    <x:row r="464">
      <x:c r="A464" s="49" t="s">
        <x:v>2276</x:v>
      </x:c>
      <x:c r="B464" s="50"/>
    </x:row>
    <x:row r="465">
      <x:c r="A465" s="49" t="s">
        <x:v>2281</x:v>
      </x:c>
      <x:c r="B465" s="50"/>
    </x:row>
    <x:row r="466">
      <x:c r="A466" s="49" t="s">
        <x:v>2286</x:v>
      </x:c>
      <x:c r="B466" s="50"/>
    </x:row>
    <x:row r="467">
      <x:c r="A467" s="49" t="s">
        <x:v>2291</x:v>
      </x:c>
      <x:c r="B467" s="50"/>
    </x:row>
    <x:row r="468">
      <x:c r="A468" s="49" t="s">
        <x:v>2296</x:v>
      </x:c>
      <x:c r="B468" s="50"/>
    </x:row>
    <x:row r="469">
      <x:c r="A469" s="49" t="s">
        <x:v>2301</x:v>
      </x:c>
      <x:c r="B469" s="50"/>
    </x:row>
    <x:row r="470">
      <x:c r="A470" s="49" t="s">
        <x:v>2305</x:v>
      </x:c>
      <x:c r="B470" s="50"/>
    </x:row>
    <x:row r="471">
      <x:c r="A471" s="49" t="s">
        <x:v>2310</x:v>
      </x:c>
      <x:c r="B471" s="50"/>
    </x:row>
    <x:row r="472">
      <x:c r="A472" s="49" t="s">
        <x:v>2314</x:v>
      </x:c>
      <x:c r="B472" s="50"/>
    </x:row>
    <x:row r="473">
      <x:c r="A473" s="49" t="s">
        <x:v>2318</x:v>
      </x:c>
      <x:c r="B473" s="50"/>
    </x:row>
    <x:row r="474">
      <x:c r="A474" s="49" t="s">
        <x:v>2322</x:v>
      </x:c>
      <x:c r="B474" s="50"/>
    </x:row>
    <x:row r="475">
      <x:c r="A475" s="49" t="s">
        <x:v>2326</x:v>
      </x:c>
      <x:c r="B475" s="50"/>
    </x:row>
    <x:row r="476">
      <x:c r="A476" s="49" t="s">
        <x:v>2331</x:v>
      </x:c>
      <x:c r="B476" s="50"/>
    </x:row>
    <x:row r="477">
      <x:c r="A477" s="49" t="s">
        <x:v>2335</x:v>
      </x:c>
      <x:c r="B477" s="50"/>
    </x:row>
    <x:row r="478">
      <x:c r="A478" s="49" t="s">
        <x:v>2340</x:v>
      </x:c>
      <x:c r="B478" s="50"/>
    </x:row>
    <x:row r="479">
      <x:c r="A479" s="49" t="s">
        <x:v>2345</x:v>
      </x:c>
      <x:c r="B479" s="50"/>
    </x:row>
    <x:row r="480">
      <x:c r="A480" s="49" t="s">
        <x:v>2350</x:v>
      </x:c>
      <x:c r="B480" s="50"/>
    </x:row>
    <x:row r="481">
      <x:c r="A481" s="49" t="s">
        <x:v>2354</x:v>
      </x:c>
      <x:c r="B481" s="50"/>
    </x:row>
    <x:row r="482">
      <x:c r="A482" s="49" t="s">
        <x:v>2358</x:v>
      </x:c>
      <x:c r="B482" s="50"/>
    </x:row>
    <x:row r="483">
      <x:c r="A483" s="49" t="s">
        <x:v>2362</x:v>
      </x:c>
      <x:c r="B483" s="50"/>
    </x:row>
    <x:row r="484">
      <x:c r="A484" s="49" t="s">
        <x:v>2367</x:v>
      </x:c>
      <x:c r="B484" s="50"/>
    </x:row>
    <x:row r="485">
      <x:c r="A485" s="49" t="s">
        <x:v>2372</x:v>
      </x:c>
      <x:c r="B485" s="50"/>
    </x:row>
    <x:row r="486">
      <x:c r="A486" s="49" t="s">
        <x:v>2376</x:v>
      </x:c>
      <x:c r="B486" s="50"/>
    </x:row>
    <x:row r="487">
      <x:c r="A487" s="49" t="s">
        <x:v>2381</x:v>
      </x:c>
      <x:c r="B487" s="50"/>
    </x:row>
    <x:row r="488">
      <x:c r="A488" s="49" t="s">
        <x:v>2386</x:v>
      </x:c>
      <x:c r="B488" s="50"/>
    </x:row>
    <x:row r="489">
      <x:c r="A489" s="49" t="s">
        <x:v>2390</x:v>
      </x:c>
      <x:c r="B489" s="50"/>
    </x:row>
    <x:row r="490">
      <x:c r="A490" s="49" t="s">
        <x:v>2395</x:v>
      </x:c>
      <x:c r="B490" s="50"/>
    </x:row>
    <x:row r="491">
      <x:c r="A491" s="49" t="s">
        <x:v>2400</x:v>
      </x:c>
      <x:c r="B491" s="50"/>
    </x:row>
    <x:row r="492">
      <x:c r="A492" s="49" t="s">
        <x:v>2404</x:v>
      </x:c>
      <x:c r="B492" s="50"/>
    </x:row>
    <x:row r="493">
      <x:c r="A493" s="49" t="s">
        <x:v>2409</x:v>
      </x:c>
      <x:c r="B493" s="50"/>
    </x:row>
    <x:row r="494">
      <x:c r="A494" s="49" t="s">
        <x:v>56</x:v>
      </x:c>
      <x:c r="B494" s="50"/>
    </x:row>
    <x:row r="495">
      <x:c r="A495" s="49" t="s">
        <x:v>2417</x:v>
      </x:c>
      <x:c r="B495" s="50"/>
    </x:row>
    <x:row r="496">
      <x:c r="A496" s="49" t="s">
        <x:v>2422</x:v>
      </x:c>
      <x:c r="B496" s="50"/>
    </x:row>
    <x:row r="497">
      <x:c r="A497" s="49" t="s">
        <x:v>2426</x:v>
      </x:c>
      <x:c r="B497" s="50"/>
    </x:row>
    <x:row r="498">
      <x:c r="A498" s="49" t="s">
        <x:v>2431</x:v>
      </x:c>
      <x:c r="B498" s="50"/>
    </x:row>
    <x:row r="499">
      <x:c r="A499" s="49" t="s">
        <x:v>2436</x:v>
      </x:c>
      <x:c r="B499" s="50"/>
    </x:row>
    <x:row r="500">
      <x:c r="A500" s="49" t="s">
        <x:v>2441</x:v>
      </x:c>
      <x:c r="B500" s="50"/>
    </x:row>
    <x:row r="501">
      <x:c r="A501" s="49" t="s">
        <x:v>2445</x:v>
      </x:c>
      <x:c r="B501" s="50"/>
    </x:row>
    <x:row r="502">
      <x:c r="A502" s="49" t="s">
        <x:v>2450</x:v>
      </x:c>
      <x:c r="B502" s="50"/>
    </x:row>
    <x:row r="503">
      <x:c r="A503" s="49" t="s">
        <x:v>2455</x:v>
      </x:c>
      <x:c r="B503" s="50"/>
    </x:row>
    <x:row r="504">
      <x:c r="A504" s="49" t="s">
        <x:v>2459</x:v>
      </x:c>
      <x:c r="B504" s="50"/>
    </x:row>
    <x:row r="505">
      <x:c r="A505" s="49" t="s">
        <x:v>2463</x:v>
      </x:c>
      <x:c r="B505" s="50"/>
    </x:row>
    <x:row r="506">
      <x:c r="A506" s="49" t="s">
        <x:v>2467</x:v>
      </x:c>
      <x:c r="B506" s="50"/>
    </x:row>
    <x:row r="507">
      <x:c r="A507" s="49" t="s">
        <x:v>2473</x:v>
      </x:c>
      <x:c r="B507" s="50"/>
    </x:row>
    <x:row r="508">
      <x:c r="A508" s="49" t="s">
        <x:v>2477</x:v>
      </x:c>
      <x:c r="B508" s="50"/>
    </x:row>
    <x:row r="509">
      <x:c r="A509" s="49" t="s">
        <x:v>2482</x:v>
      </x:c>
      <x:c r="B509" s="50"/>
    </x:row>
    <x:row r="510">
      <x:c r="A510" s="49" t="s">
        <x:v>2487</x:v>
      </x:c>
      <x:c r="B510" s="50"/>
    </x:row>
    <x:row r="511">
      <x:c r="A511" s="49" t="s">
        <x:v>2491</x:v>
      </x:c>
      <x:c r="B511" s="50"/>
    </x:row>
    <x:row r="512">
      <x:c r="A512" s="49" t="s">
        <x:v>2495</x:v>
      </x:c>
      <x:c r="B512" s="50"/>
    </x:row>
    <x:row r="513">
      <x:c r="A513" s="49" t="s">
        <x:v>2500</x:v>
      </x:c>
      <x:c r="B513" s="50"/>
    </x:row>
    <x:row r="514">
      <x:c r="A514" s="49" t="s">
        <x:v>2505</x:v>
      </x:c>
      <x:c r="B514" s="50"/>
    </x:row>
    <x:row r="515">
      <x:c r="A515" s="49" t="s">
        <x:v>2509</x:v>
      </x:c>
      <x:c r="B515" s="50"/>
    </x:row>
    <x:row r="516">
      <x:c r="A516" s="49" t="s">
        <x:v>2513</x:v>
      </x:c>
      <x:c r="B516" s="50"/>
    </x:row>
    <x:row r="517">
      <x:c r="A517" s="49" t="s">
        <x:v>2518</x:v>
      </x:c>
      <x:c r="B517" s="50"/>
    </x:row>
    <x:row r="518">
      <x:c r="A518" s="49" t="s">
        <x:v>2523</x:v>
      </x:c>
      <x:c r="B518" s="50"/>
    </x:row>
    <x:row r="519">
      <x:c r="A519" s="49" t="s">
        <x:v>2528</x:v>
      </x:c>
      <x:c r="B519" s="50"/>
    </x:row>
    <x:row r="520">
      <x:c r="A520" s="49" t="s">
        <x:v>2533</x:v>
      </x:c>
      <x:c r="B520" s="50"/>
    </x:row>
    <x:row r="521">
      <x:c r="A521" s="49" t="s">
        <x:v>2537</x:v>
      </x:c>
      <x:c r="B521" s="50"/>
    </x:row>
    <x:row r="522">
      <x:c r="A522" s="49" t="s">
        <x:v>2542</x:v>
      </x:c>
      <x:c r="B522" s="50"/>
    </x:row>
    <x:row r="523">
      <x:c r="A523" s="49" t="s">
        <x:v>2547</x:v>
      </x:c>
      <x:c r="B523" s="50"/>
    </x:row>
    <x:row r="524">
      <x:c r="A524" s="49" t="s">
        <x:v>2552</x:v>
      </x:c>
      <x:c r="B524" s="50"/>
    </x:row>
    <x:row r="525">
      <x:c r="A525" s="49" t="s">
        <x:v>2556</x:v>
      </x:c>
      <x:c r="B525" s="50"/>
    </x:row>
    <x:row r="526">
      <x:c r="A526" s="49" t="s">
        <x:v>2561</x:v>
      </x:c>
      <x:c r="B526" s="50"/>
    </x:row>
    <x:row r="527">
      <x:c r="A527" s="49" t="s">
        <x:v>2566</x:v>
      </x:c>
      <x:c r="B527" s="50"/>
    </x:row>
    <x:row r="528">
      <x:c r="A528" s="49" t="s">
        <x:v>2571</x:v>
      </x:c>
      <x:c r="B528" s="50"/>
    </x:row>
    <x:row r="529">
      <x:c r="A529" s="49" t="s">
        <x:v>2575</x:v>
      </x:c>
      <x:c r="B529" s="50"/>
    </x:row>
    <x:row r="530">
      <x:c r="A530" s="49" t="s">
        <x:v>2579</x:v>
      </x:c>
      <x:c r="B530" s="50"/>
    </x:row>
    <x:row r="531">
      <x:c r="A531" s="49" t="s">
        <x:v>2584</x:v>
      </x:c>
      <x:c r="B531" s="50"/>
    </x:row>
    <x:row r="532">
      <x:c r="A532" s="49" t="s">
        <x:v>2589</x:v>
      </x:c>
      <x:c r="B532" s="50"/>
    </x:row>
    <x:row r="533">
      <x:c r="A533" s="49" t="s">
        <x:v>2594</x:v>
      </x:c>
      <x:c r="B533" s="50"/>
    </x:row>
    <x:row r="534">
      <x:c r="A534" s="49" t="s">
        <x:v>2599</x:v>
      </x:c>
      <x:c r="B534" s="50"/>
    </x:row>
    <x:row r="535">
      <x:c r="A535" s="49" t="s">
        <x:v>2603</x:v>
      </x:c>
      <x:c r="B535" s="50"/>
    </x:row>
    <x:row r="536">
      <x:c r="A536" s="49" t="s">
        <x:v>2608</x:v>
      </x:c>
      <x:c r="B536" s="50"/>
    </x:row>
    <x:row r="537">
      <x:c r="A537" s="49" t="s">
        <x:v>2613</x:v>
      </x:c>
      <x:c r="B537" s="50"/>
    </x:row>
    <x:row r="538">
      <x:c r="A538" s="49" t="s">
        <x:v>2618</x:v>
      </x:c>
      <x:c r="B538" s="50"/>
    </x:row>
    <x:row r="539">
      <x:c r="A539" s="49" t="s">
        <x:v>2623</x:v>
      </x:c>
      <x:c r="B539" s="50"/>
    </x:row>
    <x:row r="540">
      <x:c r="A540" s="49" t="s">
        <x:v>2628</x:v>
      </x:c>
      <x:c r="B540" s="50"/>
    </x:row>
    <x:row r="541">
      <x:c r="A541" s="49" t="s">
        <x:v>2633</x:v>
      </x:c>
      <x:c r="B541" s="50"/>
    </x:row>
    <x:row r="542">
      <x:c r="A542" s="49" t="s">
        <x:v>2638</x:v>
      </x:c>
      <x:c r="B542" s="50"/>
    </x:row>
    <x:row r="543">
      <x:c r="A543" s="49" t="s">
        <x:v>2642</x:v>
      </x:c>
      <x:c r="B543" s="50"/>
    </x:row>
    <x:row r="544">
      <x:c r="A544" s="49" t="s">
        <x:v>2646</x:v>
      </x:c>
      <x:c r="B544" s="50"/>
    </x:row>
    <x:row r="545">
      <x:c r="A545" s="49" t="s">
        <x:v>2650</x:v>
      </x:c>
      <x:c r="B545" s="50"/>
    </x:row>
    <x:row r="546">
      <x:c r="A546" s="49" t="s">
        <x:v>2655</x:v>
      </x:c>
      <x:c r="B546" s="50"/>
    </x:row>
    <x:row r="547">
      <x:c r="A547" s="49" t="s">
        <x:v>2660</x:v>
      </x:c>
      <x:c r="B547" s="50"/>
    </x:row>
    <x:row r="548">
      <x:c r="A548" s="49" t="s">
        <x:v>2665</x:v>
      </x:c>
      <x:c r="B548" s="50"/>
    </x:row>
    <x:row r="549">
      <x:c r="A549" s="49" t="s">
        <x:v>2669</x:v>
      </x:c>
      <x:c r="B549" s="50"/>
    </x:row>
    <x:row r="550">
      <x:c r="A550" s="49" t="s">
        <x:v>2673</x:v>
      </x:c>
      <x:c r="B550" s="50"/>
    </x:row>
    <x:row r="551">
      <x:c r="A551" s="49" t="s">
        <x:v>2677</x:v>
      </x:c>
      <x:c r="B551" s="50"/>
    </x:row>
    <x:row r="552">
      <x:c r="A552" s="49" t="s">
        <x:v>2681</x:v>
      </x:c>
      <x:c r="B552" s="50"/>
    </x:row>
    <x:row r="553">
      <x:c r="A553" s="49" t="s">
        <x:v>2686</x:v>
      </x:c>
      <x:c r="B553" s="50"/>
    </x:row>
    <x:row r="554">
      <x:c r="A554" s="49" t="s">
        <x:v>2690</x:v>
      </x:c>
      <x:c r="B554" s="50"/>
    </x:row>
    <x:row r="555">
      <x:c r="A555" s="49" t="s">
        <x:v>2695</x:v>
      </x:c>
      <x:c r="B555" s="50"/>
    </x:row>
    <x:row r="556">
      <x:c r="A556" s="49" t="s">
        <x:v>2699</x:v>
      </x:c>
      <x:c r="B556" s="50"/>
    </x:row>
    <x:row r="557">
      <x:c r="A557" s="49" t="s">
        <x:v>2703</x:v>
      </x:c>
      <x:c r="B557" s="50"/>
    </x:row>
    <x:row r="558">
      <x:c r="A558" s="49" t="s">
        <x:v>2708</x:v>
      </x:c>
      <x:c r="B558" s="50"/>
    </x:row>
    <x:row r="559">
      <x:c r="A559" s="49" t="s">
        <x:v>2713</x:v>
      </x:c>
      <x:c r="B559" s="50"/>
    </x:row>
    <x:row r="560">
      <x:c r="A560" s="49" t="s">
        <x:v>2718</x:v>
      </x:c>
      <x:c r="B560" s="50"/>
    </x:row>
    <x:row r="561">
      <x:c r="A561" s="49" t="s">
        <x:v>2722</x:v>
      </x:c>
      <x:c r="B561" s="50"/>
    </x:row>
    <x:row r="562">
      <x:c r="A562" s="49" t="s">
        <x:v>2727</x:v>
      </x:c>
      <x:c r="B562" s="50"/>
    </x:row>
    <x:row r="563">
      <x:c r="A563" s="49" t="s">
        <x:v>2732</x:v>
      </x:c>
      <x:c r="B563" s="50"/>
    </x:row>
    <x:row r="564">
      <x:c r="A564" s="49" t="s">
        <x:v>2736</x:v>
      </x:c>
      <x:c r="B564" s="50"/>
    </x:row>
    <x:row r="565">
      <x:c r="A565" s="49" t="s">
        <x:v>2741</x:v>
      </x:c>
      <x:c r="B565" s="50"/>
    </x:row>
    <x:row r="566">
      <x:c r="A566" s="49" t="s">
        <x:v>2746</x:v>
      </x:c>
      <x:c r="B566" s="50"/>
    </x:row>
    <x:row r="567">
      <x:c r="A567" s="49" t="s">
        <x:v>2750</x:v>
      </x:c>
      <x:c r="B567" s="50"/>
    </x:row>
    <x:row r="568">
      <x:c r="A568" s="49" t="s">
        <x:v>2755</x:v>
      </x:c>
      <x:c r="B568" s="50"/>
    </x:row>
    <x:row r="569">
      <x:c r="A569" s="49" t="s">
        <x:v>28</x:v>
      </x:c>
      <x:c r="B569" s="50"/>
    </x:row>
    <x:row r="570">
      <x:c r="A570" s="49" t="s">
        <x:v>2763</x:v>
      </x:c>
      <x:c r="B570" s="50"/>
    </x:row>
    <x:row r="571">
      <x:c r="A571" s="49" t="s">
        <x:v>2767</x:v>
      </x:c>
      <x:c r="B571" s="50"/>
    </x:row>
    <x:row r="572">
      <x:c r="A572" s="49" t="s">
        <x:v>2772</x:v>
      </x:c>
      <x:c r="B572" s="50"/>
    </x:row>
    <x:row r="573">
      <x:c r="A573" s="49" t="s">
        <x:v>2777</x:v>
      </x:c>
      <x:c r="B573" s="50"/>
    </x:row>
    <x:row r="574">
      <x:c r="A574" s="49" t="s">
        <x:v>2781</x:v>
      </x:c>
      <x:c r="B574" s="50"/>
    </x:row>
    <x:row r="575">
      <x:c r="A575" s="49" t="s">
        <x:v>2785</x:v>
      </x:c>
      <x:c r="B575" s="50"/>
    </x:row>
    <x:row r="576">
      <x:c r="A576" s="49" t="s">
        <x:v>2789</x:v>
      </x:c>
      <x:c r="B576" s="50"/>
    </x:row>
    <x:row r="577">
      <x:c r="A577" s="49" t="s">
        <x:v>2793</x:v>
      </x:c>
      <x:c r="B577" s="50"/>
    </x:row>
    <x:row r="578">
      <x:c r="A578" s="49" t="s">
        <x:v>2797</x:v>
      </x:c>
      <x:c r="B578" s="50"/>
    </x:row>
    <x:row r="579">
      <x:c r="A579" s="49" t="s">
        <x:v>2802</x:v>
      </x:c>
      <x:c r="B579" s="50"/>
    </x:row>
    <x:row r="580">
      <x:c r="A580" s="49" t="s">
        <x:v>2806</x:v>
      </x:c>
      <x:c r="B580" s="50"/>
    </x:row>
    <x:row r="581">
      <x:c r="A581" s="49" t="s">
        <x:v>2811</x:v>
      </x:c>
      <x:c r="B581" s="50"/>
    </x:row>
    <x:row r="582">
      <x:c r="A582" s="49" t="s">
        <x:v>2816</x:v>
      </x:c>
      <x:c r="B582" s="50"/>
    </x:row>
    <x:row r="583">
      <x:c r="A583" s="49" t="s">
        <x:v>2821</x:v>
      </x:c>
      <x:c r="B583" s="50"/>
    </x:row>
    <x:row r="584">
      <x:c r="A584" s="49" t="s">
        <x:v>2825</x:v>
      </x:c>
      <x:c r="B584" s="50"/>
    </x:row>
    <x:row r="585">
      <x:c r="A585" s="49" t="s">
        <x:v>2829</x:v>
      </x:c>
      <x:c r="B585" s="50"/>
    </x:row>
    <x:row r="586">
      <x:c r="A586" s="49" t="s">
        <x:v>2833</x:v>
      </x:c>
      <x:c r="B586" s="50"/>
    </x:row>
    <x:row r="587">
      <x:c r="A587" s="49" t="s">
        <x:v>2837</x:v>
      </x:c>
      <x:c r="B587" s="50"/>
    </x:row>
    <x:row r="588">
      <x:c r="A588" s="49" t="s">
        <x:v>2841</x:v>
      </x:c>
      <x:c r="B588" s="50"/>
    </x:row>
    <x:row r="589">
      <x:c r="A589" s="49" t="s">
        <x:v>2845</x:v>
      </x:c>
      <x:c r="B589" s="50"/>
    </x:row>
    <x:row r="590">
      <x:c r="A590" s="49" t="s">
        <x:v>2849</x:v>
      </x:c>
      <x:c r="B590" s="50"/>
    </x:row>
    <x:row r="591">
      <x:c r="A591" s="49" t="s">
        <x:v>2853</x:v>
      </x:c>
      <x:c r="B591" s="50"/>
    </x:row>
    <x:row r="592">
      <x:c r="A592" s="49" t="s">
        <x:v>2857</x:v>
      </x:c>
      <x:c r="B592" s="50"/>
    </x:row>
    <x:row r="593">
      <x:c r="A593" s="49" t="s">
        <x:v>2862</x:v>
      </x:c>
      <x:c r="B593" s="50"/>
    </x:row>
    <x:row r="594">
      <x:c r="A594" s="49" t="s">
        <x:v>69</x:v>
      </x:c>
      <x:c r="B594" s="50"/>
    </x:row>
    <x:row r="595">
      <x:c r="A595" s="49" t="s">
        <x:v>44</x:v>
      </x:c>
      <x:c r="B595" s="50"/>
    </x:row>
    <x:row r="596">
      <x:c r="A596" s="49" t="s">
        <x:v>2878</x:v>
      </x:c>
      <x:c r="B596" s="50"/>
    </x:row>
    <x:row r="597">
      <x:c r="A597" s="49" t="s">
        <x:v>2883</x:v>
      </x:c>
      <x:c r="B597" s="50"/>
    </x:row>
    <x:row r="598">
      <x:c r="A598" s="49" t="s">
        <x:v>2888</x:v>
      </x:c>
      <x:c r="B598" s="50"/>
    </x:row>
    <x:row r="599">
      <x:c r="A599" s="49" t="s">
        <x:v>2893</x:v>
      </x:c>
      <x:c r="B599" s="50"/>
    </x:row>
    <x:row r="600">
      <x:c r="A600" s="49" t="s">
        <x:v>2897</x:v>
      </x:c>
      <x:c r="B600" s="50"/>
    </x:row>
    <x:row r="601">
      <x:c r="A601" s="49" t="s">
        <x:v>2902</x:v>
      </x:c>
      <x:c r="B601" s="50"/>
    </x:row>
    <x:row r="602">
      <x:c r="A602" s="49" t="s">
        <x:v>2906</x:v>
      </x:c>
      <x:c r="B602" s="50"/>
    </x:row>
    <x:row r="603">
      <x:c r="A603" s="49" t="s">
        <x:v>2911</x:v>
      </x:c>
      <x:c r="B603" s="50"/>
    </x:row>
    <x:row r="604">
      <x:c r="A604" s="49" t="s">
        <x:v>2916</x:v>
      </x:c>
      <x:c r="B604" s="50"/>
    </x:row>
    <x:row r="605">
      <x:c r="A605" s="49" t="s">
        <x:v>2920</x:v>
      </x:c>
      <x:c r="B605" s="50"/>
    </x:row>
    <x:row r="606">
      <x:c r="A606" s="49" t="s">
        <x:v>2925</x:v>
      </x:c>
      <x:c r="B606" s="50"/>
    </x:row>
    <x:row r="607">
      <x:c r="A607" s="49" t="s">
        <x:v>2929</x:v>
      </x:c>
      <x:c r="B607" s="50"/>
    </x:row>
    <x:row r="608">
      <x:c r="A608" s="49" t="s">
        <x:v>2933</x:v>
      </x:c>
      <x:c r="B608" s="50"/>
    </x:row>
    <x:row r="609">
      <x:c r="A609" s="49" t="s">
        <x:v>2938</x:v>
      </x:c>
      <x:c r="B609" s="50"/>
    </x:row>
    <x:row r="610">
      <x:c r="A610" s="49" t="s">
        <x:v>2943</x:v>
      </x:c>
      <x:c r="B610" s="50"/>
    </x:row>
    <x:row r="611">
      <x:c r="A611" s="49" t="s">
        <x:v>2947</x:v>
      </x:c>
      <x:c r="B611" s="50"/>
    </x:row>
    <x:row r="612">
      <x:c r="A612" s="49" t="s">
        <x:v>2951</x:v>
      </x:c>
      <x:c r="B612" s="50"/>
    </x:row>
    <x:row r="613">
      <x:c r="A613" s="49" t="s">
        <x:v>2955</x:v>
      </x:c>
      <x:c r="B613" s="50"/>
    </x:row>
    <x:row r="614">
      <x:c r="A614" s="49" t="s">
        <x:v>2959</x:v>
      </x:c>
      <x:c r="B614" s="50"/>
    </x:row>
    <x:row r="615">
      <x:c r="A615" s="49" t="s">
        <x:v>2963</x:v>
      </x:c>
      <x:c r="B615" s="50"/>
    </x:row>
    <x:row r="616">
      <x:c r="A616" s="49" t="s">
        <x:v>2967</x:v>
      </x:c>
      <x:c r="B616" s="50"/>
    </x:row>
    <x:row r="617">
      <x:c r="A617" s="49" t="s">
        <x:v>2971</x:v>
      </x:c>
      <x:c r="B617" s="50"/>
    </x:row>
    <x:row r="618">
      <x:c r="A618" s="49" t="s">
        <x:v>2975</x:v>
      </x:c>
      <x:c r="B618" s="50"/>
    </x:row>
    <x:row r="619">
      <x:c r="A619" s="49" t="s">
        <x:v>2979</x:v>
      </x:c>
      <x:c r="B619" s="50"/>
    </x:row>
    <x:row r="620">
      <x:c r="A620" s="49" t="s">
        <x:v>2983</x:v>
      </x:c>
      <x:c r="B620" s="50"/>
    </x:row>
    <x:row r="621">
      <x:c r="A621" s="49" t="s">
        <x:v>2987</x:v>
      </x:c>
      <x:c r="B621" s="50"/>
    </x:row>
    <x:row r="622">
      <x:c r="A622" s="49" t="s">
        <x:v>2991</x:v>
      </x:c>
      <x:c r="B622" s="50"/>
    </x:row>
    <x:row r="623">
      <x:c r="A623" s="49" t="s">
        <x:v>2995</x:v>
      </x:c>
      <x:c r="B623" s="50"/>
    </x:row>
    <x:row r="624">
      <x:c r="A624" s="49" t="s">
        <x:v>2999</x:v>
      </x:c>
      <x:c r="B624" s="50"/>
    </x:row>
    <x:row r="625">
      <x:c r="A625" s="49" t="s">
        <x:v>3003</x:v>
      </x:c>
      <x:c r="B625" s="50"/>
    </x:row>
    <x:row r="626">
      <x:c r="A626" s="49" t="s">
        <x:v>3007</x:v>
      </x:c>
      <x:c r="B626" s="50"/>
    </x:row>
    <x:row r="627">
      <x:c r="A627" s="49" t="s">
        <x:v>3011</x:v>
      </x:c>
      <x:c r="B627" s="50"/>
    </x:row>
    <x:row r="628">
      <x:c r="A628" s="49" t="s">
        <x:v>3016</x:v>
      </x:c>
      <x:c r="B628" s="50"/>
    </x:row>
    <x:row r="629">
      <x:c r="A629" s="49" t="s">
        <x:v>3020</x:v>
      </x:c>
      <x:c r="B629" s="50"/>
    </x:row>
    <x:row r="630">
      <x:c r="A630" s="49" t="s">
        <x:v>3024</x:v>
      </x:c>
      <x:c r="B630" s="50"/>
    </x:row>
    <x:row r="631">
      <x:c r="A631" s="49" t="s">
        <x:v>3029</x:v>
      </x:c>
      <x:c r="B631" s="50"/>
    </x:row>
    <x:row r="632">
      <x:c r="A632" s="49" t="s">
        <x:v>3033</x:v>
      </x:c>
      <x:c r="B632" s="50"/>
    </x:row>
    <x:row r="633">
      <x:c r="A633" s="49" t="s">
        <x:v>3037</x:v>
      </x:c>
      <x:c r="B633" s="50"/>
    </x:row>
    <x:row r="634">
      <x:c r="A634" s="49" t="s">
        <x:v>3041</x:v>
      </x:c>
      <x:c r="B634" s="50"/>
    </x:row>
    <x:row r="635">
      <x:c r="A635" s="49" t="s">
        <x:v>3046</x:v>
      </x:c>
      <x:c r="B635" s="50"/>
    </x:row>
    <x:row r="636">
      <x:c r="A636" s="49" t="s">
        <x:v>3051</x:v>
      </x:c>
      <x:c r="B636" s="50"/>
    </x:row>
    <x:row r="637">
      <x:c r="A637" s="49" t="s">
        <x:v>3055</x:v>
      </x:c>
      <x:c r="B637" s="50"/>
    </x:row>
    <x:row r="638">
      <x:c r="A638" s="49" t="s">
        <x:v>3060</x:v>
      </x:c>
      <x:c r="B638" s="50"/>
    </x:row>
    <x:row r="639">
      <x:c r="A639" s="49" t="s">
        <x:v>3065</x:v>
      </x:c>
      <x:c r="B639" s="50"/>
    </x:row>
    <x:row r="640">
      <x:c r="A640" s="49" t="s">
        <x:v>3069</x:v>
      </x:c>
      <x:c r="B640" s="50"/>
    </x:row>
    <x:row r="641">
      <x:c r="A641" s="49" t="s">
        <x:v>3073</x:v>
      </x:c>
      <x:c r="B641" s="50"/>
    </x:row>
    <x:row r="642">
      <x:c r="A642" s="49" t="s">
        <x:v>3077</x:v>
      </x:c>
      <x:c r="B642" s="50"/>
    </x:row>
    <x:row r="643">
      <x:c r="A643" s="49" t="s">
        <x:v>3081</x:v>
      </x:c>
      <x:c r="B643" s="50"/>
    </x:row>
    <x:row r="644">
      <x:c r="A644" s="49" t="s">
        <x:v>3086</x:v>
      </x:c>
      <x:c r="B644" s="50"/>
    </x:row>
    <x:row r="645">
      <x:c r="A645" s="49" t="s">
        <x:v>3091</x:v>
      </x:c>
      <x:c r="B645" s="50"/>
    </x:row>
    <x:row r="646">
      <x:c r="A646" s="49" t="s">
        <x:v>3095</x:v>
      </x:c>
      <x:c r="B646" s="50"/>
    </x:row>
    <x:row r="647">
      <x:c r="A647" s="49" t="s">
        <x:v>3099</x:v>
      </x:c>
      <x:c r="B647" s="50"/>
    </x:row>
    <x:row r="648">
      <x:c r="A648" s="49" t="s">
        <x:v>3104</x:v>
      </x:c>
      <x:c r="B648" s="50"/>
    </x:row>
    <x:row r="649">
      <x:c r="A649" s="49" t="s">
        <x:v>3109</x:v>
      </x:c>
      <x:c r="B649" s="50"/>
    </x:row>
    <x:row r="650">
      <x:c r="A650" s="49" t="s">
        <x:v>3114</x:v>
      </x:c>
      <x:c r="B650" s="50"/>
    </x:row>
    <x:row r="651">
      <x:c r="A651" s="49" t="s">
        <x:v>3118</x:v>
      </x:c>
      <x:c r="B651" s="50"/>
    </x:row>
    <x:row r="652">
      <x:c r="A652" s="49" t="s">
        <x:v>3122</x:v>
      </x:c>
      <x:c r="B652" s="50"/>
    </x:row>
    <x:row r="653">
      <x:c r="A653" s="49" t="s">
        <x:v>3126</x:v>
      </x:c>
      <x:c r="B653" s="50"/>
    </x:row>
    <x:row r="654">
      <x:c r="A654" s="49" t="s">
        <x:v>3131</x:v>
      </x:c>
      <x:c r="B654" s="50"/>
    </x:row>
    <x:row r="655">
      <x:c r="A655" s="49" t="s">
        <x:v>3135</x:v>
      </x:c>
      <x:c r="B655" s="50"/>
    </x:row>
    <x:row r="656">
      <x:c r="A656" s="49" t="s">
        <x:v>3139</x:v>
      </x:c>
      <x:c r="B656" s="50"/>
    </x:row>
    <x:row r="657">
      <x:c r="A657" s="49" t="s">
        <x:v>3144</x:v>
      </x:c>
      <x:c r="B657" s="50"/>
    </x:row>
    <x:row r="658">
      <x:c r="A658" s="49" t="s">
        <x:v>3148</x:v>
      </x:c>
      <x:c r="B658" s="50"/>
    </x:row>
    <x:row r="659">
      <x:c r="A659" s="49" t="s">
        <x:v>3152</x:v>
      </x:c>
      <x:c r="B659" s="50"/>
    </x:row>
    <x:row r="660">
      <x:c r="A660" s="49" t="s">
        <x:v>3156</x:v>
      </x:c>
      <x:c r="B660" s="50"/>
    </x:row>
    <x:row r="661">
      <x:c r="A661" s="49" t="s">
        <x:v>3160</x:v>
      </x:c>
      <x:c r="B661" s="50"/>
    </x:row>
    <x:row r="662">
      <x:c r="A662" s="49" t="s">
        <x:v>3164</x:v>
      </x:c>
      <x:c r="B662" s="50"/>
    </x:row>
    <x:row r="663">
      <x:c r="A663" s="49" t="s">
        <x:v>3169</x:v>
      </x:c>
      <x:c r="B663" s="50"/>
    </x:row>
    <x:row r="664">
      <x:c r="A664" s="49" t="s">
        <x:v>3175</x:v>
      </x:c>
      <x:c r="B664" s="50"/>
    </x:row>
    <x:row r="665">
      <x:c r="A665" s="49" t="s">
        <x:v>3180</x:v>
      </x:c>
      <x:c r="B665" s="50"/>
    </x:row>
    <x:row r="666">
      <x:c r="A666" s="49" t="s">
        <x:v>3184</x:v>
      </x:c>
      <x:c r="B666" s="50"/>
    </x:row>
    <x:row r="667">
      <x:c r="A667" s="49" t="s">
        <x:v>3189</x:v>
      </x:c>
      <x:c r="B667" s="50"/>
    </x:row>
    <x:row r="668">
      <x:c r="A668" s="49" t="s">
        <x:v>3194</x:v>
      </x:c>
      <x:c r="B668" s="50"/>
    </x:row>
    <x:row r="669">
      <x:c r="A669" s="49" t="s">
        <x:v>3199</x:v>
      </x:c>
      <x:c r="B669" s="50"/>
    </x:row>
    <x:row r="670">
      <x:c r="A670" s="49" t="s">
        <x:v>3203</x:v>
      </x:c>
      <x:c r="B670" s="50"/>
    </x:row>
    <x:row r="671">
      <x:c r="A671" s="49" t="s">
        <x:v>3207</x:v>
      </x:c>
      <x:c r="B671" s="50"/>
    </x:row>
    <x:row r="672">
      <x:c r="A672" s="49" t="s">
        <x:v>3211</x:v>
      </x:c>
      <x:c r="B672" s="50"/>
    </x:row>
    <x:row r="673">
      <x:c r="A673" s="49" t="s">
        <x:v>3216</x:v>
      </x:c>
      <x:c r="B673" s="50"/>
    </x:row>
    <x:row r="674">
      <x:c r="A674" s="49" t="s">
        <x:v>3220</x:v>
      </x:c>
      <x:c r="B674" s="50"/>
    </x:row>
    <x:row r="675">
      <x:c r="A675" s="49" t="s">
        <x:v>3225</x:v>
      </x:c>
      <x:c r="B675" s="50"/>
    </x:row>
    <x:row r="676">
      <x:c r="A676" s="49" t="s">
        <x:v>3229</x:v>
      </x:c>
      <x:c r="B676" s="50"/>
    </x:row>
    <x:row r="677">
      <x:c r="A677" s="49" t="s">
        <x:v>3233</x:v>
      </x:c>
      <x:c r="B677" s="50"/>
    </x:row>
    <x:row r="678">
      <x:c r="A678" s="49" t="s">
        <x:v>3238</x:v>
      </x:c>
      <x:c r="B678" s="50"/>
    </x:row>
    <x:row r="679">
      <x:c r="A679" s="49" t="s">
        <x:v>3242</x:v>
      </x:c>
      <x:c r="B679" s="50"/>
    </x:row>
    <x:row r="680">
      <x:c r="A680" s="49" t="s">
        <x:v>3247</x:v>
      </x:c>
      <x:c r="B680" s="50"/>
    </x:row>
    <x:row r="681">
      <x:c r="A681" s="49" t="s">
        <x:v>3251</x:v>
      </x:c>
      <x:c r="B681" s="50"/>
    </x:row>
    <x:row r="682">
      <x:c r="A682" s="49" t="s">
        <x:v>3256</x:v>
      </x:c>
      <x:c r="B682" s="50"/>
    </x:row>
    <x:row r="683">
      <x:c r="A683" s="49" t="s">
        <x:v>3260</x:v>
      </x:c>
      <x:c r="B683" s="50"/>
    </x:row>
    <x:row r="684">
      <x:c r="A684" s="49" t="s">
        <x:v>3264</x:v>
      </x:c>
      <x:c r="B684" s="50"/>
    </x:row>
    <x:row r="685">
      <x:c r="A685" s="49" t="s">
        <x:v>3269</x:v>
      </x:c>
      <x:c r="B685" s="50"/>
    </x:row>
    <x:row r="686">
      <x:c r="A686" s="49" t="s">
        <x:v>3274</x:v>
      </x:c>
      <x:c r="B686" s="50"/>
    </x:row>
    <x:row r="687">
      <x:c r="A687" s="49" t="s">
        <x:v>3279</x:v>
      </x:c>
      <x:c r="B687" s="50"/>
    </x:row>
    <x:row r="688">
      <x:c r="A688" s="49" t="s">
        <x:v>3284</x:v>
      </x:c>
      <x:c r="B688" s="50"/>
    </x:row>
    <x:row r="689">
      <x:c r="A689" s="49" t="s">
        <x:v>3289</x:v>
      </x:c>
      <x:c r="B689" s="50"/>
    </x:row>
    <x:row r="690">
      <x:c r="A690" s="49" t="s">
        <x:v>3294</x:v>
      </x:c>
      <x:c r="B690" s="50"/>
    </x:row>
    <x:row r="691">
      <x:c r="A691" s="49" t="s">
        <x:v>3299</x:v>
      </x:c>
      <x:c r="B691" s="50"/>
    </x:row>
    <x:row r="692">
      <x:c r="A692" s="49" t="s">
        <x:v>3303</x:v>
      </x:c>
      <x:c r="B692" s="50"/>
    </x:row>
    <x:row r="693">
      <x:c r="A693" s="49" t="s">
        <x:v>3307</x:v>
      </x:c>
      <x:c r="B693" s="50"/>
    </x:row>
    <x:row r="694">
      <x:c r="A694" s="49" t="s">
        <x:v>3312</x:v>
      </x:c>
      <x:c r="B694" s="50"/>
    </x:row>
    <x:row r="695">
      <x:c r="A695" s="49" t="s">
        <x:v>3317</x:v>
      </x:c>
      <x:c r="B695" s="50"/>
    </x:row>
    <x:row r="696">
      <x:c r="A696" s="49" t="s">
        <x:v>3321</x:v>
      </x:c>
      <x:c r="B696" s="50"/>
    </x:row>
    <x:row r="697">
      <x:c r="A697" s="49" t="s">
        <x:v>3326</x:v>
      </x:c>
      <x:c r="B697" s="50"/>
    </x:row>
    <x:row r="698">
      <x:c r="A698" s="49" t="s">
        <x:v>3331</x:v>
      </x:c>
      <x:c r="B698" s="50"/>
    </x:row>
    <x:row r="699">
      <x:c r="A699" s="49" t="s">
        <x:v>3335</x:v>
      </x:c>
      <x:c r="B699" s="50"/>
    </x:row>
    <x:row r="700">
      <x:c r="A700" s="49" t="s">
        <x:v>3339</x:v>
      </x:c>
      <x:c r="B700" s="50"/>
    </x:row>
    <x:row r="701">
      <x:c r="A701" s="49" t="s">
        <x:v>3343</x:v>
      </x:c>
      <x:c r="B701" s="50"/>
    </x:row>
    <x:row r="702">
      <x:c r="A702" s="49" t="s">
        <x:v>3347</x:v>
      </x:c>
      <x:c r="B702" s="50"/>
    </x:row>
    <x:row r="703">
      <x:c r="A703" s="49" t="s">
        <x:v>3352</x:v>
      </x:c>
      <x:c r="B703" s="50"/>
    </x:row>
    <x:row r="704">
      <x:c r="A704" s="49" t="s">
        <x:v>3356</x:v>
      </x:c>
      <x:c r="B704" s="50"/>
    </x:row>
    <x:row r="705">
      <x:c r="A705" s="49" t="s">
        <x:v>3361</x:v>
      </x:c>
      <x:c r="B705" s="50"/>
    </x:row>
    <x:row r="706">
      <x:c r="A706" s="49" t="s">
        <x:v>3365</x:v>
      </x:c>
      <x:c r="B706" s="50"/>
    </x:row>
    <x:row r="707">
      <x:c r="A707" s="49" t="s">
        <x:v>3370</x:v>
      </x:c>
      <x:c r="B707" s="50"/>
    </x:row>
    <x:row r="708">
      <x:c r="A708" s="49" t="s">
        <x:v>3374</x:v>
      </x:c>
      <x:c r="B708" s="50"/>
    </x:row>
    <x:row r="709">
      <x:c r="A709" s="49" t="s">
        <x:v>3378</x:v>
      </x:c>
      <x:c r="B709" s="50"/>
    </x:row>
    <x:row r="710">
      <x:c r="A710" s="49" t="s">
        <x:v>40</x:v>
      </x:c>
      <x:c r="B710" s="50"/>
    </x:row>
    <x:row r="711">
      <x:c r="A711" s="49" t="s">
        <x:v>3387</x:v>
      </x:c>
      <x:c r="B711" s="50"/>
    </x:row>
    <x:row r="712">
      <x:c r="A712" s="49" t="s">
        <x:v>25</x:v>
      </x:c>
      <x:c r="B712" s="50"/>
    </x:row>
    <x:row r="713">
      <x:c r="A713" s="49" t="s">
        <x:v>3395</x:v>
      </x:c>
      <x:c r="B713" s="50"/>
    </x:row>
    <x:row r="714">
      <x:c r="A714" s="49" t="s">
        <x:v>3399</x:v>
      </x:c>
      <x:c r="B714" s="50"/>
    </x:row>
    <x:row r="715">
      <x:c r="A715" s="49" t="s">
        <x:v>3403</x:v>
      </x:c>
      <x:c r="B715" s="50"/>
    </x:row>
    <x:row r="716">
      <x:c r="A716" s="49" t="s">
        <x:v>3408</x:v>
      </x:c>
      <x:c r="B716" s="50"/>
    </x:row>
    <x:row r="717">
      <x:c r="A717" s="49" t="s">
        <x:v>3412</x:v>
      </x:c>
      <x:c r="B717" s="50"/>
    </x:row>
    <x:row r="718">
      <x:c r="A718" s="49" t="s">
        <x:v>3416</x:v>
      </x:c>
      <x:c r="B718" s="50"/>
    </x:row>
    <x:row r="719">
      <x:c r="A719" s="49" t="s">
        <x:v>3420</x:v>
      </x:c>
      <x:c r="B719" s="50"/>
    </x:row>
    <x:row r="720">
      <x:c r="A720" s="49" t="s">
        <x:v>3425</x:v>
      </x:c>
      <x:c r="B720" s="50"/>
    </x:row>
    <x:row r="721">
      <x:c r="A721" s="49" t="s">
        <x:v>3430</x:v>
      </x:c>
      <x:c r="B721" s="50"/>
    </x:row>
    <x:row r="722">
      <x:c r="A722" s="49" t="s">
        <x:v>3435</x:v>
      </x:c>
      <x:c r="B722" s="50"/>
    </x:row>
    <x:row r="723">
      <x:c r="A723" s="49" t="s">
        <x:v>3440</x:v>
      </x:c>
      <x:c r="B723" s="50"/>
    </x:row>
    <x:row r="724">
      <x:c r="A724" s="49" t="s">
        <x:v>3444</x:v>
      </x:c>
      <x:c r="B724" s="50"/>
    </x:row>
    <x:row r="725">
      <x:c r="A725" s="49" t="s">
        <x:v>3449</x:v>
      </x:c>
      <x:c r="B725" s="50"/>
    </x:row>
    <x:row r="726">
      <x:c r="A726" s="49" t="s">
        <x:v>3453</x:v>
      </x:c>
      <x:c r="B726" s="50"/>
    </x:row>
    <x:row r="727">
      <x:c r="A727" s="49" t="s">
        <x:v>3457</x:v>
      </x:c>
      <x:c r="B727" s="50"/>
    </x:row>
    <x:row r="728">
      <x:c r="A728" s="49" t="s">
        <x:v>3461</x:v>
      </x:c>
      <x:c r="B728" s="50"/>
    </x:row>
    <x:row r="729">
      <x:c r="A729" s="49" t="s">
        <x:v>3466</x:v>
      </x:c>
      <x:c r="B729" s="50"/>
    </x:row>
    <x:row r="730">
      <x:c r="A730" s="49" t="s">
        <x:v>3471</x:v>
      </x:c>
      <x:c r="B730" s="50"/>
    </x:row>
    <x:row r="731">
      <x:c r="A731" s="49" t="s">
        <x:v>3475</x:v>
      </x:c>
      <x:c r="B731" s="50"/>
    </x:row>
    <x:row r="732">
      <x:c r="A732" s="49" t="s">
        <x:v>3480</x:v>
      </x:c>
      <x:c r="B732" s="50"/>
    </x:row>
    <x:row r="733">
      <x:c r="A733" s="49" t="s">
        <x:v>3485</x:v>
      </x:c>
      <x:c r="B733" s="50"/>
    </x:row>
    <x:row r="734">
      <x:c r="A734" s="49" t="s">
        <x:v>3490</x:v>
      </x:c>
      <x:c r="B734" s="50"/>
    </x:row>
    <x:row r="735">
      <x:c r="A735" s="49" t="s">
        <x:v>3494</x:v>
      </x:c>
      <x:c r="B735" s="50"/>
    </x:row>
    <x:row r="736">
      <x:c r="A736" s="49" t="s">
        <x:v>3499</x:v>
      </x:c>
      <x:c r="B736" s="50"/>
    </x:row>
    <x:row r="737">
      <x:c r="A737" s="49" t="s">
        <x:v>3503</x:v>
      </x:c>
      <x:c r="B737" s="50"/>
    </x:row>
    <x:row r="738">
      <x:c r="A738" s="49" t="s">
        <x:v>3508</x:v>
      </x:c>
      <x:c r="B738" s="50"/>
    </x:row>
    <x:row r="739">
      <x:c r="A739" s="49" t="s">
        <x:v>3513</x:v>
      </x:c>
      <x:c r="B739" s="50"/>
    </x:row>
    <x:row r="740">
      <x:c r="A740" s="49" t="s">
        <x:v>3518</x:v>
      </x:c>
      <x:c r="B740" s="50"/>
    </x:row>
    <x:row r="741">
      <x:c r="A741" s="49" t="s">
        <x:v>3522</x:v>
      </x:c>
      <x:c r="B741" s="50"/>
    </x:row>
    <x:row r="742">
      <x:c r="A742" s="49" t="s">
        <x:v>3526</x:v>
      </x:c>
      <x:c r="B742" s="50"/>
    </x:row>
    <x:row r="743">
      <x:c r="A743" s="49" t="s">
        <x:v>3530</x:v>
      </x:c>
      <x:c r="B743" s="50"/>
    </x:row>
    <x:row r="744">
      <x:c r="A744" s="49" t="s">
        <x:v>3534</x:v>
      </x:c>
      <x:c r="B744" s="50"/>
    </x:row>
    <x:row r="745">
      <x:c r="A745" s="49" t="s">
        <x:v>3539</x:v>
      </x:c>
      <x:c r="B745" s="50"/>
    </x:row>
    <x:row r="746">
      <x:c r="A746" s="49" t="s">
        <x:v>3543</x:v>
      </x:c>
      <x:c r="B746" s="50"/>
    </x:row>
    <x:row r="747">
      <x:c r="A747" s="49" t="s">
        <x:v>3548</x:v>
      </x:c>
      <x:c r="B747" s="50"/>
    </x:row>
    <x:row r="748">
      <x:c r="A748" s="49" t="s">
        <x:v>3553</x:v>
      </x:c>
      <x:c r="B748" s="50"/>
    </x:row>
    <x:row r="749">
      <x:c r="A749" s="49" t="s">
        <x:v>3558</x:v>
      </x:c>
      <x:c r="B749" s="50"/>
    </x:row>
    <x:row r="750">
      <x:c r="A750" s="49" t="s">
        <x:v>3562</x:v>
      </x:c>
      <x:c r="B750" s="50"/>
    </x:row>
    <x:row r="751">
      <x:c r="A751" s="49" t="s">
        <x:v>3567</x:v>
      </x:c>
      <x:c r="B751" s="50"/>
    </x:row>
    <x:row r="752">
      <x:c r="A752" s="49" t="s">
        <x:v>3572</x:v>
      </x:c>
      <x:c r="B752" s="50"/>
    </x:row>
    <x:row r="753">
      <x:c r="A753" s="49" t="s">
        <x:v>3576</x:v>
      </x:c>
      <x:c r="B753" s="50"/>
    </x:row>
    <x:row r="754">
      <x:c r="A754" s="49" t="s">
        <x:v>3580</x:v>
      </x:c>
      <x:c r="B754" s="50"/>
    </x:row>
    <x:row r="755">
      <x:c r="A755" s="49" t="s">
        <x:v>3585</x:v>
      </x:c>
      <x:c r="B755" s="50"/>
    </x:row>
    <x:row r="756">
      <x:c r="A756" s="49" t="s">
        <x:v>3590</x:v>
      </x:c>
      <x:c r="B756" s="50"/>
    </x:row>
    <x:row r="757">
      <x:c r="A757" s="49" t="s">
        <x:v>3595</x:v>
      </x:c>
      <x:c r="B757" s="50"/>
    </x:row>
    <x:row r="758">
      <x:c r="A758" s="49" t="s">
        <x:v>3600</x:v>
      </x:c>
      <x:c r="B758" s="50"/>
    </x:row>
    <x:row r="759">
      <x:c r="A759" s="49" t="s">
        <x:v>3605</x:v>
      </x:c>
      <x:c r="B759" s="50"/>
    </x:row>
    <x:row r="760">
      <x:c r="A760" s="49" t="s">
        <x:v>3610</x:v>
      </x:c>
      <x:c r="B760" s="50"/>
    </x:row>
    <x:row r="761">
      <x:c r="A761" s="49" t="s">
        <x:v>90</x:v>
      </x:c>
      <x:c r="B761" s="50"/>
    </x:row>
    <x:row r="762">
      <x:c r="A762" s="49" t="s">
        <x:v>3618</x:v>
      </x:c>
      <x:c r="B762" s="50"/>
    </x:row>
    <x:row r="763">
      <x:c r="A763" s="49" t="s">
        <x:v>3622</x:v>
      </x:c>
      <x:c r="B763" s="50"/>
    </x:row>
    <x:row r="764">
      <x:c r="A764" s="49" t="s">
        <x:v>3627</x:v>
      </x:c>
      <x:c r="B764" s="50"/>
    </x:row>
    <x:row r="765">
      <x:c r="A765" s="49" t="s">
        <x:v>3632</x:v>
      </x:c>
      <x:c r="B765" s="50"/>
    </x:row>
    <x:row r="766">
      <x:c r="A766" s="49" t="s">
        <x:v>3637</x:v>
      </x:c>
      <x:c r="B766" s="50"/>
    </x:row>
    <x:row r="767">
      <x:c r="A767" s="49" t="s">
        <x:v>3642</x:v>
      </x:c>
      <x:c r="B767" s="50"/>
    </x:row>
    <x:row r="768">
      <x:c r="A768" s="49" t="s">
        <x:v>3646</x:v>
      </x:c>
      <x:c r="B768" s="50"/>
    </x:row>
    <x:row r="769">
      <x:c r="A769" s="49" t="s">
        <x:v>3650</x:v>
      </x:c>
      <x:c r="B769" s="50"/>
    </x:row>
    <x:row r="770">
      <x:c r="A770" s="49" t="s">
        <x:v>3655</x:v>
      </x:c>
      <x:c r="B770" s="50"/>
    </x:row>
    <x:row r="771">
      <x:c r="A771" s="49" t="s">
        <x:v>3660</x:v>
      </x:c>
      <x:c r="B771" s="50"/>
    </x:row>
    <x:row r="772">
      <x:c r="A772" s="49" t="s">
        <x:v>3665</x:v>
      </x:c>
      <x:c r="B772" s="50"/>
    </x:row>
    <x:row r="773">
      <x:c r="A773" s="49" t="s">
        <x:v>3670</x:v>
      </x:c>
      <x:c r="B773" s="50"/>
    </x:row>
    <x:row r="774">
      <x:c r="A774" s="49" t="s">
        <x:v>3674</x:v>
      </x:c>
      <x:c r="B774" s="50"/>
    </x:row>
    <x:row r="775">
      <x:c r="A775" s="49" t="s">
        <x:v>3679</x:v>
      </x:c>
      <x:c r="B775" s="50"/>
    </x:row>
    <x:row r="776">
      <x:c r="A776" s="49" t="s">
        <x:v>3683</x:v>
      </x:c>
      <x:c r="B776" s="50"/>
    </x:row>
    <x:row r="777">
      <x:c r="A777" s="49" t="s">
        <x:v>3687</x:v>
      </x:c>
      <x:c r="B777" s="50"/>
    </x:row>
    <x:row r="778">
      <x:c r="A778" s="49" t="s">
        <x:v>3691</x:v>
      </x:c>
      <x:c r="B778" s="50"/>
    </x:row>
    <x:row r="779">
      <x:c r="A779" s="49" t="s">
        <x:v>3696</x:v>
      </x:c>
      <x:c r="B779" s="50"/>
    </x:row>
    <x:row r="780">
      <x:c r="A780" s="49" t="s">
        <x:v>3701</x:v>
      </x:c>
      <x:c r="B780" s="50"/>
    </x:row>
    <x:row r="781">
      <x:c r="A781" s="49" t="s">
        <x:v>3705</x:v>
      </x:c>
      <x:c r="B781" s="50"/>
    </x:row>
    <x:row r="782">
      <x:c r="A782" s="49" t="s">
        <x:v>3710</x:v>
      </x:c>
      <x:c r="B782" s="50"/>
    </x:row>
    <x:row r="783">
      <x:c r="A783" s="49" t="s">
        <x:v>3715</x:v>
      </x:c>
      <x:c r="B783" s="50"/>
    </x:row>
    <x:row r="784">
      <x:c r="A784" s="49" t="s">
        <x:v>3720</x:v>
      </x:c>
      <x:c r="B784" s="50"/>
    </x:row>
    <x:row r="785">
      <x:c r="A785" s="49" t="s">
        <x:v>3724</x:v>
      </x:c>
      <x:c r="B785" s="50"/>
    </x:row>
    <x:row r="786">
      <x:c r="A786" s="49" t="s">
        <x:v>3728</x:v>
      </x:c>
      <x:c r="B786" s="50"/>
    </x:row>
    <x:row r="787">
      <x:c r="A787" s="49" t="s">
        <x:v>3733</x:v>
      </x:c>
      <x:c r="B787" s="50"/>
    </x:row>
    <x:row r="788">
      <x:c r="A788" s="49" t="s">
        <x:v>3737</x:v>
      </x:c>
      <x:c r="B788" s="50"/>
    </x:row>
    <x:row r="789">
      <x:c r="A789" s="49" t="s">
        <x:v>3742</x:v>
      </x:c>
      <x:c r="B789" s="50"/>
    </x:row>
    <x:row r="790">
      <x:c r="A790" s="49" t="s">
        <x:v>3746</x:v>
      </x:c>
      <x:c r="B790" s="50"/>
    </x:row>
    <x:row r="791">
      <x:c r="A791" s="49" t="s">
        <x:v>3751</x:v>
      </x:c>
      <x:c r="B791" s="50"/>
    </x:row>
    <x:row r="792">
      <x:c r="A792" s="49" t="s">
        <x:v>3756</x:v>
      </x:c>
      <x:c r="B792" s="50"/>
    </x:row>
    <x:row r="793">
      <x:c r="A793" s="49" t="s">
        <x:v>3761</x:v>
      </x:c>
      <x:c r="B793" s="50"/>
    </x:row>
    <x:row r="794">
      <x:c r="A794" s="49" t="s">
        <x:v>3765</x:v>
      </x:c>
      <x:c r="B794" s="50"/>
    </x:row>
    <x:row r="795">
      <x:c r="A795" s="49" t="s">
        <x:v>3769</x:v>
      </x:c>
      <x:c r="B795" s="50"/>
    </x:row>
    <x:row r="796">
      <x:c r="A796" s="49" t="s">
        <x:v>3773</x:v>
      </x:c>
      <x:c r="B796" s="50"/>
    </x:row>
    <x:row r="797">
      <x:c r="A797" s="49" t="s">
        <x:v>3777</x:v>
      </x:c>
      <x:c r="B797" s="50"/>
    </x:row>
    <x:row r="798">
      <x:c r="A798" s="49" t="s">
        <x:v>3781</x:v>
      </x:c>
      <x:c r="B798" s="50"/>
    </x:row>
    <x:row r="799">
      <x:c r="A799" s="49" t="s">
        <x:v>3786</x:v>
      </x:c>
      <x:c r="B799" s="50"/>
    </x:row>
    <x:row r="800">
      <x:c r="A800" s="49" t="s">
        <x:v>3790</x:v>
      </x:c>
      <x:c r="B800" s="50"/>
    </x:row>
    <x:row r="801">
      <x:c r="A801" s="49" t="s">
        <x:v>3795</x:v>
      </x:c>
      <x:c r="B801" s="50"/>
    </x:row>
    <x:row r="802">
      <x:c r="A802" s="49" t="s">
        <x:v>3799</x:v>
      </x:c>
      <x:c r="B802" s="50"/>
    </x:row>
    <x:row r="803">
      <x:c r="A803" s="49" t="s">
        <x:v>3804</x:v>
      </x:c>
      <x:c r="B803" s="50"/>
    </x:row>
    <x:row r="804">
      <x:c r="A804" s="49" t="s">
        <x:v>3808</x:v>
      </x:c>
      <x:c r="B804" s="50"/>
    </x:row>
    <x:row r="805">
      <x:c r="A805" s="49" t="s">
        <x:v>3813</x:v>
      </x:c>
      <x:c r="B805" s="50"/>
    </x:row>
    <x:row r="806">
      <x:c r="A806" s="49" t="s">
        <x:v>3818</x:v>
      </x:c>
      <x:c r="B806" s="50"/>
    </x:row>
    <x:row r="807">
      <x:c r="A807" s="49" t="s">
        <x:v>3823</x:v>
      </x:c>
      <x:c r="B807" s="50"/>
    </x:row>
    <x:row r="808">
      <x:c r="A808" s="49" t="s">
        <x:v>3827</x:v>
      </x:c>
      <x:c r="B808" s="50"/>
    </x:row>
    <x:row r="809">
      <x:c r="A809" s="49" t="s">
        <x:v>3832</x:v>
      </x:c>
      <x:c r="B809" s="50"/>
    </x:row>
    <x:row r="810">
      <x:c r="A810" s="49" t="s">
        <x:v>3836</x:v>
      </x:c>
      <x:c r="B810" s="50"/>
    </x:row>
    <x:row r="811">
      <x:c r="A811" s="49" t="s">
        <x:v>3840</x:v>
      </x:c>
      <x:c r="B811" s="50"/>
    </x:row>
    <x:row r="812">
      <x:c r="A812" s="49" t="s">
        <x:v>3845</x:v>
      </x:c>
      <x:c r="B812" s="50"/>
    </x:row>
    <x:row r="813">
      <x:c r="A813" s="49" t="s">
        <x:v>3850</x:v>
      </x:c>
      <x:c r="B813" s="50"/>
    </x:row>
    <x:row r="814">
      <x:c r="A814" s="49" t="s">
        <x:v>3855</x:v>
      </x:c>
      <x:c r="B814" s="50"/>
    </x:row>
    <x:row r="815">
      <x:c r="A815" s="49" t="s">
        <x:v>3859</x:v>
      </x:c>
      <x:c r="B815" s="50"/>
    </x:row>
    <x:row r="816">
      <x:c r="A816" s="49" t="s">
        <x:v>3863</x:v>
      </x:c>
      <x:c r="B816" s="50"/>
    </x:row>
    <x:row r="817">
      <x:c r="A817" s="49" t="s">
        <x:v>3868</x:v>
      </x:c>
      <x:c r="B817" s="50"/>
    </x:row>
    <x:row r="818">
      <x:c r="A818" s="49" t="s">
        <x:v>3872</x:v>
      </x:c>
      <x:c r="B818" s="50"/>
    </x:row>
    <x:row r="819">
      <x:c r="A819" s="49" t="s">
        <x:v>3877</x:v>
      </x:c>
      <x:c r="B819" s="50"/>
    </x:row>
    <x:row r="820">
      <x:c r="A820" s="49" t="s">
        <x:v>3881</x:v>
      </x:c>
      <x:c r="B820" s="50"/>
    </x:row>
    <x:row r="821">
      <x:c r="A821" s="49" t="s">
        <x:v>3886</x:v>
      </x:c>
      <x:c r="B821" s="50"/>
    </x:row>
    <x:row r="822">
      <x:c r="A822" s="49" t="s">
        <x:v>3890</x:v>
      </x:c>
      <x:c r="B822" s="50"/>
    </x:row>
    <x:row r="823">
      <x:c r="A823" s="49" t="s">
        <x:v>3895</x:v>
      </x:c>
      <x:c r="B823" s="50"/>
    </x:row>
    <x:row r="824">
      <x:c r="A824" s="49" t="s">
        <x:v>3900</x:v>
      </x:c>
      <x:c r="B824" s="50"/>
    </x:row>
    <x:row r="825">
      <x:c r="A825" s="49" t="s">
        <x:v>3905</x:v>
      </x:c>
      <x:c r="B825" s="50"/>
    </x:row>
    <x:row r="826">
      <x:c r="A826" s="49" t="s">
        <x:v>3909</x:v>
      </x:c>
      <x:c r="B826" s="50"/>
    </x:row>
    <x:row r="827">
      <x:c r="A827" s="49" t="s">
        <x:v>3914</x:v>
      </x:c>
      <x:c r="B827" s="50"/>
    </x:row>
    <x:row r="828">
      <x:c r="A828" s="49" t="s">
        <x:v>3919</x:v>
      </x:c>
      <x:c r="B828" s="50"/>
    </x:row>
    <x:row r="829">
      <x:c r="A829" s="49" t="s">
        <x:v>3923</x:v>
      </x:c>
      <x:c r="B829" s="50"/>
    </x:row>
    <x:row r="830">
      <x:c r="A830" s="49" t="s">
        <x:v>3928</x:v>
      </x:c>
      <x:c r="B830" s="50"/>
    </x:row>
    <x:row r="831">
      <x:c r="A831" s="49" t="s">
        <x:v>3932</x:v>
      </x:c>
      <x:c r="B831" s="50"/>
    </x:row>
    <x:row r="832">
      <x:c r="A832" s="49" t="s">
        <x:v>3937</x:v>
      </x:c>
      <x:c r="B832" s="50"/>
    </x:row>
    <x:row r="833">
      <x:c r="A833" s="49" t="s">
        <x:v>3941</x:v>
      </x:c>
      <x:c r="B833" s="50"/>
    </x:row>
    <x:row r="834">
      <x:c r="A834" s="49" t="s">
        <x:v>3945</x:v>
      </x:c>
      <x:c r="B834" s="50"/>
    </x:row>
    <x:row r="835">
      <x:c r="A835" s="49" t="s">
        <x:v>3949</x:v>
      </x:c>
      <x:c r="B835" s="50"/>
    </x:row>
    <x:row r="836">
      <x:c r="A836" s="49" t="s">
        <x:v>3953</x:v>
      </x:c>
      <x:c r="B836" s="50"/>
    </x:row>
    <x:row r="837">
      <x:c r="A837" s="49" t="s">
        <x:v>16</x:v>
      </x:c>
      <x:c r="B837" s="50"/>
    </x:row>
    <x:row r="838">
      <x:c r="A838" s="49" t="s">
        <x:v>3962</x:v>
      </x:c>
      <x:c r="B838" s="50"/>
    </x:row>
    <x:row r="839">
      <x:c r="A839" s="49" t="s">
        <x:v>3966</x:v>
      </x:c>
      <x:c r="B839" s="50"/>
    </x:row>
    <x:row r="840">
      <x:c r="A840" s="49" t="s">
        <x:v>3971</x:v>
      </x:c>
      <x:c r="B840" s="50"/>
    </x:row>
    <x:row r="841">
      <x:c r="A841" s="49" t="s">
        <x:v>3976</x:v>
      </x:c>
      <x:c r="B841" s="50"/>
    </x:row>
    <x:row r="842">
      <x:c r="A842" s="49" t="s">
        <x:v>3981</x:v>
      </x:c>
      <x:c r="B842" s="50"/>
    </x:row>
    <x:row r="843">
      <x:c r="A843" s="49" t="s">
        <x:v>3986</x:v>
      </x:c>
      <x:c r="B843" s="50"/>
    </x:row>
    <x:row r="844">
      <x:c r="A844" s="49" t="s">
        <x:v>3991</x:v>
      </x:c>
      <x:c r="B844" s="50"/>
    </x:row>
    <x:row r="845">
      <x:c r="A845" s="49" t="s">
        <x:v>3995</x:v>
      </x:c>
      <x:c r="B845" s="50"/>
    </x:row>
    <x:row r="846">
      <x:c r="A846" s="49" t="s">
        <x:v>3999</x:v>
      </x:c>
      <x:c r="B846" s="50"/>
    </x:row>
    <x:row r="847">
      <x:c r="A847" s="49" t="s">
        <x:v>4003</x:v>
      </x:c>
      <x:c r="B847" s="50"/>
    </x:row>
    <x:row r="848">
      <x:c r="A848" s="49" t="s">
        <x:v>4007</x:v>
      </x:c>
      <x:c r="B848" s="50"/>
    </x:row>
    <x:row r="849">
      <x:c r="A849" s="49" t="s">
        <x:v>4012</x:v>
      </x:c>
      <x:c r="B849" s="50"/>
    </x:row>
    <x:row r="850">
      <x:c r="A850" s="49" t="s">
        <x:v>4016</x:v>
      </x:c>
      <x:c r="B850" s="50"/>
    </x:row>
    <x:row r="851">
      <x:c r="A851" s="49" t="s">
        <x:v>4021</x:v>
      </x:c>
      <x:c r="B851" s="50"/>
    </x:row>
    <x:row r="852">
      <x:c r="A852" s="49" t="s">
        <x:v>4025</x:v>
      </x:c>
      <x:c r="B852" s="50"/>
    </x:row>
    <x:row r="853">
      <x:c r="A853" s="49" t="s">
        <x:v>4030</x:v>
      </x:c>
      <x:c r="B853" s="50"/>
    </x:row>
    <x:row r="854">
      <x:c r="A854" s="49" t="s">
        <x:v>4034</x:v>
      </x:c>
      <x:c r="B854" s="50"/>
    </x:row>
    <x:row r="855">
      <x:c r="A855" s="49" t="s">
        <x:v>4039</x:v>
      </x:c>
      <x:c r="B855" s="50"/>
    </x:row>
    <x:row r="856">
      <x:c r="A856" s="49" t="s">
        <x:v>4044</x:v>
      </x:c>
      <x:c r="B856" s="50"/>
    </x:row>
    <x:row r="857">
      <x:c r="A857" s="49" t="s">
        <x:v>4048</x:v>
      </x:c>
      <x:c r="B857" s="50"/>
    </x:row>
    <x:row r="858">
      <x:c r="A858" s="49" t="s">
        <x:v>4052</x:v>
      </x:c>
      <x:c r="B858" s="50"/>
    </x:row>
    <x:row r="859">
      <x:c r="A859" s="49" t="s">
        <x:v>4056</x:v>
      </x:c>
      <x:c r="B859" s="50"/>
    </x:row>
    <x:row r="860">
      <x:c r="A860" s="49" t="s">
        <x:v>4061</x:v>
      </x:c>
      <x:c r="B860" s="50"/>
    </x:row>
    <x:row r="861">
      <x:c r="A861" s="49" t="s">
        <x:v>42</x:v>
      </x:c>
      <x:c r="B861" s="50"/>
    </x:row>
    <x:row r="862">
      <x:c r="A862" s="49" t="s">
        <x:v>4069</x:v>
      </x:c>
      <x:c r="B862" s="50"/>
    </x:row>
    <x:row r="863">
      <x:c r="A863" s="49" t="s">
        <x:v>4074</x:v>
      </x:c>
      <x:c r="B863" s="50"/>
    </x:row>
    <x:row r="864">
      <x:c r="A864" s="49" t="s">
        <x:v>4079</x:v>
      </x:c>
      <x:c r="B864" s="50"/>
    </x:row>
    <x:row r="865">
      <x:c r="A865" s="49" t="s">
        <x:v>4084</x:v>
      </x:c>
      <x:c r="B865" s="50"/>
    </x:row>
    <x:row r="866">
      <x:c r="A866" s="49" t="s">
        <x:v>4088</x:v>
      </x:c>
      <x:c r="B866" s="50"/>
    </x:row>
    <x:row r="867">
      <x:c r="A867" s="49" t="s">
        <x:v>4093</x:v>
      </x:c>
      <x:c r="B867" s="50"/>
    </x:row>
    <x:row r="868">
      <x:c r="A868" s="49" t="s">
        <x:v>4098</x:v>
      </x:c>
      <x:c r="B868" s="50"/>
    </x:row>
    <x:row r="869">
      <x:c r="A869" s="49" t="s">
        <x:v>4103</x:v>
      </x:c>
      <x:c r="B869" s="50"/>
    </x:row>
    <x:row r="870">
      <x:c r="A870" s="49" t="s">
        <x:v>4108</x:v>
      </x:c>
      <x:c r="B870" s="50"/>
    </x:row>
    <x:row r="871">
      <x:c r="A871" s="49" t="s">
        <x:v>4113</x:v>
      </x:c>
      <x:c r="B871" s="50"/>
    </x:row>
    <x:row r="872">
      <x:c r="A872" s="49" t="s">
        <x:v>4117</x:v>
      </x:c>
      <x:c r="B872" s="50"/>
    </x:row>
    <x:row r="873">
      <x:c r="A873" s="49" t="s">
        <x:v>19</x:v>
      </x:c>
      <x:c r="B873" s="50"/>
    </x:row>
    <x:row r="874">
      <x:c r="A874" s="49" t="s">
        <x:v>4124</x:v>
      </x:c>
      <x:c r="B874" s="50"/>
    </x:row>
    <x:row r="875">
      <x:c r="A875" s="49" t="s">
        <x:v>4128</x:v>
      </x:c>
      <x:c r="B875" s="50"/>
    </x:row>
    <x:row r="876">
      <x:c r="A876" s="49" t="s">
        <x:v>4132</x:v>
      </x:c>
      <x:c r="B876" s="50"/>
    </x:row>
    <x:row r="877">
      <x:c r="A877" s="49" t="s">
        <x:v>4136</x:v>
      </x:c>
      <x:c r="B877" s="50"/>
    </x:row>
    <x:row r="878">
      <x:c r="A878" s="49" t="s">
        <x:v>4140</x:v>
      </x:c>
      <x:c r="B878" s="50"/>
    </x:row>
    <x:row r="879">
      <x:c r="A879" s="49" t="s">
        <x:v>4145</x:v>
      </x:c>
      <x:c r="B879" s="50"/>
    </x:row>
    <x:row r="880">
      <x:c r="A880" s="49" t="s">
        <x:v>4150</x:v>
      </x:c>
      <x:c r="B880" s="50"/>
    </x:row>
    <x:row r="881">
      <x:c r="A881" s="49" t="s">
        <x:v>4154</x:v>
      </x:c>
      <x:c r="B881" s="50"/>
    </x:row>
    <x:row r="882">
      <x:c r="A882" s="49" t="s">
        <x:v>4159</x:v>
      </x:c>
      <x:c r="B882" s="50"/>
    </x:row>
    <x:row r="883">
      <x:c r="A883" s="49" t="s">
        <x:v>4164</x:v>
      </x:c>
      <x:c r="B883" s="50"/>
    </x:row>
    <x:row r="884">
      <x:c r="A884" s="49" t="s">
        <x:v>4169</x:v>
      </x:c>
      <x:c r="B884" s="50"/>
    </x:row>
    <x:row r="885">
      <x:c r="A885" s="49" t="s">
        <x:v>4173</x:v>
      </x:c>
      <x:c r="B885" s="50"/>
    </x:row>
    <x:row r="886">
      <x:c r="A886" s="49" t="s">
        <x:v>4177</x:v>
      </x:c>
      <x:c r="B886" s="50"/>
    </x:row>
    <x:row r="887">
      <x:c r="A887" s="49" t="s">
        <x:v>4181</x:v>
      </x:c>
      <x:c r="B887" s="50"/>
    </x:row>
    <x:row r="888">
      <x:c r="A888" s="49" t="s">
        <x:v>4186</x:v>
      </x:c>
      <x:c r="B888" s="50"/>
    </x:row>
    <x:row r="889">
      <x:c r="A889" s="49" t="s">
        <x:v>4191</x:v>
      </x:c>
      <x:c r="B889" s="50"/>
    </x:row>
    <x:row r="890">
      <x:c r="A890" s="49" t="s">
        <x:v>4196</x:v>
      </x:c>
      <x:c r="B890" s="50"/>
    </x:row>
    <x:row r="891">
      <x:c r="A891" s="49" t="s">
        <x:v>4201</x:v>
      </x:c>
      <x:c r="B891" s="50"/>
    </x:row>
    <x:row r="892">
      <x:c r="A892" s="49" t="s">
        <x:v>4205</x:v>
      </x:c>
      <x:c r="B892" s="50"/>
    </x:row>
    <x:row r="893">
      <x:c r="A893" s="49" t="s">
        <x:v>4209</x:v>
      </x:c>
      <x:c r="B893" s="50"/>
    </x:row>
    <x:row r="894">
      <x:c r="A894" s="49" t="s">
        <x:v>4214</x:v>
      </x:c>
      <x:c r="B894" s="50"/>
    </x:row>
    <x:row r="895">
      <x:c r="A895" s="49" t="s">
        <x:v>4218</x:v>
      </x:c>
      <x:c r="B895" s="50"/>
    </x:row>
    <x:row r="896">
      <x:c r="A896" s="49" t="s">
        <x:v>4222</x:v>
      </x:c>
      <x:c r="B896" s="50"/>
    </x:row>
    <x:row r="897">
      <x:c r="A897" s="49" t="s">
        <x:v>4226</x:v>
      </x:c>
      <x:c r="B897" s="50"/>
    </x:row>
    <x:row r="898">
      <x:c r="A898" s="49" t="s">
        <x:v>4230</x:v>
      </x:c>
      <x:c r="B898" s="50"/>
    </x:row>
    <x:row r="899">
      <x:c r="A899" s="49" t="s">
        <x:v>4234</x:v>
      </x:c>
      <x:c r="B899" s="50"/>
    </x:row>
    <x:row r="900">
      <x:c r="A900" s="49" t="s">
        <x:v>4239</x:v>
      </x:c>
      <x:c r="B900" s="50"/>
    </x:row>
    <x:row r="901">
      <x:c r="A901" s="49" t="s">
        <x:v>4244</x:v>
      </x:c>
      <x:c r="B901" s="50"/>
    </x:row>
    <x:row r="902">
      <x:c r="A902" s="49" t="s">
        <x:v>4249</x:v>
      </x:c>
      <x:c r="B902" s="50"/>
    </x:row>
    <x:row r="903">
      <x:c r="A903" s="49" t="s">
        <x:v>4254</x:v>
      </x:c>
      <x:c r="B903" s="50"/>
    </x:row>
    <x:row r="904">
      <x:c r="A904" s="49" t="s">
        <x:v>74</x:v>
      </x:c>
      <x:c r="B904" s="50"/>
    </x:row>
    <x:row r="905">
      <x:c r="A905" s="49" t="s">
        <x:v>4263</x:v>
      </x:c>
      <x:c r="B905" s="50"/>
    </x:row>
    <x:row r="906">
      <x:c r="A906" s="49" t="s">
        <x:v>4267</x:v>
      </x:c>
      <x:c r="B906" s="50"/>
    </x:row>
    <x:row r="907">
      <x:c r="A907" s="49" t="s">
        <x:v>4271</x:v>
      </x:c>
      <x:c r="B907" s="50"/>
    </x:row>
    <x:row r="908">
      <x:c r="A908" s="49" t="s">
        <x:v>4276</x:v>
      </x:c>
      <x:c r="B908" s="50"/>
    </x:row>
    <x:row r="909">
      <x:c r="A909" s="49" t="s">
        <x:v>4281</x:v>
      </x:c>
      <x:c r="B909" s="50"/>
    </x:row>
    <x:row r="910">
      <x:c r="A910" s="49" t="s">
        <x:v>4286</x:v>
      </x:c>
      <x:c r="B910" s="50"/>
    </x:row>
    <x:row r="911">
      <x:c r="A911" s="49" t="s">
        <x:v>4291</x:v>
      </x:c>
      <x:c r="B911" s="50"/>
    </x:row>
    <x:row r="912">
      <x:c r="A912" s="49" t="s">
        <x:v>4295</x:v>
      </x:c>
      <x:c r="B912" s="50"/>
    </x:row>
    <x:row r="913">
      <x:c r="A913" s="49" t="s">
        <x:v>4299</x:v>
      </x:c>
      <x:c r="B913" s="50"/>
    </x:row>
    <x:row r="914">
      <x:c r="A914" s="49" t="s">
        <x:v>4304</x:v>
      </x:c>
      <x:c r="B914" s="50"/>
    </x:row>
    <x:row r="915">
      <x:c r="A915" s="49" t="s">
        <x:v>4309</x:v>
      </x:c>
      <x:c r="B915" s="50"/>
    </x:row>
    <x:row r="916">
      <x:c r="A916" s="49" t="s">
        <x:v>4314</x:v>
      </x:c>
      <x:c r="B916" s="50"/>
    </x:row>
    <x:row r="917">
      <x:c r="A917" s="49" t="s">
        <x:v>4319</x:v>
      </x:c>
      <x:c r="B917" s="50"/>
    </x:row>
    <x:row r="918">
      <x:c r="A918" s="49" t="s">
        <x:v>4325</x:v>
      </x:c>
      <x:c r="B918" s="50"/>
    </x:row>
    <x:row r="919">
      <x:c r="A919" s="49" t="s">
        <x:v>4331</x:v>
      </x:c>
      <x:c r="B919" s="50"/>
    </x:row>
    <x:row r="920">
      <x:c r="A920" s="49" t="s">
        <x:v>4336</x:v>
      </x:c>
      <x:c r="B920" s="50"/>
    </x:row>
    <x:row r="921">
      <x:c r="A921" s="49" t="s">
        <x:v>4341</x:v>
      </x:c>
      <x:c r="B921" s="50"/>
    </x:row>
    <x:row r="922">
      <x:c r="A922" s="49" t="s">
        <x:v>4346</x:v>
      </x:c>
      <x:c r="B922" s="50"/>
    </x:row>
    <x:row r="923">
      <x:c r="A923" s="49" t="s">
        <x:v>4351</x:v>
      </x:c>
      <x:c r="B923" s="50"/>
    </x:row>
    <x:row r="924">
      <x:c r="A924" s="49" t="s">
        <x:v>4356</x:v>
      </x:c>
      <x:c r="B924" s="50"/>
    </x:row>
    <x:row r="925">
      <x:c r="A925" s="49" t="s">
        <x:v>4360</x:v>
      </x:c>
      <x:c r="B925" s="50"/>
    </x:row>
    <x:row r="926">
      <x:c r="A926" s="49" t="s">
        <x:v>4364</x:v>
      </x:c>
      <x:c r="B926" s="50"/>
    </x:row>
    <x:row r="927">
      <x:c r="A927" s="49" t="s">
        <x:v>4368</x:v>
      </x:c>
      <x:c r="B927" s="50"/>
    </x:row>
    <x:row r="928">
      <x:c r="A928" s="49" t="s">
        <x:v>4373</x:v>
      </x:c>
      <x:c r="B928" s="50"/>
    </x:row>
    <x:row r="929">
      <x:c r="A929" s="49" t="s">
        <x:v>4378</x:v>
      </x:c>
      <x:c r="B929" s="50"/>
    </x:row>
    <x:row r="930">
      <x:c r="A930" s="49" t="s">
        <x:v>4383</x:v>
      </x:c>
      <x:c r="B930" s="50"/>
    </x:row>
    <x:row r="931">
      <x:c r="A931" s="49" t="s">
        <x:v>4387</x:v>
      </x:c>
      <x:c r="B931" s="50"/>
    </x:row>
    <x:row r="932">
      <x:c r="A932" s="49" t="s">
        <x:v>4391</x:v>
      </x:c>
      <x:c r="B932" s="50"/>
    </x:row>
    <x:row r="933">
      <x:c r="A933" s="49" t="s">
        <x:v>4396</x:v>
      </x:c>
      <x:c r="B933" s="50"/>
    </x:row>
    <x:row r="934">
      <x:c r="A934" s="49" t="s">
        <x:v>4402</x:v>
      </x:c>
      <x:c r="B934" s="50"/>
    </x:row>
    <x:row r="935">
      <x:c r="A935" s="49" t="s">
        <x:v>4406</x:v>
      </x:c>
      <x:c r="B935" s="50"/>
    </x:row>
    <x:row r="936">
      <x:c r="A936" s="49" t="s">
        <x:v>4410</x:v>
      </x:c>
      <x:c r="B936" s="50"/>
    </x:row>
    <x:row r="937">
      <x:c r="A937" s="49" t="s">
        <x:v>4415</x:v>
      </x:c>
      <x:c r="B937" s="50"/>
    </x:row>
    <x:row r="938">
      <x:c r="A938" s="49" t="s">
        <x:v>4420</x:v>
      </x:c>
      <x:c r="B938" s="50"/>
    </x:row>
    <x:row r="939">
      <x:c r="A939" s="49" t="s">
        <x:v>4424</x:v>
      </x:c>
      <x:c r="B939" s="50"/>
    </x:row>
    <x:row r="940">
      <x:c r="A940" s="49" t="s">
        <x:v>4429</x:v>
      </x:c>
      <x:c r="B940" s="50"/>
    </x:row>
    <x:row r="941">
      <x:c r="A941" s="49" t="s">
        <x:v>4433</x:v>
      </x:c>
      <x:c r="B941" s="50"/>
    </x:row>
    <x:row r="942">
      <x:c r="A942" s="49" t="s">
        <x:v>4438</x:v>
      </x:c>
      <x:c r="B942" s="50"/>
    </x:row>
    <x:row r="943">
      <x:c r="A943" s="49" t="s">
        <x:v>4442</x:v>
      </x:c>
      <x:c r="B943" s="50"/>
    </x:row>
    <x:row r="944">
      <x:c r="A944" s="49" t="s">
        <x:v>4447</x:v>
      </x:c>
      <x:c r="B944" s="50"/>
    </x:row>
    <x:row r="945">
      <x:c r="A945" s="49" t="s">
        <x:v>4452</x:v>
      </x:c>
      <x:c r="B945" s="50"/>
    </x:row>
    <x:row r="946">
      <x:c r="A946" s="49" t="s">
        <x:v>4457</x:v>
      </x:c>
      <x:c r="B946" s="50"/>
    </x:row>
    <x:row r="947">
      <x:c r="A947" s="49" t="s">
        <x:v>4462</x:v>
      </x:c>
      <x:c r="B947" s="50"/>
    </x:row>
    <x:row r="948">
      <x:c r="A948" s="49" t="s">
        <x:v>4467</x:v>
      </x:c>
      <x:c r="B948" s="50"/>
    </x:row>
    <x:row r="949">
      <x:c r="A949" s="49" t="s">
        <x:v>4472</x:v>
      </x:c>
      <x:c r="B949" s="50"/>
    </x:row>
    <x:row r="950">
      <x:c r="A950" s="49" t="s">
        <x:v>4477</x:v>
      </x:c>
      <x:c r="B950" s="50"/>
    </x:row>
    <x:row r="951">
      <x:c r="A951" s="49" t="s">
        <x:v>4482</x:v>
      </x:c>
      <x:c r="B951" s="50"/>
    </x:row>
    <x:row r="952">
      <x:c r="A952" s="49" t="s">
        <x:v>4486</x:v>
      </x:c>
      <x:c r="B952" s="50"/>
    </x:row>
    <x:row r="953">
      <x:c r="A953" s="49" t="s">
        <x:v>4491</x:v>
      </x:c>
      <x:c r="B953" s="50"/>
    </x:row>
    <x:row r="954">
      <x:c r="A954" s="49" t="s">
        <x:v>4496</x:v>
      </x:c>
      <x:c r="B954" s="50"/>
    </x:row>
    <x:row r="955">
      <x:c r="A955" s="49" t="s">
        <x:v>4500</x:v>
      </x:c>
      <x:c r="B955" s="50"/>
    </x:row>
    <x:row r="956">
      <x:c r="A956" s="49" t="s">
        <x:v>4504</x:v>
      </x:c>
      <x:c r="B956" s="50"/>
    </x:row>
    <x:row r="957">
      <x:c r="A957" s="49" t="s">
        <x:v>4509</x:v>
      </x:c>
      <x:c r="B957" s="50"/>
    </x:row>
    <x:row r="958">
      <x:c r="A958" s="49" t="s">
        <x:v>4514</x:v>
      </x:c>
      <x:c r="B958" s="50"/>
    </x:row>
    <x:row r="959">
      <x:c r="A959" s="49" t="s">
        <x:v>4518</x:v>
      </x:c>
      <x:c r="B959" s="50"/>
    </x:row>
    <x:row r="960">
      <x:c r="A960" s="49" t="s">
        <x:v>4523</x:v>
      </x:c>
      <x:c r="B960" s="50"/>
    </x:row>
    <x:row r="961">
      <x:c r="A961" s="49" t="s">
        <x:v>4527</x:v>
      </x:c>
      <x:c r="B961" s="50"/>
    </x:row>
    <x:row r="962">
      <x:c r="A962" s="49" t="s">
        <x:v>4532</x:v>
      </x:c>
      <x:c r="B962" s="50"/>
    </x:row>
    <x:row r="963">
      <x:c r="A963" s="49" t="s">
        <x:v>4537</x:v>
      </x:c>
      <x:c r="B963" s="50"/>
    </x:row>
    <x:row r="964">
      <x:c r="A964" s="49" t="s">
        <x:v>4541</x:v>
      </x:c>
      <x:c r="B964" s="50"/>
    </x:row>
    <x:row r="965">
      <x:c r="A965" s="49" t="s">
        <x:v>4546</x:v>
      </x:c>
      <x:c r="B965" s="50"/>
    </x:row>
    <x:row r="966">
      <x:c r="A966" s="49" t="s">
        <x:v>4550</x:v>
      </x:c>
      <x:c r="B966" s="50"/>
    </x:row>
    <x:row r="967">
      <x:c r="A967" s="49" t="s">
        <x:v>4554</x:v>
      </x:c>
      <x:c r="B967" s="50"/>
    </x:row>
    <x:row r="968">
      <x:c r="A968" s="49" t="s">
        <x:v>4558</x:v>
      </x:c>
      <x:c r="B968" s="50"/>
    </x:row>
    <x:row r="969">
      <x:c r="A969" s="49" t="s">
        <x:v>4563</x:v>
      </x:c>
      <x:c r="B969" s="50"/>
    </x:row>
    <x:row r="970">
      <x:c r="A970" s="49" t="s">
        <x:v>4568</x:v>
      </x:c>
      <x:c r="B970" s="50"/>
    </x:row>
    <x:row r="971">
      <x:c r="A971" s="49" t="s">
        <x:v>4573</x:v>
      </x:c>
      <x:c r="B971" s="50"/>
    </x:row>
    <x:row r="972">
      <x:c r="A972" s="49" t="s">
        <x:v>4578</x:v>
      </x:c>
      <x:c r="B972" s="50"/>
    </x:row>
    <x:row r="973">
      <x:c r="A973" s="49" t="s">
        <x:v>4583</x:v>
      </x:c>
      <x:c r="B973" s="50"/>
    </x:row>
    <x:row r="974">
      <x:c r="A974" s="49" t="s">
        <x:v>4588</x:v>
      </x:c>
      <x:c r="B974" s="50"/>
    </x:row>
    <x:row r="975">
      <x:c r="A975" s="49" t="s">
        <x:v>4593</x:v>
      </x:c>
      <x:c r="B975" s="50"/>
    </x:row>
    <x:row r="976">
      <x:c r="A976" s="49" t="s">
        <x:v>4598</x:v>
      </x:c>
      <x:c r="B976" s="50"/>
    </x:row>
    <x:row r="977">
      <x:c r="A977" s="49" t="s">
        <x:v>4603</x:v>
      </x:c>
      <x:c r="B977" s="50"/>
    </x:row>
    <x:row r="978">
      <x:c r="A978" s="49" t="s">
        <x:v>4607</x:v>
      </x:c>
      <x:c r="B978" s="50"/>
    </x:row>
    <x:row r="979">
      <x:c r="A979" s="49" t="s">
        <x:v>4612</x:v>
      </x:c>
      <x:c r="B979" s="50"/>
    </x:row>
    <x:row r="980">
      <x:c r="A980" s="49" t="s">
        <x:v>4616</x:v>
      </x:c>
      <x:c r="B980" s="50"/>
    </x:row>
    <x:row r="981">
      <x:c r="A981" s="49" t="s">
        <x:v>4621</x:v>
      </x:c>
      <x:c r="B981" s="50"/>
    </x:row>
    <x:row r="982">
      <x:c r="A982" s="49" t="s">
        <x:v>4625</x:v>
      </x:c>
      <x:c r="B982" s="50"/>
    </x:row>
    <x:row r="983">
      <x:c r="A983" s="49" t="s">
        <x:v>4629</x:v>
      </x:c>
      <x:c r="B983" s="50"/>
    </x:row>
    <x:row r="984">
      <x:c r="A984" s="49" t="s">
        <x:v>4633</x:v>
      </x:c>
      <x:c r="B984" s="50"/>
    </x:row>
    <x:row r="985">
      <x:c r="A985" s="49" t="s">
        <x:v>4637</x:v>
      </x:c>
      <x:c r="B985" s="50"/>
    </x:row>
    <x:row r="986">
      <x:c r="A986" s="49" t="s">
        <x:v>4641</x:v>
      </x:c>
      <x:c r="B986" s="50"/>
    </x:row>
    <x:row r="987">
      <x:c r="A987" s="49" t="s">
        <x:v>4645</x:v>
      </x:c>
      <x:c r="B987" s="50"/>
    </x:row>
    <x:row r="988">
      <x:c r="A988" s="49" t="s">
        <x:v>4650</x:v>
      </x:c>
      <x:c r="B988" s="50"/>
    </x:row>
    <x:row r="989">
      <x:c r="A989" s="49" t="s">
        <x:v>4654</x:v>
      </x:c>
      <x:c r="B989" s="50"/>
    </x:row>
    <x:row r="990">
      <x:c r="A990" s="49" t="s">
        <x:v>4659</x:v>
      </x:c>
      <x:c r="B990" s="50"/>
    </x:row>
    <x:row r="991">
      <x:c r="A991" s="49" t="s">
        <x:v>4664</x:v>
      </x:c>
      <x:c r="B991" s="50"/>
    </x:row>
    <x:row r="992">
      <x:c r="A992" s="49" t="s">
        <x:v>4669</x:v>
      </x:c>
      <x:c r="B992" s="50"/>
    </x:row>
    <x:row r="993">
      <x:c r="A993" s="49" t="s">
        <x:v>4674</x:v>
      </x:c>
      <x:c r="B993" s="50"/>
    </x:row>
    <x:row r="994">
      <x:c r="A994" s="49" t="s">
        <x:v>4678</x:v>
      </x:c>
      <x:c r="B994" s="50"/>
    </x:row>
    <x:row r="995">
      <x:c r="A995" s="49" t="s">
        <x:v>4683</x:v>
      </x:c>
      <x:c r="B995" s="50"/>
    </x:row>
    <x:row r="996">
      <x:c r="A996" s="49" t="s">
        <x:v>4687</x:v>
      </x:c>
      <x:c r="B996" s="50"/>
    </x:row>
    <x:row r="997">
      <x:c r="A997" s="49" t="s">
        <x:v>4691</x:v>
      </x:c>
      <x:c r="B997" s="50"/>
    </x:row>
    <x:row r="998">
      <x:c r="A998" s="49" t="s">
        <x:v>4696</x:v>
      </x:c>
      <x:c r="B998" s="50"/>
    </x:row>
    <x:row r="999">
      <x:c r="A999" s="49" t="s">
        <x:v>4701</x:v>
      </x:c>
      <x:c r="B999" s="50"/>
    </x:row>
    <x:row r="1000">
      <x:c r="A1000" s="49" t="s">
        <x:v>4705</x:v>
      </x:c>
      <x:c r="B1000" s="50"/>
    </x:row>
    <x:row r="1001">
      <x:c r="A1001" s="49" t="s">
        <x:v>4710</x:v>
      </x:c>
      <x:c r="B1001" s="50"/>
    </x:row>
    <x:row r="1002">
      <x:c r="A1002" s="49" t="s">
        <x:v>4714</x:v>
      </x:c>
      <x:c r="B1002" s="50"/>
    </x:row>
    <x:row r="1003">
      <x:c r="A1003" s="49" t="s">
        <x:v>4718</x:v>
      </x:c>
      <x:c r="B1003" s="50"/>
    </x:row>
    <x:row r="1004">
      <x:c r="A1004" s="49" t="s">
        <x:v>4722</x:v>
      </x:c>
      <x:c r="B1004" s="50"/>
    </x:row>
    <x:row r="1005">
      <x:c r="A1005" s="49" t="s">
        <x:v>4726</x:v>
      </x:c>
      <x:c r="B1005" s="50"/>
    </x:row>
    <x:row r="1006">
      <x:c r="A1006" s="49" t="s">
        <x:v>4731</x:v>
      </x:c>
      <x:c r="B1006" s="50"/>
    </x:row>
    <x:row r="1007">
      <x:c r="A1007" s="49" t="s">
        <x:v>4736</x:v>
      </x:c>
      <x:c r="B1007" s="50"/>
    </x:row>
    <x:row r="1008">
      <x:c r="A1008" s="49" t="s">
        <x:v>4741</x:v>
      </x:c>
      <x:c r="B1008" s="50"/>
    </x:row>
    <x:row r="1009">
      <x:c r="A1009" s="49" t="s">
        <x:v>4745</x:v>
      </x:c>
      <x:c r="B1009" s="50"/>
    </x:row>
    <x:row r="1010">
      <x:c r="A1010" s="49" t="s">
        <x:v>4750</x:v>
      </x:c>
      <x:c r="B1010" s="50"/>
    </x:row>
    <x:row r="1011">
      <x:c r="A1011" s="49" t="s">
        <x:v>4755</x:v>
      </x:c>
      <x:c r="B1011" s="50"/>
    </x:row>
    <x:row r="1012">
      <x:c r="A1012" s="49" t="s">
        <x:v>4759</x:v>
      </x:c>
      <x:c r="B1012" s="50"/>
    </x:row>
    <x:row r="1013">
      <x:c r="A1013" s="49" t="s">
        <x:v>4764</x:v>
      </x:c>
      <x:c r="B1013" s="50"/>
    </x:row>
    <x:row r="1014">
      <x:c r="A1014" s="49" t="s">
        <x:v>4768</x:v>
      </x:c>
      <x:c r="B1014" s="50"/>
    </x:row>
    <x:row r="1015">
      <x:c r="A1015" s="49" t="s">
        <x:v>4772</x:v>
      </x:c>
      <x:c r="B1015" s="50"/>
    </x:row>
    <x:row r="1016">
      <x:c r="A1016" s="49" t="s">
        <x:v>4776</x:v>
      </x:c>
      <x:c r="B1016" s="50"/>
    </x:row>
    <x:row r="1017">
      <x:c r="A1017" s="49" t="s">
        <x:v>4781</x:v>
      </x:c>
      <x:c r="B1017" s="50"/>
    </x:row>
    <x:row r="1018">
      <x:c r="A1018" s="49" t="s">
        <x:v>4786</x:v>
      </x:c>
      <x:c r="B1018" s="50"/>
    </x:row>
    <x:row r="1019">
      <x:c r="A1019" s="49" t="s">
        <x:v>4790</x:v>
      </x:c>
      <x:c r="B1019" s="50"/>
    </x:row>
    <x:row r="1020">
      <x:c r="A1020" s="49" t="s">
        <x:v>4795</x:v>
      </x:c>
      <x:c r="B1020" s="50"/>
    </x:row>
    <x:row r="1021">
      <x:c r="A1021" s="49" t="s">
        <x:v>4799</x:v>
      </x:c>
      <x:c r="B1021" s="50"/>
    </x:row>
    <x:row r="1022">
      <x:c r="A1022" s="49" t="s">
        <x:v>4803</x:v>
      </x:c>
      <x:c r="B1022" s="50"/>
    </x:row>
    <x:row r="1023">
      <x:c r="A1023" s="49" t="s">
        <x:v>4807</x:v>
      </x:c>
      <x:c r="B1023" s="50"/>
    </x:row>
    <x:row r="1024">
      <x:c r="A1024" s="49" t="s">
        <x:v>4811</x:v>
      </x:c>
      <x:c r="B1024" s="50"/>
    </x:row>
    <x:row r="1025">
      <x:c r="A1025" s="49" t="s">
        <x:v>4816</x:v>
      </x:c>
      <x:c r="B1025" s="50"/>
    </x:row>
    <x:row r="1026">
      <x:c r="A1026" s="49" t="s">
        <x:v>4820</x:v>
      </x:c>
      <x:c r="B1026" s="50"/>
    </x:row>
    <x:row r="1027">
      <x:c r="A1027" s="49" t="s">
        <x:v>4824</x:v>
      </x:c>
      <x:c r="B1027" s="50"/>
    </x:row>
    <x:row r="1028">
      <x:c r="A1028" s="49" t="s">
        <x:v>4828</x:v>
      </x:c>
      <x:c r="B1028" s="50"/>
    </x:row>
    <x:row r="1029">
      <x:c r="A1029" s="49" t="s">
        <x:v>4832</x:v>
      </x:c>
      <x:c r="B1029" s="50"/>
    </x:row>
    <x:row r="1030">
      <x:c r="A1030" s="49" t="s">
        <x:v>4837</x:v>
      </x:c>
      <x:c r="B1030" s="50"/>
    </x:row>
    <x:row r="1031">
      <x:c r="A1031" s="49" t="s">
        <x:v>4841</x:v>
      </x:c>
      <x:c r="B1031" s="50"/>
    </x:row>
    <x:row r="1032">
      <x:c r="A1032" s="49" t="s">
        <x:v>4845</x:v>
      </x:c>
      <x:c r="B1032" s="50"/>
    </x:row>
    <x:row r="1033">
      <x:c r="A1033" s="49" t="s">
        <x:v>4849</x:v>
      </x:c>
      <x:c r="B1033" s="50"/>
    </x:row>
    <x:row r="1034">
      <x:c r="A1034" s="49" t="s">
        <x:v>4853</x:v>
      </x:c>
      <x:c r="B1034" s="50"/>
    </x:row>
    <x:row r="1035">
      <x:c r="A1035" s="49" t="s">
        <x:v>4857</x:v>
      </x:c>
      <x:c r="B1035" s="50"/>
    </x:row>
    <x:row r="1036">
      <x:c r="A1036" s="49" t="s">
        <x:v>4862</x:v>
      </x:c>
      <x:c r="B1036" s="50"/>
    </x:row>
    <x:row r="1037">
      <x:c r="A1037" s="49" t="s">
        <x:v>4866</x:v>
      </x:c>
      <x:c r="B1037" s="50"/>
    </x:row>
    <x:row r="1038">
      <x:c r="A1038" s="49" t="s">
        <x:v>4871</x:v>
      </x:c>
      <x:c r="B1038" s="50"/>
    </x:row>
    <x:row r="1039">
      <x:c r="A1039" s="49" t="s">
        <x:v>4875</x:v>
      </x:c>
      <x:c r="B1039" s="50"/>
    </x:row>
    <x:row r="1040">
      <x:c r="A1040" s="49" t="s">
        <x:v>4880</x:v>
      </x:c>
      <x:c r="B1040" s="50"/>
    </x:row>
    <x:row r="1041">
      <x:c r="A1041" s="49" t="s">
        <x:v>4885</x:v>
      </x:c>
      <x:c r="B1041" s="50"/>
    </x:row>
    <x:row r="1042">
      <x:c r="A1042" s="49" t="s">
        <x:v>4890</x:v>
      </x:c>
      <x:c r="B1042" s="50"/>
    </x:row>
    <x:row r="1043">
      <x:c r="A1043" s="49" t="s">
        <x:v>4895</x:v>
      </x:c>
      <x:c r="B1043" s="50"/>
    </x:row>
    <x:row r="1044">
      <x:c r="A1044" s="49" t="s">
        <x:v>4900</x:v>
      </x:c>
      <x:c r="B1044" s="50"/>
    </x:row>
    <x:row r="1045">
      <x:c r="A1045" s="49" t="s">
        <x:v>4904</x:v>
      </x:c>
      <x:c r="B1045" s="50"/>
    </x:row>
    <x:row r="1046">
      <x:c r="A1046" s="49" t="s">
        <x:v>4909</x:v>
      </x:c>
      <x:c r="B1046" s="50"/>
    </x:row>
    <x:row r="1047">
      <x:c r="A1047" s="49" t="s">
        <x:v>4913</x:v>
      </x:c>
      <x:c r="B1047" s="50"/>
    </x:row>
    <x:row r="1048">
      <x:c r="A1048" s="49" t="s">
        <x:v>4918</x:v>
      </x:c>
      <x:c r="B1048" s="50"/>
    </x:row>
    <x:row r="1049">
      <x:c r="A1049" s="49" t="s">
        <x:v>4923</x:v>
      </x:c>
      <x:c r="B1049" s="50"/>
    </x:row>
    <x:row r="1050">
      <x:c r="A1050" s="49" t="s">
        <x:v>4927</x:v>
      </x:c>
      <x:c r="B1050" s="50"/>
    </x:row>
    <x:row r="1051">
      <x:c r="A1051" s="49" t="s">
        <x:v>4931</x:v>
      </x:c>
      <x:c r="B1051" s="50"/>
    </x:row>
    <x:row r="1052">
      <x:c r="A1052" s="49" t="s">
        <x:v>4936</x:v>
      </x:c>
      <x:c r="B1052" s="50"/>
    </x:row>
    <x:row r="1053">
      <x:c r="A1053" s="49" t="s">
        <x:v>4941</x:v>
      </x:c>
      <x:c r="B1053" s="50"/>
    </x:row>
    <x:row r="1054">
      <x:c r="A1054" s="49" t="s">
        <x:v>4946</x:v>
      </x:c>
      <x:c r="B1054" s="50"/>
    </x:row>
    <x:row r="1055">
      <x:c r="A1055" s="49" t="s">
        <x:v>4951</x:v>
      </x:c>
      <x:c r="B1055" s="50"/>
    </x:row>
    <x:row r="1056">
      <x:c r="A1056" s="49" t="s">
        <x:v>4956</x:v>
      </x:c>
      <x:c r="B1056" s="50"/>
    </x:row>
    <x:row r="1057">
      <x:c r="A1057" s="49" t="s">
        <x:v>4961</x:v>
      </x:c>
      <x:c r="B1057" s="50"/>
    </x:row>
    <x:row r="1058">
      <x:c r="A1058" s="49" t="s">
        <x:v>4965</x:v>
      </x:c>
      <x:c r="B1058" s="50"/>
    </x:row>
    <x:row r="1059">
      <x:c r="A1059" s="49" t="s">
        <x:v>4970</x:v>
      </x:c>
      <x:c r="B1059" s="50"/>
    </x:row>
    <x:row r="1060">
      <x:c r="A1060" s="49" t="s">
        <x:v>4974</x:v>
      </x:c>
      <x:c r="B1060" s="50"/>
    </x:row>
    <x:row r="1061">
      <x:c r="A1061" s="49" t="s">
        <x:v>4978</x:v>
      </x:c>
      <x:c r="B1061" s="50"/>
    </x:row>
    <x:row r="1062">
      <x:c r="A1062" s="49" t="s">
        <x:v>4982</x:v>
      </x:c>
      <x:c r="B1062" s="50"/>
    </x:row>
    <x:row r="1063">
      <x:c r="A1063" s="49" t="s">
        <x:v>4986</x:v>
      </x:c>
      <x:c r="B1063" s="50"/>
    </x:row>
    <x:row r="1064">
      <x:c r="A1064" s="49" t="s">
        <x:v>4991</x:v>
      </x:c>
      <x:c r="B1064" s="50"/>
    </x:row>
    <x:row r="1065">
      <x:c r="A1065" s="49" t="s">
        <x:v>4996</x:v>
      </x:c>
      <x:c r="B1065" s="50"/>
    </x:row>
    <x:row r="1066">
      <x:c r="A1066" s="49" t="s">
        <x:v>5000</x:v>
      </x:c>
      <x:c r="B1066" s="50"/>
    </x:row>
    <x:row r="1067">
      <x:c r="A1067" s="49" t="s">
        <x:v>5005</x:v>
      </x:c>
      <x:c r="B1067" s="50"/>
    </x:row>
    <x:row r="1068">
      <x:c r="A1068" s="49" t="s">
        <x:v>5010</x:v>
      </x:c>
      <x:c r="B1068" s="50"/>
    </x:row>
    <x:row r="1069">
      <x:c r="A1069" s="49" t="s">
        <x:v>5015</x:v>
      </x:c>
      <x:c r="B1069" s="50"/>
    </x:row>
    <x:row r="1070">
      <x:c r="A1070" s="49" t="s">
        <x:v>5020</x:v>
      </x:c>
      <x:c r="B1070" s="50"/>
    </x:row>
    <x:row r="1071">
      <x:c r="A1071" s="49" t="s">
        <x:v>5024</x:v>
      </x:c>
      <x:c r="B1071" s="50"/>
    </x:row>
    <x:row r="1072">
      <x:c r="A1072" s="49" t="s">
        <x:v>5029</x:v>
      </x:c>
      <x:c r="B1072" s="50"/>
    </x:row>
    <x:row r="1073">
      <x:c r="A1073" s="49" t="s">
        <x:v>5033</x:v>
      </x:c>
      <x:c r="B1073" s="50"/>
    </x:row>
    <x:row r="1074">
      <x:c r="A1074" s="49" t="s">
        <x:v>5038</x:v>
      </x:c>
      <x:c r="B1074" s="50"/>
    </x:row>
    <x:row r="1075">
      <x:c r="A1075" s="49" t="s">
        <x:v>5042</x:v>
      </x:c>
      <x:c r="B1075" s="50"/>
    </x:row>
    <x:row r="1076">
      <x:c r="A1076" s="49" t="s">
        <x:v>5047</x:v>
      </x:c>
      <x:c r="B1076" s="50"/>
    </x:row>
    <x:row r="1077">
      <x:c r="A1077" s="49" t="s">
        <x:v>5052</x:v>
      </x:c>
      <x:c r="B1077" s="50"/>
    </x:row>
    <x:row r="1078">
      <x:c r="A1078" s="49" t="s">
        <x:v>5057</x:v>
      </x:c>
      <x:c r="B1078" s="50"/>
    </x:row>
    <x:row r="1079">
      <x:c r="A1079" s="49" t="s">
        <x:v>5061</x:v>
      </x:c>
      <x:c r="B1079" s="50"/>
    </x:row>
    <x:row r="1080">
      <x:c r="A1080" s="49" t="s">
        <x:v>5065</x:v>
      </x:c>
      <x:c r="B1080" s="50"/>
    </x:row>
    <x:row r="1081">
      <x:c r="A1081" s="49" t="s">
        <x:v>5069</x:v>
      </x:c>
      <x:c r="B1081" s="50"/>
    </x:row>
    <x:row r="1082">
      <x:c r="A1082" s="49" t="s">
        <x:v>5073</x:v>
      </x:c>
      <x:c r="B1082" s="50"/>
    </x:row>
    <x:row r="1083">
      <x:c r="A1083" s="49" t="s">
        <x:v>5077</x:v>
      </x:c>
      <x:c r="B1083" s="50"/>
    </x:row>
    <x:row r="1084">
      <x:c r="A1084" s="49" t="s">
        <x:v>5082</x:v>
      </x:c>
      <x:c r="B1084" s="50"/>
    </x:row>
    <x:row r="1085">
      <x:c r="A1085" s="49" t="s">
        <x:v>5086</x:v>
      </x:c>
      <x:c r="B1085" s="50"/>
    </x:row>
    <x:row r="1086">
      <x:c r="A1086" s="49" t="s">
        <x:v>5091</x:v>
      </x:c>
      <x:c r="B1086" s="50"/>
    </x:row>
    <x:row r="1087">
      <x:c r="A1087" s="49" t="s">
        <x:v>5096</x:v>
      </x:c>
      <x:c r="B1087" s="50"/>
    </x:row>
    <x:row r="1088">
      <x:c r="A1088" s="49" t="s">
        <x:v>5100</x:v>
      </x:c>
      <x:c r="B1088" s="50"/>
    </x:row>
    <x:row r="1089">
      <x:c r="A1089" s="49" t="s">
        <x:v>5104</x:v>
      </x:c>
      <x:c r="B1089" s="50"/>
    </x:row>
    <x:row r="1090">
      <x:c r="A1090" s="49" t="s">
        <x:v>5109</x:v>
      </x:c>
      <x:c r="B1090" s="50"/>
    </x:row>
    <x:row r="1091">
      <x:c r="A1091" s="49" t="s">
        <x:v>5114</x:v>
      </x:c>
      <x:c r="B1091" s="50"/>
    </x:row>
    <x:row r="1092">
      <x:c r="A1092" s="49" t="s">
        <x:v>5119</x:v>
      </x:c>
      <x:c r="B1092" s="50"/>
    </x:row>
    <x:row r="1093">
      <x:c r="A1093" s="49" t="s">
        <x:v>5123</x:v>
      </x:c>
      <x:c r="B1093" s="50"/>
    </x:row>
    <x:row r="1094">
      <x:c r="A1094" s="49" t="s">
        <x:v>5128</x:v>
      </x:c>
      <x:c r="B1094" s="50"/>
    </x:row>
    <x:row r="1095">
      <x:c r="A1095" s="49" t="s">
        <x:v>5132</x:v>
      </x:c>
      <x:c r="B1095" s="50"/>
    </x:row>
    <x:row r="1096">
      <x:c r="A1096" s="49" t="s">
        <x:v>5136</x:v>
      </x:c>
      <x:c r="B1096" s="50"/>
    </x:row>
    <x:row r="1097">
      <x:c r="A1097" s="49" t="s">
        <x:v>5141</x:v>
      </x:c>
      <x:c r="B1097" s="50"/>
    </x:row>
    <x:row r="1098">
      <x:c r="A1098" s="49" t="s">
        <x:v>5146</x:v>
      </x:c>
      <x:c r="B1098" s="50"/>
    </x:row>
    <x:row r="1099">
      <x:c r="A1099" s="49" t="s">
        <x:v>5150</x:v>
      </x:c>
      <x:c r="B1099" s="50"/>
    </x:row>
    <x:row r="1100">
      <x:c r="A1100" s="49" t="s">
        <x:v>5154</x:v>
      </x:c>
      <x:c r="B1100" s="50"/>
    </x:row>
    <x:row r="1101">
      <x:c r="A1101" s="49" t="s">
        <x:v>5158</x:v>
      </x:c>
      <x:c r="B1101" s="50"/>
    </x:row>
    <x:row r="1102">
      <x:c r="A1102" s="49" t="s">
        <x:v>5163</x:v>
      </x:c>
      <x:c r="B1102" s="50"/>
    </x:row>
    <x:row r="1103">
      <x:c r="A1103" s="49" t="s">
        <x:v>5168</x:v>
      </x:c>
      <x:c r="B1103" s="50"/>
    </x:row>
    <x:row r="1104">
      <x:c r="A1104" s="49" t="s">
        <x:v>5173</x:v>
      </x:c>
      <x:c r="B1104" s="50"/>
    </x:row>
    <x:row r="1105">
      <x:c r="A1105" s="49" t="s">
        <x:v>5178</x:v>
      </x:c>
      <x:c r="B1105" s="50"/>
    </x:row>
    <x:row r="1106">
      <x:c r="A1106" s="49" t="s">
        <x:v>5182</x:v>
      </x:c>
      <x:c r="B1106" s="50"/>
    </x:row>
    <x:row r="1107">
      <x:c r="A1107" s="49" t="s">
        <x:v>5186</x:v>
      </x:c>
      <x:c r="B1107" s="50"/>
    </x:row>
    <x:row r="1108">
      <x:c r="A1108" s="49" t="s">
        <x:v>5191</x:v>
      </x:c>
      <x:c r="B1108" s="50"/>
    </x:row>
    <x:row r="1109">
      <x:c r="A1109" s="49" t="s">
        <x:v>5195</x:v>
      </x:c>
      <x:c r="B1109" s="50"/>
    </x:row>
    <x:row r="1110">
      <x:c r="A1110" s="49" t="s">
        <x:v>5199</x:v>
      </x:c>
      <x:c r="B1110" s="50"/>
    </x:row>
    <x:row r="1111">
      <x:c r="A1111" s="49" t="s">
        <x:v>5204</x:v>
      </x:c>
      <x:c r="B1111" s="50"/>
    </x:row>
    <x:row r="1112">
      <x:c r="A1112" s="49" t="s">
        <x:v>5209</x:v>
      </x:c>
      <x:c r="B1112" s="50"/>
    </x:row>
    <x:row r="1113">
      <x:c r="A1113" s="49" t="s">
        <x:v>5213</x:v>
      </x:c>
      <x:c r="B1113" s="50"/>
    </x:row>
    <x:row r="1114">
      <x:c r="A1114" s="49" t="s">
        <x:v>5217</x:v>
      </x:c>
      <x:c r="B1114" s="50"/>
    </x:row>
    <x:row r="1115">
      <x:c r="A1115" s="49" t="s">
        <x:v>5222</x:v>
      </x:c>
      <x:c r="B1115" s="50"/>
    </x:row>
    <x:row r="1116">
      <x:c r="A1116" s="49" t="s">
        <x:v>5226</x:v>
      </x:c>
      <x:c r="B1116" s="50"/>
    </x:row>
    <x:row r="1117">
      <x:c r="A1117" s="49" t="s">
        <x:v>5230</x:v>
      </x:c>
      <x:c r="B1117" s="50"/>
    </x:row>
    <x:row r="1118">
      <x:c r="A1118" s="49" t="s">
        <x:v>5235</x:v>
      </x:c>
      <x:c r="B1118" s="50"/>
    </x:row>
    <x:row r="1119">
      <x:c r="A1119" s="49" t="s">
        <x:v>5240</x:v>
      </x:c>
      <x:c r="B1119" s="50"/>
    </x:row>
    <x:row r="1120">
      <x:c r="A1120" s="49" t="s">
        <x:v>5245</x:v>
      </x:c>
      <x:c r="B1120" s="50"/>
    </x:row>
    <x:row r="1121">
      <x:c r="A1121" s="49" t="s">
        <x:v>5250</x:v>
      </x:c>
      <x:c r="B1121" s="50"/>
    </x:row>
    <x:row r="1122">
      <x:c r="A1122" s="49" t="s">
        <x:v>5254</x:v>
      </x:c>
      <x:c r="B1122" s="50"/>
    </x:row>
    <x:row r="1123">
      <x:c r="A1123" s="49" t="s">
        <x:v>5258</x:v>
      </x:c>
      <x:c r="B1123" s="50"/>
    </x:row>
    <x:row r="1124">
      <x:c r="A1124" s="49" t="s">
        <x:v>5262</x:v>
      </x:c>
      <x:c r="B1124" s="50"/>
    </x:row>
    <x:row r="1125">
      <x:c r="A1125" s="49" t="s">
        <x:v>5266</x:v>
      </x:c>
      <x:c r="B1125" s="50"/>
    </x:row>
    <x:row r="1126">
      <x:c r="A1126" s="49" t="s">
        <x:v>5271</x:v>
      </x:c>
      <x:c r="B1126" s="50"/>
    </x:row>
    <x:row r="1127">
      <x:c r="A1127" s="49" t="s">
        <x:v>5276</x:v>
      </x:c>
      <x:c r="B1127" s="50"/>
    </x:row>
    <x:row r="1128">
      <x:c r="A1128" s="49" t="s">
        <x:v>5280</x:v>
      </x:c>
      <x:c r="B1128" s="50"/>
    </x:row>
    <x:row r="1129">
      <x:c r="A1129" s="49" t="s">
        <x:v>5284</x:v>
      </x:c>
      <x:c r="B1129" s="50"/>
    </x:row>
    <x:row r="1130">
      <x:c r="A1130" s="49" t="s">
        <x:v>5288</x:v>
      </x:c>
      <x:c r="B1130" s="50"/>
    </x:row>
    <x:row r="1131">
      <x:c r="A1131" s="49" t="s">
        <x:v>5292</x:v>
      </x:c>
      <x:c r="B1131" s="50"/>
    </x:row>
    <x:row r="1132">
      <x:c r="A1132" s="49" t="s">
        <x:v>5297</x:v>
      </x:c>
      <x:c r="B1132" s="50"/>
    </x:row>
    <x:row r="1133">
      <x:c r="A1133" s="49" t="s">
        <x:v>5302</x:v>
      </x:c>
      <x:c r="B1133" s="50"/>
    </x:row>
    <x:row r="1134">
      <x:c r="A1134" s="49" t="s">
        <x:v>5307</x:v>
      </x:c>
      <x:c r="B1134" s="50"/>
    </x:row>
    <x:row r="1135">
      <x:c r="A1135" s="49" t="s">
        <x:v>5311</x:v>
      </x:c>
      <x:c r="B1135" s="50"/>
    </x:row>
    <x:row r="1136">
      <x:c r="A1136" s="49" t="s">
        <x:v>5316</x:v>
      </x:c>
      <x:c r="B1136" s="50"/>
    </x:row>
    <x:row r="1137">
      <x:c r="A1137" s="49" t="s">
        <x:v>5321</x:v>
      </x:c>
      <x:c r="B1137" s="50"/>
    </x:row>
    <x:row r="1138">
      <x:c r="A1138" s="49" t="s">
        <x:v>5326</x:v>
      </x:c>
      <x:c r="B1138" s="50"/>
    </x:row>
    <x:row r="1139">
      <x:c r="A1139" s="49" t="s">
        <x:v>5331</x:v>
      </x:c>
      <x:c r="B1139" s="50"/>
    </x:row>
    <x:row r="1140">
      <x:c r="A1140" s="49" t="s">
        <x:v>5335</x:v>
      </x:c>
      <x:c r="B1140" s="50"/>
    </x:row>
    <x:row r="1141">
      <x:c r="A1141" s="49" t="s">
        <x:v>5339</x:v>
      </x:c>
      <x:c r="B1141" s="50"/>
    </x:row>
    <x:row r="1142">
      <x:c r="A1142" s="49" t="s">
        <x:v>5344</x:v>
      </x:c>
      <x:c r="B1142" s="50"/>
    </x:row>
    <x:row r="1143">
      <x:c r="A1143" s="49" t="s">
        <x:v>5348</x:v>
      </x:c>
      <x:c r="B1143" s="50"/>
    </x:row>
    <x:row r="1144">
      <x:c r="A1144" s="49" t="s">
        <x:v>5352</x:v>
      </x:c>
      <x:c r="B1144" s="50"/>
    </x:row>
    <x:row r="1145">
      <x:c r="A1145" s="49" t="s">
        <x:v>5356</x:v>
      </x:c>
      <x:c r="B1145" s="50"/>
    </x:row>
    <x:row r="1146">
      <x:c r="A1146" s="49" t="s">
        <x:v>5360</x:v>
      </x:c>
      <x:c r="B1146" s="50"/>
    </x:row>
    <x:row r="1147">
      <x:c r="A1147" s="49" t="s">
        <x:v>5364</x:v>
      </x:c>
      <x:c r="B1147" s="50"/>
    </x:row>
    <x:row r="1148">
      <x:c r="A1148" s="49" t="s">
        <x:v>5368</x:v>
      </x:c>
      <x:c r="B1148" s="50"/>
    </x:row>
    <x:row r="1149">
      <x:c r="A1149" s="49" t="s">
        <x:v>5372</x:v>
      </x:c>
      <x:c r="B1149" s="50"/>
    </x:row>
    <x:row r="1150">
      <x:c r="A1150" s="49" t="s">
        <x:v>5376</x:v>
      </x:c>
      <x:c r="B1150" s="50"/>
    </x:row>
    <x:row r="1151">
      <x:c r="A1151" s="49" t="s">
        <x:v>5380</x:v>
      </x:c>
      <x:c r="B1151" s="50"/>
    </x:row>
    <x:row r="1152">
      <x:c r="A1152" s="49" t="s">
        <x:v>5384</x:v>
      </x:c>
      <x:c r="B1152" s="50"/>
    </x:row>
    <x:row r="1153">
      <x:c r="A1153" s="49" t="s">
        <x:v>5388</x:v>
      </x:c>
      <x:c r="B1153" s="50"/>
    </x:row>
    <x:row r="1154">
      <x:c r="A1154" s="49" t="s">
        <x:v>5393</x:v>
      </x:c>
      <x:c r="B1154" s="50"/>
    </x:row>
    <x:row r="1155">
      <x:c r="A1155" s="49" t="s">
        <x:v>5397</x:v>
      </x:c>
      <x:c r="B1155" s="50"/>
    </x:row>
    <x:row r="1156">
      <x:c r="A1156" s="49" t="s">
        <x:v>5401</x:v>
      </x:c>
      <x:c r="B1156" s="50"/>
    </x:row>
    <x:row r="1157">
      <x:c r="A1157" s="49" t="s">
        <x:v>5406</x:v>
      </x:c>
      <x:c r="B1157" s="50"/>
    </x:row>
    <x:row r="1158">
      <x:c r="A1158" s="49" t="s">
        <x:v>5410</x:v>
      </x:c>
      <x:c r="B1158" s="50"/>
    </x:row>
    <x:row r="1159">
      <x:c r="A1159" s="49" t="s">
        <x:v>5414</x:v>
      </x:c>
      <x:c r="B1159" s="50"/>
    </x:row>
    <x:row r="1160">
      <x:c r="A1160" s="49" t="s">
        <x:v>5419</x:v>
      </x:c>
      <x:c r="B1160" s="50"/>
    </x:row>
    <x:row r="1161">
      <x:c r="A1161" s="49" t="s">
        <x:v>5423</x:v>
      </x:c>
      <x:c r="B1161" s="50"/>
    </x:row>
    <x:row r="1162">
      <x:c r="A1162" s="49" t="s">
        <x:v>5428</x:v>
      </x:c>
      <x:c r="B1162" s="50"/>
    </x:row>
    <x:row r="1163">
      <x:c r="A1163" s="49" t="s">
        <x:v>5433</x:v>
      </x:c>
      <x:c r="B1163" s="50"/>
    </x:row>
    <x:row r="1164">
      <x:c r="A1164" s="49" t="s">
        <x:v>5438</x:v>
      </x:c>
      <x:c r="B1164" s="50"/>
    </x:row>
    <x:row r="1165">
      <x:c r="A1165" s="49" t="s">
        <x:v>5443</x:v>
      </x:c>
      <x:c r="B1165" s="50"/>
    </x:row>
    <x:row r="1166">
      <x:c r="A1166" s="49" t="s">
        <x:v>5448</x:v>
      </x:c>
      <x:c r="B1166" s="50"/>
    </x:row>
    <x:row r="1167">
      <x:c r="A1167" s="49" t="s">
        <x:v>5452</x:v>
      </x:c>
      <x:c r="B1167" s="50"/>
    </x:row>
    <x:row r="1168">
      <x:c r="A1168" s="49" t="s">
        <x:v>5458</x:v>
      </x:c>
      <x:c r="B1168" s="50"/>
    </x:row>
    <x:row r="1169">
      <x:c r="A1169" s="49" t="s">
        <x:v>5462</x:v>
      </x:c>
      <x:c r="B1169" s="50"/>
    </x:row>
    <x:row r="1170">
      <x:c r="A1170" s="49" t="s">
        <x:v>5466</x:v>
      </x:c>
      <x:c r="B1170" s="50"/>
    </x:row>
    <x:row r="1171">
      <x:c r="A1171" s="49" t="s">
        <x:v>5471</x:v>
      </x:c>
      <x:c r="B1171" s="50"/>
    </x:row>
    <x:row r="1172">
      <x:c r="A1172" s="49" t="s">
        <x:v>5475</x:v>
      </x:c>
      <x:c r="B1172" s="50"/>
    </x:row>
    <x:row r="1173">
      <x:c r="A1173" s="49" t="s">
        <x:v>5479</x:v>
      </x:c>
      <x:c r="B1173" s="50"/>
    </x:row>
    <x:row r="1174">
      <x:c r="A1174" s="49" t="s">
        <x:v>5483</x:v>
      </x:c>
      <x:c r="B1174" s="50"/>
    </x:row>
    <x:row r="1175">
      <x:c r="A1175" s="49" t="s">
        <x:v>5487</x:v>
      </x:c>
      <x:c r="B1175" s="50"/>
    </x:row>
    <x:row r="1176">
      <x:c r="A1176" s="49" t="s">
        <x:v>5492</x:v>
      </x:c>
      <x:c r="B1176" s="50"/>
    </x:row>
    <x:row r="1177">
      <x:c r="A1177" s="49" t="s">
        <x:v>5497</x:v>
      </x:c>
      <x:c r="B1177" s="50"/>
    </x:row>
    <x:row r="1178">
      <x:c r="A1178" s="49" t="s">
        <x:v>5502</x:v>
      </x:c>
      <x:c r="B1178" s="50"/>
    </x:row>
    <x:row r="1179">
      <x:c r="A1179" s="49" t="s">
        <x:v>5506</x:v>
      </x:c>
      <x:c r="B1179" s="50"/>
    </x:row>
    <x:row r="1180">
      <x:c r="A1180" s="49" t="s">
        <x:v>5511</x:v>
      </x:c>
      <x:c r="B1180" s="50"/>
    </x:row>
    <x:row r="1181">
      <x:c r="A1181" s="49" t="s">
        <x:v>5515</x:v>
      </x:c>
      <x:c r="B1181" s="50"/>
    </x:row>
    <x:row r="1182">
      <x:c r="A1182" s="49" t="s">
        <x:v>5519</x:v>
      </x:c>
      <x:c r="B1182" s="50"/>
    </x:row>
    <x:row r="1183">
      <x:c r="A1183" s="49" t="s">
        <x:v>5523</x:v>
      </x:c>
      <x:c r="B1183" s="50"/>
    </x:row>
    <x:row r="1184">
      <x:c r="A1184" s="49" t="s">
        <x:v>5528</x:v>
      </x:c>
      <x:c r="B1184" s="50"/>
    </x:row>
    <x:row r="1185">
      <x:c r="A1185" s="49" t="s">
        <x:v>5532</x:v>
      </x:c>
      <x:c r="B1185" s="50"/>
    </x:row>
    <x:row r="1186">
      <x:c r="A1186" s="49" t="s">
        <x:v>5536</x:v>
      </x:c>
      <x:c r="B1186" s="50"/>
    </x:row>
    <x:row r="1187">
      <x:c r="A1187" s="49" t="s">
        <x:v>5540</x:v>
      </x:c>
      <x:c r="B1187" s="50"/>
    </x:row>
    <x:row r="1188">
      <x:c r="A1188" s="49" t="s">
        <x:v>5544</x:v>
      </x:c>
      <x:c r="B1188" s="50"/>
    </x:row>
    <x:row r="1189">
      <x:c r="A1189" s="49" t="s">
        <x:v>5549</x:v>
      </x:c>
      <x:c r="B1189" s="50"/>
    </x:row>
    <x:row r="1190">
      <x:c r="A1190" s="49" t="s">
        <x:v>5553</x:v>
      </x:c>
      <x:c r="B1190" s="50"/>
    </x:row>
    <x:row r="1191">
      <x:c r="A1191" s="49" t="s">
        <x:v>5557</x:v>
      </x:c>
      <x:c r="B1191" s="50"/>
    </x:row>
    <x:row r="1192">
      <x:c r="A1192" s="49" t="s">
        <x:v>5561</x:v>
      </x:c>
      <x:c r="B1192" s="50"/>
    </x:row>
    <x:row r="1193">
      <x:c r="A1193" s="49" t="s">
        <x:v>5565</x:v>
      </x:c>
      <x:c r="B1193" s="50"/>
    </x:row>
    <x:row r="1194">
      <x:c r="A1194" s="49" t="s">
        <x:v>5570</x:v>
      </x:c>
      <x:c r="B1194" s="50"/>
    </x:row>
    <x:row r="1195">
      <x:c r="A1195" s="49" t="s">
        <x:v>5574</x:v>
      </x:c>
      <x:c r="B1195" s="50"/>
    </x:row>
    <x:row r="1196">
      <x:c r="A1196" s="49" t="s">
        <x:v>5578</x:v>
      </x:c>
      <x:c r="B1196" s="50"/>
    </x:row>
    <x:row r="1197">
      <x:c r="A1197" s="49" t="s">
        <x:v>5582</x:v>
      </x:c>
      <x:c r="B1197" s="50"/>
    </x:row>
    <x:row r="1198">
      <x:c r="A1198" s="49" t="s">
        <x:v>5586</x:v>
      </x:c>
      <x:c r="B1198" s="50"/>
    </x:row>
    <x:row r="1199">
      <x:c r="A1199" s="49" t="s">
        <x:v>5590</x:v>
      </x:c>
      <x:c r="B1199" s="50"/>
    </x:row>
    <x:row r="1200">
      <x:c r="A1200" s="49" t="s">
        <x:v>5595</x:v>
      </x:c>
      <x:c r="B1200" s="50"/>
    </x:row>
    <x:row r="1201">
      <x:c r="A1201" s="49" t="s">
        <x:v>5600</x:v>
      </x:c>
      <x:c r="B1201" s="50"/>
    </x:row>
    <x:row r="1202">
      <x:c r="A1202" s="49" t="s">
        <x:v>5605</x:v>
      </x:c>
      <x:c r="B1202" s="50"/>
    </x:row>
    <x:row r="1203">
      <x:c r="A1203" s="49" t="s">
        <x:v>5609</x:v>
      </x:c>
      <x:c r="B1203" s="50"/>
    </x:row>
    <x:row r="1204">
      <x:c r="A1204" s="49" t="s">
        <x:v>5613</x:v>
      </x:c>
      <x:c r="B1204" s="50"/>
    </x:row>
    <x:row r="1205">
      <x:c r="A1205" s="49" t="s">
        <x:v>5618</x:v>
      </x:c>
      <x:c r="B1205" s="50"/>
    </x:row>
    <x:row r="1206">
      <x:c r="A1206" s="49" t="s">
        <x:v>5623</x:v>
      </x:c>
      <x:c r="B1206" s="50"/>
    </x:row>
    <x:row r="1207">
      <x:c r="A1207" s="49" t="s">
        <x:v>5627</x:v>
      </x:c>
      <x:c r="B1207" s="50"/>
    </x:row>
    <x:row r="1208">
      <x:c r="A1208" s="49" t="s">
        <x:v>5631</x:v>
      </x:c>
      <x:c r="B1208" s="50"/>
    </x:row>
    <x:row r="1209">
      <x:c r="A1209" s="49" t="s">
        <x:v>5635</x:v>
      </x:c>
      <x:c r="B1209" s="50"/>
    </x:row>
    <x:row r="1210">
      <x:c r="A1210" s="49" t="s">
        <x:v>5639</x:v>
      </x:c>
      <x:c r="B1210" s="50"/>
    </x:row>
    <x:row r="1211">
      <x:c r="A1211" s="49" t="s">
        <x:v>5643</x:v>
      </x:c>
      <x:c r="B1211" s="50"/>
    </x:row>
    <x:row r="1212">
      <x:c r="A1212" s="49" t="s">
        <x:v>5647</x:v>
      </x:c>
      <x:c r="B1212" s="50"/>
    </x:row>
    <x:row r="1213">
      <x:c r="A1213" s="49" t="s">
        <x:v>5652</x:v>
      </x:c>
      <x:c r="B1213" s="50"/>
    </x:row>
    <x:row r="1214">
      <x:c r="A1214" s="49" t="s">
        <x:v>5657</x:v>
      </x:c>
      <x:c r="B1214" s="50"/>
    </x:row>
    <x:row r="1215">
      <x:c r="A1215" s="49" t="s">
        <x:v>5663</x:v>
      </x:c>
      <x:c r="B1215" s="50"/>
    </x:row>
    <x:row r="1216">
      <x:c r="A1216" s="49" t="s">
        <x:v>5667</x:v>
      </x:c>
      <x:c r="B1216" s="50"/>
    </x:row>
    <x:row r="1217">
      <x:c r="A1217" s="49" t="s">
        <x:v>5672</x:v>
      </x:c>
      <x:c r="B1217" s="50"/>
    </x:row>
    <x:row r="1218">
      <x:c r="A1218" s="49" t="s">
        <x:v>5677</x:v>
      </x:c>
      <x:c r="B1218" s="50"/>
    </x:row>
    <x:row r="1219">
      <x:c r="A1219" s="49" t="s">
        <x:v>5683</x:v>
      </x:c>
      <x:c r="B1219" s="50"/>
    </x:row>
    <x:row r="1220">
      <x:c r="A1220" s="49" t="s">
        <x:v>5688</x:v>
      </x:c>
      <x:c r="B1220" s="50"/>
    </x:row>
    <x:row r="1221">
      <x:c r="A1221" s="49" t="s">
        <x:v>5692</x:v>
      </x:c>
      <x:c r="B1221" s="50"/>
    </x:row>
    <x:row r="1222">
      <x:c r="A1222" s="49" t="s">
        <x:v>5696</x:v>
      </x:c>
      <x:c r="B1222" s="50"/>
    </x:row>
    <x:row r="1223">
      <x:c r="A1223" s="49" t="s">
        <x:v>5700</x:v>
      </x:c>
      <x:c r="B1223" s="50"/>
    </x:row>
    <x:row r="1224">
      <x:c r="A1224" s="49" t="s">
        <x:v>5704</x:v>
      </x:c>
      <x:c r="B1224" s="50"/>
    </x:row>
    <x:row r="1225">
      <x:c r="A1225" s="49" t="s">
        <x:v>5709</x:v>
      </x:c>
      <x:c r="B1225" s="50"/>
    </x:row>
    <x:row r="1226">
      <x:c r="A1226" s="49" t="s">
        <x:v>5714</x:v>
      </x:c>
      <x:c r="B1226" s="50"/>
    </x:row>
    <x:row r="1227">
      <x:c r="A1227" s="49" t="s">
        <x:v>5719</x:v>
      </x:c>
      <x:c r="B1227" s="50"/>
    </x:row>
    <x:row r="1228">
      <x:c r="A1228" s="49" t="s">
        <x:v>5723</x:v>
      </x:c>
      <x:c r="B1228" s="50"/>
    </x:row>
    <x:row r="1229">
      <x:c r="A1229" s="49" t="s">
        <x:v>5728</x:v>
      </x:c>
      <x:c r="B1229" s="50"/>
    </x:row>
    <x:row r="1230">
      <x:c r="A1230" s="49" t="s">
        <x:v>5732</x:v>
      </x:c>
      <x:c r="B1230" s="50"/>
    </x:row>
    <x:row r="1231">
      <x:c r="A1231" s="49" t="s">
        <x:v>5737</x:v>
      </x:c>
      <x:c r="B1231" s="50"/>
    </x:row>
    <x:row r="1232">
      <x:c r="A1232" s="49" t="s">
        <x:v>5742</x:v>
      </x:c>
      <x:c r="B1232" s="50"/>
    </x:row>
    <x:row r="1233">
      <x:c r="A1233" s="49" t="s">
        <x:v>5746</x:v>
      </x:c>
      <x:c r="B1233" s="50"/>
    </x:row>
    <x:row r="1234">
      <x:c r="A1234" s="49" t="s">
        <x:v>5750</x:v>
      </x:c>
      <x:c r="B1234" s="50"/>
    </x:row>
    <x:row r="1235">
      <x:c r="A1235" s="49" t="s">
        <x:v>5754</x:v>
      </x:c>
      <x:c r="B1235" s="50"/>
    </x:row>
    <x:row r="1236">
      <x:c r="A1236" s="49" t="s">
        <x:v>5758</x:v>
      </x:c>
      <x:c r="B1236" s="50"/>
    </x:row>
    <x:row r="1237">
      <x:c r="A1237" s="49" t="s">
        <x:v>5763</x:v>
      </x:c>
      <x:c r="B1237" s="50"/>
    </x:row>
    <x:row r="1238">
      <x:c r="A1238" s="49" t="s">
        <x:v>5768</x:v>
      </x:c>
      <x:c r="B1238" s="50"/>
    </x:row>
    <x:row r="1239">
      <x:c r="A1239" s="49" t="s">
        <x:v>5772</x:v>
      </x:c>
      <x:c r="B1239" s="50"/>
    </x:row>
    <x:row r="1240">
      <x:c r="A1240" s="49" t="s">
        <x:v>5776</x:v>
      </x:c>
      <x:c r="B1240" s="50"/>
    </x:row>
    <x:row r="1241">
      <x:c r="A1241" s="49" t="s">
        <x:v>5781</x:v>
      </x:c>
      <x:c r="B1241" s="50"/>
    </x:row>
    <x:row r="1242">
      <x:c r="A1242" s="49" t="s">
        <x:v>5786</x:v>
      </x:c>
      <x:c r="B1242" s="50"/>
    </x:row>
    <x:row r="1243">
      <x:c r="A1243" s="49" t="s">
        <x:v>5791</x:v>
      </x:c>
      <x:c r="B1243" s="50"/>
    </x:row>
    <x:row r="1244">
      <x:c r="A1244" s="49" t="s">
        <x:v>5796</x:v>
      </x:c>
      <x:c r="B1244" s="50"/>
    </x:row>
    <x:row r="1245">
      <x:c r="A1245" s="49" t="s">
        <x:v>5801</x:v>
      </x:c>
      <x:c r="B1245" s="50"/>
    </x:row>
    <x:row r="1246">
      <x:c r="A1246" s="49" t="s">
        <x:v>5805</x:v>
      </x:c>
      <x:c r="B1246" s="50"/>
    </x:row>
    <x:row r="1247">
      <x:c r="A1247" s="49" t="s">
        <x:v>5809</x:v>
      </x:c>
      <x:c r="B1247" s="50"/>
    </x:row>
    <x:row r="1248">
      <x:c r="A1248" s="49" t="s">
        <x:v>5813</x:v>
      </x:c>
      <x:c r="B1248" s="50"/>
    </x:row>
    <x:row r="1249">
      <x:c r="A1249" s="49" t="s">
        <x:v>5817</x:v>
      </x:c>
      <x:c r="B1249" s="50"/>
    </x:row>
    <x:row r="1250">
      <x:c r="A1250" s="49" t="s">
        <x:v>5821</x:v>
      </x:c>
      <x:c r="B1250" s="50"/>
    </x:row>
    <x:row r="1251">
      <x:c r="A1251" s="49" t="s">
        <x:v>5826</x:v>
      </x:c>
      <x:c r="B1251" s="50"/>
    </x:row>
    <x:row r="1252">
      <x:c r="A1252" s="49" t="s">
        <x:v>5830</x:v>
      </x:c>
      <x:c r="B1252" s="50"/>
    </x:row>
    <x:row r="1253">
      <x:c r="A1253" s="49" t="s">
        <x:v>5834</x:v>
      </x:c>
      <x:c r="B1253" s="50"/>
    </x:row>
    <x:row r="1254">
      <x:c r="A1254" s="49" t="s">
        <x:v>5838</x:v>
      </x:c>
      <x:c r="B1254" s="50"/>
    </x:row>
    <x:row r="1255">
      <x:c r="A1255" s="49" t="s">
        <x:v>5843</x:v>
      </x:c>
      <x:c r="B1255" s="50"/>
    </x:row>
    <x:row r="1256">
      <x:c r="A1256" s="49" t="s">
        <x:v>5848</x:v>
      </x:c>
      <x:c r="B1256" s="50"/>
    </x:row>
    <x:row r="1257">
      <x:c r="A1257" s="49" t="s">
        <x:v>5853</x:v>
      </x:c>
      <x:c r="B1257" s="50"/>
    </x:row>
    <x:row r="1258">
      <x:c r="A1258" s="49" t="s">
        <x:v>5858</x:v>
      </x:c>
      <x:c r="B1258" s="50"/>
    </x:row>
    <x:row r="1259">
      <x:c r="A1259" s="49" t="s">
        <x:v>5862</x:v>
      </x:c>
      <x:c r="B1259" s="50"/>
    </x:row>
    <x:row r="1260">
      <x:c r="A1260" s="49" t="s">
        <x:v>5866</x:v>
      </x:c>
      <x:c r="B1260" s="50"/>
    </x:row>
    <x:row r="1261">
      <x:c r="A1261" s="49" t="s">
        <x:v>5871</x:v>
      </x:c>
      <x:c r="B1261" s="50"/>
    </x:row>
    <x:row r="1262">
      <x:c r="A1262" s="49" t="s">
        <x:v>5875</x:v>
      </x:c>
      <x:c r="B1262" s="50"/>
    </x:row>
    <x:row r="1263">
      <x:c r="A1263" s="49" t="s">
        <x:v>5879</x:v>
      </x:c>
      <x:c r="B1263" s="50"/>
    </x:row>
    <x:row r="1264">
      <x:c r="A1264" s="49" t="s">
        <x:v>5883</x:v>
      </x:c>
      <x:c r="B1264" s="50"/>
    </x:row>
    <x:row r="1265">
      <x:c r="A1265" s="49" t="s">
        <x:v>5888</x:v>
      </x:c>
      <x:c r="B1265" s="50"/>
    </x:row>
    <x:row r="1266">
      <x:c r="A1266" s="49" t="s">
        <x:v>5893</x:v>
      </x:c>
      <x:c r="B1266" s="50"/>
    </x:row>
    <x:row r="1267">
      <x:c r="A1267" s="49" t="s">
        <x:v>5898</x:v>
      </x:c>
      <x:c r="B1267" s="50"/>
    </x:row>
    <x:row r="1268">
      <x:c r="A1268" s="49" t="s">
        <x:v>5902</x:v>
      </x:c>
      <x:c r="B1268" s="50"/>
    </x:row>
    <x:row r="1269">
      <x:c r="A1269" s="49" t="s">
        <x:v>64</x:v>
      </x:c>
      <x:c r="B1269" s="50"/>
    </x:row>
    <x:row r="1270">
      <x:c r="A1270" s="49" t="s">
        <x:v>5910</x:v>
      </x:c>
      <x:c r="B1270" s="50"/>
    </x:row>
    <x:row r="1271">
      <x:c r="A1271" s="49" t="s">
        <x:v>5915</x:v>
      </x:c>
      <x:c r="B1271" s="50"/>
    </x:row>
    <x:row r="1272">
      <x:c r="A1272" s="49" t="s">
        <x:v>5919</x:v>
      </x:c>
      <x:c r="B1272" s="50"/>
    </x:row>
    <x:row r="1273">
      <x:c r="A1273" s="49" t="s">
        <x:v>5924</x:v>
      </x:c>
      <x:c r="B1273" s="50"/>
    </x:row>
    <x:row r="1274">
      <x:c r="A1274" s="49" t="s">
        <x:v>5928</x:v>
      </x:c>
      <x:c r="B1274" s="50"/>
    </x:row>
    <x:row r="1275">
      <x:c r="A1275" s="49" t="s">
        <x:v>5932</x:v>
      </x:c>
      <x:c r="B1275" s="50"/>
    </x:row>
    <x:row r="1276">
      <x:c r="A1276" s="49" t="s">
        <x:v>5936</x:v>
      </x:c>
      <x:c r="B1276" s="50"/>
    </x:row>
    <x:row r="1277">
      <x:c r="A1277" s="49" t="s">
        <x:v>5940</x:v>
      </x:c>
      <x:c r="B1277" s="50"/>
    </x:row>
    <x:row r="1278">
      <x:c r="A1278" s="49" t="s">
        <x:v>5944</x:v>
      </x:c>
      <x:c r="B1278" s="50"/>
    </x:row>
    <x:row r="1279">
      <x:c r="A1279" s="49" t="s">
        <x:v>5948</x:v>
      </x:c>
      <x:c r="B1279" s="50"/>
    </x:row>
    <x:row r="1280">
      <x:c r="A1280" s="49" t="s">
        <x:v>5952</x:v>
      </x:c>
      <x:c r="B1280" s="50"/>
    </x:row>
    <x:row r="1281">
      <x:c r="A1281" s="49" t="s">
        <x:v>5956</x:v>
      </x:c>
      <x:c r="B1281" s="50"/>
    </x:row>
    <x:row r="1282">
      <x:c r="A1282" s="49" t="s">
        <x:v>5960</x:v>
      </x:c>
      <x:c r="B1282" s="50"/>
    </x:row>
    <x:row r="1283">
      <x:c r="A1283" s="49" t="s">
        <x:v>5964</x:v>
      </x:c>
      <x:c r="B1283" s="50"/>
    </x:row>
    <x:row r="1284">
      <x:c r="A1284" s="49" t="s">
        <x:v>5968</x:v>
      </x:c>
      <x:c r="B1284" s="50"/>
    </x:row>
    <x:row r="1285">
      <x:c r="A1285" s="49" t="s">
        <x:v>5972</x:v>
      </x:c>
      <x:c r="B1285" s="50"/>
    </x:row>
    <x:row r="1286">
      <x:c r="A1286" s="49" t="s">
        <x:v>5976</x:v>
      </x:c>
      <x:c r="B1286" s="50"/>
    </x:row>
    <x:row r="1287">
      <x:c r="A1287" s="49" t="s">
        <x:v>5980</x:v>
      </x:c>
      <x:c r="B1287" s="50"/>
    </x:row>
    <x:row r="1288">
      <x:c r="A1288" s="49" t="s">
        <x:v>5984</x:v>
      </x:c>
      <x:c r="B1288" s="50"/>
    </x:row>
    <x:row r="1289">
      <x:c r="A1289" s="49" t="s">
        <x:v>5988</x:v>
      </x:c>
      <x:c r="B1289" s="50"/>
    </x:row>
    <x:row r="1290">
      <x:c r="A1290" s="49" t="s">
        <x:v>5992</x:v>
      </x:c>
      <x:c r="B1290" s="50"/>
    </x:row>
    <x:row r="1291">
      <x:c r="A1291" s="49" t="s">
        <x:v>5996</x:v>
      </x:c>
      <x:c r="B1291" s="50"/>
    </x:row>
    <x:row r="1292">
      <x:c r="A1292" s="49" t="s">
        <x:v>6001</x:v>
      </x:c>
      <x:c r="B1292" s="50"/>
    </x:row>
    <x:row r="1293">
      <x:c r="A1293" s="49" t="s">
        <x:v>6005</x:v>
      </x:c>
      <x:c r="B1293" s="50"/>
    </x:row>
    <x:row r="1294">
      <x:c r="A1294" s="49" t="s">
        <x:v>6009</x:v>
      </x:c>
      <x:c r="B1294" s="50"/>
    </x:row>
    <x:row r="1295">
      <x:c r="A1295" s="49" t="s">
        <x:v>6013</x:v>
      </x:c>
      <x:c r="B1295" s="50"/>
    </x:row>
    <x:row r="1296">
      <x:c r="A1296" s="49" t="s">
        <x:v>6018</x:v>
      </x:c>
      <x:c r="B1296" s="50"/>
    </x:row>
    <x:row r="1297">
      <x:c r="A1297" s="49" t="s">
        <x:v>6023</x:v>
      </x:c>
      <x:c r="B1297" s="50"/>
    </x:row>
    <x:row r="1298">
      <x:c r="A1298" s="49" t="s">
        <x:v>6028</x:v>
      </x:c>
      <x:c r="B1298" s="50"/>
    </x:row>
    <x:row r="1299">
      <x:c r="A1299" s="49" t="s">
        <x:v>6032</x:v>
      </x:c>
      <x:c r="B1299" s="50"/>
    </x:row>
    <x:row r="1300">
      <x:c r="A1300" s="49" t="s">
        <x:v>6037</x:v>
      </x:c>
      <x:c r="B1300" s="50"/>
    </x:row>
    <x:row r="1301">
      <x:c r="A1301" s="49" t="s">
        <x:v>6042</x:v>
      </x:c>
      <x:c r="B1301" s="50"/>
    </x:row>
    <x:row r="1302">
      <x:c r="A1302" s="49" t="s">
        <x:v>6046</x:v>
      </x:c>
      <x:c r="B1302" s="50"/>
    </x:row>
    <x:row r="1303">
      <x:c r="A1303" s="49" t="s">
        <x:v>6051</x:v>
      </x:c>
      <x:c r="B1303" s="50"/>
    </x:row>
    <x:row r="1304">
      <x:c r="A1304" s="49" t="s">
        <x:v>6055</x:v>
      </x:c>
      <x:c r="B1304" s="50"/>
    </x:row>
    <x:row r="1305">
      <x:c r="A1305" s="49" t="s">
        <x:v>6059</x:v>
      </x:c>
      <x:c r="B1305" s="50"/>
    </x:row>
    <x:row r="1306">
      <x:c r="A1306" s="49" t="s">
        <x:v>6063</x:v>
      </x:c>
      <x:c r="B1306" s="50"/>
    </x:row>
    <x:row r="1307">
      <x:c r="A1307" s="49" t="s">
        <x:v>6068</x:v>
      </x:c>
      <x:c r="B1307" s="50"/>
    </x:row>
    <x:row r="1308">
      <x:c r="A1308" s="49" t="s">
        <x:v>6072</x:v>
      </x:c>
      <x:c r="B1308" s="50"/>
    </x:row>
    <x:row r="1309">
      <x:c r="A1309" s="49" t="s">
        <x:v>6076</x:v>
      </x:c>
      <x:c r="B1309" s="50"/>
    </x:row>
    <x:row r="1310">
      <x:c r="A1310" s="49" t="s">
        <x:v>6080</x:v>
      </x:c>
      <x:c r="B1310" s="50"/>
    </x:row>
    <x:row r="1311">
      <x:c r="A1311" s="49" t="s">
        <x:v>6085</x:v>
      </x:c>
      <x:c r="B1311" s="50"/>
    </x:row>
    <x:row r="1312">
      <x:c r="A1312" s="49" t="s">
        <x:v>6089</x:v>
      </x:c>
      <x:c r="B1312" s="50"/>
    </x:row>
    <x:row r="1313">
      <x:c r="A1313" s="49" t="s">
        <x:v>6094</x:v>
      </x:c>
      <x:c r="B1313" s="50"/>
    </x:row>
    <x:row r="1314">
      <x:c r="A1314" s="49" t="s">
        <x:v>6098</x:v>
      </x:c>
      <x:c r="B1314" s="50"/>
    </x:row>
    <x:row r="1315">
      <x:c r="A1315" s="49" t="s">
        <x:v>6103</x:v>
      </x:c>
      <x:c r="B1315" s="50"/>
    </x:row>
    <x:row r="1316">
      <x:c r="A1316" s="49" t="s">
        <x:v>72</x:v>
      </x:c>
      <x:c r="B1316" s="50"/>
    </x:row>
    <x:row r="1317">
      <x:c r="A1317" s="49" t="s">
        <x:v>6110</x:v>
      </x:c>
      <x:c r="B1317" s="50"/>
    </x:row>
    <x:row r="1318">
      <x:c r="A1318" s="49" t="s">
        <x:v>6115</x:v>
      </x:c>
      <x:c r="B1318" s="50"/>
    </x:row>
    <x:row r="1319">
      <x:c r="A1319" s="49" t="s">
        <x:v>6120</x:v>
      </x:c>
      <x:c r="B1319" s="50"/>
    </x:row>
    <x:row r="1320">
      <x:c r="A1320" s="49" t="s">
        <x:v>6125</x:v>
      </x:c>
      <x:c r="B1320" s="50"/>
    </x:row>
    <x:row r="1321">
      <x:c r="A1321" s="49" t="s">
        <x:v>6130</x:v>
      </x:c>
      <x:c r="B1321" s="50"/>
    </x:row>
    <x:row r="1322">
      <x:c r="A1322" s="49" t="s">
        <x:v>6134</x:v>
      </x:c>
      <x:c r="B1322" s="50"/>
    </x:row>
    <x:row r="1323">
      <x:c r="A1323" s="49" t="s">
        <x:v>6139</x:v>
      </x:c>
      <x:c r="B1323" s="50"/>
    </x:row>
    <x:row r="1324">
      <x:c r="A1324" s="49" t="s">
        <x:v>6143</x:v>
      </x:c>
      <x:c r="B1324" s="50"/>
    </x:row>
    <x:row r="1325">
      <x:c r="A1325" s="49" t="s">
        <x:v>6148</x:v>
      </x:c>
      <x:c r="B1325" s="50"/>
    </x:row>
    <x:row r="1326">
      <x:c r="A1326" s="49" t="s">
        <x:v>6152</x:v>
      </x:c>
      <x:c r="B1326" s="50"/>
    </x:row>
    <x:row r="1327">
      <x:c r="A1327" s="49" t="s">
        <x:v>6156</x:v>
      </x:c>
      <x:c r="B1327" s="50"/>
    </x:row>
    <x:row r="1328">
      <x:c r="A1328" s="49" t="s">
        <x:v>6161</x:v>
      </x:c>
      <x:c r="B1328" s="50"/>
    </x:row>
    <x:row r="1329">
      <x:c r="A1329" s="49" t="s">
        <x:v>6166</x:v>
      </x:c>
      <x:c r="B1329" s="50"/>
    </x:row>
    <x:row r="1330">
      <x:c r="A1330" s="49" t="s">
        <x:v>6170</x:v>
      </x:c>
      <x:c r="B1330" s="50"/>
    </x:row>
    <x:row r="1331">
      <x:c r="A1331" s="49" t="s">
        <x:v>6175</x:v>
      </x:c>
      <x:c r="B1331" s="50"/>
    </x:row>
    <x:row r="1332">
      <x:c r="A1332" s="49" t="s">
        <x:v>6180</x:v>
      </x:c>
      <x:c r="B1332" s="50"/>
    </x:row>
    <x:row r="1333">
      <x:c r="A1333" s="49" t="s">
        <x:v>6184</x:v>
      </x:c>
      <x:c r="B1333" s="50"/>
    </x:row>
    <x:row r="1334">
      <x:c r="A1334" s="49" t="s">
        <x:v>6188</x:v>
      </x:c>
      <x:c r="B1334" s="50"/>
    </x:row>
    <x:row r="1335">
      <x:c r="A1335" s="49" t="s">
        <x:v>6192</x:v>
      </x:c>
      <x:c r="B1335" s="50"/>
    </x:row>
    <x:row r="1336">
      <x:c r="A1336" s="49" t="s">
        <x:v>6197</x:v>
      </x:c>
      <x:c r="B1336" s="50"/>
    </x:row>
    <x:row r="1337">
      <x:c r="A1337" s="49" t="s">
        <x:v>6202</x:v>
      </x:c>
      <x:c r="B1337" s="50"/>
    </x:row>
    <x:row r="1338">
      <x:c r="A1338" s="49" t="s">
        <x:v>6207</x:v>
      </x:c>
      <x:c r="B1338" s="50"/>
    </x:row>
    <x:row r="1339">
      <x:c r="A1339" s="49" t="s">
        <x:v>6211</x:v>
      </x:c>
      <x:c r="B1339" s="50"/>
    </x:row>
    <x:row r="1340">
      <x:c r="A1340" s="49" t="s">
        <x:v>6215</x:v>
      </x:c>
      <x:c r="B1340" s="50"/>
    </x:row>
    <x:row r="1341">
      <x:c r="A1341" s="49" t="s">
        <x:v>6219</x:v>
      </x:c>
      <x:c r="B1341" s="50"/>
    </x:row>
    <x:row r="1342">
      <x:c r="A1342" s="49" t="s">
        <x:v>21</x:v>
      </x:c>
      <x:c r="B1342" s="50"/>
    </x:row>
    <x:row r="1343">
      <x:c r="A1343" s="49" t="s">
        <x:v>6227</x:v>
      </x:c>
      <x:c r="B1343" s="50"/>
    </x:row>
    <x:row r="1344">
      <x:c r="A1344" s="49" t="s">
        <x:v>6232</x:v>
      </x:c>
      <x:c r="B1344" s="50"/>
    </x:row>
    <x:row r="1345">
      <x:c r="A1345" s="49" t="s">
        <x:v>6236</x:v>
      </x:c>
      <x:c r="B1345" s="50"/>
    </x:row>
    <x:row r="1346">
      <x:c r="A1346" s="49" t="s">
        <x:v>6241</x:v>
      </x:c>
      <x:c r="B1346" s="50"/>
    </x:row>
    <x:row r="1347">
      <x:c r="A1347" s="49" t="s">
        <x:v>6246</x:v>
      </x:c>
      <x:c r="B1347" s="50"/>
    </x:row>
    <x:row r="1348">
      <x:c r="A1348" s="49" t="s">
        <x:v>6251</x:v>
      </x:c>
      <x:c r="B1348" s="50"/>
    </x:row>
    <x:row r="1349">
      <x:c r="A1349" s="49" t="s">
        <x:v>6256</x:v>
      </x:c>
      <x:c r="B1349" s="50"/>
    </x:row>
    <x:row r="1350">
      <x:c r="A1350" s="49" t="s">
        <x:v>6260</x:v>
      </x:c>
      <x:c r="B1350" s="50"/>
    </x:row>
    <x:row r="1351">
      <x:c r="A1351" s="49" t="s">
        <x:v>6264</x:v>
      </x:c>
      <x:c r="B1351" s="50"/>
    </x:row>
    <x:row r="1352">
      <x:c r="A1352" s="49" t="s">
        <x:v>6268</x:v>
      </x:c>
      <x:c r="B1352" s="50"/>
    </x:row>
    <x:row r="1353">
      <x:c r="A1353" s="49" t="s">
        <x:v>6273</x:v>
      </x:c>
      <x:c r="B1353" s="50"/>
    </x:row>
    <x:row r="1354">
      <x:c r="A1354" s="49" t="s">
        <x:v>6277</x:v>
      </x:c>
      <x:c r="B1354" s="50"/>
    </x:row>
    <x:row r="1355">
      <x:c r="A1355" s="49" t="s">
        <x:v>6282</x:v>
      </x:c>
      <x:c r="B1355" s="50"/>
    </x:row>
    <x:row r="1356">
      <x:c r="A1356" s="49" t="s">
        <x:v>6287</x:v>
      </x:c>
      <x:c r="B1356" s="50"/>
    </x:row>
    <x:row r="1357">
      <x:c r="A1357" s="49" t="s">
        <x:v>6291</x:v>
      </x:c>
      <x:c r="B1357" s="50"/>
    </x:row>
    <x:row r="1358">
      <x:c r="A1358" s="49" t="s">
        <x:v>6296</x:v>
      </x:c>
      <x:c r="B1358" s="50"/>
    </x:row>
    <x:row r="1359">
      <x:c r="A1359" s="49" t="s">
        <x:v>6300</x:v>
      </x:c>
      <x:c r="B1359" s="50"/>
    </x:row>
    <x:row r="1360">
      <x:c r="A1360" s="49" t="s">
        <x:v>6305</x:v>
      </x:c>
      <x:c r="B1360" s="50"/>
    </x:row>
    <x:row r="1361">
      <x:c r="A1361" s="49" t="s">
        <x:v>6309</x:v>
      </x:c>
      <x:c r="B1361" s="50"/>
    </x:row>
    <x:row r="1362">
      <x:c r="A1362" s="49" t="s">
        <x:v>6313</x:v>
      </x:c>
      <x:c r="B1362" s="50"/>
    </x:row>
    <x:row r="1363">
      <x:c r="A1363" s="49" t="s">
        <x:v>6318</x:v>
      </x:c>
      <x:c r="B1363" s="50"/>
    </x:row>
    <x:row r="1364">
      <x:c r="A1364" s="49" t="s">
        <x:v>6323</x:v>
      </x:c>
      <x:c r="B1364" s="50"/>
    </x:row>
    <x:row r="1365">
      <x:c r="A1365" s="49" t="s">
        <x:v>6327</x:v>
      </x:c>
      <x:c r="B1365" s="50"/>
    </x:row>
    <x:row r="1366">
      <x:c r="A1366" s="49" t="s">
        <x:v>6332</x:v>
      </x:c>
      <x:c r="B1366" s="50"/>
    </x:row>
    <x:row r="1367">
      <x:c r="A1367" s="49" t="s">
        <x:v>6336</x:v>
      </x:c>
      <x:c r="B1367" s="50"/>
    </x:row>
    <x:row r="1368">
      <x:c r="A1368" s="49" t="s">
        <x:v>6340</x:v>
      </x:c>
      <x:c r="B1368" s="50"/>
    </x:row>
    <x:row r="1369">
      <x:c r="A1369" s="49" t="s">
        <x:v>6345</x:v>
      </x:c>
      <x:c r="B1369" s="50"/>
    </x:row>
    <x:row r="1370">
      <x:c r="A1370" s="49" t="s">
        <x:v>6349</x:v>
      </x:c>
      <x:c r="B1370" s="50"/>
    </x:row>
    <x:row r="1371">
      <x:c r="A1371" s="49" t="s">
        <x:v>6354</x:v>
      </x:c>
      <x:c r="B1371" s="50"/>
    </x:row>
    <x:row r="1372">
      <x:c r="A1372" s="49" t="s">
        <x:v>6359</x:v>
      </x:c>
      <x:c r="B1372" s="50"/>
    </x:row>
    <x:row r="1373">
      <x:c r="A1373" s="49" t="s">
        <x:v>6363</x:v>
      </x:c>
      <x:c r="B1373" s="50"/>
    </x:row>
    <x:row r="1374">
      <x:c r="A1374" s="49" t="s">
        <x:v>6368</x:v>
      </x:c>
      <x:c r="B1374" s="50"/>
    </x:row>
    <x:row r="1375">
      <x:c r="A1375" s="49" t="s">
        <x:v>6372</x:v>
      </x:c>
      <x:c r="B1375" s="50"/>
    </x:row>
    <x:row r="1376">
      <x:c r="A1376" s="49" t="s">
        <x:v>6376</x:v>
      </x:c>
      <x:c r="B1376" s="50"/>
    </x:row>
    <x:row r="1377">
      <x:c r="A1377" s="49" t="s">
        <x:v>6381</x:v>
      </x:c>
      <x:c r="B1377" s="50"/>
    </x:row>
    <x:row r="1378">
      <x:c r="A1378" s="49" t="s">
        <x:v>6385</x:v>
      </x:c>
      <x:c r="B1378" s="50"/>
    </x:row>
    <x:row r="1379">
      <x:c r="A1379" s="49" t="s">
        <x:v>6390</x:v>
      </x:c>
      <x:c r="B1379" s="50"/>
    </x:row>
    <x:row r="1380">
      <x:c r="A1380" s="49" t="s">
        <x:v>6394</x:v>
      </x:c>
      <x:c r="B1380" s="50"/>
    </x:row>
    <x:row r="1381">
      <x:c r="A1381" s="49" t="s">
        <x:v>6398</x:v>
      </x:c>
      <x:c r="B1381" s="50"/>
    </x:row>
    <x:row r="1382">
      <x:c r="A1382" s="49" t="s">
        <x:v>6403</x:v>
      </x:c>
      <x:c r="B1382" s="50"/>
    </x:row>
    <x:row r="1383">
      <x:c r="A1383" s="49" t="s">
        <x:v>6407</x:v>
      </x:c>
      <x:c r="B1383" s="50"/>
    </x:row>
    <x:row r="1384">
      <x:c r="A1384" s="49" t="s">
        <x:v>6411</x:v>
      </x:c>
      <x:c r="B1384" s="50"/>
    </x:row>
    <x:row r="1385">
      <x:c r="A1385" s="49" t="s">
        <x:v>6416</x:v>
      </x:c>
      <x:c r="B1385" s="50"/>
    </x:row>
    <x:row r="1386">
      <x:c r="A1386" s="49" t="s">
        <x:v>6420</x:v>
      </x:c>
      <x:c r="B1386" s="50"/>
    </x:row>
    <x:row r="1387">
      <x:c r="A1387" s="49" t="s">
        <x:v>6425</x:v>
      </x:c>
      <x:c r="B1387" s="50"/>
    </x:row>
    <x:row r="1388">
      <x:c r="A1388" s="49" t="s">
        <x:v>6430</x:v>
      </x:c>
      <x:c r="B1388" s="50"/>
    </x:row>
    <x:row r="1389">
      <x:c r="A1389" s="49" t="s">
        <x:v>6435</x:v>
      </x:c>
      <x:c r="B1389" s="50"/>
    </x:row>
    <x:row r="1390">
      <x:c r="A1390" s="49" t="s">
        <x:v>6439</x:v>
      </x:c>
      <x:c r="B1390" s="50"/>
    </x:row>
    <x:row r="1391">
      <x:c r="A1391" s="49" t="s">
        <x:v>6443</x:v>
      </x:c>
      <x:c r="B1391" s="50"/>
    </x:row>
    <x:row r="1392">
      <x:c r="A1392" s="49" t="s">
        <x:v>6447</x:v>
      </x:c>
      <x:c r="B1392" s="50"/>
    </x:row>
    <x:row r="1393">
      <x:c r="A1393" s="49" t="s">
        <x:v>6451</x:v>
      </x:c>
      <x:c r="B1393" s="50"/>
    </x:row>
    <x:row r="1394">
      <x:c r="A1394" s="49" t="s">
        <x:v>6455</x:v>
      </x:c>
      <x:c r="B1394" s="50"/>
    </x:row>
    <x:row r="1395">
      <x:c r="A1395" s="49" t="s">
        <x:v>6459</x:v>
      </x:c>
      <x:c r="B1395" s="50"/>
    </x:row>
    <x:row r="1396">
      <x:c r="A1396" s="49" t="s">
        <x:v>6463</x:v>
      </x:c>
      <x:c r="B1396" s="50"/>
    </x:row>
    <x:row r="1397">
      <x:c r="A1397" s="49" t="s">
        <x:v>6467</x:v>
      </x:c>
      <x:c r="B1397" s="50"/>
    </x:row>
    <x:row r="1398">
      <x:c r="A1398" s="49" t="s">
        <x:v>6471</x:v>
      </x:c>
      <x:c r="B1398" s="50"/>
    </x:row>
    <x:row r="1399">
      <x:c r="A1399" s="49" t="s">
        <x:v>6476</x:v>
      </x:c>
      <x:c r="B1399" s="50"/>
    </x:row>
    <x:row r="1400">
      <x:c r="A1400" s="49" t="s">
        <x:v>6481</x:v>
      </x:c>
      <x:c r="B1400" s="50"/>
    </x:row>
    <x:row r="1401">
      <x:c r="A1401" s="49" t="s">
        <x:v>6486</x:v>
      </x:c>
      <x:c r="B1401" s="50"/>
    </x:row>
    <x:row r="1402">
      <x:c r="A1402" s="49" t="s">
        <x:v>6491</x:v>
      </x:c>
      <x:c r="B1402" s="50"/>
    </x:row>
    <x:row r="1403">
      <x:c r="A1403" s="49" t="s">
        <x:v>6495</x:v>
      </x:c>
      <x:c r="B1403" s="50"/>
    </x:row>
    <x:row r="1404">
      <x:c r="A1404" s="49" t="s">
        <x:v>6499</x:v>
      </x:c>
      <x:c r="B1404" s="50"/>
    </x:row>
    <x:row r="1405">
      <x:c r="A1405" s="49" t="s">
        <x:v>6504</x:v>
      </x:c>
      <x:c r="B1405" s="50"/>
    </x:row>
    <x:row r="1406">
      <x:c r="A1406" s="49" t="s">
        <x:v>6509</x:v>
      </x:c>
      <x:c r="B1406" s="50"/>
    </x:row>
    <x:row r="1407">
      <x:c r="A1407" s="49" t="s">
        <x:v>6514</x:v>
      </x:c>
      <x:c r="B1407" s="50"/>
    </x:row>
    <x:row r="1408">
      <x:c r="A1408" s="49" t="s">
        <x:v>6518</x:v>
      </x:c>
      <x:c r="B1408" s="50"/>
    </x:row>
    <x:row r="1409">
      <x:c r="A1409" s="49" t="s">
        <x:v>6522</x:v>
      </x:c>
      <x:c r="B1409" s="50"/>
    </x:row>
    <x:row r="1410">
      <x:c r="A1410" s="49" t="s">
        <x:v>6526</x:v>
      </x:c>
      <x:c r="B1410" s="50"/>
    </x:row>
    <x:row r="1411">
      <x:c r="A1411" s="49" t="s">
        <x:v>6530</x:v>
      </x:c>
      <x:c r="B1411" s="50"/>
    </x:row>
    <x:row r="1412">
      <x:c r="A1412" s="49" t="s">
        <x:v>6534</x:v>
      </x:c>
      <x:c r="B1412" s="50"/>
    </x:row>
    <x:row r="1413">
      <x:c r="A1413" s="49" t="s">
        <x:v>6539</x:v>
      </x:c>
      <x:c r="B1413" s="50"/>
    </x:row>
    <x:row r="1414">
      <x:c r="A1414" s="49" t="s">
        <x:v>6544</x:v>
      </x:c>
      <x:c r="B1414" s="50"/>
    </x:row>
    <x:row r="1415">
      <x:c r="A1415" s="49" t="s">
        <x:v>6548</x:v>
      </x:c>
      <x:c r="B1415" s="50"/>
    </x:row>
    <x:row r="1416">
      <x:c r="A1416" s="49" t="s">
        <x:v>6552</x:v>
      </x:c>
      <x:c r="B1416" s="50"/>
    </x:row>
    <x:row r="1417">
      <x:c r="A1417" s="49" t="s">
        <x:v>6556</x:v>
      </x:c>
      <x:c r="B1417" s="50"/>
    </x:row>
    <x:row r="1418">
      <x:c r="A1418" s="49" t="s">
        <x:v>6561</x:v>
      </x:c>
      <x:c r="B1418" s="50"/>
    </x:row>
    <x:row r="1419">
      <x:c r="A1419" s="49" t="s">
        <x:v>6566</x:v>
      </x:c>
      <x:c r="B1419" s="50"/>
    </x:row>
    <x:row r="1420">
      <x:c r="A1420" s="49" t="s">
        <x:v>6570</x:v>
      </x:c>
      <x:c r="B1420" s="50"/>
    </x:row>
    <x:row r="1421">
      <x:c r="A1421" s="49" t="s">
        <x:v>6575</x:v>
      </x:c>
      <x:c r="B1421" s="50"/>
    </x:row>
    <x:row r="1422">
      <x:c r="A1422" s="49" t="s">
        <x:v>6579</x:v>
      </x:c>
      <x:c r="B1422" s="50"/>
    </x:row>
    <x:row r="1423">
      <x:c r="A1423" s="49" t="s">
        <x:v>6583</x:v>
      </x:c>
      <x:c r="B1423" s="50"/>
    </x:row>
    <x:row r="1424">
      <x:c r="A1424" s="49" t="s">
        <x:v>6588</x:v>
      </x:c>
      <x:c r="B1424" s="50"/>
    </x:row>
    <x:row r="1425">
      <x:c r="A1425" s="49" t="s">
        <x:v>6592</x:v>
      </x:c>
      <x:c r="B1425" s="50"/>
    </x:row>
    <x:row r="1426">
      <x:c r="A1426" s="49" t="s">
        <x:v>6597</x:v>
      </x:c>
      <x:c r="B1426" s="50"/>
    </x:row>
    <x:row r="1427">
      <x:c r="A1427" s="49" t="s">
        <x:v>6602</x:v>
      </x:c>
      <x:c r="B1427" s="50"/>
    </x:row>
    <x:row r="1428">
      <x:c r="A1428" s="49" t="s">
        <x:v>6607</x:v>
      </x:c>
      <x:c r="B1428" s="50"/>
    </x:row>
    <x:row r="1429">
      <x:c r="A1429" s="49" t="s">
        <x:v>6611</x:v>
      </x:c>
      <x:c r="B1429" s="50"/>
    </x:row>
    <x:row r="1430">
      <x:c r="A1430" s="49" t="s">
        <x:v>6615</x:v>
      </x:c>
      <x:c r="B1430" s="50"/>
    </x:row>
    <x:row r="1431">
      <x:c r="A1431" s="49" t="s">
        <x:v>6619</x:v>
      </x:c>
      <x:c r="B1431" s="50"/>
    </x:row>
    <x:row r="1432">
      <x:c r="A1432" s="49" t="s">
        <x:v>6623</x:v>
      </x:c>
      <x:c r="B1432" s="50"/>
    </x:row>
    <x:row r="1433">
      <x:c r="A1433" s="49" t="s">
        <x:v>6627</x:v>
      </x:c>
      <x:c r="B1433" s="50"/>
    </x:row>
    <x:row r="1434">
      <x:c r="A1434" s="49" t="s">
        <x:v>6632</x:v>
      </x:c>
      <x:c r="B1434" s="50"/>
    </x:row>
    <x:row r="1435">
      <x:c r="A1435" s="49" t="s">
        <x:v>6636</x:v>
      </x:c>
      <x:c r="B1435" s="50"/>
    </x:row>
    <x:row r="1436">
      <x:c r="A1436" s="49" t="s">
        <x:v>6641</x:v>
      </x:c>
      <x:c r="B1436" s="50"/>
    </x:row>
    <x:row r="1437">
      <x:c r="A1437" s="49" t="s">
        <x:v>6646</x:v>
      </x:c>
      <x:c r="B1437" s="50"/>
    </x:row>
    <x:row r="1438">
      <x:c r="A1438" s="49" t="s">
        <x:v>6651</x:v>
      </x:c>
      <x:c r="B1438" s="50"/>
    </x:row>
    <x:row r="1439">
      <x:c r="A1439" s="49" t="s">
        <x:v>6656</x:v>
      </x:c>
      <x:c r="B1439" s="50"/>
    </x:row>
    <x:row r="1440">
      <x:c r="A1440" s="49" t="s">
        <x:v>34</x:v>
      </x:c>
      <x:c r="B1440" s="50"/>
    </x:row>
    <x:row r="1441">
      <x:c r="A1441" s="49" t="s">
        <x:v>36</x:v>
      </x:c>
      <x:c r="B1441" s="50"/>
    </x:row>
    <x:row r="1442">
      <x:c r="A1442" s="49" t="s">
        <x:v>6668</x:v>
      </x:c>
      <x:c r="B1442" s="50"/>
    </x:row>
    <x:row r="1443">
      <x:c r="A1443" s="49" t="s">
        <x:v>6672</x:v>
      </x:c>
      <x:c r="B1443" s="50"/>
    </x:row>
    <x:row r="1444">
      <x:c r="A1444" s="49" t="s">
        <x:v>6677</x:v>
      </x:c>
      <x:c r="B1444" s="50"/>
    </x:row>
    <x:row r="1445">
      <x:c r="A1445" s="49" t="s">
        <x:v>6682</x:v>
      </x:c>
      <x:c r="B1445" s="50"/>
    </x:row>
    <x:row r="1446">
      <x:c r="A1446" s="49" t="s">
        <x:v>6686</x:v>
      </x:c>
      <x:c r="B1446" s="50"/>
    </x:row>
    <x:row r="1447">
      <x:c r="A1447" s="49" t="s">
        <x:v>6691</x:v>
      </x:c>
      <x:c r="B1447" s="50"/>
    </x:row>
    <x:row r="1448">
      <x:c r="A1448" s="49" t="s">
        <x:v>6696</x:v>
      </x:c>
      <x:c r="B1448" s="50"/>
    </x:row>
    <x:row r="1449">
      <x:c r="A1449" s="49" t="s">
        <x:v>6700</x:v>
      </x:c>
      <x:c r="B1449" s="50"/>
    </x:row>
    <x:row r="1450">
      <x:c r="A1450" s="49" t="s">
        <x:v>6705</x:v>
      </x:c>
      <x:c r="B1450" s="50"/>
    </x:row>
    <x:row r="1451">
      <x:c r="A1451" s="49" t="s">
        <x:v>6709</x:v>
      </x:c>
      <x:c r="B1451" s="50"/>
    </x:row>
    <x:row r="1452">
      <x:c r="A1452" s="49" t="s">
        <x:v>6714</x:v>
      </x:c>
      <x:c r="B1452" s="50"/>
    </x:row>
    <x:row r="1453">
      <x:c r="A1453" s="49" t="s">
        <x:v>6719</x:v>
      </x:c>
      <x:c r="B1453" s="50"/>
    </x:row>
    <x:row r="1454">
      <x:c r="A1454" s="49" t="s">
        <x:v>6723</x:v>
      </x:c>
      <x:c r="B1454" s="50"/>
    </x:row>
    <x:row r="1455">
      <x:c r="A1455" s="49" t="s">
        <x:v>6727</x:v>
      </x:c>
      <x:c r="B1455" s="50"/>
    </x:row>
    <x:row r="1456">
      <x:c r="A1456" s="49" t="s">
        <x:v>6731</x:v>
      </x:c>
      <x:c r="B1456" s="50"/>
    </x:row>
    <x:row r="1457">
      <x:c r="A1457" s="49" t="s">
        <x:v>6735</x:v>
      </x:c>
      <x:c r="B1457" s="50"/>
    </x:row>
    <x:row r="1458">
      <x:c r="A1458" s="49" t="s">
        <x:v>6740</x:v>
      </x:c>
      <x:c r="B1458" s="50"/>
    </x:row>
    <x:row r="1459">
      <x:c r="A1459" s="49" t="s">
        <x:v>6744</x:v>
      </x:c>
      <x:c r="B1459" s="50"/>
    </x:row>
    <x:row r="1460">
      <x:c r="A1460" s="49" t="s">
        <x:v>6749</x:v>
      </x:c>
      <x:c r="B1460" s="50"/>
    </x:row>
    <x:row r="1461">
      <x:c r="A1461" s="49" t="s">
        <x:v>6753</x:v>
      </x:c>
      <x:c r="B1461" s="50"/>
    </x:row>
    <x:row r="1462">
      <x:c r="A1462" s="49" t="s">
        <x:v>6758</x:v>
      </x:c>
      <x:c r="B1462" s="50"/>
    </x:row>
    <x:row r="1463">
      <x:c r="A1463" s="49" t="s">
        <x:v>6762</x:v>
      </x:c>
      <x:c r="B1463" s="50"/>
    </x:row>
    <x:row r="1464">
      <x:c r="A1464" s="49" t="s">
        <x:v>6766</x:v>
      </x:c>
      <x:c r="B1464" s="50"/>
    </x:row>
    <x:row r="1465">
      <x:c r="A1465" s="49" t="s">
        <x:v>6771</x:v>
      </x:c>
      <x:c r="B1465" s="50"/>
    </x:row>
    <x:row r="1466">
      <x:c r="A1466" s="49" t="s">
        <x:v>6776</x:v>
      </x:c>
      <x:c r="B1466" s="50"/>
    </x:row>
    <x:row r="1467">
      <x:c r="A1467" s="49" t="s">
        <x:v>6781</x:v>
      </x:c>
      <x:c r="B1467" s="50"/>
    </x:row>
    <x:row r="1468">
      <x:c r="A1468" s="49" t="s">
        <x:v>6786</x:v>
      </x:c>
      <x:c r="B1468" s="50"/>
    </x:row>
    <x:row r="1469">
      <x:c r="A1469" s="49" t="s">
        <x:v>6790</x:v>
      </x:c>
      <x:c r="B1469" s="50"/>
    </x:row>
    <x:row r="1470">
      <x:c r="A1470" s="49" t="s">
        <x:v>6794</x:v>
      </x:c>
      <x:c r="B1470" s="50"/>
    </x:row>
    <x:row r="1471">
      <x:c r="A1471" s="49" t="s">
        <x:v>6798</x:v>
      </x:c>
      <x:c r="B1471" s="50"/>
    </x:row>
    <x:row r="1472">
      <x:c r="A1472" s="49" t="s">
        <x:v>6802</x:v>
      </x:c>
      <x:c r="B1472" s="50"/>
    </x:row>
    <x:row r="1473">
      <x:c r="A1473" s="49" t="s">
        <x:v>6806</x:v>
      </x:c>
      <x:c r="B1473" s="50"/>
    </x:row>
    <x:row r="1474">
      <x:c r="A1474" s="49" t="s">
        <x:v>6811</x:v>
      </x:c>
      <x:c r="B1474" s="50"/>
    </x:row>
    <x:row r="1475">
      <x:c r="A1475" s="49" t="s">
        <x:v>6816</x:v>
      </x:c>
      <x:c r="B1475" s="50"/>
    </x:row>
    <x:row r="1476">
      <x:c r="A1476" s="49" t="s">
        <x:v>6821</x:v>
      </x:c>
      <x:c r="B1476" s="50"/>
    </x:row>
    <x:row r="1477">
      <x:c r="A1477" s="49" t="s">
        <x:v>6825</x:v>
      </x:c>
      <x:c r="B1477" s="50"/>
    </x:row>
    <x:row r="1478">
      <x:c r="A1478" s="49" t="s">
        <x:v>6829</x:v>
      </x:c>
      <x:c r="B1478" s="50"/>
    </x:row>
    <x:row r="1479">
      <x:c r="A1479" s="49" t="s">
        <x:v>6834</x:v>
      </x:c>
      <x:c r="B1479" s="50"/>
    </x:row>
    <x:row r="1480">
      <x:c r="A1480" s="49" t="s">
        <x:v>6839</x:v>
      </x:c>
      <x:c r="B1480" s="50"/>
    </x:row>
    <x:row r="1481">
      <x:c r="A1481" s="49" t="s">
        <x:v>6843</x:v>
      </x:c>
      <x:c r="B1481" s="50"/>
    </x:row>
    <x:row r="1482">
      <x:c r="A1482" s="49" t="s">
        <x:v>6848</x:v>
      </x:c>
      <x:c r="B1482" s="50"/>
    </x:row>
    <x:row r="1483">
      <x:c r="A1483" s="49" t="s">
        <x:v>6852</x:v>
      </x:c>
      <x:c r="B1483" s="50"/>
    </x:row>
    <x:row r="1484">
      <x:c r="A1484" s="49" t="s">
        <x:v>6857</x:v>
      </x:c>
      <x:c r="B1484" s="50"/>
    </x:row>
    <x:row r="1485">
      <x:c r="A1485" s="49" t="s">
        <x:v>6862</x:v>
      </x:c>
      <x:c r="B1485" s="50"/>
    </x:row>
    <x:row r="1486">
      <x:c r="A1486" s="49" t="s">
        <x:v>6866</x:v>
      </x:c>
      <x:c r="B1486" s="50"/>
    </x:row>
    <x:row r="1487">
      <x:c r="A1487" s="49" t="s">
        <x:v>6870</x:v>
      </x:c>
      <x:c r="B1487" s="50"/>
    </x:row>
    <x:row r="1488">
      <x:c r="A1488" s="49" t="s">
        <x:v>6874</x:v>
      </x:c>
      <x:c r="B1488" s="50"/>
    </x:row>
    <x:row r="1489">
      <x:c r="A1489" s="49" t="s">
        <x:v>6879</x:v>
      </x:c>
      <x:c r="B1489" s="50"/>
    </x:row>
    <x:row r="1490">
      <x:c r="A1490" s="49" t="s">
        <x:v>6883</x:v>
      </x:c>
      <x:c r="B1490" s="50"/>
    </x:row>
    <x:row r="1491">
      <x:c r="A1491" s="49" t="s">
        <x:v>6887</x:v>
      </x:c>
      <x:c r="B1491" s="50"/>
    </x:row>
    <x:row r="1492">
      <x:c r="A1492" s="49" t="s">
        <x:v>6891</x:v>
      </x:c>
      <x:c r="B1492" s="50"/>
    </x:row>
    <x:row r="1493">
      <x:c r="A1493" s="49" t="s">
        <x:v>6895</x:v>
      </x:c>
      <x:c r="B1493" s="50"/>
    </x:row>
    <x:row r="1494">
      <x:c r="A1494" s="49" t="s">
        <x:v>6899</x:v>
      </x:c>
      <x:c r="B1494" s="50"/>
    </x:row>
    <x:row r="1495">
      <x:c r="A1495" s="49" t="s">
        <x:v>6903</x:v>
      </x:c>
      <x:c r="B1495" s="50"/>
    </x:row>
    <x:row r="1496">
      <x:c r="A1496" s="49" t="s">
        <x:v>6908</x:v>
      </x:c>
      <x:c r="B1496" s="50"/>
    </x:row>
    <x:row r="1497">
      <x:c r="A1497" s="49" t="s">
        <x:v>6912</x:v>
      </x:c>
      <x:c r="B1497" s="50"/>
    </x:row>
    <x:row r="1498">
      <x:c r="A1498" s="49" t="s">
        <x:v>6916</x:v>
      </x:c>
      <x:c r="B1498" s="50"/>
    </x:row>
    <x:row r="1499">
      <x:c r="A1499" s="49" t="s">
        <x:v>6921</x:v>
      </x:c>
      <x:c r="B1499" s="50"/>
    </x:row>
    <x:row r="1500">
      <x:c r="A1500" s="49" t="s">
        <x:v>6925</x:v>
      </x:c>
      <x:c r="B1500" s="50"/>
    </x:row>
    <x:row r="1501">
      <x:c r="A1501" s="49" t="s">
        <x:v>6929</x:v>
      </x:c>
      <x:c r="B1501" s="50"/>
    </x:row>
    <x:row r="1502">
      <x:c r="A1502" s="49" t="s">
        <x:v>6933</x:v>
      </x:c>
      <x:c r="B1502" s="50"/>
    </x:row>
    <x:row r="1503">
      <x:c r="A1503" s="49" t="s">
        <x:v>6937</x:v>
      </x:c>
      <x:c r="B1503" s="50"/>
    </x:row>
    <x:row r="1504">
      <x:c r="A1504" s="49" t="s">
        <x:v>6942</x:v>
      </x:c>
      <x:c r="B1504" s="50"/>
    </x:row>
    <x:row r="1505">
      <x:c r="A1505" s="49" t="s">
        <x:v>6947</x:v>
      </x:c>
      <x:c r="B1505" s="50"/>
    </x:row>
    <x:row r="1506">
      <x:c r="A1506" s="49" t="s">
        <x:v>6951</x:v>
      </x:c>
      <x:c r="B1506" s="50"/>
    </x:row>
    <x:row r="1507">
      <x:c r="A1507" s="49" t="s">
        <x:v>6955</x:v>
      </x:c>
      <x:c r="B1507" s="50"/>
    </x:row>
    <x:row r="1508">
      <x:c r="A1508" s="49" t="s">
        <x:v>6960</x:v>
      </x:c>
      <x:c r="B1508" s="50"/>
    </x:row>
    <x:row r="1509">
      <x:c r="A1509" s="49" t="s">
        <x:v>6964</x:v>
      </x:c>
      <x:c r="B1509" s="50"/>
    </x:row>
    <x:row r="1510">
      <x:c r="A1510" s="49" t="s">
        <x:v>6969</x:v>
      </x:c>
      <x:c r="B1510" s="50"/>
    </x:row>
    <x:row r="1511">
      <x:c r="A1511" s="49" t="s">
        <x:v>6974</x:v>
      </x:c>
      <x:c r="B1511" s="50"/>
    </x:row>
    <x:row r="1512">
      <x:c r="A1512" s="49" t="s">
        <x:v>6978</x:v>
      </x:c>
      <x:c r="B1512" s="50"/>
    </x:row>
    <x:row r="1513">
      <x:c r="A1513" s="49" t="s">
        <x:v>6982</x:v>
      </x:c>
      <x:c r="B1513" s="50"/>
    </x:row>
    <x:row r="1514">
      <x:c r="A1514" s="49" t="s">
        <x:v>6986</x:v>
      </x:c>
      <x:c r="B1514" s="50"/>
    </x:row>
    <x:row r="1515">
      <x:c r="A1515" s="49" t="s">
        <x:v>52</x:v>
      </x:c>
      <x:c r="B1515" s="50"/>
    </x:row>
    <x:row r="1516">
      <x:c r="A1516" s="49" t="s">
        <x:v>54</x:v>
      </x:c>
      <x:c r="B1516" s="50"/>
    </x:row>
    <x:row r="1517">
      <x:c r="A1517" s="49" t="s">
        <x:v>6997</x:v>
      </x:c>
      <x:c r="B1517" s="50"/>
    </x:row>
    <x:row r="1518">
      <x:c r="A1518" s="49" t="s">
        <x:v>7001</x:v>
      </x:c>
      <x:c r="B1518" s="50"/>
    </x:row>
    <x:row r="1519">
      <x:c r="A1519" s="49" t="s">
        <x:v>7006</x:v>
      </x:c>
      <x:c r="B1519" s="50"/>
    </x:row>
    <x:row r="1520">
      <x:c r="A1520" s="49" t="s">
        <x:v>7010</x:v>
      </x:c>
      <x:c r="B1520" s="50"/>
    </x:row>
    <x:row r="1521">
      <x:c r="A1521" s="49" t="s">
        <x:v>7014</x:v>
      </x:c>
      <x:c r="B1521" s="50"/>
    </x:row>
    <x:row r="1522">
      <x:c r="A1522" s="49" t="s">
        <x:v>7018</x:v>
      </x:c>
      <x:c r="B1522" s="50"/>
    </x:row>
    <x:row r="1523">
      <x:c r="A1523" s="49" t="s">
        <x:v>7022</x:v>
      </x:c>
      <x:c r="B1523" s="50"/>
    </x:row>
    <x:row r="1524">
      <x:c r="A1524" s="49" t="s">
        <x:v>7026</x:v>
      </x:c>
      <x:c r="B1524" s="50"/>
    </x:row>
    <x:row r="1525">
      <x:c r="A1525" s="49" t="s">
        <x:v>7030</x:v>
      </x:c>
      <x:c r="B1525" s="50"/>
    </x:row>
    <x:row r="1526">
      <x:c r="A1526" s="49" t="s">
        <x:v>7035</x:v>
      </x:c>
      <x:c r="B1526" s="50"/>
    </x:row>
    <x:row r="1527">
      <x:c r="A1527" s="49" t="s">
        <x:v>7039</x:v>
      </x:c>
      <x:c r="B1527" s="50"/>
    </x:row>
    <x:row r="1528">
      <x:c r="A1528" s="49" t="s">
        <x:v>7044</x:v>
      </x:c>
      <x:c r="B1528" s="50"/>
    </x:row>
    <x:row r="1529">
      <x:c r="A1529" s="49" t="s">
        <x:v>7049</x:v>
      </x:c>
      <x:c r="B1529" s="50"/>
    </x:row>
    <x:row r="1530">
      <x:c r="A1530" s="49" t="s">
        <x:v>7053</x:v>
      </x:c>
      <x:c r="B1530" s="50"/>
    </x:row>
    <x:row r="1531">
      <x:c r="A1531" s="49" t="s">
        <x:v>7058</x:v>
      </x:c>
      <x:c r="B1531" s="50"/>
    </x:row>
    <x:row r="1532">
      <x:c r="A1532" s="49" t="s">
        <x:v>7062</x:v>
      </x:c>
      <x:c r="B1532" s="50"/>
    </x:row>
    <x:row r="1533">
      <x:c r="A1533" s="49" t="s">
        <x:v>7066</x:v>
      </x:c>
      <x:c r="B1533" s="50"/>
    </x:row>
    <x:row r="1534">
      <x:c r="A1534" s="49" t="s">
        <x:v>7071</x:v>
      </x:c>
      <x:c r="B1534" s="50"/>
    </x:row>
    <x:row r="1535">
      <x:c r="A1535" s="49" t="s">
        <x:v>7075</x:v>
      </x:c>
      <x:c r="B1535" s="50"/>
    </x:row>
    <x:row r="1536">
      <x:c r="A1536" s="49" t="s">
        <x:v>7079</x:v>
      </x:c>
      <x:c r="B1536" s="50"/>
    </x:row>
    <x:row r="1537">
      <x:c r="A1537" s="49" t="s">
        <x:v>7083</x:v>
      </x:c>
      <x:c r="B1537" s="50"/>
    </x:row>
    <x:row r="1538">
      <x:c r="A1538" s="49" t="s">
        <x:v>7087</x:v>
      </x:c>
      <x:c r="B1538" s="50"/>
    </x:row>
    <x:row r="1539">
      <x:c r="A1539" s="49" t="s">
        <x:v>7091</x:v>
      </x:c>
      <x:c r="B1539" s="50"/>
    </x:row>
    <x:row r="1540">
      <x:c r="A1540" s="49" t="s">
        <x:v>7095</x:v>
      </x:c>
      <x:c r="B1540" s="50"/>
    </x:row>
    <x:row r="1541">
      <x:c r="A1541" s="49" t="s">
        <x:v>7100</x:v>
      </x:c>
      <x:c r="B1541" s="50"/>
    </x:row>
    <x:row r="1542">
      <x:c r="A1542" s="49" t="s">
        <x:v>7104</x:v>
      </x:c>
      <x:c r="B1542" s="50"/>
    </x:row>
    <x:row r="1543">
      <x:c r="A1543" s="49" t="s">
        <x:v>7108</x:v>
      </x:c>
      <x:c r="B1543" s="50"/>
    </x:row>
    <x:row r="1544">
      <x:c r="A1544" s="49" t="s">
        <x:v>7113</x:v>
      </x:c>
      <x:c r="B1544" s="50"/>
    </x:row>
    <x:row r="1545">
      <x:c r="A1545" s="49" t="s">
        <x:v>7118</x:v>
      </x:c>
      <x:c r="B1545" s="50"/>
    </x:row>
    <x:row r="1546">
      <x:c r="A1546" s="49" t="s">
        <x:v>7123</x:v>
      </x:c>
      <x:c r="B1546" s="50"/>
    </x:row>
    <x:row r="1547">
      <x:c r="A1547" s="49" t="s">
        <x:v>7127</x:v>
      </x:c>
      <x:c r="B1547" s="50"/>
    </x:row>
    <x:row r="1548">
      <x:c r="A1548" s="49" t="s">
        <x:v>7131</x:v>
      </x:c>
      <x:c r="B1548" s="50"/>
    </x:row>
    <x:row r="1549">
      <x:c r="A1549" s="49" t="s">
        <x:v>7136</x:v>
      </x:c>
      <x:c r="B1549" s="50"/>
    </x:row>
    <x:row r="1550">
      <x:c r="A1550" s="49" t="s">
        <x:v>7140</x:v>
      </x:c>
      <x:c r="B1550" s="50"/>
    </x:row>
    <x:row r="1551">
      <x:c r="A1551" s="49" t="s">
        <x:v>7144</x:v>
      </x:c>
      <x:c r="B1551" s="50"/>
    </x:row>
    <x:row r="1552">
      <x:c r="A1552" s="49" t="s">
        <x:v>7148</x:v>
      </x:c>
      <x:c r="B1552" s="50"/>
    </x:row>
    <x:row r="1553">
      <x:c r="A1553" s="49" t="s">
        <x:v>7153</x:v>
      </x:c>
      <x:c r="B1553" s="50"/>
    </x:row>
    <x:row r="1554">
      <x:c r="A1554" s="49" t="s">
        <x:v>7157</x:v>
      </x:c>
      <x:c r="B1554" s="50"/>
    </x:row>
    <x:row r="1555">
      <x:c r="A1555" s="49" t="s">
        <x:v>7161</x:v>
      </x:c>
      <x:c r="B1555" s="50"/>
    </x:row>
    <x:row r="1556">
      <x:c r="A1556" s="49" t="s">
        <x:v>7165</x:v>
      </x:c>
      <x:c r="B1556" s="50"/>
    </x:row>
    <x:row r="1557">
      <x:c r="A1557" s="49" t="s">
        <x:v>7169</x:v>
      </x:c>
      <x:c r="B1557" s="50"/>
    </x:row>
    <x:row r="1558">
      <x:c r="A1558" s="49" t="s">
        <x:v>7173</x:v>
      </x:c>
      <x:c r="B1558" s="50"/>
    </x:row>
    <x:row r="1559">
      <x:c r="A1559" s="49" t="s">
        <x:v>7178</x:v>
      </x:c>
      <x:c r="B1559" s="50"/>
    </x:row>
    <x:row r="1560">
      <x:c r="A1560" s="49" t="s">
        <x:v>7183</x:v>
      </x:c>
      <x:c r="B1560" s="50"/>
    </x:row>
    <x:row r="1561">
      <x:c r="A1561" s="49" t="s">
        <x:v>7188</x:v>
      </x:c>
      <x:c r="B1561" s="50"/>
    </x:row>
    <x:row r="1562">
      <x:c r="A1562" s="49" t="s">
        <x:v>7193</x:v>
      </x:c>
      <x:c r="B1562" s="50"/>
    </x:row>
    <x:row r="1563">
      <x:c r="A1563" s="49" t="s">
        <x:v>7198</x:v>
      </x:c>
      <x:c r="B1563" s="50"/>
    </x:row>
    <x:row r="1564">
      <x:c r="A1564" s="49" t="s">
        <x:v>7202</x:v>
      </x:c>
      <x:c r="B1564" s="50"/>
    </x:row>
    <x:row r="1565">
      <x:c r="A1565" s="49" t="s">
        <x:v>7206</x:v>
      </x:c>
      <x:c r="B1565" s="50"/>
    </x:row>
    <x:row r="1566">
      <x:c r="A1566" s="49" t="s">
        <x:v>7210</x:v>
      </x:c>
      <x:c r="B1566" s="50"/>
    </x:row>
    <x:row r="1567">
      <x:c r="A1567" s="49" t="s">
        <x:v>7214</x:v>
      </x:c>
      <x:c r="B1567" s="50"/>
    </x:row>
    <x:row r="1568">
      <x:c r="A1568" s="49" t="s">
        <x:v>7218</x:v>
      </x:c>
      <x:c r="B1568" s="50"/>
    </x:row>
    <x:row r="1569">
      <x:c r="A1569" s="49" t="s">
        <x:v>7223</x:v>
      </x:c>
      <x:c r="B1569" s="50"/>
    </x:row>
    <x:row r="1570">
      <x:c r="A1570" s="49" t="s">
        <x:v>7227</x:v>
      </x:c>
      <x:c r="B1570" s="50"/>
    </x:row>
    <x:row r="1571">
      <x:c r="A1571" s="49" t="s">
        <x:v>7232</x:v>
      </x:c>
      <x:c r="B1571" s="50"/>
    </x:row>
    <x:row r="1572">
      <x:c r="A1572" s="49" t="s">
        <x:v>7237</x:v>
      </x:c>
      <x:c r="B1572" s="50"/>
    </x:row>
    <x:row r="1573">
      <x:c r="A1573" s="49" t="s">
        <x:v>7242</x:v>
      </x:c>
      <x:c r="B1573" s="50"/>
    </x:row>
    <x:row r="1574">
      <x:c r="A1574" s="49" t="s">
        <x:v>7246</x:v>
      </x:c>
      <x:c r="B1574" s="50"/>
    </x:row>
    <x:row r="1575">
      <x:c r="A1575" s="49" t="s">
        <x:v>7250</x:v>
      </x:c>
      <x:c r="B1575" s="50"/>
    </x:row>
    <x:row r="1576">
      <x:c r="A1576" s="49" t="s">
        <x:v>7254</x:v>
      </x:c>
      <x:c r="B1576" s="50"/>
    </x:row>
    <x:row r="1577">
      <x:c r="A1577" s="49" t="s">
        <x:v>7258</x:v>
      </x:c>
      <x:c r="B1577" s="50"/>
    </x:row>
    <x:row r="1578">
      <x:c r="A1578" s="49" t="s">
        <x:v>7263</x:v>
      </x:c>
      <x:c r="B1578" s="50"/>
    </x:row>
    <x:row r="1579">
      <x:c r="A1579" s="49" t="s">
        <x:v>7267</x:v>
      </x:c>
      <x:c r="B1579" s="50"/>
    </x:row>
    <x:row r="1580">
      <x:c r="A1580" s="49" t="s">
        <x:v>7271</x:v>
      </x:c>
      <x:c r="B1580" s="50"/>
    </x:row>
    <x:row r="1581">
      <x:c r="A1581" s="49" t="s">
        <x:v>49</x:v>
      </x:c>
      <x:c r="B1581" s="50"/>
    </x:row>
    <x:row r="1582">
      <x:c r="A1582" s="49" t="s">
        <x:v>7279</x:v>
      </x:c>
      <x:c r="B1582" s="50"/>
    </x:row>
    <x:row r="1583">
      <x:c r="A1583" s="49" t="s">
        <x:v>7283</x:v>
      </x:c>
      <x:c r="B1583" s="50"/>
    </x:row>
    <x:row r="1584">
      <x:c r="A1584" s="49" t="s">
        <x:v>7287</x:v>
      </x:c>
      <x:c r="B1584" s="50"/>
    </x:row>
    <x:row r="1585">
      <x:c r="A1585" s="49" t="s">
        <x:v>7291</x:v>
      </x:c>
      <x:c r="B1585" s="50"/>
    </x:row>
    <x:row r="1586">
      <x:c r="A1586" s="49" t="s">
        <x:v>7295</x:v>
      </x:c>
      <x:c r="B1586" s="50"/>
    </x:row>
    <x:row r="1587">
      <x:c r="A1587" s="49" t="s">
        <x:v>7299</x:v>
      </x:c>
      <x:c r="B1587" s="50"/>
    </x:row>
    <x:row r="1588">
      <x:c r="A1588" s="49" t="s">
        <x:v>7304</x:v>
      </x:c>
      <x:c r="B1588" s="50"/>
    </x:row>
    <x:row r="1589">
      <x:c r="A1589" s="49" t="s">
        <x:v>7308</x:v>
      </x:c>
      <x:c r="B1589" s="50"/>
    </x:row>
    <x:row r="1590">
      <x:c r="A1590" s="49" t="s">
        <x:v>7313</x:v>
      </x:c>
      <x:c r="B1590" s="50"/>
    </x:row>
    <x:row r="1591">
      <x:c r="A1591" s="49" t="s">
        <x:v>7318</x:v>
      </x:c>
      <x:c r="B1591" s="50"/>
    </x:row>
    <x:row r="1592">
      <x:c r="A1592" s="49" t="s">
        <x:v>7322</x:v>
      </x:c>
      <x:c r="B1592" s="50"/>
    </x:row>
    <x:row r="1593">
      <x:c r="A1593" s="49" t="s">
        <x:v>7327</x:v>
      </x:c>
      <x:c r="B1593" s="50"/>
    </x:row>
    <x:row r="1594">
      <x:c r="A1594" s="49" t="s">
        <x:v>7331</x:v>
      </x:c>
      <x:c r="B1594" s="50"/>
    </x:row>
    <x:row r="1595">
      <x:c r="A1595" s="49" t="s">
        <x:v>7335</x:v>
      </x:c>
      <x:c r="B1595" s="50"/>
    </x:row>
    <x:row r="1596">
      <x:c r="A1596" s="49" t="s">
        <x:v>7339</x:v>
      </x:c>
      <x:c r="B1596" s="50"/>
    </x:row>
    <x:row r="1597">
      <x:c r="A1597" s="49" t="s">
        <x:v>7343</x:v>
      </x:c>
      <x:c r="B1597" s="50"/>
    </x:row>
    <x:row r="1598">
      <x:c r="A1598" s="49" t="s">
        <x:v>7347</x:v>
      </x:c>
      <x:c r="B1598" s="50"/>
    </x:row>
    <x:row r="1599">
      <x:c r="A1599" s="49" t="s">
        <x:v>7351</x:v>
      </x:c>
      <x:c r="B1599" s="50"/>
    </x:row>
    <x:row r="1600">
      <x:c r="A1600" s="49" t="s">
        <x:v>7355</x:v>
      </x:c>
      <x:c r="B1600" s="50"/>
    </x:row>
    <x:row r="1601">
      <x:c r="A1601" s="49" t="s">
        <x:v>7359</x:v>
      </x:c>
      <x:c r="B1601" s="50"/>
    </x:row>
    <x:row r="1602">
      <x:c r="A1602" s="49" t="s">
        <x:v>7363</x:v>
      </x:c>
      <x:c r="B1602" s="50"/>
    </x:row>
    <x:row r="1603">
      <x:c r="A1603" s="49" t="s">
        <x:v>7368</x:v>
      </x:c>
      <x:c r="B1603" s="50"/>
    </x:row>
    <x:row r="1604">
      <x:c r="A1604" s="49" t="s">
        <x:v>7372</x:v>
      </x:c>
      <x:c r="B1604" s="50"/>
    </x:row>
    <x:row r="1605">
      <x:c r="A1605" s="49" t="s">
        <x:v>7376</x:v>
      </x:c>
      <x:c r="B1605" s="50"/>
    </x:row>
    <x:row r="1606">
      <x:c r="A1606" s="49" t="s">
        <x:v>7381</x:v>
      </x:c>
      <x:c r="B1606" s="50"/>
    </x:row>
    <x:row r="1607">
      <x:c r="A1607" s="49" t="s">
        <x:v>7386</x:v>
      </x:c>
      <x:c r="B1607" s="50"/>
    </x:row>
    <x:row r="1608">
      <x:c r="A1608" s="49" t="s">
        <x:v>7390</x:v>
      </x:c>
      <x:c r="B1608" s="50"/>
    </x:row>
    <x:row r="1609">
      <x:c r="A1609" s="49" t="s">
        <x:v>7395</x:v>
      </x:c>
      <x:c r="B1609" s="50"/>
    </x:row>
    <x:row r="1610">
      <x:c r="A1610" s="49" t="s">
        <x:v>7399</x:v>
      </x:c>
      <x:c r="B1610" s="50"/>
    </x:row>
    <x:row r="1611">
      <x:c r="A1611" s="49" t="s">
        <x:v>7403</x:v>
      </x:c>
      <x:c r="B1611" s="50"/>
    </x:row>
    <x:row r="1612">
      <x:c r="A1612" s="49" t="s">
        <x:v>7408</x:v>
      </x:c>
      <x:c r="B1612" s="50"/>
    </x:row>
    <x:row r="1613">
      <x:c r="A1613" s="49" t="s">
        <x:v>7412</x:v>
      </x:c>
      <x:c r="B1613" s="50"/>
    </x:row>
    <x:row r="1614">
      <x:c r="A1614" s="49" t="s">
        <x:v>7417</x:v>
      </x:c>
      <x:c r="B1614" s="50"/>
    </x:row>
    <x:row r="1615">
      <x:c r="A1615" s="49" t="s">
        <x:v>7421</x:v>
      </x:c>
      <x:c r="B1615" s="50"/>
    </x:row>
    <x:row r="1616">
      <x:c r="A1616" s="49" t="s">
        <x:v>7425</x:v>
      </x:c>
      <x:c r="B1616" s="50"/>
    </x:row>
    <x:row r="1617">
      <x:c r="A1617" s="49" t="s">
        <x:v>7429</x:v>
      </x:c>
      <x:c r="B1617" s="50"/>
    </x:row>
    <x:row r="1618">
      <x:c r="A1618" s="49" t="s">
        <x:v>7433</x:v>
      </x:c>
      <x:c r="B1618" s="50"/>
    </x:row>
    <x:row r="1619">
      <x:c r="A1619" s="49" t="s">
        <x:v>7438</x:v>
      </x:c>
      <x:c r="B1619" s="50"/>
    </x:row>
    <x:row r="1620">
      <x:c r="A1620" s="49" t="s">
        <x:v>7442</x:v>
      </x:c>
      <x:c r="B1620" s="50"/>
    </x:row>
    <x:row r="1621">
      <x:c r="A1621" s="49" t="s">
        <x:v>7446</x:v>
      </x:c>
      <x:c r="B1621" s="50"/>
    </x:row>
    <x:row r="1622">
      <x:c r="A1622" s="49" t="s">
        <x:v>7450</x:v>
      </x:c>
      <x:c r="B1622" s="50"/>
    </x:row>
    <x:row r="1623">
      <x:c r="A1623" s="49" t="s">
        <x:v>7455</x:v>
      </x:c>
      <x:c r="B1623" s="50"/>
    </x:row>
    <x:row r="1624">
      <x:c r="A1624" s="49" t="s">
        <x:v>7460</x:v>
      </x:c>
      <x:c r="B1624" s="50"/>
    </x:row>
    <x:row r="1625">
      <x:c r="A1625" s="49" t="s">
        <x:v>7464</x:v>
      </x:c>
      <x:c r="B1625" s="50"/>
    </x:row>
    <x:row r="1626">
      <x:c r="A1626" s="49" t="s">
        <x:v>7469</x:v>
      </x:c>
      <x:c r="B1626" s="50"/>
    </x:row>
    <x:row r="1627">
      <x:c r="A1627" s="49" t="s">
        <x:v>7473</x:v>
      </x:c>
      <x:c r="B1627" s="50"/>
    </x:row>
    <x:row r="1628">
      <x:c r="A1628" s="49" t="s">
        <x:v>7478</x:v>
      </x:c>
      <x:c r="B1628" s="50"/>
    </x:row>
    <x:row r="1629">
      <x:c r="A1629" s="49" t="s">
        <x:v>7483</x:v>
      </x:c>
      <x:c r="B1629" s="50"/>
    </x:row>
    <x:row r="1630">
      <x:c r="A1630" s="49" t="s">
        <x:v>7488</x:v>
      </x:c>
      <x:c r="B1630" s="50"/>
    </x:row>
    <x:row r="1631">
      <x:c r="A1631" s="49" t="s">
        <x:v>7492</x:v>
      </x:c>
      <x:c r="B1631" s="50"/>
    </x:row>
    <x:row r="1632">
      <x:c r="A1632" s="49" t="s">
        <x:v>7497</x:v>
      </x:c>
      <x:c r="B1632" s="50"/>
    </x:row>
    <x:row r="1633">
      <x:c r="A1633" s="49" t="s">
        <x:v>7501</x:v>
      </x:c>
      <x:c r="B1633" s="50"/>
    </x:row>
    <x:row r="1634">
      <x:c r="A1634" s="49" t="s">
        <x:v>7506</x:v>
      </x:c>
      <x:c r="B1634" s="50"/>
    </x:row>
    <x:row r="1635">
      <x:c r="A1635" s="49" t="s">
        <x:v>7510</x:v>
      </x:c>
      <x:c r="B1635" s="50"/>
    </x:row>
    <x:row r="1636">
      <x:c r="A1636" s="49" t="s">
        <x:v>7515</x:v>
      </x:c>
      <x:c r="B1636" s="50"/>
    </x:row>
    <x:row r="1637">
      <x:c r="A1637" s="49" t="s">
        <x:v>7520</x:v>
      </x:c>
      <x:c r="B1637" s="50"/>
    </x:row>
    <x:row r="1638">
      <x:c r="A1638" s="49" t="s">
        <x:v>7525</x:v>
      </x:c>
      <x:c r="B1638" s="50"/>
    </x:row>
    <x:row r="1639">
      <x:c r="A1639" s="49" t="s">
        <x:v>7530</x:v>
      </x:c>
      <x:c r="B1639" s="50"/>
    </x:row>
    <x:row r="1640">
      <x:c r="A1640" s="49" t="s">
        <x:v>7535</x:v>
      </x:c>
      <x:c r="B1640" s="50"/>
    </x:row>
    <x:row r="1641">
      <x:c r="A1641" s="49" t="s">
        <x:v>7539</x:v>
      </x:c>
      <x:c r="B1641" s="50"/>
    </x:row>
    <x:row r="1642">
      <x:c r="A1642" s="49" t="s">
        <x:v>7543</x:v>
      </x:c>
      <x:c r="B1642" s="50"/>
    </x:row>
    <x:row r="1643">
      <x:c r="A1643" s="49" t="s">
        <x:v>7548</x:v>
      </x:c>
      <x:c r="B1643" s="50"/>
    </x:row>
    <x:row r="1644">
      <x:c r="A1644" s="49" t="s">
        <x:v>7553</x:v>
      </x:c>
      <x:c r="B1644" s="50"/>
    </x:row>
    <x:row r="1645">
      <x:c r="A1645" s="49" t="s">
        <x:v>7557</x:v>
      </x:c>
      <x:c r="B1645" s="50"/>
    </x:row>
    <x:row r="1646">
      <x:c r="A1646" s="49" t="s">
        <x:v>7562</x:v>
      </x:c>
      <x:c r="B1646" s="50"/>
    </x:row>
    <x:row r="1647">
      <x:c r="A1647" s="49" t="s">
        <x:v>7566</x:v>
      </x:c>
      <x:c r="B1647" s="50"/>
    </x:row>
    <x:row r="1648">
      <x:c r="A1648" s="49" t="s">
        <x:v>7570</x:v>
      </x:c>
      <x:c r="B1648" s="50"/>
    </x:row>
    <x:row r="1649">
      <x:c r="A1649" s="49" t="s">
        <x:v>7574</x:v>
      </x:c>
      <x:c r="B1649" s="50"/>
    </x:row>
    <x:row r="1650">
      <x:c r="A1650" s="49" t="s">
        <x:v>7578</x:v>
      </x:c>
      <x:c r="B1650" s="50"/>
    </x:row>
    <x:row r="1651">
      <x:c r="A1651" s="49" t="s">
        <x:v>7583</x:v>
      </x:c>
      <x:c r="B1651" s="50"/>
    </x:row>
    <x:row r="1652">
      <x:c r="A1652" s="49" t="s">
        <x:v>7588</x:v>
      </x:c>
      <x:c r="B1652" s="50"/>
    </x:row>
    <x:row r="1653">
      <x:c r="A1653" s="49" t="s">
        <x:v>7593</x:v>
      </x:c>
      <x:c r="B1653" s="50"/>
    </x:row>
    <x:row r="1654">
      <x:c r="A1654" s="49" t="s">
        <x:v>7597</x:v>
      </x:c>
      <x:c r="B1654" s="50"/>
    </x:row>
    <x:row r="1655">
      <x:c r="A1655" s="49" t="s">
        <x:v>7601</x:v>
      </x:c>
      <x:c r="B1655" s="50"/>
    </x:row>
    <x:row r="1656">
      <x:c r="A1656" s="49" t="s">
        <x:v>7605</x:v>
      </x:c>
      <x:c r="B1656" s="50"/>
    </x:row>
    <x:row r="1657">
      <x:c r="A1657" s="49" t="s">
        <x:v>7610</x:v>
      </x:c>
      <x:c r="B1657" s="50"/>
    </x:row>
    <x:row r="1658">
      <x:c r="A1658" s="49" t="s">
        <x:v>7614</x:v>
      </x:c>
      <x:c r="B1658" s="50"/>
    </x:row>
    <x:row r="1659">
      <x:c r="A1659" s="49" t="s">
        <x:v>7619</x:v>
      </x:c>
      <x:c r="B1659" s="50"/>
    </x:row>
    <x:row r="1660">
      <x:c r="A1660" s="49" t="s">
        <x:v>7623</x:v>
      </x:c>
      <x:c r="B1660" s="50"/>
    </x:row>
    <x:row r="1661">
      <x:c r="A1661" s="49" t="s">
        <x:v>7627</x:v>
      </x:c>
      <x:c r="B1661" s="50"/>
    </x:row>
    <x:row r="1662">
      <x:c r="A1662" s="49" t="s">
        <x:v>7631</x:v>
      </x:c>
      <x:c r="B1662" s="50"/>
    </x:row>
    <x:row r="1663">
      <x:c r="A1663" s="49" t="s">
        <x:v>7635</x:v>
      </x:c>
      <x:c r="B1663" s="50"/>
    </x:row>
    <x:row r="1664">
      <x:c r="A1664" s="49" t="s">
        <x:v>7639</x:v>
      </x:c>
      <x:c r="B1664" s="50"/>
    </x:row>
    <x:row r="1665">
      <x:c r="A1665" s="49" t="s">
        <x:v>7643</x:v>
      </x:c>
      <x:c r="B1665" s="50"/>
    </x:row>
    <x:row r="1666">
      <x:c r="A1666" s="49" t="s">
        <x:v>7648</x:v>
      </x:c>
      <x:c r="B1666" s="50"/>
    </x:row>
    <x:row r="1667">
      <x:c r="A1667" s="49" t="s">
        <x:v>7652</x:v>
      </x:c>
      <x:c r="B1667" s="50"/>
    </x:row>
    <x:row r="1668">
      <x:c r="A1668" s="49" t="s">
        <x:v>7656</x:v>
      </x:c>
      <x:c r="B1668" s="50"/>
    </x:row>
    <x:row r="1669">
      <x:c r="A1669" s="49" t="s">
        <x:v>7661</x:v>
      </x:c>
      <x:c r="B1669" s="50"/>
    </x:row>
    <x:row r="1670">
      <x:c r="A1670" s="49" t="s">
        <x:v>7665</x:v>
      </x:c>
      <x:c r="B1670" s="50"/>
    </x:row>
    <x:row r="1671">
      <x:c r="A1671" s="49" t="s">
        <x:v>7669</x:v>
      </x:c>
      <x:c r="B1671" s="50"/>
    </x:row>
    <x:row r="1672">
      <x:c r="A1672" s="49" t="s">
        <x:v>7673</x:v>
      </x:c>
      <x:c r="B1672" s="50"/>
    </x:row>
    <x:row r="1673">
      <x:c r="A1673" s="49" t="s">
        <x:v>7677</x:v>
      </x:c>
      <x:c r="B1673" s="50"/>
    </x:row>
    <x:row r="1674">
      <x:c r="A1674" s="49" t="s">
        <x:v>7681</x:v>
      </x:c>
      <x:c r="B1674" s="50"/>
    </x:row>
    <x:row r="1675">
      <x:c r="A1675" s="49" t="s">
        <x:v>7685</x:v>
      </x:c>
      <x:c r="B1675" s="50"/>
    </x:row>
    <x:row r="1676">
      <x:c r="A1676" s="49" t="s">
        <x:v>7690</x:v>
      </x:c>
      <x:c r="B1676" s="50"/>
    </x:row>
    <x:row r="1677">
      <x:c r="A1677" s="49" t="s">
        <x:v>7694</x:v>
      </x:c>
      <x:c r="B1677" s="50"/>
    </x:row>
    <x:row r="1678">
      <x:c r="A1678" s="49" t="s">
        <x:v>7699</x:v>
      </x:c>
      <x:c r="B1678" s="50"/>
    </x:row>
    <x:row r="1679">
      <x:c r="A1679" s="49" t="s">
        <x:v>7703</x:v>
      </x:c>
      <x:c r="B1679" s="50"/>
    </x:row>
    <x:row r="1680">
      <x:c r="A1680" s="49" t="s">
        <x:v>7707</x:v>
      </x:c>
      <x:c r="B1680" s="50"/>
    </x:row>
    <x:row r="1681">
      <x:c r="A1681" s="49" t="s">
        <x:v>76</x:v>
      </x:c>
      <x:c r="B1681" s="50"/>
    </x:row>
    <x:row r="1682">
      <x:c r="A1682" s="49" t="s">
        <x:v>7715</x:v>
      </x:c>
      <x:c r="B1682" s="50"/>
    </x:row>
    <x:row r="1683">
      <x:c r="A1683" s="49" t="s">
        <x:v>7719</x:v>
      </x:c>
      <x:c r="B1683" s="50"/>
    </x:row>
    <x:row r="1684">
      <x:c r="A1684" s="49" t="s">
        <x:v>7724</x:v>
      </x:c>
      <x:c r="B1684" s="50"/>
    </x:row>
    <x:row r="1685">
      <x:c r="A1685" s="49" t="s">
        <x:v>7728</x:v>
      </x:c>
      <x:c r="B1685" s="50"/>
    </x:row>
    <x:row r="1686">
      <x:c r="A1686" s="49" t="s">
        <x:v>7733</x:v>
      </x:c>
      <x:c r="B1686" s="50"/>
    </x:row>
    <x:row r="1687">
      <x:c r="A1687" s="49" t="s">
        <x:v>7737</x:v>
      </x:c>
      <x:c r="B1687" s="50"/>
    </x:row>
    <x:row r="1688">
      <x:c r="A1688" s="49" t="s">
        <x:v>7741</x:v>
      </x:c>
      <x:c r="B1688" s="50"/>
    </x:row>
    <x:row r="1689">
      <x:c r="A1689" s="49" t="s">
        <x:v>7745</x:v>
      </x:c>
      <x:c r="B1689" s="50"/>
    </x:row>
    <x:row r="1690">
      <x:c r="A1690" s="49" t="s">
        <x:v>7750</x:v>
      </x:c>
      <x:c r="B1690" s="50"/>
    </x:row>
    <x:row r="1691">
      <x:c r="A1691" s="49" t="s">
        <x:v>7754</x:v>
      </x:c>
      <x:c r="B1691" s="50"/>
    </x:row>
    <x:row r="1692">
      <x:c r="A1692" s="49" t="s">
        <x:v>7759</x:v>
      </x:c>
      <x:c r="B1692" s="50"/>
    </x:row>
    <x:row r="1693">
      <x:c r="A1693" s="49" t="s">
        <x:v>7763</x:v>
      </x:c>
      <x:c r="B1693" s="50"/>
    </x:row>
    <x:row r="1694">
      <x:c r="A1694" s="49" t="s">
        <x:v>7767</x:v>
      </x:c>
      <x:c r="B1694" s="50"/>
    </x:row>
    <x:row r="1695">
      <x:c r="A1695" s="49" t="s">
        <x:v>7771</x:v>
      </x:c>
      <x:c r="B1695" s="50"/>
    </x:row>
    <x:row r="1696">
      <x:c r="A1696" s="49" t="s">
        <x:v>7775</x:v>
      </x:c>
      <x:c r="B1696" s="50"/>
    </x:row>
    <x:row r="1697">
      <x:c r="A1697" s="49" t="s">
        <x:v>7779</x:v>
      </x:c>
      <x:c r="B1697" s="50"/>
    </x:row>
    <x:row r="1698">
      <x:c r="A1698" s="49" t="s">
        <x:v>7783</x:v>
      </x:c>
      <x:c r="B1698" s="50"/>
    </x:row>
    <x:row r="1699">
      <x:c r="A1699" s="49" t="s">
        <x:v>7787</x:v>
      </x:c>
      <x:c r="B1699" s="50"/>
    </x:row>
    <x:row r="1700">
      <x:c r="A1700" s="49" t="s">
        <x:v>7792</x:v>
      </x:c>
      <x:c r="B1700" s="50"/>
    </x:row>
    <x:row r="1701">
      <x:c r="A1701" s="49" t="s">
        <x:v>7796</x:v>
      </x:c>
      <x:c r="B1701" s="50"/>
    </x:row>
    <x:row r="1702">
      <x:c r="A1702" s="49" t="s">
        <x:v>7800</x:v>
      </x:c>
      <x:c r="B1702" s="50"/>
    </x:row>
    <x:row r="1703">
      <x:c r="A1703" s="49" t="s">
        <x:v>7804</x:v>
      </x:c>
      <x:c r="B1703" s="50"/>
    </x:row>
    <x:row r="1704">
      <x:c r="A1704" s="49" t="s">
        <x:v>7809</x:v>
      </x:c>
      <x:c r="B1704" s="50"/>
    </x:row>
    <x:row r="1705">
      <x:c r="A1705" s="49" t="s">
        <x:v>7813</x:v>
      </x:c>
      <x:c r="B1705" s="50"/>
    </x:row>
    <x:row r="1706">
      <x:c r="A1706" s="49" t="s">
        <x:v>7818</x:v>
      </x:c>
      <x:c r="B1706" s="50"/>
    </x:row>
    <x:row r="1707">
      <x:c r="A1707" s="49" t="s">
        <x:v>7823</x:v>
      </x:c>
      <x:c r="B1707" s="50"/>
    </x:row>
    <x:row r="1708">
      <x:c r="A1708" s="49" t="s">
        <x:v>7828</x:v>
      </x:c>
      <x:c r="B1708" s="50"/>
    </x:row>
    <x:row r="1709">
      <x:c r="A1709" s="49" t="s">
        <x:v>7832</x:v>
      </x:c>
      <x:c r="B1709" s="50"/>
    </x:row>
    <x:row r="1710">
      <x:c r="A1710" s="49" t="s">
        <x:v>7837</x:v>
      </x:c>
      <x:c r="B1710" s="50"/>
    </x:row>
    <x:row r="1711">
      <x:c r="A1711" s="49" t="s">
        <x:v>7842</x:v>
      </x:c>
      <x:c r="B1711" s="50"/>
    </x:row>
    <x:row r="1712">
      <x:c r="A1712" s="49" t="s">
        <x:v>7847</x:v>
      </x:c>
      <x:c r="B1712" s="50"/>
    </x:row>
    <x:row r="1713">
      <x:c r="A1713" s="49" t="s">
        <x:v>7852</x:v>
      </x:c>
      <x:c r="B1713" s="50"/>
    </x:row>
    <x:row r="1714">
      <x:c r="A1714" s="49" t="s">
        <x:v>7856</x:v>
      </x:c>
      <x:c r="B1714" s="50"/>
    </x:row>
    <x:row r="1715">
      <x:c r="A1715" s="49" t="s">
        <x:v>7860</x:v>
      </x:c>
      <x:c r="B1715" s="50"/>
    </x:row>
    <x:row r="1716">
      <x:c r="A1716" s="49" t="s">
        <x:v>7865</x:v>
      </x:c>
      <x:c r="B1716" s="50"/>
    </x:row>
    <x:row r="1717">
      <x:c r="A1717" s="49" t="s">
        <x:v>7870</x:v>
      </x:c>
      <x:c r="B1717" s="50"/>
    </x:row>
    <x:row r="1718">
      <x:c r="A1718" s="49" t="s">
        <x:v>7875</x:v>
      </x:c>
      <x:c r="B1718" s="50"/>
    </x:row>
    <x:row r="1719">
      <x:c r="A1719" s="49" t="s">
        <x:v>7880</x:v>
      </x:c>
      <x:c r="B1719" s="50"/>
    </x:row>
    <x:row r="1720">
      <x:c r="A1720" s="49" t="s">
        <x:v>7884</x:v>
      </x:c>
      <x:c r="B1720" s="50"/>
    </x:row>
    <x:row r="1721">
      <x:c r="A1721" s="49" t="s">
        <x:v>7888</x:v>
      </x:c>
      <x:c r="B1721" s="50"/>
    </x:row>
    <x:row r="1722">
      <x:c r="A1722" s="49" t="s">
        <x:v>7892</x:v>
      </x:c>
      <x:c r="B1722" s="50"/>
    </x:row>
    <x:row r="1723">
      <x:c r="A1723" s="49" t="s">
        <x:v>7897</x:v>
      </x:c>
      <x:c r="B1723" s="50"/>
    </x:row>
    <x:row r="1724">
      <x:c r="A1724" s="49" t="s">
        <x:v>7902</x:v>
      </x:c>
      <x:c r="B1724" s="50"/>
    </x:row>
    <x:row r="1725">
      <x:c r="A1725" s="49" t="s">
        <x:v>7906</x:v>
      </x:c>
      <x:c r="B1725" s="50"/>
    </x:row>
    <x:row r="1726">
      <x:c r="A1726" s="49" t="s">
        <x:v>7911</x:v>
      </x:c>
      <x:c r="B1726" s="50"/>
    </x:row>
    <x:row r="1727">
      <x:c r="A1727" s="49" t="s">
        <x:v>7916</x:v>
      </x:c>
      <x:c r="B1727" s="50"/>
    </x:row>
    <x:row r="1728">
      <x:c r="A1728" s="49" t="s">
        <x:v>7920</x:v>
      </x:c>
      <x:c r="B1728" s="50"/>
    </x:row>
    <x:row r="1729">
      <x:c r="A1729" s="49" t="s">
        <x:v>7924</x:v>
      </x:c>
      <x:c r="B1729" s="50"/>
    </x:row>
    <x:row r="1730">
      <x:c r="A1730" s="49" t="s">
        <x:v>7928</x:v>
      </x:c>
      <x:c r="B1730" s="50"/>
    </x:row>
    <x:row r="1731">
      <x:c r="A1731" s="49" t="s">
        <x:v>7932</x:v>
      </x:c>
      <x:c r="B1731" s="50"/>
    </x:row>
    <x:row r="1732">
      <x:c r="A1732" s="49" t="s">
        <x:v>7936</x:v>
      </x:c>
      <x:c r="B1732" s="50"/>
    </x:row>
    <x:row r="1733">
      <x:c r="A1733" s="49" t="s">
        <x:v>7940</x:v>
      </x:c>
      <x:c r="B1733" s="50"/>
    </x:row>
    <x:row r="1734">
      <x:c r="A1734" s="49" t="s">
        <x:v>7945</x:v>
      </x:c>
      <x:c r="B1734" s="50"/>
    </x:row>
    <x:row r="1735">
      <x:c r="A1735" s="49" t="s">
        <x:v>7949</x:v>
      </x:c>
      <x:c r="B1735" s="50"/>
    </x:row>
    <x:row r="1736">
      <x:c r="A1736" s="49" t="s">
        <x:v>7953</x:v>
      </x:c>
      <x:c r="B1736" s="50"/>
    </x:row>
    <x:row r="1737">
      <x:c r="A1737" s="49" t="s">
        <x:v>7957</x:v>
      </x:c>
      <x:c r="B1737" s="50"/>
    </x:row>
    <x:row r="1738">
      <x:c r="A1738" s="49" t="s">
        <x:v>7962</x:v>
      </x:c>
      <x:c r="B1738" s="50"/>
    </x:row>
    <x:row r="1739">
      <x:c r="A1739" s="49" t="s">
        <x:v>7967</x:v>
      </x:c>
      <x:c r="B1739" s="50"/>
    </x:row>
    <x:row r="1740">
      <x:c r="A1740" s="49" t="s">
        <x:v>7971</x:v>
      </x:c>
      <x:c r="B1740" s="50"/>
    </x:row>
    <x:row r="1741">
      <x:c r="A1741" s="49" t="s">
        <x:v>7976</x:v>
      </x:c>
      <x:c r="B1741" s="50"/>
    </x:row>
    <x:row r="1742">
      <x:c r="A1742" s="49" t="s">
        <x:v>7981</x:v>
      </x:c>
      <x:c r="B1742" s="50"/>
    </x:row>
    <x:row r="1743">
      <x:c r="A1743" s="49" t="s">
        <x:v>7985</x:v>
      </x:c>
      <x:c r="B1743" s="50"/>
    </x:row>
    <x:row r="1744">
      <x:c r="A1744" s="49" t="s">
        <x:v>7990</x:v>
      </x:c>
      <x:c r="B1744" s="50"/>
    </x:row>
    <x:row r="1745">
      <x:c r="A1745" s="49" t="s">
        <x:v>7994</x:v>
      </x:c>
      <x:c r="B1745" s="50"/>
    </x:row>
    <x:row r="1746">
      <x:c r="A1746" s="49" t="s">
        <x:v>7999</x:v>
      </x:c>
      <x:c r="B1746" s="50"/>
    </x:row>
    <x:row r="1747">
      <x:c r="A1747" s="49" t="s">
        <x:v>8004</x:v>
      </x:c>
      <x:c r="B1747" s="50"/>
    </x:row>
    <x:row r="1748">
      <x:c r="A1748" s="49" t="s">
        <x:v>8009</x:v>
      </x:c>
      <x:c r="B1748" s="50"/>
    </x:row>
    <x:row r="1749">
      <x:c r="A1749" s="49" t="s">
        <x:v>8014</x:v>
      </x:c>
      <x:c r="B1749" s="50"/>
    </x:row>
    <x:row r="1750">
      <x:c r="A1750" s="49" t="s">
        <x:v>8019</x:v>
      </x:c>
      <x:c r="B1750" s="50"/>
    </x:row>
    <x:row r="1751">
      <x:c r="A1751" s="49" t="s">
        <x:v>8023</x:v>
      </x:c>
      <x:c r="B1751" s="50"/>
    </x:row>
    <x:row r="1752">
      <x:c r="A1752" s="49" t="s">
        <x:v>8027</x:v>
      </x:c>
      <x:c r="B1752" s="50"/>
    </x:row>
    <x:row r="1753">
      <x:c r="A1753" s="49" t="s">
        <x:v>8031</x:v>
      </x:c>
      <x:c r="B1753" s="50"/>
    </x:row>
    <x:row r="1754">
      <x:c r="A1754" s="49" t="s">
        <x:v>8035</x:v>
      </x:c>
      <x:c r="B1754" s="50"/>
    </x:row>
    <x:row r="1755">
      <x:c r="A1755" s="49" t="s">
        <x:v>8039</x:v>
      </x:c>
      <x:c r="B1755" s="50"/>
    </x:row>
    <x:row r="1756">
      <x:c r="A1756" s="49" t="s">
        <x:v>8044</x:v>
      </x:c>
      <x:c r="B1756" s="50"/>
    </x:row>
    <x:row r="1757">
      <x:c r="A1757" s="49" t="s">
        <x:v>8049</x:v>
      </x:c>
      <x:c r="B1757" s="50"/>
    </x:row>
    <x:row r="1758">
      <x:c r="A1758" s="49" t="s">
        <x:v>8054</x:v>
      </x:c>
      <x:c r="B1758" s="50"/>
    </x:row>
    <x:row r="1759">
      <x:c r="A1759" s="49" t="s">
        <x:v>8058</x:v>
      </x:c>
      <x:c r="B1759" s="50"/>
    </x:row>
    <x:row r="1760">
      <x:c r="A1760" s="49" t="s">
        <x:v>8063</x:v>
      </x:c>
      <x:c r="B1760" s="50"/>
    </x:row>
    <x:row r="1761">
      <x:c r="A1761" s="49" t="s">
        <x:v>8067</x:v>
      </x:c>
      <x:c r="B1761" s="50"/>
    </x:row>
    <x:row r="1762">
      <x:c r="A1762" s="49" t="s">
        <x:v>8072</x:v>
      </x:c>
      <x:c r="B1762" s="50"/>
    </x:row>
    <x:row r="1763">
      <x:c r="A1763" s="49" t="s">
        <x:v>8077</x:v>
      </x:c>
      <x:c r="B1763" s="50"/>
    </x:row>
    <x:row r="1764">
      <x:c r="A1764" s="49" t="s">
        <x:v>8081</x:v>
      </x:c>
      <x:c r="B1764" s="50"/>
    </x:row>
    <x:row r="1765">
      <x:c r="A1765" s="49" t="s">
        <x:v>8086</x:v>
      </x:c>
      <x:c r="B1765" s="50"/>
    </x:row>
    <x:row r="1766">
      <x:c r="A1766" s="49" t="s">
        <x:v>8090</x:v>
      </x:c>
      <x:c r="B1766" s="50"/>
    </x:row>
    <x:row r="1767">
      <x:c r="A1767" s="49" t="s">
        <x:v>8095</x:v>
      </x:c>
      <x:c r="B1767" s="50"/>
    </x:row>
    <x:row r="1768">
      <x:c r="A1768" s="49" t="s">
        <x:v>8100</x:v>
      </x:c>
      <x:c r="B1768" s="50"/>
    </x:row>
    <x:row r="1769">
      <x:c r="A1769" s="49" t="s">
        <x:v>8104</x:v>
      </x:c>
      <x:c r="B1769" s="50"/>
    </x:row>
    <x:row r="1770">
      <x:c r="A1770" s="49" t="s">
        <x:v>8109</x:v>
      </x:c>
      <x:c r="B1770" s="50"/>
    </x:row>
    <x:row r="1771">
      <x:c r="A1771" s="49" t="s">
        <x:v>8113</x:v>
      </x:c>
      <x:c r="B1771" s="50"/>
    </x:row>
    <x:row r="1772">
      <x:c r="A1772" s="49" t="s">
        <x:v>8117</x:v>
      </x:c>
      <x:c r="B1772" s="50"/>
    </x:row>
    <x:row r="1773">
      <x:c r="A1773" s="49" t="s">
        <x:v>8121</x:v>
      </x:c>
      <x:c r="B1773" s="50"/>
    </x:row>
    <x:row r="1774">
      <x:c r="A1774" s="49" t="s">
        <x:v>8125</x:v>
      </x:c>
      <x:c r="B1774" s="50"/>
    </x:row>
    <x:row r="1775">
      <x:c r="A1775" s="49" t="s">
        <x:v>8129</x:v>
      </x:c>
      <x:c r="B1775" s="50"/>
    </x:row>
    <x:row r="1776">
      <x:c r="A1776" s="49" t="s">
        <x:v>8133</x:v>
      </x:c>
      <x:c r="B1776" s="50"/>
    </x:row>
    <x:row r="1777">
      <x:c r="A1777" s="49" t="s">
        <x:v>8137</x:v>
      </x:c>
      <x:c r="B1777" s="50"/>
    </x:row>
    <x:row r="1778">
      <x:c r="A1778" s="49" t="s">
        <x:v>8141</x:v>
      </x:c>
      <x:c r="B1778" s="50"/>
    </x:row>
    <x:row r="1779">
      <x:c r="A1779" s="49" t="s">
        <x:v>8146</x:v>
      </x:c>
      <x:c r="B1779" s="50"/>
    </x:row>
    <x:row r="1780">
      <x:c r="A1780" s="49" t="s">
        <x:v>8151</x:v>
      </x:c>
      <x:c r="B1780" s="50"/>
    </x:row>
    <x:row r="1781">
      <x:c r="A1781" s="49" t="s">
        <x:v>8155</x:v>
      </x:c>
      <x:c r="B1781" s="50"/>
    </x:row>
    <x:row r="1782">
      <x:c r="A1782" s="49" t="s">
        <x:v>8159</x:v>
      </x:c>
      <x:c r="B1782" s="50"/>
    </x:row>
    <x:row r="1783">
      <x:c r="A1783" s="49" t="s">
        <x:v>8163</x:v>
      </x:c>
      <x:c r="B1783" s="50"/>
    </x:row>
    <x:row r="1784">
      <x:c r="A1784" s="49" t="s">
        <x:v>8168</x:v>
      </x:c>
      <x:c r="B1784" s="50"/>
    </x:row>
    <x:row r="1785">
      <x:c r="A1785" s="49" t="s">
        <x:v>8173</x:v>
      </x:c>
      <x:c r="B1785" s="50"/>
    </x:row>
    <x:row r="1786">
      <x:c r="A1786" s="49" t="s">
        <x:v>8178</x:v>
      </x:c>
      <x:c r="B1786" s="50"/>
    </x:row>
    <x:row r="1787">
      <x:c r="A1787" s="49" t="s">
        <x:v>30</x:v>
      </x:c>
      <x:c r="B1787" s="50"/>
    </x:row>
    <x:row r="1788">
      <x:c r="A1788" s="49" t="s">
        <x:v>32</x:v>
      </x:c>
      <x:c r="B1788" s="50"/>
    </x:row>
    <x:row r="1789">
      <x:c r="A1789" s="49" t="s">
        <x:v>8189</x:v>
      </x:c>
      <x:c r="B1789" s="50"/>
    </x:row>
    <x:row r="1790">
      <x:c r="A1790" s="49" t="s">
        <x:v>8193</x:v>
      </x:c>
      <x:c r="B1790" s="50"/>
    </x:row>
    <x:row r="1791">
      <x:c r="A1791" s="49" t="s">
        <x:v>8197</x:v>
      </x:c>
      <x:c r="B1791" s="50"/>
    </x:row>
    <x:row r="1792">
      <x:c r="A1792" s="49" t="s">
        <x:v>8201</x:v>
      </x:c>
      <x:c r="B1792" s="50"/>
    </x:row>
    <x:row r="1793">
      <x:c r="A1793" s="49" t="s">
        <x:v>8205</x:v>
      </x:c>
      <x:c r="B1793" s="50"/>
    </x:row>
    <x:row r="1794">
      <x:c r="A1794" s="49" t="s">
        <x:v>8209</x:v>
      </x:c>
      <x:c r="B1794" s="50"/>
    </x:row>
    <x:row r="1795">
      <x:c r="A1795" s="49" t="s">
        <x:v>8213</x:v>
      </x:c>
      <x:c r="B1795" s="50"/>
    </x:row>
    <x:row r="1796">
      <x:c r="A1796" s="49" t="s">
        <x:v>8217</x:v>
      </x:c>
      <x:c r="B1796" s="50"/>
    </x:row>
    <x:row r="1797">
      <x:c r="A1797" s="49" t="s">
        <x:v>8222</x:v>
      </x:c>
      <x:c r="B1797" s="50"/>
    </x:row>
    <x:row r="1798">
      <x:c r="A1798" s="49" t="s">
        <x:v>8226</x:v>
      </x:c>
      <x:c r="B1798" s="50"/>
    </x:row>
    <x:row r="1799">
      <x:c r="A1799" s="49" t="s">
        <x:v>8230</x:v>
      </x:c>
      <x:c r="B1799" s="50"/>
    </x:row>
    <x:row r="1800">
      <x:c r="A1800" s="49" t="s">
        <x:v>8234</x:v>
      </x:c>
      <x:c r="B1800" s="50"/>
    </x:row>
    <x:row r="1801">
      <x:c r="A1801" s="49" t="s">
        <x:v>8239</x:v>
      </x:c>
      <x:c r="B1801" s="50"/>
    </x:row>
    <x:row r="1802">
      <x:c r="A1802" s="49" t="s">
        <x:v>8244</x:v>
      </x:c>
      <x:c r="B1802" s="50"/>
    </x:row>
    <x:row r="1803">
      <x:c r="A1803" s="49" t="s">
        <x:v>8248</x:v>
      </x:c>
      <x:c r="B1803" s="50"/>
    </x:row>
    <x:row r="1804">
      <x:c r="A1804" s="49" t="s">
        <x:v>62</x:v>
      </x:c>
      <x:c r="B1804" s="50"/>
    </x:row>
    <x:row r="1805">
      <x:c r="A1805" s="49" t="s">
        <x:v>58</x:v>
      </x:c>
      <x:c r="B1805" s="50"/>
    </x:row>
    <x:row r="1806">
      <x:c r="A1806" s="49" t="s">
        <x:v>60</x:v>
      </x:c>
      <x:c r="B1806" s="50"/>
    </x:row>
    <x:row r="1807">
      <x:c r="A1807" s="49" t="s">
        <x:v>8263</x:v>
      </x:c>
      <x:c r="B1807" s="50"/>
    </x:row>
    <x:row r="1808">
      <x:c r="A1808" s="49" t="s">
        <x:v>8267</x:v>
      </x:c>
      <x:c r="B1808" s="50"/>
    </x:row>
    <x:row r="1809">
      <x:c r="A1809" s="49" t="s">
        <x:v>8272</x:v>
      </x:c>
      <x:c r="B1809" s="50"/>
    </x:row>
    <x:row r="1810">
      <x:c r="A1810" s="49" t="s">
        <x:v>8276</x:v>
      </x:c>
      <x:c r="B1810" s="50"/>
    </x:row>
    <x:row r="1811">
      <x:c r="A1811" s="49" t="s">
        <x:v>8280</x:v>
      </x:c>
      <x:c r="B1811" s="50"/>
    </x:row>
    <x:row r="1812">
      <x:c r="A1812" s="49" t="s">
        <x:v>8284</x:v>
      </x:c>
      <x:c r="B1812" s="50"/>
    </x:row>
    <x:row r="1813">
      <x:c r="A1813" s="49" t="s">
        <x:v>8289</x:v>
      </x:c>
      <x:c r="B1813" s="50"/>
    </x:row>
    <x:row r="1814">
      <x:c r="A1814" s="49" t="s">
        <x:v>8294</x:v>
      </x:c>
      <x:c r="B1814" s="50"/>
    </x:row>
    <x:row r="1815">
      <x:c r="A1815" s="49" t="s">
        <x:v>8298</x:v>
      </x:c>
      <x:c r="B1815" s="50"/>
    </x:row>
    <x:row r="1816">
      <x:c r="A1816" s="49" t="s">
        <x:v>8302</x:v>
      </x:c>
      <x:c r="B1816" s="50"/>
    </x:row>
    <x:row r="1817">
      <x:c r="A1817" s="49" t="s">
        <x:v>8307</x:v>
      </x:c>
      <x:c r="B1817" s="50"/>
    </x:row>
    <x:row r="1818">
      <x:c r="A1818" s="49" t="s">
        <x:v>8311</x:v>
      </x:c>
      <x:c r="B1818" s="50"/>
    </x:row>
    <x:row r="1819">
      <x:c r="A1819" s="49" t="s">
        <x:v>8315</x:v>
      </x:c>
      <x:c r="B1819" s="50"/>
    </x:row>
    <x:row r="1820">
      <x:c r="A1820" s="49" t="s">
        <x:v>8319</x:v>
      </x:c>
      <x:c r="B1820" s="50"/>
    </x:row>
    <x:row r="1821">
      <x:c r="A1821" s="49" t="s">
        <x:v>8323</x:v>
      </x:c>
      <x:c r="B1821" s="50"/>
    </x:row>
    <x:row r="1822">
      <x:c r="A1822" s="49" t="s">
        <x:v>8327</x:v>
      </x:c>
      <x:c r="B1822" s="50"/>
    </x:row>
    <x:row r="1823">
      <x:c r="A1823" s="49" t="s">
        <x:v>8331</x:v>
      </x:c>
      <x:c r="B1823" s="50"/>
    </x:row>
    <x:row r="1824">
      <x:c r="A1824" s="49" t="s">
        <x:v>8335</x:v>
      </x:c>
      <x:c r="B1824" s="50"/>
    </x:row>
    <x:row r="1825">
      <x:c r="A1825" s="49" t="s">
        <x:v>8340</x:v>
      </x:c>
      <x:c r="B1825" s="50"/>
    </x:row>
    <x:row r="1826">
      <x:c r="A1826" s="49" t="s">
        <x:v>8344</x:v>
      </x:c>
      <x:c r="B1826" s="50"/>
    </x:row>
    <x:row r="1827">
      <x:c r="A1827" s="49" t="s">
        <x:v>8349</x:v>
      </x:c>
      <x:c r="B1827" s="50"/>
    </x:row>
    <x:row r="1828">
      <x:c r="A1828" s="49" t="s">
        <x:v>8353</x:v>
      </x:c>
      <x:c r="B1828" s="50"/>
    </x:row>
    <x:row r="1829">
      <x:c r="A1829" s="49" t="s">
        <x:v>8357</x:v>
      </x:c>
      <x:c r="B1829" s="50"/>
    </x:row>
    <x:row r="1830">
      <x:c r="A1830" s="49" t="s">
        <x:v>8361</x:v>
      </x:c>
      <x:c r="B1830" s="50"/>
    </x:row>
    <x:row r="1831">
      <x:c r="A1831" s="49" t="s">
        <x:v>8365</x:v>
      </x:c>
      <x:c r="B1831" s="50"/>
    </x:row>
    <x:row r="1832">
      <x:c r="A1832" s="49" t="s">
        <x:v>8369</x:v>
      </x:c>
      <x:c r="B1832" s="50"/>
    </x:row>
    <x:row r="1833">
      <x:c r="A1833" s="49" t="s">
        <x:v>8373</x:v>
      </x:c>
      <x:c r="B1833" s="50"/>
    </x:row>
    <x:row r="1834">
      <x:c r="A1834" s="49" t="s">
        <x:v>8377</x:v>
      </x:c>
      <x:c r="B1834" s="50"/>
    </x:row>
    <x:row r="1835">
      <x:c r="A1835" s="49" t="s">
        <x:v>8381</x:v>
      </x:c>
      <x:c r="B1835" s="50"/>
    </x:row>
    <x:row r="1836">
      <x:c r="A1836" s="49" t="s">
        <x:v>8386</x:v>
      </x:c>
      <x:c r="B1836" s="50"/>
    </x:row>
    <x:row r="1837">
      <x:c r="A1837" s="49" t="s">
        <x:v>8391</x:v>
      </x:c>
      <x:c r="B1837" s="50"/>
    </x:row>
    <x:row r="1838">
      <x:c r="A1838" s="49" t="s">
        <x:v>8396</x:v>
      </x:c>
      <x:c r="B1838" s="50"/>
    </x:row>
    <x:row r="1839">
      <x:c r="A1839" s="49" t="s">
        <x:v>8401</x:v>
      </x:c>
      <x:c r="B1839" s="50"/>
    </x:row>
    <x:row r="1840">
      <x:c r="A1840" s="49" t="s">
        <x:v>8406</x:v>
      </x:c>
      <x:c r="B1840" s="50"/>
    </x:row>
    <x:row r="1841">
      <x:c r="A1841" s="49" t="s">
        <x:v>8411</x:v>
      </x:c>
      <x:c r="B1841" s="50"/>
    </x:row>
    <x:row r="1842">
      <x:c r="A1842" s="49" t="s">
        <x:v>8416</x:v>
      </x:c>
      <x:c r="B1842" s="50"/>
    </x:row>
    <x:row r="1843">
      <x:c r="A1843" s="49" t="s">
        <x:v>8421</x:v>
      </x:c>
      <x:c r="B1843" s="50"/>
    </x:row>
    <x:row r="1844">
      <x:c r="A1844" s="49" t="s">
        <x:v>8425</x:v>
      </x:c>
      <x:c r="B1844" s="50"/>
    </x:row>
    <x:row r="1845">
      <x:c r="A1845" s="49" t="s">
        <x:v>8429</x:v>
      </x:c>
      <x:c r="B1845" s="50"/>
    </x:row>
    <x:row r="1846">
      <x:c r="A1846" s="49" t="s">
        <x:v>8434</x:v>
      </x:c>
      <x:c r="B1846" s="50"/>
    </x:row>
    <x:row r="1847">
      <x:c r="A1847" s="49" t="s">
        <x:v>8439</x:v>
      </x:c>
      <x:c r="B1847" s="50"/>
    </x:row>
    <x:row r="1848">
      <x:c r="A1848" s="49" t="s">
        <x:v>8443</x:v>
      </x:c>
      <x:c r="B1848" s="50"/>
    </x:row>
    <x:row r="1849">
      <x:c r="A1849" s="49" t="s">
        <x:v>8448</x:v>
      </x:c>
      <x:c r="B1849" s="50"/>
    </x:row>
    <x:row r="1850">
      <x:c r="A1850" s="49" t="s">
        <x:v>8453</x:v>
      </x:c>
      <x:c r="B1850" s="50"/>
    </x:row>
    <x:row r="1851">
      <x:c r="A1851" s="49" t="s">
        <x:v>8458</x:v>
      </x:c>
      <x:c r="B1851" s="50"/>
    </x:row>
    <x:row r="1852">
      <x:c r="A1852" s="49" t="s">
        <x:v>8463</x:v>
      </x:c>
      <x:c r="B1852" s="50"/>
    </x:row>
    <x:row r="1853">
      <x:c r="A1853" s="49" t="s">
        <x:v>8468</x:v>
      </x:c>
      <x:c r="B1853" s="50"/>
    </x:row>
    <x:row r="1854">
      <x:c r="A1854" s="49" t="s">
        <x:v>8473</x:v>
      </x:c>
      <x:c r="B1854" s="50"/>
    </x:row>
    <x:row r="1855">
      <x:c r="A1855" s="49" t="s">
        <x:v>8478</x:v>
      </x:c>
      <x:c r="B1855" s="50"/>
    </x:row>
    <x:row r="1856">
      <x:c r="A1856" s="49" t="s">
        <x:v>8482</x:v>
      </x:c>
      <x:c r="B1856" s="50"/>
    </x:row>
    <x:row r="1857">
      <x:c r="A1857" s="49" t="s">
        <x:v>8486</x:v>
      </x:c>
      <x:c r="B1857" s="50"/>
    </x:row>
    <x:row r="1858">
      <x:c r="A1858" s="49" t="s">
        <x:v>8490</x:v>
      </x:c>
      <x:c r="B1858" s="50"/>
    </x:row>
    <x:row r="1859">
      <x:c r="A1859" s="49" t="s">
        <x:v>8495</x:v>
      </x:c>
      <x:c r="B1859" s="50"/>
    </x:row>
    <x:row r="1860">
      <x:c r="A1860" s="49" t="s">
        <x:v>8499</x:v>
      </x:c>
      <x:c r="B1860" s="50"/>
    </x:row>
    <x:row r="1861">
      <x:c r="A1861" s="49" t="s">
        <x:v>8505</x:v>
      </x:c>
      <x:c r="B1861" s="50"/>
    </x:row>
    <x:row r="1862">
      <x:c r="A1862" s="49" t="s">
        <x:v>8510</x:v>
      </x:c>
      <x:c r="B1862" s="50"/>
    </x:row>
    <x:row r="1863">
      <x:c r="A1863" s="49" t="s">
        <x:v>8515</x:v>
      </x:c>
      <x:c r="B1863" s="50"/>
    </x:row>
    <x:row r="1864">
      <x:c r="A1864" s="49" t="s">
        <x:v>8519</x:v>
      </x:c>
      <x:c r="B1864" s="50"/>
    </x:row>
    <x:row r="1865">
      <x:c r="A1865" s="49" t="s">
        <x:v>8524</x:v>
      </x:c>
      <x:c r="B1865" s="50"/>
    </x:row>
    <x:row r="1866">
      <x:c r="A1866" s="49" t="s">
        <x:v>8529</x:v>
      </x:c>
      <x:c r="B1866" s="50"/>
    </x:row>
    <x:row r="1867">
      <x:c r="A1867" s="49" t="s">
        <x:v>8533</x:v>
      </x:c>
      <x:c r="B1867" s="50"/>
    </x:row>
    <x:row r="1868">
      <x:c r="A1868" s="49" t="s">
        <x:v>8538</x:v>
      </x:c>
      <x:c r="B1868" s="50"/>
    </x:row>
    <x:row r="1869">
      <x:c r="A1869" s="49" t="s">
        <x:v>8542</x:v>
      </x:c>
      <x:c r="B1869" s="50"/>
    </x:row>
    <x:row r="1870">
      <x:c r="A1870" s="49" t="s">
        <x:v>8546</x:v>
      </x:c>
      <x:c r="B1870" s="50"/>
    </x:row>
    <x:row r="1871">
      <x:c r="A1871" s="49" t="s">
        <x:v>8551</x:v>
      </x:c>
      <x:c r="B1871" s="50"/>
    </x:row>
    <x:row r="1872">
      <x:c r="A1872" s="49" t="s">
        <x:v>8555</x:v>
      </x:c>
      <x:c r="B1872" s="50"/>
    </x:row>
    <x:row r="1873">
      <x:c r="A1873" s="49" t="s">
        <x:v>8560</x:v>
      </x:c>
      <x:c r="B1873" s="50"/>
    </x:row>
    <x:row r="1874">
      <x:c r="A1874" s="49" t="s">
        <x:v>8564</x:v>
      </x:c>
      <x:c r="B1874" s="50"/>
    </x:row>
    <x:row r="1875">
      <x:c r="A1875" s="49" t="s">
        <x:v>8568</x:v>
      </x:c>
      <x:c r="B1875" s="50"/>
    </x:row>
    <x:row r="1876">
      <x:c r="A1876" s="49" t="s">
        <x:v>8573</x:v>
      </x:c>
      <x:c r="B1876" s="50"/>
    </x:row>
    <x:row r="1877">
      <x:c r="A1877" s="49" t="s">
        <x:v>8578</x:v>
      </x:c>
      <x:c r="B1877" s="50"/>
    </x:row>
    <x:row r="1878">
      <x:c r="A1878" s="49" t="s">
        <x:v>8582</x:v>
      </x:c>
      <x:c r="B1878" s="50"/>
    </x:row>
    <x:row r="1879">
      <x:c r="A1879" s="49" t="s">
        <x:v>8587</x:v>
      </x:c>
      <x:c r="B1879" s="50"/>
    </x:row>
    <x:row r="1880">
      <x:c r="A1880" s="49" t="s">
        <x:v>8591</x:v>
      </x:c>
      <x:c r="B1880" s="50"/>
    </x:row>
    <x:row r="1881">
      <x:c r="A1881" s="49" t="s">
        <x:v>8595</x:v>
      </x:c>
      <x:c r="B1881" s="50"/>
    </x:row>
    <x:row r="1882">
      <x:c r="A1882" s="49" t="s">
        <x:v>8600</x:v>
      </x:c>
      <x:c r="B1882" s="50"/>
    </x:row>
    <x:row r="1883">
      <x:c r="A1883" s="49" t="s">
        <x:v>8605</x:v>
      </x:c>
      <x:c r="B1883" s="50"/>
    </x:row>
    <x:row r="1884">
      <x:c r="A1884" s="49" t="s">
        <x:v>8609</x:v>
      </x:c>
      <x:c r="B1884" s="50"/>
    </x:row>
    <x:row r="1885">
      <x:c r="A1885" s="49" t="s">
        <x:v>8613</x:v>
      </x:c>
      <x:c r="B1885" s="50"/>
    </x:row>
    <x:row r="1886">
      <x:c r="A1886" s="49" t="s">
        <x:v>8618</x:v>
      </x:c>
      <x:c r="B1886" s="50"/>
    </x:row>
    <x:row r="1887">
      <x:c r="A1887" s="49" t="s">
        <x:v>8623</x:v>
      </x:c>
      <x:c r="B1887" s="50"/>
    </x:row>
    <x:row r="1888">
      <x:c r="A1888" s="49" t="s">
        <x:v>8628</x:v>
      </x:c>
      <x:c r="B1888" s="50"/>
    </x:row>
    <x:row r="1889">
      <x:c r="A1889" s="49" t="s">
        <x:v>8632</x:v>
      </x:c>
      <x:c r="B1889" s="50"/>
    </x:row>
    <x:row r="1890">
      <x:c r="A1890" s="49" t="s">
        <x:v>8636</x:v>
      </x:c>
      <x:c r="B1890" s="50"/>
    </x:row>
    <x:row r="1891">
      <x:c r="A1891" s="49" t="s">
        <x:v>8640</x:v>
      </x:c>
      <x:c r="B1891" s="50"/>
    </x:row>
    <x:row r="1892">
      <x:c r="A1892" s="49" t="s">
        <x:v>8645</x:v>
      </x:c>
      <x:c r="B1892" s="50"/>
    </x:row>
    <x:row r="1893">
      <x:c r="A1893" s="49" t="s">
        <x:v>8649</x:v>
      </x:c>
      <x:c r="B1893" s="50"/>
    </x:row>
    <x:row r="1894">
      <x:c r="A1894" s="49" t="s">
        <x:v>8654</x:v>
      </x:c>
      <x:c r="B1894" s="50"/>
    </x:row>
    <x:row r="1895">
      <x:c r="A1895" s="49" t="s">
        <x:v>8658</x:v>
      </x:c>
      <x:c r="B1895" s="50"/>
    </x:row>
    <x:row r="1896">
      <x:c r="A1896" s="49" t="s">
        <x:v>8662</x:v>
      </x:c>
      <x:c r="B1896" s="50"/>
    </x:row>
    <x:row r="1897">
      <x:c r="A1897" s="49" t="s">
        <x:v>8666</x:v>
      </x:c>
      <x:c r="B1897" s="50"/>
    </x:row>
    <x:row r="1898">
      <x:c r="A1898" s="49" t="s">
        <x:v>8670</x:v>
      </x:c>
      <x:c r="B1898" s="50"/>
    </x:row>
    <x:row r="1899">
      <x:c r="A1899" s="49" t="s">
        <x:v>8675</x:v>
      </x:c>
      <x:c r="B1899" s="50"/>
    </x:row>
    <x:row r="1900">
      <x:c r="A1900" s="49" t="s">
        <x:v>8680</x:v>
      </x:c>
      <x:c r="B1900" s="50"/>
    </x:row>
    <x:row r="1901">
      <x:c r="A1901" s="49" t="s">
        <x:v>8685</x:v>
      </x:c>
      <x:c r="B1901" s="50"/>
    </x:row>
    <x:row r="1902">
      <x:c r="A1902" s="49" t="s">
        <x:v>8690</x:v>
      </x:c>
      <x:c r="B1902" s="50"/>
    </x:row>
    <x:row r="1903">
      <x:c r="A1903" s="49" t="s">
        <x:v>8694</x:v>
      </x:c>
      <x:c r="B1903" s="50"/>
    </x:row>
    <x:row r="1904">
      <x:c r="A1904" s="49" t="s">
        <x:v>8698</x:v>
      </x:c>
      <x:c r="B1904" s="50"/>
    </x:row>
    <x:row r="1905">
      <x:c r="A1905" s="49" t="s">
        <x:v>8702</x:v>
      </x:c>
      <x:c r="B1905" s="50"/>
    </x:row>
    <x:row r="1906">
      <x:c r="A1906" s="49" t="s">
        <x:v>8706</x:v>
      </x:c>
      <x:c r="B1906" s="50"/>
    </x:row>
    <x:row r="1907">
      <x:c r="A1907" s="49" t="s">
        <x:v>8710</x:v>
      </x:c>
      <x:c r="B1907" s="50"/>
    </x:row>
    <x:row r="1908">
      <x:c r="A1908" s="49" t="s">
        <x:v>8715</x:v>
      </x:c>
      <x:c r="B1908" s="50"/>
    </x:row>
    <x:row r="1909">
      <x:c r="A1909" s="49" t="s">
        <x:v>8719</x:v>
      </x:c>
      <x:c r="B1909" s="50"/>
    </x:row>
    <x:row r="1910">
      <x:c r="A1910" s="49" t="s">
        <x:v>8723</x:v>
      </x:c>
      <x:c r="B1910" s="50"/>
    </x:row>
    <x:row r="1911">
      <x:c r="A1911" s="49" t="s">
        <x:v>8727</x:v>
      </x:c>
      <x:c r="B1911" s="50"/>
    </x:row>
    <x:row r="1912">
      <x:c r="A1912" s="49" t="s">
        <x:v>8731</x:v>
      </x:c>
      <x:c r="B1912" s="50"/>
    </x:row>
    <x:row r="1913">
      <x:c r="A1913" s="49" t="s">
        <x:v>8735</x:v>
      </x:c>
      <x:c r="B1913" s="50"/>
    </x:row>
    <x:row r="1914">
      <x:c r="A1914" s="49" t="s">
        <x:v>8739</x:v>
      </x:c>
      <x:c r="B1914" s="50"/>
    </x:row>
    <x:row r="1915">
      <x:c r="A1915" s="49" t="s">
        <x:v>8744</x:v>
      </x:c>
      <x:c r="B1915" s="50"/>
    </x:row>
    <x:row r="1916">
      <x:c r="A1916" s="49" t="s">
        <x:v>8749</x:v>
      </x:c>
      <x:c r="B1916" s="50"/>
    </x:row>
    <x:row r="1917">
      <x:c r="A1917" s="49" t="s">
        <x:v>8754</x:v>
      </x:c>
      <x:c r="B1917" s="50"/>
    </x:row>
    <x:row r="1918">
      <x:c r="A1918" s="49" t="s">
        <x:v>8759</x:v>
      </x:c>
      <x:c r="B1918" s="50"/>
    </x:row>
    <x:row r="1919">
      <x:c r="A1919" s="49" t="s">
        <x:v>8764</x:v>
      </x:c>
      <x:c r="B1919" s="50"/>
    </x:row>
    <x:row r="1920">
      <x:c r="A1920" s="49" t="s">
        <x:v>8768</x:v>
      </x:c>
      <x:c r="B1920" s="50"/>
    </x:row>
    <x:row r="1921">
      <x:c r="A1921" s="49" t="s">
        <x:v>8772</x:v>
      </x:c>
      <x:c r="B1921" s="50"/>
    </x:row>
    <x:row r="1922">
      <x:c r="A1922" s="49" t="s">
        <x:v>8776</x:v>
      </x:c>
      <x:c r="B1922" s="50"/>
    </x:row>
    <x:row r="1923">
      <x:c r="A1923" s="49" t="s">
        <x:v>8781</x:v>
      </x:c>
      <x:c r="B1923" s="50"/>
    </x:row>
    <x:row r="1924">
      <x:c r="A1924" s="49" t="s">
        <x:v>8786</x:v>
      </x:c>
      <x:c r="B1924" s="50"/>
    </x:row>
    <x:row r="1925">
      <x:c r="A1925" s="49" t="s">
        <x:v>8791</x:v>
      </x:c>
      <x:c r="B1925" s="50"/>
    </x:row>
    <x:row r="1926">
      <x:c r="A1926" s="49" t="s">
        <x:v>8796</x:v>
      </x:c>
      <x:c r="B1926" s="50"/>
    </x:row>
    <x:row r="1927">
      <x:c r="A1927" s="49" t="s">
        <x:v>8800</x:v>
      </x:c>
      <x:c r="B1927" s="50"/>
    </x:row>
    <x:row r="1928">
      <x:c r="A1928" s="49" t="s">
        <x:v>8805</x:v>
      </x:c>
      <x:c r="B1928" s="50"/>
    </x:row>
    <x:row r="1929">
      <x:c r="A1929" s="49" t="s">
        <x:v>8810</x:v>
      </x:c>
      <x:c r="B1929" s="50"/>
    </x:row>
    <x:row r="1930">
      <x:c r="A1930" s="49" t="s">
        <x:v>8815</x:v>
      </x:c>
      <x:c r="B1930" s="50"/>
    </x:row>
    <x:row r="1931">
      <x:c r="A1931" s="49" t="s">
        <x:v>8820</x:v>
      </x:c>
      <x:c r="B1931" s="50"/>
    </x:row>
    <x:row r="1932">
      <x:c r="A1932" s="49" t="s">
        <x:v>8824</x:v>
      </x:c>
      <x:c r="B1932" s="50"/>
    </x:row>
    <x:row r="1933">
      <x:c r="A1933" s="49" t="s">
        <x:v>8828</x:v>
      </x:c>
      <x:c r="B1933" s="50"/>
    </x:row>
    <x:row r="1934">
      <x:c r="A1934" s="49" t="s">
        <x:v>8832</x:v>
      </x:c>
      <x:c r="B1934" s="50"/>
    </x:row>
    <x:row r="1935">
      <x:c r="A1935" s="49" t="s">
        <x:v>8837</x:v>
      </x:c>
      <x:c r="B1935" s="50"/>
    </x:row>
    <x:row r="1936">
      <x:c r="A1936" s="49" t="s">
        <x:v>8842</x:v>
      </x:c>
      <x:c r="B1936" s="50"/>
    </x:row>
    <x:row r="1937">
      <x:c r="A1937" s="49" t="s">
        <x:v>8847</x:v>
      </x:c>
      <x:c r="B1937" s="50"/>
    </x:row>
    <x:row r="1938">
      <x:c r="A1938" s="49" t="s">
        <x:v>8851</x:v>
      </x:c>
      <x:c r="B1938" s="50"/>
    </x:row>
    <x:row r="1939">
      <x:c r="A1939" s="49" t="s">
        <x:v>8855</x:v>
      </x:c>
      <x:c r="B1939" s="50"/>
    </x:row>
    <x:row r="1940">
      <x:c r="A1940" s="49" t="s">
        <x:v>8859</x:v>
      </x:c>
      <x:c r="B1940" s="50"/>
    </x:row>
    <x:row r="1941">
      <x:c r="A1941" s="49" t="s">
        <x:v>8864</x:v>
      </x:c>
      <x:c r="B1941" s="50"/>
    </x:row>
    <x:row r="1942">
      <x:c r="A1942" s="49" t="s">
        <x:v>8869</x:v>
      </x:c>
      <x:c r="B1942" s="50"/>
    </x:row>
    <x:row r="1943">
      <x:c r="A1943" s="49" t="s">
        <x:v>8874</x:v>
      </x:c>
      <x:c r="B1943" s="50"/>
    </x:row>
    <x:row r="1944">
      <x:c r="A1944" s="49" t="s">
        <x:v>8878</x:v>
      </x:c>
      <x:c r="B1944" s="50"/>
    </x:row>
    <x:row r="1945">
      <x:c r="A1945" s="49" t="s">
        <x:v>8883</x:v>
      </x:c>
      <x:c r="B1945" s="50"/>
    </x:row>
    <x:row r="1946">
      <x:c r="A1946" s="49" t="s">
        <x:v>8887</x:v>
      </x:c>
      <x:c r="B1946" s="50"/>
    </x:row>
    <x:row r="1947">
      <x:c r="A1947" s="49" t="s">
        <x:v>8892</x:v>
      </x:c>
      <x:c r="B1947" s="50"/>
    </x:row>
    <x:row r="1948">
      <x:c r="A1948" s="49" t="s">
        <x:v>8897</x:v>
      </x:c>
      <x:c r="B1948" s="50"/>
    </x:row>
    <x:row r="1949">
      <x:c r="A1949" s="49" t="s">
        <x:v>8901</x:v>
      </x:c>
      <x:c r="B1949" s="50"/>
    </x:row>
    <x:row r="1950">
      <x:c r="A1950" s="49" t="s">
        <x:v>8905</x:v>
      </x:c>
      <x:c r="B1950" s="50"/>
    </x:row>
    <x:row r="1951">
      <x:c r="A1951" s="49" t="s">
        <x:v>8909</x:v>
      </x:c>
      <x:c r="B1951" s="50"/>
    </x:row>
    <x:row r="1952">
      <x:c r="A1952" s="49" t="s">
        <x:v>8914</x:v>
      </x:c>
      <x:c r="B1952" s="50"/>
    </x:row>
    <x:row r="1953">
      <x:c r="A1953" s="49" t="s">
        <x:v>8918</x:v>
      </x:c>
      <x:c r="B1953" s="50"/>
    </x:row>
    <x:row r="1954">
      <x:c r="A1954" s="49" t="s">
        <x:v>8923</x:v>
      </x:c>
      <x:c r="B1954" s="50"/>
    </x:row>
    <x:row r="1955">
      <x:c r="A1955" s="49" t="s">
        <x:v>8928</x:v>
      </x:c>
      <x:c r="B1955" s="50"/>
    </x:row>
    <x:row r="1956">
      <x:c r="A1956" s="49" t="s">
        <x:v>8933</x:v>
      </x:c>
      <x:c r="B1956" s="50"/>
    </x:row>
    <x:row r="1957">
      <x:c r="A1957" s="49" t="s">
        <x:v>8938</x:v>
      </x:c>
      <x:c r="B1957" s="50"/>
    </x:row>
    <x:row r="1958">
      <x:c r="A1958" s="49" t="s">
        <x:v>8943</x:v>
      </x:c>
      <x:c r="B1958" s="50"/>
    </x:row>
    <x:row r="1959">
      <x:c r="A1959" s="49" t="s">
        <x:v>8948</x:v>
      </x:c>
      <x:c r="B1959" s="50"/>
    </x:row>
    <x:row r="1960">
      <x:c r="A1960" s="49" t="s">
        <x:v>8953</x:v>
      </x:c>
      <x:c r="B1960" s="50"/>
    </x:row>
    <x:row r="1961">
      <x:c r="A1961" s="49" t="s">
        <x:v>8957</x:v>
      </x:c>
      <x:c r="B1961" s="50"/>
    </x:row>
    <x:row r="1962">
      <x:c r="A1962" s="49" t="s">
        <x:v>8962</x:v>
      </x:c>
      <x:c r="B1962" s="50"/>
    </x:row>
    <x:row r="1963">
      <x:c r="A1963" s="49" t="s">
        <x:v>8967</x:v>
      </x:c>
      <x:c r="B1963" s="50"/>
    </x:row>
    <x:row r="1964">
      <x:c r="A1964" s="49" t="s">
        <x:v>8971</x:v>
      </x:c>
      <x:c r="B1964" s="50"/>
    </x:row>
    <x:row r="1965">
      <x:c r="A1965" s="49" t="s">
        <x:v>8976</x:v>
      </x:c>
      <x:c r="B1965" s="50"/>
    </x:row>
    <x:row r="1966">
      <x:c r="A1966" s="49" t="s">
        <x:v>8980</x:v>
      </x:c>
      <x:c r="B1966" s="50"/>
    </x:row>
    <x:row r="1967">
      <x:c r="A1967" s="49" t="s">
        <x:v>8985</x:v>
      </x:c>
      <x:c r="B1967" s="50"/>
    </x:row>
    <x:row r="1968">
      <x:c r="A1968" s="49" t="s">
        <x:v>8990</x:v>
      </x:c>
      <x:c r="B1968" s="50"/>
    </x:row>
    <x:row r="1969">
      <x:c r="A1969" s="49" t="s">
        <x:v>8994</x:v>
      </x:c>
      <x:c r="B1969" s="50"/>
    </x:row>
    <x:row r="1970">
      <x:c r="A1970" s="49" t="s">
        <x:v>8999</x:v>
      </x:c>
      <x:c r="B1970" s="50"/>
    </x:row>
    <x:row r="1971">
      <x:c r="A1971" s="49" t="s">
        <x:v>9003</x:v>
      </x:c>
      <x:c r="B1971" s="50"/>
    </x:row>
    <x:row r="1972">
      <x:c r="A1972" s="49" t="s">
        <x:v>9008</x:v>
      </x:c>
      <x:c r="B1972" s="50"/>
    </x:row>
    <x:row r="1973">
      <x:c r="A1973" s="49" t="s">
        <x:v>9013</x:v>
      </x:c>
      <x:c r="B1973" s="50"/>
    </x:row>
    <x:row r="1974">
      <x:c r="A1974" s="49" t="s">
        <x:v>9018</x:v>
      </x:c>
      <x:c r="B1974" s="50"/>
    </x:row>
    <x:row r="1975">
      <x:c r="A1975" s="49" t="s">
        <x:v>9022</x:v>
      </x:c>
      <x:c r="B1975" s="50"/>
    </x:row>
    <x:row r="1976">
      <x:c r="A1976" s="49" t="s">
        <x:v>9026</x:v>
      </x:c>
      <x:c r="B1976" s="50"/>
    </x:row>
    <x:row r="1977">
      <x:c r="A1977" s="49" t="s">
        <x:v>9030</x:v>
      </x:c>
      <x:c r="B1977" s="50"/>
    </x:row>
    <x:row r="1978">
      <x:c r="A1978" s="49" t="s">
        <x:v>9034</x:v>
      </x:c>
      <x:c r="B1978" s="50"/>
    </x:row>
    <x:row r="1979">
      <x:c r="A1979" s="49" t="s">
        <x:v>9039</x:v>
      </x:c>
      <x:c r="B1979" s="50"/>
    </x:row>
    <x:row r="1980">
      <x:c r="A1980" s="49" t="s">
        <x:v>9044</x:v>
      </x:c>
      <x:c r="B1980" s="50"/>
    </x:row>
    <x:row r="1981">
      <x:c r="A1981" s="49" t="s">
        <x:v>9049</x:v>
      </x:c>
      <x:c r="B1981" s="50"/>
    </x:row>
    <x:row r="1982">
      <x:c r="A1982" s="49" t="s">
        <x:v>9054</x:v>
      </x:c>
      <x:c r="B1982" s="50"/>
    </x:row>
    <x:row r="1983">
      <x:c r="A1983" s="49" t="s">
        <x:v>9059</x:v>
      </x:c>
      <x:c r="B1983" s="50"/>
    </x:row>
    <x:row r="1984">
      <x:c r="A1984" s="49" t="s">
        <x:v>9064</x:v>
      </x:c>
      <x:c r="B1984" s="50"/>
    </x:row>
    <x:row r="1985">
      <x:c r="A1985" s="49" t="s">
        <x:v>9069</x:v>
      </x:c>
      <x:c r="B1985" s="50"/>
    </x:row>
    <x:row r="1986">
      <x:c r="A1986" s="49" t="s">
        <x:v>9074</x:v>
      </x:c>
      <x:c r="B1986" s="50"/>
    </x:row>
    <x:row r="1987">
      <x:c r="A1987" s="49" t="s">
        <x:v>9079</x:v>
      </x:c>
      <x:c r="B1987" s="50"/>
    </x:row>
    <x:row r="1988">
      <x:c r="A1988" s="49" t="s">
        <x:v>9084</x:v>
      </x:c>
      <x:c r="B1988" s="50"/>
    </x:row>
    <x:row r="1989">
      <x:c r="A1989" s="49" t="s">
        <x:v>9090</x:v>
      </x:c>
      <x:c r="B1989" s="50"/>
    </x:row>
    <x:row r="1990">
      <x:c r="A1990" s="49" t="s">
        <x:v>9094</x:v>
      </x:c>
      <x:c r="B1990" s="50"/>
    </x:row>
    <x:row r="1991">
      <x:c r="A1991" s="49" t="s">
        <x:v>9099</x:v>
      </x:c>
      <x:c r="B1991" s="50"/>
    </x:row>
    <x:row r="1992">
      <x:c r="A1992" s="49" t="s">
        <x:v>9103</x:v>
      </x:c>
      <x:c r="B1992" s="50"/>
    </x:row>
    <x:row r="1993">
      <x:c r="A1993" s="49" t="s">
        <x:v>9107</x:v>
      </x:c>
      <x:c r="B1993" s="50"/>
    </x:row>
    <x:row r="1994">
      <x:c r="A1994" s="49" t="s">
        <x:v>9111</x:v>
      </x:c>
      <x:c r="B1994" s="50"/>
    </x:row>
    <x:row r="1995">
      <x:c r="A1995" s="49" t="s">
        <x:v>9115</x:v>
      </x:c>
      <x:c r="B1995" s="50"/>
    </x:row>
    <x:row r="1996">
      <x:c r="A1996" s="49" t="s">
        <x:v>9120</x:v>
      </x:c>
      <x:c r="B1996" s="50"/>
    </x:row>
    <x:row r="1997">
      <x:c r="A1997" s="49" t="s">
        <x:v>9125</x:v>
      </x:c>
      <x:c r="B1997" s="50"/>
    </x:row>
    <x:row r="1998">
      <x:c r="A1998" s="49" t="s">
        <x:v>9129</x:v>
      </x:c>
      <x:c r="B1998" s="50"/>
    </x:row>
    <x:row r="1999">
      <x:c r="A1999" s="49" t="s">
        <x:v>9134</x:v>
      </x:c>
      <x:c r="B1999" s="50"/>
    </x:row>
    <x:row r="2000">
      <x:c r="A2000" s="49" t="s">
        <x:v>9138</x:v>
      </x:c>
      <x:c r="B2000" s="50"/>
    </x:row>
    <x:row r="2001">
      <x:c r="A2001" s="49" t="s">
        <x:v>9143</x:v>
      </x:c>
      <x:c r="B2001" s="50"/>
    </x:row>
    <x:row r="2002">
      <x:c r="A2002" s="49" t="s">
        <x:v>9148</x:v>
      </x:c>
      <x:c r="B2002" s="50"/>
    </x:row>
    <x:row r="2003">
      <x:c r="A2003" s="49" t="s">
        <x:v>9153</x:v>
      </x:c>
      <x:c r="B2003" s="50"/>
    </x:row>
    <x:row r="2004">
      <x:c r="A2004" s="49" t="s">
        <x:v>9157</x:v>
      </x:c>
      <x:c r="B2004" s="50"/>
    </x:row>
    <x:row r="2005">
      <x:c r="A2005" s="49" t="s">
        <x:v>9162</x:v>
      </x:c>
      <x:c r="B2005" s="50"/>
    </x:row>
    <x:row r="2006">
      <x:c r="A2006" s="49" t="s">
        <x:v>9167</x:v>
      </x:c>
      <x:c r="B2006" s="50"/>
    </x:row>
    <x:row r="2007">
      <x:c r="A2007" s="49" t="s">
        <x:v>9171</x:v>
      </x:c>
      <x:c r="B2007" s="50"/>
    </x:row>
    <x:row r="2008">
      <x:c r="A2008" s="49" t="s">
        <x:v>9176</x:v>
      </x:c>
      <x:c r="B2008" s="50"/>
    </x:row>
    <x:row r="2009">
      <x:c r="A2009" s="49" t="s">
        <x:v>9181</x:v>
      </x:c>
      <x:c r="B2009" s="50"/>
    </x:row>
    <x:row r="2010">
      <x:c r="A2010" s="49" t="s">
        <x:v>9186</x:v>
      </x:c>
      <x:c r="B2010" s="50"/>
    </x:row>
    <x:row r="2011">
      <x:c r="A2011" s="49" t="s">
        <x:v>9191</x:v>
      </x:c>
      <x:c r="B2011" s="50"/>
    </x:row>
    <x:row r="2012">
      <x:c r="A2012" s="49" t="s">
        <x:v>9196</x:v>
      </x:c>
      <x:c r="B2012" s="50"/>
    </x:row>
    <x:row r="2013">
      <x:c r="A2013" s="49" t="s">
        <x:v>9201</x:v>
      </x:c>
      <x:c r="B2013" s="50"/>
    </x:row>
    <x:row r="2014">
      <x:c r="A2014" s="49" t="s">
        <x:v>9206</x:v>
      </x:c>
      <x:c r="B2014" s="50"/>
    </x:row>
    <x:row r="2015">
      <x:c r="A2015" s="49" t="s">
        <x:v>9211</x:v>
      </x:c>
      <x:c r="B2015" s="50"/>
    </x:row>
    <x:row r="2016">
      <x:c r="A2016" s="49" t="s">
        <x:v>9216</x:v>
      </x:c>
      <x:c r="B2016" s="50"/>
    </x:row>
    <x:row r="2017">
      <x:c r="A2017" s="49" t="s">
        <x:v>9221</x:v>
      </x:c>
      <x:c r="B2017" s="50"/>
    </x:row>
    <x:row r="2018">
      <x:c r="A2018" s="49" t="s">
        <x:v>9225</x:v>
      </x:c>
      <x:c r="B2018" s="50"/>
    </x:row>
    <x:row r="2019">
      <x:c r="A2019" s="49" t="s">
        <x:v>9229</x:v>
      </x:c>
      <x:c r="B2019" s="50"/>
    </x:row>
    <x:row r="2020">
      <x:c r="A2020" s="49" t="s">
        <x:v>9234</x:v>
      </x:c>
      <x:c r="B2020" s="50"/>
    </x:row>
    <x:row r="2021">
      <x:c r="A2021" s="49" t="s">
        <x:v>9239</x:v>
      </x:c>
      <x:c r="B2021" s="50"/>
    </x:row>
    <x:row r="2022">
      <x:c r="A2022" s="49" t="s">
        <x:v>9244</x:v>
      </x:c>
      <x:c r="B2022" s="50"/>
    </x:row>
    <x:row r="2023">
      <x:c r="A2023" s="49" t="s">
        <x:v>9249</x:v>
      </x:c>
      <x:c r="B2023" s="50"/>
    </x:row>
    <x:row r="2024">
      <x:c r="A2024" s="49" t="s">
        <x:v>9253</x:v>
      </x:c>
      <x:c r="B2024" s="50"/>
    </x:row>
    <x:row r="2025">
      <x:c r="A2025" s="49" t="s">
        <x:v>9258</x:v>
      </x:c>
      <x:c r="B2025" s="50"/>
    </x:row>
    <x:row r="2026">
      <x:c r="A2026" s="49" t="s">
        <x:v>9263</x:v>
      </x:c>
      <x:c r="B2026" s="50"/>
    </x:row>
    <x:row r="2027">
      <x:c r="A2027" s="49" t="s">
        <x:v>9268</x:v>
      </x:c>
      <x:c r="B2027" s="50"/>
    </x:row>
    <x:row r="2028">
      <x:c r="A2028" s="49" t="s">
        <x:v>9273</x:v>
      </x:c>
      <x:c r="B2028" s="50"/>
    </x:row>
    <x:row r="2029">
      <x:c r="A2029" s="49" t="s">
        <x:v>9277</x:v>
      </x:c>
      <x:c r="B2029" s="50"/>
    </x:row>
    <x:row r="2030">
      <x:c r="A2030" s="49" t="s">
        <x:v>9282</x:v>
      </x:c>
      <x:c r="B2030" s="50"/>
    </x:row>
    <x:row r="2031">
      <x:c r="A2031" s="49" t="s">
        <x:v>9287</x:v>
      </x:c>
      <x:c r="B2031" s="50"/>
    </x:row>
    <x:row r="2032">
      <x:c r="A2032" s="49" t="s">
        <x:v>9291</x:v>
      </x:c>
      <x:c r="B2032" s="50"/>
    </x:row>
    <x:row r="2033">
      <x:c r="A2033" s="49" t="s">
        <x:v>9295</x:v>
      </x:c>
      <x:c r="B2033" s="50"/>
    </x:row>
    <x:row r="2034">
      <x:c r="A2034" s="49" t="s">
        <x:v>9299</x:v>
      </x:c>
      <x:c r="B2034" s="50"/>
    </x:row>
    <x:row r="2035">
      <x:c r="A2035" s="49" t="s">
        <x:v>9304</x:v>
      </x:c>
      <x:c r="B2035" s="50"/>
    </x:row>
    <x:row r="2036">
      <x:c r="A2036" s="49" t="s">
        <x:v>9309</x:v>
      </x:c>
      <x:c r="B2036" s="50"/>
    </x:row>
    <x:row r="2037">
      <x:c r="A2037" s="49" t="s">
        <x:v>9314</x:v>
      </x:c>
      <x:c r="B2037" s="50"/>
    </x:row>
    <x:row r="2038">
      <x:c r="A2038" s="49" t="s">
        <x:v>9318</x:v>
      </x:c>
      <x:c r="B2038" s="50"/>
    </x:row>
    <x:row r="2039">
      <x:c r="A2039" s="49" t="s">
        <x:v>9323</x:v>
      </x:c>
      <x:c r="B2039" s="50"/>
    </x:row>
    <x:row r="2040">
      <x:c r="A2040" s="49" t="s">
        <x:v>9327</x:v>
      </x:c>
      <x:c r="B2040" s="50"/>
    </x:row>
    <x:row r="2041">
      <x:c r="A2041" s="49" t="s">
        <x:v>9331</x:v>
      </x:c>
      <x:c r="B2041" s="50"/>
    </x:row>
    <x:row r="2042">
      <x:c r="A2042" s="49" t="s">
        <x:v>9335</x:v>
      </x:c>
      <x:c r="B2042" s="50"/>
    </x:row>
    <x:row r="2043">
      <x:c r="A2043" s="49" t="s">
        <x:v>9339</x:v>
      </x:c>
      <x:c r="B2043" s="50"/>
    </x:row>
    <x:row r="2044">
      <x:c r="A2044" s="49" t="s">
        <x:v>9343</x:v>
      </x:c>
      <x:c r="B2044" s="50"/>
    </x:row>
    <x:row r="2045">
      <x:c r="A2045" s="49" t="s">
        <x:v>9347</x:v>
      </x:c>
      <x:c r="B2045" s="50"/>
    </x:row>
    <x:row r="2046">
      <x:c r="A2046" s="49" t="s">
        <x:v>9351</x:v>
      </x:c>
      <x:c r="B2046" s="50"/>
    </x:row>
    <x:row r="2047">
      <x:c r="A2047" s="49" t="s">
        <x:v>9356</x:v>
      </x:c>
      <x:c r="B2047" s="50"/>
    </x:row>
    <x:row r="2048">
      <x:c r="A2048" s="49" t="s">
        <x:v>9361</x:v>
      </x:c>
      <x:c r="B2048" s="50"/>
    </x:row>
    <x:row r="2049">
      <x:c r="A2049" s="49" t="s">
        <x:v>9366</x:v>
      </x:c>
      <x:c r="B2049" s="50"/>
    </x:row>
    <x:row r="2050">
      <x:c r="A2050" s="49" t="s">
        <x:v>9370</x:v>
      </x:c>
      <x:c r="B2050" s="50"/>
    </x:row>
    <x:row r="2051">
      <x:c r="A2051" s="49" t="s">
        <x:v>9375</x:v>
      </x:c>
      <x:c r="B2051" s="50"/>
    </x:row>
    <x:row r="2052">
      <x:c r="A2052" s="49" t="s">
        <x:v>9380</x:v>
      </x:c>
      <x:c r="B2052" s="50"/>
    </x:row>
    <x:row r="2053">
      <x:c r="A2053" s="49" t="s">
        <x:v>9385</x:v>
      </x:c>
      <x:c r="B2053" s="50"/>
    </x:row>
    <x:row r="2054">
      <x:c r="A2054" s="49" t="s">
        <x:v>9389</x:v>
      </x:c>
      <x:c r="B2054" s="50"/>
    </x:row>
    <x:row r="2055">
      <x:c r="A2055" s="49" t="s">
        <x:v>9393</x:v>
      </x:c>
      <x:c r="B2055" s="50"/>
    </x:row>
    <x:row r="2056">
      <x:c r="A2056" s="49" t="s">
        <x:v>9398</x:v>
      </x:c>
      <x:c r="B2056" s="50"/>
    </x:row>
    <x:row r="2057">
      <x:c r="A2057" s="49" t="s">
        <x:v>9402</x:v>
      </x:c>
      <x:c r="B2057" s="50"/>
    </x:row>
    <x:row r="2058">
      <x:c r="A2058" s="49" t="s">
        <x:v>9406</x:v>
      </x:c>
      <x:c r="B2058" s="50"/>
    </x:row>
    <x:row r="2059">
      <x:c r="A2059" s="49" t="s">
        <x:v>9410</x:v>
      </x:c>
      <x:c r="B2059" s="50"/>
    </x:row>
    <x:row r="2060">
      <x:c r="A2060" s="49" t="s">
        <x:v>9415</x:v>
      </x:c>
      <x:c r="B2060" s="50"/>
    </x:row>
    <x:row r="2061">
      <x:c r="A2061" s="49" t="s">
        <x:v>9419</x:v>
      </x:c>
      <x:c r="B2061" s="50"/>
    </x:row>
    <x:row r="2062">
      <x:c r="A2062" s="49" t="s">
        <x:v>9423</x:v>
      </x:c>
      <x:c r="B2062" s="50"/>
    </x:row>
    <x:row r="2063">
      <x:c r="A2063" s="49" t="s">
        <x:v>9428</x:v>
      </x:c>
      <x:c r="B2063" s="50"/>
    </x:row>
    <x:row r="2064">
      <x:c r="A2064" s="49" t="s">
        <x:v>9432</x:v>
      </x:c>
      <x:c r="B2064" s="50"/>
    </x:row>
    <x:row r="2065">
      <x:c r="A2065" s="49" t="s">
        <x:v>9436</x:v>
      </x:c>
      <x:c r="B2065" s="50"/>
    </x:row>
    <x:row r="2066">
      <x:c r="A2066" s="49" t="s">
        <x:v>9440</x:v>
      </x:c>
      <x:c r="B2066" s="50"/>
    </x:row>
    <x:row r="2067">
      <x:c r="A2067" s="49" t="s">
        <x:v>9444</x:v>
      </x:c>
      <x:c r="B2067" s="50"/>
    </x:row>
    <x:row r="2068">
      <x:c r="A2068" s="49" t="s">
        <x:v>9448</x:v>
      </x:c>
      <x:c r="B2068" s="50"/>
    </x:row>
    <x:row r="2069">
      <x:c r="A2069" s="49" t="s">
        <x:v>9452</x:v>
      </x:c>
      <x:c r="B2069" s="50"/>
    </x:row>
    <x:row r="2070">
      <x:c r="A2070" s="49" t="s">
        <x:v>9457</x:v>
      </x:c>
      <x:c r="B2070" s="50"/>
    </x:row>
    <x:row r="2071">
      <x:c r="A2071" s="49" t="s">
        <x:v>9461</x:v>
      </x:c>
      <x:c r="B2071" s="50"/>
    </x:row>
    <x:row r="2072">
      <x:c r="A2072" s="49" t="s">
        <x:v>9465</x:v>
      </x:c>
      <x:c r="B2072" s="50"/>
    </x:row>
    <x:row r="2073">
      <x:c r="A2073" s="49" t="s">
        <x:v>9470</x:v>
      </x:c>
      <x:c r="B2073" s="50"/>
    </x:row>
    <x:row r="2074">
      <x:c r="A2074" s="49" t="s">
        <x:v>9475</x:v>
      </x:c>
      <x:c r="B2074" s="50"/>
    </x:row>
    <x:row r="2075">
      <x:c r="A2075" s="49" t="s">
        <x:v>9479</x:v>
      </x:c>
      <x:c r="B2075" s="50"/>
    </x:row>
    <x:row r="2076">
      <x:c r="A2076" s="49" t="s">
        <x:v>9484</x:v>
      </x:c>
      <x:c r="B2076" s="50"/>
    </x:row>
    <x:row r="2077">
      <x:c r="A2077" s="49" t="s">
        <x:v>9488</x:v>
      </x:c>
      <x:c r="B2077" s="50"/>
    </x:row>
    <x:row r="2078">
      <x:c r="A2078" s="49" t="s">
        <x:v>9493</x:v>
      </x:c>
      <x:c r="B2078" s="50"/>
    </x:row>
    <x:row r="2079">
      <x:c r="A2079" s="49" t="s">
        <x:v>9498</x:v>
      </x:c>
      <x:c r="B2079" s="50"/>
    </x:row>
    <x:row r="2080">
      <x:c r="A2080" s="49" t="s">
        <x:v>9503</x:v>
      </x:c>
      <x:c r="B2080" s="50"/>
    </x:row>
    <x:row r="2081">
      <x:c r="A2081" s="49" t="s">
        <x:v>9507</x:v>
      </x:c>
      <x:c r="B2081" s="50"/>
    </x:row>
    <x:row r="2082">
      <x:c r="A2082" s="49" t="s">
        <x:v>9511</x:v>
      </x:c>
      <x:c r="B2082" s="50"/>
    </x:row>
    <x:row r="2083">
      <x:c r="A2083" s="49" t="s">
        <x:v>9516</x:v>
      </x:c>
      <x:c r="B2083" s="50"/>
    </x:row>
    <x:row r="2084">
      <x:c r="A2084" s="49" t="s">
        <x:v>9521</x:v>
      </x:c>
      <x:c r="B2084" s="50"/>
    </x:row>
    <x:row r="2085">
      <x:c r="A2085" s="49" t="s">
        <x:v>9525</x:v>
      </x:c>
      <x:c r="B2085" s="50"/>
    </x:row>
    <x:row r="2086">
      <x:c r="A2086" s="49" t="s">
        <x:v>9529</x:v>
      </x:c>
      <x:c r="B2086" s="50"/>
    </x:row>
    <x:row r="2087">
      <x:c r="A2087" s="49" t="s">
        <x:v>9533</x:v>
      </x:c>
      <x:c r="B2087" s="50"/>
    </x:row>
    <x:row r="2088">
      <x:c r="A2088" s="49" t="s">
        <x:v>9538</x:v>
      </x:c>
      <x:c r="B2088" s="50"/>
    </x:row>
    <x:row r="2089">
      <x:c r="A2089" s="49" t="s">
        <x:v>9542</x:v>
      </x:c>
      <x:c r="B2089" s="50"/>
    </x:row>
    <x:row r="2090">
      <x:c r="A2090" s="49" t="s">
        <x:v>9547</x:v>
      </x:c>
      <x:c r="B2090" s="50"/>
    </x:row>
    <x:row r="2091">
      <x:c r="A2091" s="49" t="s">
        <x:v>9552</x:v>
      </x:c>
      <x:c r="B2091" s="50"/>
    </x:row>
    <x:row r="2092">
      <x:c r="A2092" s="49" t="s">
        <x:v>9556</x:v>
      </x:c>
      <x:c r="B2092" s="50"/>
    </x:row>
    <x:row r="2093">
      <x:c r="A2093" s="49" t="s">
        <x:v>9561</x:v>
      </x:c>
      <x:c r="B2093" s="50"/>
    </x:row>
    <x:row r="2094">
      <x:c r="A2094" s="49" t="s">
        <x:v>9566</x:v>
      </x:c>
      <x:c r="B2094" s="50"/>
    </x:row>
    <x:row r="2095">
      <x:c r="A2095" s="49" t="s">
        <x:v>9571</x:v>
      </x:c>
      <x:c r="B2095" s="50"/>
    </x:row>
    <x:row r="2096">
      <x:c r="A2096" s="49" t="s">
        <x:v>9575</x:v>
      </x:c>
      <x:c r="B2096" s="50"/>
    </x:row>
    <x:row r="2097">
      <x:c r="A2097" s="49" t="s">
        <x:v>9580</x:v>
      </x:c>
      <x:c r="B2097" s="50"/>
    </x:row>
    <x:row r="2098">
      <x:c r="A2098" s="49" t="s">
        <x:v>9584</x:v>
      </x:c>
      <x:c r="B2098" s="50"/>
    </x:row>
    <x:row r="2099">
      <x:c r="A2099" s="49" t="s">
        <x:v>9589</x:v>
      </x:c>
      <x:c r="B2099" s="50"/>
    </x:row>
    <x:row r="2100">
      <x:c r="A2100" s="49" t="s">
        <x:v>9594</x:v>
      </x:c>
      <x:c r="B2100" s="50"/>
    </x:row>
    <x:row r="2101">
      <x:c r="A2101" s="49" t="s">
        <x:v>9598</x:v>
      </x:c>
      <x:c r="B2101" s="50"/>
    </x:row>
    <x:row r="2102">
      <x:c r="A2102" s="49" t="s">
        <x:v>9602</x:v>
      </x:c>
      <x:c r="B2102" s="50"/>
    </x:row>
    <x:row r="2103">
      <x:c r="A2103" s="49" t="s">
        <x:v>9607</x:v>
      </x:c>
      <x:c r="B2103" s="50"/>
    </x:row>
    <x:row r="2104">
      <x:c r="A2104" s="49" t="s">
        <x:v>9612</x:v>
      </x:c>
      <x:c r="B2104" s="50"/>
    </x:row>
    <x:row r="2105">
      <x:c r="A2105" s="49" t="s">
        <x:v>9616</x:v>
      </x:c>
      <x:c r="B2105" s="50"/>
    </x:row>
    <x:row r="2106">
      <x:c r="A2106" s="49" t="s">
        <x:v>9621</x:v>
      </x:c>
      <x:c r="B2106" s="50"/>
    </x:row>
    <x:row r="2107">
      <x:c r="A2107" s="49" t="s">
        <x:v>9625</x:v>
      </x:c>
      <x:c r="B2107" s="50"/>
    </x:row>
    <x:row r="2108">
      <x:c r="A2108" s="49" t="s">
        <x:v>9629</x:v>
      </x:c>
      <x:c r="B2108" s="50"/>
    </x:row>
    <x:row r="2109">
      <x:c r="A2109" s="49" t="s">
        <x:v>9634</x:v>
      </x:c>
      <x:c r="B2109" s="50"/>
    </x:row>
    <x:row r="2110">
      <x:c r="A2110" s="49" t="s">
        <x:v>9639</x:v>
      </x:c>
      <x:c r="B2110" s="50"/>
    </x:row>
    <x:row r="2111">
      <x:c r="A2111" s="49" t="s">
        <x:v>9644</x:v>
      </x:c>
      <x:c r="B2111" s="50"/>
    </x:row>
    <x:row r="2112">
      <x:c r="A2112" s="49" t="s">
        <x:v>9649</x:v>
      </x:c>
      <x:c r="B2112" s="50"/>
    </x:row>
    <x:row r="2113">
      <x:c r="A2113" s="49" t="s">
        <x:v>9654</x:v>
      </x:c>
      <x:c r="B2113" s="50"/>
    </x:row>
    <x:row r="2114">
      <x:c r="A2114" s="49" t="s">
        <x:v>9658</x:v>
      </x:c>
      <x:c r="B2114" s="50"/>
    </x:row>
    <x:row r="2115">
      <x:c r="A2115" s="49" t="s">
        <x:v>9663</x:v>
      </x:c>
      <x:c r="B2115" s="50"/>
    </x:row>
    <x:row r="2116">
      <x:c r="A2116" s="49" t="s">
        <x:v>9667</x:v>
      </x:c>
      <x:c r="B2116" s="50"/>
    </x:row>
    <x:row r="2117">
      <x:c r="A2117" s="49" t="s">
        <x:v>9672</x:v>
      </x:c>
      <x:c r="B2117" s="50"/>
    </x:row>
    <x:row r="2118">
      <x:c r="A2118" s="49" t="s">
        <x:v>9677</x:v>
      </x:c>
      <x:c r="B2118" s="50"/>
    </x:row>
    <x:row r="2119">
      <x:c r="A2119" s="49" t="s">
        <x:v>9682</x:v>
      </x:c>
      <x:c r="B2119" s="50"/>
    </x:row>
    <x:row r="2120">
      <x:c r="A2120" s="49" t="s">
        <x:v>9686</x:v>
      </x:c>
      <x:c r="B2120" s="50"/>
    </x:row>
    <x:row r="2121">
      <x:c r="A2121" s="49" t="s">
        <x:v>9690</x:v>
      </x:c>
      <x:c r="B2121" s="50"/>
    </x:row>
    <x:row r="2122">
      <x:c r="A2122" s="49" t="s">
        <x:v>9694</x:v>
      </x:c>
      <x:c r="B2122" s="50"/>
    </x:row>
    <x:row r="2123">
      <x:c r="A2123" s="49" t="s">
        <x:v>9698</x:v>
      </x:c>
      <x:c r="B2123" s="50"/>
    </x:row>
    <x:row r="2124">
      <x:c r="A2124" s="49" t="s">
        <x:v>9703</x:v>
      </x:c>
      <x:c r="B2124" s="50"/>
    </x:row>
    <x:row r="2125">
      <x:c r="A2125" s="49" t="s">
        <x:v>9708</x:v>
      </x:c>
      <x:c r="B2125" s="50"/>
    </x:row>
    <x:row r="2126">
      <x:c r="A2126" s="49" t="s">
        <x:v>9712</x:v>
      </x:c>
      <x:c r="B2126" s="50"/>
    </x:row>
    <x:row r="2127">
      <x:c r="A2127" s="49" t="s">
        <x:v>9717</x:v>
      </x:c>
      <x:c r="B2127" s="50"/>
    </x:row>
    <x:row r="2128">
      <x:c r="A2128" s="49" t="s">
        <x:v>9722</x:v>
      </x:c>
      <x:c r="B2128" s="50"/>
    </x:row>
    <x:row r="2129">
      <x:c r="A2129" s="49" t="s">
        <x:v>9726</x:v>
      </x:c>
      <x:c r="B2129" s="50"/>
    </x:row>
    <x:row r="2130">
      <x:c r="A2130" s="49" t="s">
        <x:v>9730</x:v>
      </x:c>
      <x:c r="B2130" s="50"/>
    </x:row>
    <x:row r="2131">
      <x:c r="A2131" s="49" t="s">
        <x:v>9734</x:v>
      </x:c>
      <x:c r="B2131" s="50"/>
    </x:row>
    <x:row r="2132">
      <x:c r="A2132" s="49" t="s">
        <x:v>9739</x:v>
      </x:c>
      <x:c r="B2132" s="50"/>
    </x:row>
    <x:row r="2133">
      <x:c r="A2133" s="49" t="s">
        <x:v>9744</x:v>
      </x:c>
      <x:c r="B2133" s="50"/>
    </x:row>
    <x:row r="2134">
      <x:c r="A2134" s="49" t="s">
        <x:v>9748</x:v>
      </x:c>
      <x:c r="B2134" s="50"/>
    </x:row>
    <x:row r="2135">
      <x:c r="A2135" s="49" t="s">
        <x:v>9752</x:v>
      </x:c>
      <x:c r="B2135" s="50"/>
    </x:row>
    <x:row r="2136">
      <x:c r="A2136" s="49" t="s">
        <x:v>9757</x:v>
      </x:c>
      <x:c r="B2136" s="50"/>
    </x:row>
    <x:row r="2137">
      <x:c r="A2137" s="49" t="s">
        <x:v>9762</x:v>
      </x:c>
      <x:c r="B2137" s="50"/>
    </x:row>
    <x:row r="2138">
      <x:c r="A2138" s="49" t="s">
        <x:v>9766</x:v>
      </x:c>
      <x:c r="B2138" s="50"/>
    </x:row>
    <x:row r="2139">
      <x:c r="A2139" s="49" t="s">
        <x:v>9770</x:v>
      </x:c>
      <x:c r="B2139" s="50"/>
    </x:row>
    <x:row r="2140">
      <x:c r="A2140" s="49" t="s">
        <x:v>9774</x:v>
      </x:c>
      <x:c r="B2140" s="50"/>
    </x:row>
    <x:row r="2141">
      <x:c r="A2141" s="49" t="s">
        <x:v>9778</x:v>
      </x:c>
      <x:c r="B2141" s="50"/>
    </x:row>
    <x:row r="2142">
      <x:c r="A2142" s="49" t="s">
        <x:v>9782</x:v>
      </x:c>
      <x:c r="B2142" s="50"/>
    </x:row>
    <x:row r="2143">
      <x:c r="A2143" s="49" t="s">
        <x:v>9787</x:v>
      </x:c>
      <x:c r="B2143" s="50"/>
    </x:row>
    <x:row r="2144">
      <x:c r="A2144" s="49" t="s">
        <x:v>9791</x:v>
      </x:c>
      <x:c r="B2144" s="50"/>
    </x:row>
    <x:row r="2145">
      <x:c r="A2145" s="49" t="s">
        <x:v>9795</x:v>
      </x:c>
      <x:c r="B2145" s="50"/>
    </x:row>
    <x:row r="2146">
      <x:c r="A2146" s="49" t="s">
        <x:v>9800</x:v>
      </x:c>
      <x:c r="B2146" s="50"/>
    </x:row>
    <x:row r="2147">
      <x:c r="A2147" s="49" t="s">
        <x:v>9804</x:v>
      </x:c>
      <x:c r="B2147" s="50"/>
    </x:row>
    <x:row r="2148">
      <x:c r="A2148" s="49" t="s">
        <x:v>9808</x:v>
      </x:c>
      <x:c r="B2148" s="50"/>
    </x:row>
    <x:row r="2149">
      <x:c r="A2149" s="49" t="s">
        <x:v>9813</x:v>
      </x:c>
      <x:c r="B2149" s="50"/>
    </x:row>
    <x:row r="2150">
      <x:c r="A2150" s="49" t="s">
        <x:v>9818</x:v>
      </x:c>
      <x:c r="B2150" s="50"/>
    </x:row>
    <x:row r="2151">
      <x:c r="A2151" s="49" t="s">
        <x:v>9823</x:v>
      </x:c>
      <x:c r="B2151" s="50"/>
    </x:row>
    <x:row r="2152">
      <x:c r="A2152" s="49" t="s">
        <x:v>9827</x:v>
      </x:c>
      <x:c r="B2152" s="50"/>
    </x:row>
    <x:row r="2153">
      <x:c r="A2153" s="49" t="s">
        <x:v>9831</x:v>
      </x:c>
      <x:c r="B2153" s="50"/>
    </x:row>
    <x:row r="2154">
      <x:c r="A2154" s="49" t="s">
        <x:v>9835</x:v>
      </x:c>
      <x:c r="B2154" s="50"/>
    </x:row>
    <x:row r="2155">
      <x:c r="A2155" s="49" t="s">
        <x:v>9840</x:v>
      </x:c>
      <x:c r="B2155" s="50"/>
    </x:row>
    <x:row r="2156">
      <x:c r="A2156" s="49" t="s">
        <x:v>9844</x:v>
      </x:c>
      <x:c r="B2156" s="50"/>
    </x:row>
    <x:row r="2157">
      <x:c r="A2157" s="49" t="s">
        <x:v>9848</x:v>
      </x:c>
      <x:c r="B2157" s="50"/>
    </x:row>
    <x:row r="2158">
      <x:c r="A2158" s="49" t="s">
        <x:v>9852</x:v>
      </x:c>
      <x:c r="B2158" s="50"/>
    </x:row>
    <x:row r="2159">
      <x:c r="A2159" s="49" t="s">
        <x:v>9857</x:v>
      </x:c>
      <x:c r="B2159" s="50"/>
    </x:row>
    <x:row r="2160">
      <x:c r="A2160" s="49" t="s">
        <x:v>9862</x:v>
      </x:c>
      <x:c r="B2160" s="50"/>
    </x:row>
    <x:row r="2161">
      <x:c r="A2161" s="49" t="s">
        <x:v>9866</x:v>
      </x:c>
      <x:c r="B2161" s="50"/>
    </x:row>
    <x:row r="2162">
      <x:c r="A2162" s="49" t="s">
        <x:v>9870</x:v>
      </x:c>
      <x:c r="B2162" s="50"/>
    </x:row>
    <x:row r="2163">
      <x:c r="A2163" s="49" t="s">
        <x:v>9875</x:v>
      </x:c>
      <x:c r="B2163" s="50"/>
    </x:row>
    <x:row r="2164">
      <x:c r="A2164" s="49" t="s">
        <x:v>9880</x:v>
      </x:c>
      <x:c r="B2164" s="50"/>
    </x:row>
    <x:row r="2165">
      <x:c r="A2165" s="49" t="s">
        <x:v>9885</x:v>
      </x:c>
      <x:c r="B2165" s="50"/>
    </x:row>
    <x:row r="2166">
      <x:c r="A2166" s="49" t="s">
        <x:v>9890</x:v>
      </x:c>
      <x:c r="B2166" s="50"/>
    </x:row>
    <x:row r="2167">
      <x:c r="A2167" s="49" t="s">
        <x:v>9895</x:v>
      </x:c>
      <x:c r="B2167" s="50"/>
    </x:row>
    <x:row r="2168">
      <x:c r="A2168" s="49" t="s">
        <x:v>9899</x:v>
      </x:c>
      <x:c r="B2168" s="50"/>
    </x:row>
    <x:row r="2169">
      <x:c r="A2169" s="49" t="s">
        <x:v>9904</x:v>
      </x:c>
      <x:c r="B2169" s="50"/>
    </x:row>
    <x:row r="2170">
      <x:c r="A2170" s="49" t="s">
        <x:v>9909</x:v>
      </x:c>
      <x:c r="B2170" s="50"/>
    </x:row>
    <x:row r="2171">
      <x:c r="A2171" s="49" t="s">
        <x:v>9914</x:v>
      </x:c>
      <x:c r="B2171" s="50"/>
    </x:row>
    <x:row r="2172">
      <x:c r="A2172" s="49" t="s">
        <x:v>9919</x:v>
      </x:c>
      <x:c r="B2172" s="50"/>
    </x:row>
    <x:row r="2173">
      <x:c r="A2173" s="49" t="s">
        <x:v>9923</x:v>
      </x:c>
      <x:c r="B2173" s="50"/>
    </x:row>
    <x:row r="2174">
      <x:c r="A2174" s="49" t="s">
        <x:v>9927</x:v>
      </x:c>
      <x:c r="B2174" s="50"/>
    </x:row>
    <x:row r="2175">
      <x:c r="A2175" s="49" t="s">
        <x:v>9931</x:v>
      </x:c>
      <x:c r="B2175" s="50"/>
    </x:row>
    <x:row r="2176">
      <x:c r="A2176" s="49" t="s">
        <x:v>9936</x:v>
      </x:c>
      <x:c r="B2176" s="50"/>
    </x:row>
    <x:row r="2177">
      <x:c r="A2177" s="49" t="s">
        <x:v>9941</x:v>
      </x:c>
      <x:c r="B2177" s="50"/>
    </x:row>
    <x:row r="2178">
      <x:c r="A2178" s="49" t="s">
        <x:v>9945</x:v>
      </x:c>
      <x:c r="B2178" s="50"/>
    </x:row>
    <x:row r="2179">
      <x:c r="A2179" s="49" t="s">
        <x:v>9950</x:v>
      </x:c>
      <x:c r="B2179" s="50"/>
    </x:row>
    <x:row r="2180">
      <x:c r="A2180" s="49" t="s">
        <x:v>9955</x:v>
      </x:c>
      <x:c r="B2180" s="50"/>
    </x:row>
    <x:row r="2181">
      <x:c r="A2181" s="49" t="s">
        <x:v>9960</x:v>
      </x:c>
      <x:c r="B2181" s="50"/>
    </x:row>
    <x:row r="2182">
      <x:c r="A2182" s="49" t="s">
        <x:v>9965</x:v>
      </x:c>
      <x:c r="B2182" s="50"/>
    </x:row>
    <x:row r="2183">
      <x:c r="A2183" s="49" t="s">
        <x:v>9969</x:v>
      </x:c>
      <x:c r="B2183" s="50"/>
    </x:row>
    <x:row r="2184">
      <x:c r="A2184" s="49" t="s">
        <x:v>9974</x:v>
      </x:c>
      <x:c r="B2184" s="50"/>
    </x:row>
    <x:row r="2185">
      <x:c r="A2185" s="49" t="s">
        <x:v>9978</x:v>
      </x:c>
      <x:c r="B2185" s="50"/>
    </x:row>
    <x:row r="2186">
      <x:c r="A2186" s="49" t="s">
        <x:v>9982</x:v>
      </x:c>
      <x:c r="B2186" s="50"/>
    </x:row>
    <x:row r="2187">
      <x:c r="A2187" s="49" t="s">
        <x:v>9986</x:v>
      </x:c>
      <x:c r="B2187" s="50"/>
    </x:row>
    <x:row r="2188">
      <x:c r="A2188" s="49" t="s">
        <x:v>9990</x:v>
      </x:c>
      <x:c r="B2188" s="50"/>
    </x:row>
    <x:row r="2189">
      <x:c r="A2189" s="49" t="s">
        <x:v>9995</x:v>
      </x:c>
      <x:c r="B2189" s="50"/>
    </x:row>
    <x:row r="2190">
      <x:c r="A2190" s="49" t="s">
        <x:v>47</x:v>
      </x:c>
      <x:c r="B2190" s="50"/>
    </x:row>
    <x:row r="2191">
      <x:c r="A2191" s="49" t="s">
        <x:v>10002</x:v>
      </x:c>
      <x:c r="B2191" s="50"/>
    </x:row>
    <x:row r="2192">
      <x:c r="A2192" s="49" t="s">
        <x:v>10006</x:v>
      </x:c>
      <x:c r="B2192" s="50"/>
    </x:row>
    <x:row r="2193">
      <x:c r="A2193" s="49" t="s">
        <x:v>10010</x:v>
      </x:c>
      <x:c r="B2193" s="50"/>
    </x:row>
    <x:row r="2194">
      <x:c r="A2194" s="49" t="s">
        <x:v>10014</x:v>
      </x:c>
      <x:c r="B2194" s="50"/>
    </x:row>
    <x:row r="2195">
      <x:c r="A2195" s="49" t="s">
        <x:v>10019</x:v>
      </x:c>
      <x:c r="B2195" s="50"/>
    </x:row>
    <x:row r="2196">
      <x:c r="A2196" s="49" t="s">
        <x:v>10023</x:v>
      </x:c>
      <x:c r="B2196" s="50"/>
    </x:row>
    <x:row r="2197">
      <x:c r="A2197" s="49" t="s">
        <x:v>10028</x:v>
      </x:c>
      <x:c r="B2197" s="50"/>
    </x:row>
    <x:row r="2198">
      <x:c r="A2198" s="49" t="s">
        <x:v>10032</x:v>
      </x:c>
      <x:c r="B2198" s="50"/>
    </x:row>
    <x:row r="2199">
      <x:c r="A2199" s="49" t="s">
        <x:v>10036</x:v>
      </x:c>
      <x:c r="B2199" s="50"/>
    </x:row>
    <x:row r="2200">
      <x:c r="A2200" s="49" t="s">
        <x:v>10040</x:v>
      </x:c>
      <x:c r="B2200" s="50"/>
    </x:row>
    <x:row r="2201">
      <x:c r="A2201" s="49" t="s">
        <x:v>10044</x:v>
      </x:c>
      <x:c r="B2201" s="50"/>
    </x:row>
    <x:row r="2202">
      <x:c r="A2202" s="49" t="s">
        <x:v>10049</x:v>
      </x:c>
      <x:c r="B2202" s="50"/>
    </x:row>
    <x:row r="2203">
      <x:c r="A2203" s="49" t="s">
        <x:v>10053</x:v>
      </x:c>
      <x:c r="B2203" s="50"/>
    </x:row>
    <x:row r="2204">
      <x:c r="A2204" s="49" t="s">
        <x:v>10057</x:v>
      </x:c>
      <x:c r="B2204" s="50"/>
    </x:row>
    <x:row r="2205">
      <x:c r="A2205" s="49" t="s">
        <x:v>10061</x:v>
      </x:c>
      <x:c r="B2205" s="50"/>
    </x:row>
    <x:row r="2206">
      <x:c r="A2206" s="49" t="s">
        <x:v>10065</x:v>
      </x:c>
      <x:c r="B2206" s="50"/>
    </x:row>
    <x:row r="2207">
      <x:c r="A2207" s="49" t="s">
        <x:v>10070</x:v>
      </x:c>
      <x:c r="B2207" s="50"/>
    </x:row>
    <x:row r="2208">
      <x:c r="A2208" s="49" t="s">
        <x:v>10074</x:v>
      </x:c>
      <x:c r="B2208" s="50"/>
    </x:row>
    <x:row r="2209">
      <x:c r="A2209" s="49" t="s">
        <x:v>10078</x:v>
      </x:c>
      <x:c r="B2209" s="50"/>
    </x:row>
    <x:row r="2210">
      <x:c r="A2210" s="49" t="s">
        <x:v>10082</x:v>
      </x:c>
      <x:c r="B2210" s="50"/>
    </x:row>
    <x:row r="2211">
      <x:c r="A2211" s="49" t="s">
        <x:v>10087</x:v>
      </x:c>
      <x:c r="B2211" s="50"/>
    </x:row>
    <x:row r="2212">
      <x:c r="A2212" s="49" t="s">
        <x:v>10092</x:v>
      </x:c>
      <x:c r="B2212" s="50"/>
    </x:row>
    <x:row r="2213">
      <x:c r="A2213" s="49" t="s">
        <x:v>10097</x:v>
      </x:c>
      <x:c r="B2213" s="50"/>
    </x:row>
    <x:row r="2214">
      <x:c r="A2214" s="49" t="s">
        <x:v>10101</x:v>
      </x:c>
      <x:c r="B2214" s="50"/>
    </x:row>
    <x:row r="2215">
      <x:c r="A2215" s="49" t="s">
        <x:v>10106</x:v>
      </x:c>
      <x:c r="B2215" s="50"/>
    </x:row>
    <x:row r="2216">
      <x:c r="A2216" s="49" t="s">
        <x:v>10111</x:v>
      </x:c>
      <x:c r="B2216" s="50"/>
    </x:row>
    <x:row r="2217">
      <x:c r="A2217" s="49" t="s">
        <x:v>10116</x:v>
      </x:c>
      <x:c r="B2217" s="50"/>
    </x:row>
    <x:row r="2218">
      <x:c r="A2218" s="49" t="s">
        <x:v>10120</x:v>
      </x:c>
      <x:c r="B2218" s="50"/>
    </x:row>
    <x:row r="2219">
      <x:c r="A2219" s="49" t="s">
        <x:v>10124</x:v>
      </x:c>
      <x:c r="B2219" s="50"/>
    </x:row>
    <x:row r="2220">
      <x:c r="A2220" s="49" t="s">
        <x:v>10128</x:v>
      </x:c>
      <x:c r="B2220" s="50"/>
    </x:row>
    <x:row r="2221">
      <x:c r="A2221" s="49" t="s">
        <x:v>10132</x:v>
      </x:c>
      <x:c r="B2221" s="50"/>
    </x:row>
    <x:row r="2222">
      <x:c r="A2222" s="49" t="s">
        <x:v>10136</x:v>
      </x:c>
      <x:c r="B2222" s="50"/>
    </x:row>
    <x:row r="2223">
      <x:c r="A2223" s="49" t="s">
        <x:v>10140</x:v>
      </x:c>
      <x:c r="B2223" s="50"/>
    </x:row>
    <x:row r="2224">
      <x:c r="A2224" s="49" t="s">
        <x:v>10144</x:v>
      </x:c>
      <x:c r="B2224" s="50"/>
    </x:row>
    <x:row r="2225">
      <x:c r="A2225" s="49" t="s">
        <x:v>10149</x:v>
      </x:c>
      <x:c r="B2225" s="50"/>
    </x:row>
    <x:row r="2226">
      <x:c r="A2226" s="49" t="s">
        <x:v>10153</x:v>
      </x:c>
      <x:c r="B2226" s="50"/>
    </x:row>
    <x:row r="2227">
      <x:c r="A2227" s="49" t="s">
        <x:v>10157</x:v>
      </x:c>
      <x:c r="B2227" s="50"/>
    </x:row>
    <x:row r="2228">
      <x:c r="A2228" s="49" t="s">
        <x:v>10161</x:v>
      </x:c>
      <x:c r="B2228" s="50"/>
    </x:row>
    <x:row r="2229">
      <x:c r="A2229" s="49" t="s">
        <x:v>10165</x:v>
      </x:c>
      <x:c r="B2229" s="50"/>
    </x:row>
    <x:row r="2230">
      <x:c r="A2230" s="49" t="s">
        <x:v>10169</x:v>
      </x:c>
      <x:c r="B2230" s="50"/>
    </x:row>
    <x:row r="2231">
      <x:c r="A2231" s="49" t="s">
        <x:v>10173</x:v>
      </x:c>
      <x:c r="B2231" s="50"/>
    </x:row>
    <x:row r="2232">
      <x:c r="A2232" s="49" t="s">
        <x:v>10177</x:v>
      </x:c>
      <x:c r="B2232" s="50"/>
    </x:row>
    <x:row r="2233">
      <x:c r="A2233" s="49" t="s">
        <x:v>10181</x:v>
      </x:c>
      <x:c r="B2233" s="50"/>
    </x:row>
    <x:row r="2234">
      <x:c r="A2234" s="49" t="s">
        <x:v>10186</x:v>
      </x:c>
      <x:c r="B2234" s="50"/>
    </x:row>
    <x:row r="2235">
      <x:c r="A2235" s="49" t="s">
        <x:v>10190</x:v>
      </x:c>
      <x:c r="B2235" s="50"/>
    </x:row>
    <x:row r="2236">
      <x:c r="A2236" s="49" t="s">
        <x:v>10194</x:v>
      </x:c>
      <x:c r="B2236" s="50"/>
    </x:row>
    <x:row r="2237">
      <x:c r="A2237" s="49" t="s">
        <x:v>10199</x:v>
      </x:c>
      <x:c r="B2237" s="50"/>
    </x:row>
    <x:row r="2238">
      <x:c r="A2238" s="49" t="s">
        <x:v>10204</x:v>
      </x:c>
      <x:c r="B2238" s="50"/>
    </x:row>
    <x:row r="2239">
      <x:c r="A2239" s="49" t="s">
        <x:v>10208</x:v>
      </x:c>
      <x:c r="B2239" s="50"/>
    </x:row>
    <x:row r="2240">
      <x:c r="A2240" s="49" t="s">
        <x:v>10212</x:v>
      </x:c>
      <x:c r="B2240" s="50"/>
    </x:row>
    <x:row r="2241">
      <x:c r="A2241" s="49" t="s">
        <x:v>10216</x:v>
      </x:c>
      <x:c r="B2241" s="50"/>
    </x:row>
    <x:row r="2242">
      <x:c r="A2242" s="49" t="s">
        <x:v>10221</x:v>
      </x:c>
      <x:c r="B2242" s="50"/>
    </x:row>
    <x:row r="2243">
      <x:c r="A2243" s="49" t="s">
        <x:v>10226</x:v>
      </x:c>
      <x:c r="B2243" s="50"/>
    </x:row>
    <x:row r="2244">
      <x:c r="A2244" s="49" t="s">
        <x:v>10230</x:v>
      </x:c>
      <x:c r="B2244" s="50"/>
    </x:row>
    <x:row r="2245">
      <x:c r="A2245" s="49" t="s">
        <x:v>10235</x:v>
      </x:c>
      <x:c r="B2245" s="50"/>
    </x:row>
    <x:row r="2246">
      <x:c r="A2246" s="49" t="s">
        <x:v>10240</x:v>
      </x:c>
      <x:c r="B2246" s="50"/>
    </x:row>
    <x:row r="2247">
      <x:c r="A2247" s="49" t="s">
        <x:v>10244</x:v>
      </x:c>
      <x:c r="B2247" s="50"/>
    </x:row>
    <x:row r="2248">
      <x:c r="A2248" s="49" t="s">
        <x:v>10248</x:v>
      </x:c>
      <x:c r="B2248" s="50"/>
    </x:row>
    <x:row r="2249">
      <x:c r="A2249" s="49" t="s">
        <x:v>10253</x:v>
      </x:c>
      <x:c r="B2249" s="50"/>
    </x:row>
    <x:row r="2250">
      <x:c r="A2250" s="49" t="s">
        <x:v>10258</x:v>
      </x:c>
      <x:c r="B2250" s="50"/>
    </x:row>
    <x:row r="2251">
      <x:c r="A2251" s="49" t="s">
        <x:v>10263</x:v>
      </x:c>
      <x:c r="B2251" s="50"/>
    </x:row>
    <x:row r="2252">
      <x:c r="A2252" s="49" t="s">
        <x:v>10267</x:v>
      </x:c>
      <x:c r="B2252" s="50"/>
    </x:row>
    <x:row r="2253">
      <x:c r="A2253" s="49" t="s">
        <x:v>10272</x:v>
      </x:c>
      <x:c r="B2253" s="50"/>
    </x:row>
    <x:row r="2254">
      <x:c r="A2254" s="49" t="s">
        <x:v>10276</x:v>
      </x:c>
      <x:c r="B2254" s="50"/>
    </x:row>
    <x:row r="2255">
      <x:c r="A2255" s="49" t="s">
        <x:v>10281</x:v>
      </x:c>
      <x:c r="B2255" s="50"/>
    </x:row>
    <x:row r="2256">
      <x:c r="A2256" s="49" t="s">
        <x:v>10286</x:v>
      </x:c>
      <x:c r="B2256" s="50"/>
    </x:row>
    <x:row r="2257">
      <x:c r="A2257" s="49" t="s">
        <x:v>10291</x:v>
      </x:c>
      <x:c r="B2257" s="50"/>
    </x:row>
    <x:row r="2258">
      <x:c r="A2258" s="49" t="s">
        <x:v>10296</x:v>
      </x:c>
      <x:c r="B2258" s="50"/>
    </x:row>
    <x:row r="2259">
      <x:c r="A2259" s="49" t="s">
        <x:v>10300</x:v>
      </x:c>
      <x:c r="B2259" s="50"/>
    </x:row>
    <x:row r="2260">
      <x:c r="A2260" s="49" t="s">
        <x:v>10305</x:v>
      </x:c>
      <x:c r="B2260" s="50"/>
    </x:row>
    <x:row r="2261">
      <x:c r="A2261" s="49" t="s">
        <x:v>10309</x:v>
      </x:c>
      <x:c r="B2261" s="50"/>
    </x:row>
    <x:row r="2262">
      <x:c r="A2262" s="49" t="s">
        <x:v>10313</x:v>
      </x:c>
      <x:c r="B2262" s="50"/>
    </x:row>
    <x:row r="2263">
      <x:c r="A2263" s="49" t="s">
        <x:v>10317</x:v>
      </x:c>
      <x:c r="B2263" s="50"/>
    </x:row>
    <x:row r="2264">
      <x:c r="A2264" s="49" t="s">
        <x:v>10321</x:v>
      </x:c>
      <x:c r="B2264" s="50"/>
    </x:row>
    <x:row r="2265">
      <x:c r="A2265" s="49" t="s">
        <x:v>10326</x:v>
      </x:c>
      <x:c r="B2265" s="50"/>
    </x:row>
    <x:row r="2266">
      <x:c r="A2266" s="49" t="s">
        <x:v>10330</x:v>
      </x:c>
      <x:c r="B2266" s="50"/>
    </x:row>
    <x:row r="2267">
      <x:c r="A2267" s="49" t="s">
        <x:v>10334</x:v>
      </x:c>
      <x:c r="B2267" s="50"/>
    </x:row>
    <x:row r="2268">
      <x:c r="A2268" s="49" t="s">
        <x:v>10338</x:v>
      </x:c>
      <x:c r="B2268" s="50"/>
    </x:row>
    <x:row r="2269">
      <x:c r="A2269" s="49" t="s">
        <x:v>10343</x:v>
      </x:c>
      <x:c r="B2269" s="50"/>
    </x:row>
    <x:row r="2270">
      <x:c r="A2270" s="49" t="s">
        <x:v>10347</x:v>
      </x:c>
      <x:c r="B2270" s="50"/>
    </x:row>
    <x:row r="2271">
      <x:c r="A2271" s="49" t="s">
        <x:v>10351</x:v>
      </x:c>
      <x:c r="B2271" s="50"/>
    </x:row>
    <x:row r="2272">
      <x:c r="A2272" s="49" t="s">
        <x:v>10355</x:v>
      </x:c>
      <x:c r="B2272" s="50"/>
    </x:row>
    <x:row r="2273">
      <x:c r="A2273" s="49" t="s">
        <x:v>10360</x:v>
      </x:c>
      <x:c r="B2273" s="50"/>
    </x:row>
    <x:row r="2274">
      <x:c r="A2274" s="49" t="s">
        <x:v>10365</x:v>
      </x:c>
      <x:c r="B2274" s="50"/>
    </x:row>
    <x:row r="2275">
      <x:c r="A2275" s="49" t="s">
        <x:v>10369</x:v>
      </x:c>
      <x:c r="B2275" s="50"/>
    </x:row>
    <x:row r="2276">
      <x:c r="A2276" s="49" t="s">
        <x:v>10373</x:v>
      </x:c>
      <x:c r="B2276" s="50"/>
    </x:row>
    <x:row r="2277">
      <x:c r="A2277" s="49" t="s">
        <x:v>10377</x:v>
      </x:c>
      <x:c r="B2277" s="50"/>
    </x:row>
    <x:row r="2278">
      <x:c r="A2278" s="49" t="s">
        <x:v>10381</x:v>
      </x:c>
      <x:c r="B2278" s="50"/>
    </x:row>
    <x:row r="2279">
      <x:c r="A2279" s="49" t="s">
        <x:v>10386</x:v>
      </x:c>
      <x:c r="B2279" s="50"/>
    </x:row>
    <x:row r="2280">
      <x:c r="A2280" s="49" t="s">
        <x:v>10390</x:v>
      </x:c>
      <x:c r="B2280" s="50"/>
    </x:row>
    <x:row r="2281">
      <x:c r="A2281" s="49" t="s">
        <x:v>10394</x:v>
      </x:c>
      <x:c r="B2281" s="50"/>
    </x:row>
    <x:row r="2282">
      <x:c r="A2282" s="49" t="s">
        <x:v>10398</x:v>
      </x:c>
      <x:c r="B2282" s="50"/>
    </x:row>
    <x:row r="2283">
      <x:c r="A2283" s="49" t="s">
        <x:v>10402</x:v>
      </x:c>
      <x:c r="B2283" s="50"/>
    </x:row>
    <x:row r="2284">
      <x:c r="A2284" s="49" t="s">
        <x:v>10406</x:v>
      </x:c>
      <x:c r="B2284" s="50"/>
    </x:row>
    <x:row r="2285">
      <x:c r="A2285" s="49" t="s">
        <x:v>10410</x:v>
      </x:c>
      <x:c r="B2285" s="50"/>
    </x:row>
    <x:row r="2286">
      <x:c r="A2286" s="49" t="s">
        <x:v>10414</x:v>
      </x:c>
      <x:c r="B2286" s="50"/>
    </x:row>
    <x:row r="2287">
      <x:c r="A2287" s="49" t="s">
        <x:v>10419</x:v>
      </x:c>
      <x:c r="B2287" s="50"/>
    </x:row>
    <x:row r="2288">
      <x:c r="A2288" s="49" t="s">
        <x:v>10424</x:v>
      </x:c>
      <x:c r="B2288" s="50"/>
    </x:row>
    <x:row r="2289">
      <x:c r="A2289" s="49" t="s">
        <x:v>10428</x:v>
      </x:c>
      <x:c r="B2289" s="50"/>
    </x:row>
    <x:row r="2290">
      <x:c r="A2290" s="49" t="s">
        <x:v>10433</x:v>
      </x:c>
      <x:c r="B2290" s="50"/>
    </x:row>
    <x:row r="2291">
      <x:c r="A2291" s="49" t="s">
        <x:v>10437</x:v>
      </x:c>
      <x:c r="B2291" s="50"/>
    </x:row>
    <x:row r="2292">
      <x:c r="A2292" s="49" t="s">
        <x:v>10441</x:v>
      </x:c>
      <x:c r="B2292" s="50"/>
    </x:row>
    <x:row r="2293">
      <x:c r="A2293" s="49" t="s">
        <x:v>10446</x:v>
      </x:c>
      <x:c r="B2293" s="50"/>
    </x:row>
    <x:row r="2294">
      <x:c r="A2294" s="49" t="s">
        <x:v>10451</x:v>
      </x:c>
      <x:c r="B2294" s="50"/>
    </x:row>
    <x:row r="2295">
      <x:c r="A2295" s="49" t="s">
        <x:v>10456</x:v>
      </x:c>
      <x:c r="B2295" s="50"/>
    </x:row>
    <x:row r="2296">
      <x:c r="A2296" s="49" t="s">
        <x:v>10460</x:v>
      </x:c>
      <x:c r="B2296" s="50"/>
    </x:row>
    <x:row r="2297">
      <x:c r="A2297" s="49" t="s">
        <x:v>10464</x:v>
      </x:c>
      <x:c r="B2297" s="50"/>
    </x:row>
    <x:row r="2298">
      <x:c r="A2298" s="49" t="s">
        <x:v>10469</x:v>
      </x:c>
      <x:c r="B2298" s="50"/>
    </x:row>
    <x:row r="2299">
      <x:c r="A2299" s="49" t="s">
        <x:v>10473</x:v>
      </x:c>
      <x:c r="B2299" s="50"/>
    </x:row>
    <x:row r="2300">
      <x:c r="A2300" s="49" t="s">
        <x:v>10477</x:v>
      </x:c>
      <x:c r="B2300" s="50"/>
    </x:row>
    <x:row r="2301">
      <x:c r="A2301" s="49" t="s">
        <x:v>10482</x:v>
      </x:c>
      <x:c r="B2301" s="50"/>
    </x:row>
    <x:row r="2302">
      <x:c r="A2302" s="49" t="s">
        <x:v>10486</x:v>
      </x:c>
      <x:c r="B2302" s="50"/>
    </x:row>
    <x:row r="2303">
      <x:c r="A2303" s="49" t="s">
        <x:v>10491</x:v>
      </x:c>
      <x:c r="B2303" s="50"/>
    </x:row>
    <x:row r="2304">
      <x:c r="A2304" s="49" t="s">
        <x:v>10495</x:v>
      </x:c>
      <x:c r="B2304" s="50"/>
    </x:row>
    <x:row r="2305">
      <x:c r="A2305" s="49" t="s">
        <x:v>10499</x:v>
      </x:c>
      <x:c r="B2305" s="50"/>
    </x:row>
    <x:row r="2306">
      <x:c r="A2306" s="49" t="s">
        <x:v>10503</x:v>
      </x:c>
      <x:c r="B2306" s="50"/>
    </x:row>
    <x:row r="2307">
      <x:c r="A2307" s="49" t="s">
        <x:v>10508</x:v>
      </x:c>
      <x:c r="B2307" s="50"/>
    </x:row>
    <x:row r="2308">
      <x:c r="A2308" s="49" t="s">
        <x:v>10512</x:v>
      </x:c>
      <x:c r="B2308" s="50"/>
    </x:row>
    <x:row r="2309">
      <x:c r="A2309" s="49" t="s">
        <x:v>10516</x:v>
      </x:c>
      <x:c r="B2309" s="50"/>
    </x:row>
    <x:row r="2310">
      <x:c r="A2310" s="49" t="s">
        <x:v>10520</x:v>
      </x:c>
      <x:c r="B2310" s="50"/>
    </x:row>
    <x:row r="2311">
      <x:c r="A2311" s="49" t="s">
        <x:v>10525</x:v>
      </x:c>
      <x:c r="B2311" s="50"/>
    </x:row>
    <x:row r="2312">
      <x:c r="A2312" s="49" t="s">
        <x:v>10529</x:v>
      </x:c>
      <x:c r="B2312" s="50"/>
    </x:row>
    <x:row r="2313">
      <x:c r="A2313" s="49" t="s">
        <x:v>10534</x:v>
      </x:c>
      <x:c r="B2313" s="50"/>
    </x:row>
    <x:row r="2314">
      <x:c r="A2314" s="49" t="s">
        <x:v>10538</x:v>
      </x:c>
      <x:c r="B2314" s="50"/>
    </x:row>
    <x:row r="2315">
      <x:c r="A2315" s="49" t="s">
        <x:v>10542</x:v>
      </x:c>
      <x:c r="B2315" s="50"/>
    </x:row>
    <x:row r="2316">
      <x:c r="A2316" s="49" t="s">
        <x:v>10547</x:v>
      </x:c>
      <x:c r="B2316" s="50"/>
    </x:row>
    <x:row r="2317">
      <x:c r="A2317" s="49" t="s">
        <x:v>10552</x:v>
      </x:c>
      <x:c r="B2317" s="50"/>
    </x:row>
    <x:row r="2318">
      <x:c r="A2318" s="49" t="s">
        <x:v>10556</x:v>
      </x:c>
      <x:c r="B2318" s="50"/>
    </x:row>
    <x:row r="2319">
      <x:c r="A2319" s="49" t="s">
        <x:v>10560</x:v>
      </x:c>
      <x:c r="B2319" s="50"/>
    </x:row>
    <x:row r="2320">
      <x:c r="A2320" s="49" t="s">
        <x:v>10564</x:v>
      </x:c>
      <x:c r="B2320" s="50"/>
    </x:row>
    <x:row r="2321">
      <x:c r="A2321" s="49" t="s">
        <x:v>10569</x:v>
      </x:c>
      <x:c r="B2321" s="50"/>
    </x:row>
    <x:row r="2322">
      <x:c r="A2322" s="49" t="s">
        <x:v>10573</x:v>
      </x:c>
      <x:c r="B2322" s="50"/>
    </x:row>
    <x:row r="2323">
      <x:c r="A2323" s="49" t="s">
        <x:v>10577</x:v>
      </x:c>
      <x:c r="B2323" s="50"/>
    </x:row>
    <x:row r="2324">
      <x:c r="A2324" s="49" t="s">
        <x:v>10582</x:v>
      </x:c>
      <x:c r="B2324" s="50"/>
    </x:row>
    <x:row r="2325">
      <x:c r="A2325" s="49" t="s">
        <x:v>10586</x:v>
      </x:c>
      <x:c r="B2325" s="50"/>
    </x:row>
    <x:row r="2326">
      <x:c r="A2326" s="49" t="s">
        <x:v>10590</x:v>
      </x:c>
      <x:c r="B2326" s="50"/>
    </x:row>
    <x:row r="2327">
      <x:c r="A2327" s="49" t="s">
        <x:v>10595</x:v>
      </x:c>
      <x:c r="B2327" s="50"/>
    </x:row>
    <x:row r="2328">
      <x:c r="A2328" s="49" t="s">
        <x:v>10599</x:v>
      </x:c>
      <x:c r="B2328" s="50"/>
    </x:row>
    <x:row r="2329">
      <x:c r="A2329" s="49" t="s">
        <x:v>10603</x:v>
      </x:c>
      <x:c r="B2329" s="50"/>
    </x:row>
    <x:row r="2330">
      <x:c r="A2330" s="49" t="s">
        <x:v>10608</x:v>
      </x:c>
      <x:c r="B2330" s="50"/>
    </x:row>
    <x:row r="2331">
      <x:c r="A2331" s="49" t="s">
        <x:v>10612</x:v>
      </x:c>
      <x:c r="B2331" s="50"/>
    </x:row>
    <x:row r="2332">
      <x:c r="A2332" s="49" t="s">
        <x:v>10616</x:v>
      </x:c>
      <x:c r="B2332" s="50"/>
    </x:row>
    <x:row r="2333">
      <x:c r="A2333" s="49" t="s">
        <x:v>10620</x:v>
      </x:c>
      <x:c r="B2333" s="50"/>
    </x:row>
    <x:row r="2334">
      <x:c r="A2334" s="49" t="s">
        <x:v>10624</x:v>
      </x:c>
      <x:c r="B2334" s="50"/>
    </x:row>
    <x:row r="2335">
      <x:c r="A2335" s="49" t="s">
        <x:v>10628</x:v>
      </x:c>
      <x:c r="B2335" s="50"/>
    </x:row>
    <x:row r="2336">
      <x:c r="A2336" s="49" t="s">
        <x:v>10632</x:v>
      </x:c>
      <x:c r="B2336" s="50"/>
    </x:row>
    <x:row r="2337">
      <x:c r="A2337" s="49" t="s">
        <x:v>10636</x:v>
      </x:c>
      <x:c r="B2337" s="50"/>
    </x:row>
    <x:row r="2338">
      <x:c r="A2338" s="49" t="s">
        <x:v>10641</x:v>
      </x:c>
      <x:c r="B2338" s="50"/>
    </x:row>
    <x:row r="2339">
      <x:c r="A2339" s="49" t="s">
        <x:v>10645</x:v>
      </x:c>
      <x:c r="B2339" s="50"/>
    </x:row>
    <x:row r="2340">
      <x:c r="A2340" s="49" t="s">
        <x:v>10649</x:v>
      </x:c>
      <x:c r="B2340" s="50"/>
    </x:row>
    <x:row r="2341">
      <x:c r="A2341" s="49" t="s">
        <x:v>10653</x:v>
      </x:c>
      <x:c r="B2341" s="50"/>
    </x:row>
    <x:row r="2342">
      <x:c r="A2342" s="49" t="s">
        <x:v>10657</x:v>
      </x:c>
      <x:c r="B2342" s="50"/>
    </x:row>
    <x:row r="2343">
      <x:c r="A2343" s="49" t="s">
        <x:v>10662</x:v>
      </x:c>
      <x:c r="B2343" s="50"/>
    </x:row>
    <x:row r="2344">
      <x:c r="A2344" s="49" t="s">
        <x:v>10666</x:v>
      </x:c>
      <x:c r="B2344" s="50"/>
    </x:row>
    <x:row r="2345">
      <x:c r="A2345" s="49" t="s">
        <x:v>10670</x:v>
      </x:c>
      <x:c r="B2345" s="50"/>
    </x:row>
    <x:row r="2346">
      <x:c r="A2346" s="49" t="s">
        <x:v>10674</x:v>
      </x:c>
      <x:c r="B2346" s="50"/>
    </x:row>
    <x:row r="2347">
      <x:c r="A2347" s="49" t="s">
        <x:v>10678</x:v>
      </x:c>
      <x:c r="B2347" s="50"/>
    </x:row>
    <x:row r="2348">
      <x:c r="A2348" s="49" t="s">
        <x:v>10683</x:v>
      </x:c>
      <x:c r="B2348" s="50"/>
    </x:row>
    <x:row r="2349">
      <x:c r="A2349" s="49" t="s">
        <x:v>10687</x:v>
      </x:c>
      <x:c r="B2349" s="50"/>
    </x:row>
    <x:row r="2350">
      <x:c r="A2350" s="49" t="s">
        <x:v>10691</x:v>
      </x:c>
      <x:c r="B2350" s="50"/>
    </x:row>
    <x:row r="2351">
      <x:c r="A2351" s="49" t="s">
        <x:v>10695</x:v>
      </x:c>
      <x:c r="B2351" s="50"/>
    </x:row>
    <x:row r="2352">
      <x:c r="A2352" s="49" t="s">
        <x:v>10700</x:v>
      </x:c>
      <x:c r="B2352" s="50"/>
    </x:row>
    <x:row r="2353">
      <x:c r="A2353" s="49" t="s">
        <x:v>10704</x:v>
      </x:c>
      <x:c r="B2353" s="50"/>
    </x:row>
    <x:row r="2354">
      <x:c r="A2354" s="49" t="s">
        <x:v>10708</x:v>
      </x:c>
      <x:c r="B2354" s="50"/>
    </x:row>
    <x:row r="2355">
      <x:c r="A2355" s="49" t="s">
        <x:v>10712</x:v>
      </x:c>
      <x:c r="B2355" s="50"/>
    </x:row>
    <x:row r="2356">
      <x:c r="A2356" s="49" t="s">
        <x:v>10716</x:v>
      </x:c>
      <x:c r="B2356" s="50"/>
    </x:row>
    <x:row r="2357">
      <x:c r="A2357" s="49" t="s">
        <x:v>10720</x:v>
      </x:c>
      <x:c r="B2357" s="50"/>
    </x:row>
    <x:row r="2358">
      <x:c r="A2358" s="49" t="s">
        <x:v>10725</x:v>
      </x:c>
      <x:c r="B2358" s="50"/>
    </x:row>
    <x:row r="2359">
      <x:c r="A2359" s="49" t="s">
        <x:v>10729</x:v>
      </x:c>
      <x:c r="B2359" s="50"/>
    </x:row>
    <x:row r="2360">
      <x:c r="A2360" s="49" t="s">
        <x:v>10733</x:v>
      </x:c>
      <x:c r="B2360" s="50"/>
    </x:row>
    <x:row r="2361">
      <x:c r="A2361" s="49" t="s">
        <x:v>10738</x:v>
      </x:c>
      <x:c r="B2361" s="50"/>
    </x:row>
    <x:row r="2362">
      <x:c r="A2362" s="49" t="s">
        <x:v>10742</x:v>
      </x:c>
      <x:c r="B2362" s="50"/>
    </x:row>
    <x:row r="2363">
      <x:c r="A2363" s="49" t="s">
        <x:v>10747</x:v>
      </x:c>
      <x:c r="B2363" s="50"/>
    </x:row>
    <x:row r="2364">
      <x:c r="A2364" s="49" t="s">
        <x:v>10751</x:v>
      </x:c>
      <x:c r="B2364" s="50"/>
    </x:row>
    <x:row r="2365">
      <x:c r="A2365" s="49" t="s">
        <x:v>10756</x:v>
      </x:c>
      <x:c r="B2365" s="50"/>
    </x:row>
    <x:row r="2366">
      <x:c r="A2366" s="49" t="s">
        <x:v>10760</x:v>
      </x:c>
      <x:c r="B2366" s="50"/>
    </x:row>
    <x:row r="2367">
      <x:c r="A2367" s="49" t="s">
        <x:v>10764</x:v>
      </x:c>
      <x:c r="B2367" s="50"/>
    </x:row>
    <x:row r="2368">
      <x:c r="A2368" s="49" t="s">
        <x:v>10768</x:v>
      </x:c>
      <x:c r="B2368" s="50"/>
    </x:row>
    <x:row r="2369">
      <x:c r="A2369" s="49" t="s">
        <x:v>10772</x:v>
      </x:c>
      <x:c r="B2369" s="50"/>
    </x:row>
    <x:row r="2370">
      <x:c r="A2370" s="49" t="s">
        <x:v>10776</x:v>
      </x:c>
      <x:c r="B2370" s="50"/>
    </x:row>
    <x:row r="2371">
      <x:c r="A2371" s="49" t="s">
        <x:v>10780</x:v>
      </x:c>
      <x:c r="B2371" s="50"/>
    </x:row>
    <x:row r="2372">
      <x:c r="A2372" s="49" t="s">
        <x:v>10784</x:v>
      </x:c>
      <x:c r="B2372" s="50"/>
    </x:row>
    <x:row r="2373">
      <x:c r="A2373" s="49" t="s">
        <x:v>10788</x:v>
      </x:c>
      <x:c r="B2373" s="50"/>
    </x:row>
    <x:row r="2374">
      <x:c r="A2374" s="49" t="s">
        <x:v>10792</x:v>
      </x:c>
      <x:c r="B2374" s="50"/>
    </x:row>
    <x:row r="2375">
      <x:c r="A2375" s="49" t="s">
        <x:v>10797</x:v>
      </x:c>
      <x:c r="B2375" s="50"/>
    </x:row>
    <x:row r="2376">
      <x:c r="A2376" s="49" t="s">
        <x:v>10801</x:v>
      </x:c>
      <x:c r="B2376" s="50"/>
    </x:row>
    <x:row r="2377">
      <x:c r="A2377" s="49" t="s">
        <x:v>10806</x:v>
      </x:c>
      <x:c r="B2377" s="50"/>
    </x:row>
    <x:row r="2378">
      <x:c r="A2378" s="49" t="s">
        <x:v>10810</x:v>
      </x:c>
      <x:c r="B2378" s="50"/>
    </x:row>
    <x:row r="2379">
      <x:c r="A2379" s="49" t="s">
        <x:v>10814</x:v>
      </x:c>
      <x:c r="B2379" s="50"/>
    </x:row>
    <x:row r="2380">
      <x:c r="A2380" s="49" t="s">
        <x:v>10818</x:v>
      </x:c>
      <x:c r="B2380" s="50"/>
    </x:row>
    <x:row r="2381">
      <x:c r="A2381" s="49" t="s">
        <x:v>10822</x:v>
      </x:c>
      <x:c r="B2381" s="50"/>
    </x:row>
    <x:row r="2382">
      <x:c r="A2382" s="49" t="s">
        <x:v>10826</x:v>
      </x:c>
      <x:c r="B2382" s="50"/>
    </x:row>
    <x:row r="2383">
      <x:c r="A2383" s="49" t="s">
        <x:v>10831</x:v>
      </x:c>
      <x:c r="B2383" s="50"/>
    </x:row>
    <x:row r="2384">
      <x:c r="A2384" s="49" t="s">
        <x:v>10836</x:v>
      </x:c>
      <x:c r="B2384" s="50"/>
    </x:row>
    <x:row r="2385">
      <x:c r="A2385" s="49" t="s">
        <x:v>10840</x:v>
      </x:c>
      <x:c r="B2385" s="50"/>
    </x:row>
    <x:row r="2386">
      <x:c r="A2386" s="49" t="s">
        <x:v>10844</x:v>
      </x:c>
      <x:c r="B2386" s="50"/>
    </x:row>
    <x:row r="2387">
      <x:c r="A2387" s="49" t="s">
        <x:v>10849</x:v>
      </x:c>
      <x:c r="B2387" s="50"/>
    </x:row>
    <x:row r="2388">
      <x:c r="A2388" s="49" t="s">
        <x:v>10854</x:v>
      </x:c>
      <x:c r="B2388" s="50"/>
    </x:row>
    <x:row r="2389">
      <x:c r="A2389" s="49" t="s">
        <x:v>10859</x:v>
      </x:c>
      <x:c r="B2389" s="50"/>
    </x:row>
    <x:row r="2390">
      <x:c r="A2390" s="49" t="s">
        <x:v>10864</x:v>
      </x:c>
      <x:c r="B2390" s="50"/>
    </x:row>
    <x:row r="2391">
      <x:c r="A2391" s="49" t="s">
        <x:v>10868</x:v>
      </x:c>
      <x:c r="B2391" s="50"/>
    </x:row>
    <x:row r="2392">
      <x:c r="A2392" s="49" t="s">
        <x:v>10872</x:v>
      </x:c>
      <x:c r="B2392" s="50"/>
    </x:row>
    <x:row r="2393">
      <x:c r="A2393" s="49" t="s">
        <x:v>10876</x:v>
      </x:c>
      <x:c r="B2393" s="50"/>
    </x:row>
    <x:row r="2394">
      <x:c r="A2394" s="49" t="s">
        <x:v>10880</x:v>
      </x:c>
      <x:c r="B2394" s="50"/>
    </x:row>
    <x:row r="2395">
      <x:c r="A2395" s="49" t="s">
        <x:v>10885</x:v>
      </x:c>
      <x:c r="B2395" s="50"/>
    </x:row>
    <x:row r="2396">
      <x:c r="A2396" s="49" t="s">
        <x:v>10889</x:v>
      </x:c>
      <x:c r="B2396" s="50"/>
    </x:row>
    <x:row r="2397">
      <x:c r="A2397" s="49" t="s">
        <x:v>10893</x:v>
      </x:c>
      <x:c r="B2397" s="50"/>
    </x:row>
    <x:row r="2398">
      <x:c r="A2398" s="49" t="s">
        <x:v>10898</x:v>
      </x:c>
      <x:c r="B2398" s="50"/>
    </x:row>
    <x:row r="2399">
      <x:c r="A2399" s="49" t="s">
        <x:v>10902</x:v>
      </x:c>
      <x:c r="B2399" s="50"/>
    </x:row>
    <x:row r="2400">
      <x:c r="A2400" s="49" t="s">
        <x:v>10906</x:v>
      </x:c>
      <x:c r="B2400" s="50"/>
    </x:row>
    <x:row r="2401">
      <x:c r="A2401" s="49" t="s">
        <x:v>10911</x:v>
      </x:c>
      <x:c r="B2401" s="50"/>
    </x:row>
    <x:row r="2402">
      <x:c r="A2402" s="49" t="s">
        <x:v>10916</x:v>
      </x:c>
      <x:c r="B2402" s="50"/>
    </x:row>
    <x:row r="2403">
      <x:c r="A2403" s="49" t="s">
        <x:v>10920</x:v>
      </x:c>
      <x:c r="B2403" s="50"/>
    </x:row>
    <x:row r="2404">
      <x:c r="A2404" s="49" t="s">
        <x:v>10924</x:v>
      </x:c>
      <x:c r="B2404" s="50"/>
    </x:row>
    <x:row r="2405">
      <x:c r="A2405" s="49" t="s">
        <x:v>10928</x:v>
      </x:c>
      <x:c r="B2405" s="50"/>
    </x:row>
    <x:row r="2406">
      <x:c r="A2406" s="49" t="s">
        <x:v>10933</x:v>
      </x:c>
      <x:c r="B2406" s="50"/>
    </x:row>
    <x:row r="2407">
      <x:c r="A2407" s="49" t="s">
        <x:v>10937</x:v>
      </x:c>
      <x:c r="B2407" s="50"/>
    </x:row>
    <x:row r="2408">
      <x:c r="A2408" s="49" t="s">
        <x:v>10941</x:v>
      </x:c>
      <x:c r="B2408" s="50"/>
    </x:row>
    <x:row r="2409">
      <x:c r="A2409" s="49" t="s">
        <x:v>10945</x:v>
      </x:c>
      <x:c r="B2409" s="50"/>
    </x:row>
    <x:row r="2410">
      <x:c r="A2410" s="49" t="s">
        <x:v>10949</x:v>
      </x:c>
      <x:c r="B2410" s="50"/>
    </x:row>
    <x:row r="2411">
      <x:c r="A2411" s="49" t="s">
        <x:v>10954</x:v>
      </x:c>
      <x:c r="B2411" s="50"/>
    </x:row>
    <x:row r="2412">
      <x:c r="A2412" s="49" t="s">
        <x:v>10958</x:v>
      </x:c>
      <x:c r="B2412" s="50"/>
    </x:row>
    <x:row r="2413">
      <x:c r="A2413" s="49" t="s">
        <x:v>10962</x:v>
      </x:c>
      <x:c r="B2413" s="50"/>
    </x:row>
    <x:row r="2414">
      <x:c r="A2414" s="49" t="s">
        <x:v>10966</x:v>
      </x:c>
      <x:c r="B2414" s="50"/>
    </x:row>
    <x:row r="2415">
      <x:c r="A2415" s="49" t="s">
        <x:v>10970</x:v>
      </x:c>
      <x:c r="B2415" s="50"/>
    </x:row>
    <x:row r="2416">
      <x:c r="A2416" s="49" t="s">
        <x:v>10975</x:v>
      </x:c>
      <x:c r="B2416" s="50"/>
    </x:row>
    <x:row r="2417">
      <x:c r="A2417" s="49" t="s">
        <x:v>10979</x:v>
      </x:c>
      <x:c r="B2417" s="50"/>
    </x:row>
    <x:row r="2418">
      <x:c r="A2418" s="49" t="s">
        <x:v>10983</x:v>
      </x:c>
      <x:c r="B2418" s="50"/>
    </x:row>
    <x:row r="2419">
      <x:c r="A2419" s="49" t="s">
        <x:v>10987</x:v>
      </x:c>
      <x:c r="B2419" s="50"/>
    </x:row>
    <x:row r="2420">
      <x:c r="A2420" s="49" t="s">
        <x:v>10992</x:v>
      </x:c>
      <x:c r="B2420" s="50"/>
    </x:row>
    <x:row r="2421">
      <x:c r="A2421" s="49" t="s">
        <x:v>10996</x:v>
      </x:c>
      <x:c r="B2421" s="50"/>
    </x:row>
    <x:row r="2422">
      <x:c r="A2422" s="49" t="s">
        <x:v>11001</x:v>
      </x:c>
      <x:c r="B2422" s="50"/>
    </x:row>
    <x:row r="2423">
      <x:c r="A2423" s="49" t="s">
        <x:v>11005</x:v>
      </x:c>
      <x:c r="B2423" s="50"/>
    </x:row>
    <x:row r="2424">
      <x:c r="A2424" s="49" t="s">
        <x:v>11010</x:v>
      </x:c>
      <x:c r="B2424" s="50"/>
    </x:row>
    <x:row r="2425">
      <x:c r="A2425" s="49" t="s">
        <x:v>11015</x:v>
      </x:c>
      <x:c r="B2425" s="50"/>
    </x:row>
    <x:row r="2426">
      <x:c r="A2426" s="49" t="s">
        <x:v>11019</x:v>
      </x:c>
      <x:c r="B2426" s="50"/>
    </x:row>
    <x:row r="2427">
      <x:c r="A2427" s="49" t="s">
        <x:v>11023</x:v>
      </x:c>
      <x:c r="B2427" s="50"/>
    </x:row>
    <x:row r="2428">
      <x:c r="A2428" s="49" t="s">
        <x:v>11027</x:v>
      </x:c>
      <x:c r="B2428" s="50"/>
    </x:row>
    <x:row r="2429">
      <x:c r="A2429" s="49" t="s">
        <x:v>11031</x:v>
      </x:c>
      <x:c r="B2429" s="50"/>
    </x:row>
    <x:row r="2430">
      <x:c r="A2430" s="49" t="s">
        <x:v>11035</x:v>
      </x:c>
      <x:c r="B2430" s="50"/>
    </x:row>
    <x:row r="2431">
      <x:c r="A2431" s="49" t="s">
        <x:v>11040</x:v>
      </x:c>
      <x:c r="B2431" s="50"/>
    </x:row>
    <x:row r="2432">
      <x:c r="A2432" s="49" t="s">
        <x:v>11044</x:v>
      </x:c>
      <x:c r="B2432" s="50"/>
    </x:row>
    <x:row r="2433">
      <x:c r="A2433" s="49" t="s">
        <x:v>11048</x:v>
      </x:c>
      <x:c r="B2433" s="50"/>
    </x:row>
    <x:row r="2434">
      <x:c r="A2434" s="49" t="s">
        <x:v>11052</x:v>
      </x:c>
      <x:c r="B2434" s="50"/>
    </x:row>
    <x:row r="2435">
      <x:c r="A2435" s="49" t="s">
        <x:v>11056</x:v>
      </x:c>
      <x:c r="B2435" s="50"/>
    </x:row>
    <x:row r="2436">
      <x:c r="A2436" s="49" t="s">
        <x:v>11060</x:v>
      </x:c>
      <x:c r="B2436" s="50"/>
    </x:row>
    <x:row r="2437">
      <x:c r="A2437" s="49" t="s">
        <x:v>11064</x:v>
      </x:c>
      <x:c r="B2437" s="50"/>
    </x:row>
    <x:row r="2438">
      <x:c r="A2438" s="49" t="s">
        <x:v>11068</x:v>
      </x:c>
      <x:c r="B2438" s="50"/>
    </x:row>
    <x:row r="2439">
      <x:c r="A2439" s="49" t="s">
        <x:v>11072</x:v>
      </x:c>
      <x:c r="B2439" s="50"/>
    </x:row>
    <x:row r="2440">
      <x:c r="A2440" s="49" t="s">
        <x:v>11077</x:v>
      </x:c>
      <x:c r="B2440" s="50"/>
    </x:row>
    <x:row r="2441">
      <x:c r="A2441" s="49" t="s">
        <x:v>11081</x:v>
      </x:c>
      <x:c r="B2441" s="50"/>
    </x:row>
    <x:row r="2442">
      <x:c r="A2442" s="49" t="s">
        <x:v>11085</x:v>
      </x:c>
      <x:c r="B2442" s="50"/>
    </x:row>
    <x:row r="2443">
      <x:c r="A2443" s="49" t="s">
        <x:v>11089</x:v>
      </x:c>
      <x:c r="B2443" s="50"/>
    </x:row>
    <x:row r="2444">
      <x:c r="A2444" s="49" t="s">
        <x:v>11093</x:v>
      </x:c>
      <x:c r="B2444" s="50"/>
    </x:row>
    <x:row r="2445">
      <x:c r="A2445" s="49" t="s">
        <x:v>11098</x:v>
      </x:c>
      <x:c r="B2445" s="50"/>
    </x:row>
    <x:row r="2446">
      <x:c r="A2446" s="49" t="s">
        <x:v>11102</x:v>
      </x:c>
      <x:c r="B2446" s="50"/>
    </x:row>
    <x:row r="2447">
      <x:c r="A2447" s="49" t="s">
        <x:v>11107</x:v>
      </x:c>
      <x:c r="B2447" s="50"/>
    </x:row>
    <x:row r="2448">
      <x:c r="A2448" s="49" t="s">
        <x:v>11112</x:v>
      </x:c>
      <x:c r="B2448" s="50"/>
    </x:row>
    <x:row r="2449">
      <x:c r="A2449" s="49" t="s">
        <x:v>11117</x:v>
      </x:c>
      <x:c r="B2449" s="50"/>
    </x:row>
    <x:row r="2450">
      <x:c r="A2450" s="49" t="s">
        <x:v>11122</x:v>
      </x:c>
      <x:c r="B2450" s="50"/>
    </x:row>
    <x:row r="2451">
      <x:c r="A2451" s="49" t="s">
        <x:v>11126</x:v>
      </x:c>
      <x:c r="B2451" s="50"/>
    </x:row>
    <x:row r="2452">
      <x:c r="A2452" s="49" t="s">
        <x:v>11131</x:v>
      </x:c>
      <x:c r="B2452" s="50"/>
    </x:row>
    <x:row r="2453">
      <x:c r="A2453" s="49" t="s">
        <x:v>11136</x:v>
      </x:c>
      <x:c r="B2453" s="50"/>
    </x:row>
    <x:row r="2454">
      <x:c r="A2454" s="49" t="s">
        <x:v>11141</x:v>
      </x:c>
      <x:c r="B2454" s="50"/>
    </x:row>
    <x:row r="2455">
      <x:c r="A2455" s="49" t="s">
        <x:v>11145</x:v>
      </x:c>
      <x:c r="B2455" s="50"/>
    </x:row>
    <x:row r="2456">
      <x:c r="A2456" s="49" t="s">
        <x:v>11149</x:v>
      </x:c>
      <x:c r="B2456" s="50"/>
    </x:row>
    <x:row r="2457">
      <x:c r="A2457" s="49" t="s">
        <x:v>11154</x:v>
      </x:c>
      <x:c r="B2457" s="50"/>
    </x:row>
    <x:row r="2458">
      <x:c r="A2458" s="49" t="s">
        <x:v>11159</x:v>
      </x:c>
      <x:c r="B2458" s="50"/>
    </x:row>
    <x:row r="2459">
      <x:c r="A2459" s="49" t="s">
        <x:v>11164</x:v>
      </x:c>
      <x:c r="B2459" s="50"/>
    </x:row>
    <x:row r="2460">
      <x:c r="A2460" s="49" t="s">
        <x:v>11168</x:v>
      </x:c>
      <x:c r="B2460" s="50"/>
    </x:row>
    <x:row r="2461">
      <x:c r="A2461" s="49" t="s">
        <x:v>11173</x:v>
      </x:c>
      <x:c r="B2461" s="50"/>
    </x:row>
    <x:row r="2462">
      <x:c r="A2462" s="49" t="s">
        <x:v>11177</x:v>
      </x:c>
      <x:c r="B2462" s="50"/>
    </x:row>
    <x:row r="2463">
      <x:c r="A2463" s="49" t="s">
        <x:v>11181</x:v>
      </x:c>
      <x:c r="B2463" s="50"/>
    </x:row>
    <x:row r="2464">
      <x:c r="A2464" s="49" t="s">
        <x:v>11185</x:v>
      </x:c>
      <x:c r="B2464" s="50"/>
    </x:row>
    <x:row r="2465">
      <x:c r="A2465" s="49" t="s">
        <x:v>11189</x:v>
      </x:c>
      <x:c r="B2465" s="50"/>
    </x:row>
    <x:row r="2466">
      <x:c r="A2466" s="49" t="s">
        <x:v>11194</x:v>
      </x:c>
      <x:c r="B2466" s="50"/>
    </x:row>
    <x:row r="2467">
      <x:c r="A2467" s="49" t="s">
        <x:v>11199</x:v>
      </x:c>
      <x:c r="B2467" s="50"/>
    </x:row>
    <x:row r="2468">
      <x:c r="A2468" s="49" t="s">
        <x:v>11203</x:v>
      </x:c>
      <x:c r="B2468" s="50"/>
    </x:row>
    <x:row r="2469">
      <x:c r="A2469" s="49" t="s">
        <x:v>11207</x:v>
      </x:c>
      <x:c r="B2469" s="50"/>
    </x:row>
    <x:row r="2470">
      <x:c r="A2470" s="49" t="s">
        <x:v>11212</x:v>
      </x:c>
      <x:c r="B2470" s="50"/>
    </x:row>
    <x:row r="2471">
      <x:c r="A2471" s="49" t="s">
        <x:v>11217</x:v>
      </x:c>
      <x:c r="B2471" s="50"/>
    </x:row>
    <x:row r="2472">
      <x:c r="A2472" s="49" t="s">
        <x:v>11222</x:v>
      </x:c>
      <x:c r="B2472" s="50"/>
    </x:row>
    <x:row r="2473">
      <x:c r="A2473" s="49" t="s">
        <x:v>11226</x:v>
      </x:c>
      <x:c r="B2473" s="50"/>
    </x:row>
    <x:row r="2474">
      <x:c r="A2474" s="49" t="s">
        <x:v>11231</x:v>
      </x:c>
      <x:c r="B2474" s="50"/>
    </x:row>
    <x:row r="2475">
      <x:c r="A2475" s="49" t="s">
        <x:v>11235</x:v>
      </x:c>
      <x:c r="B2475" s="50"/>
    </x:row>
    <x:row r="2476">
      <x:c r="A2476" s="49" t="s">
        <x:v>11239</x:v>
      </x:c>
      <x:c r="B2476" s="50"/>
    </x:row>
    <x:row r="2477">
      <x:c r="A2477" s="49" t="s">
        <x:v>11244</x:v>
      </x:c>
      <x:c r="B2477" s="50"/>
    </x:row>
    <x:row r="2478">
      <x:c r="A2478" s="49" t="s">
        <x:v>11248</x:v>
      </x:c>
      <x:c r="B2478" s="50"/>
    </x:row>
    <x:row r="2479">
      <x:c r="A2479" s="49" t="s">
        <x:v>11253</x:v>
      </x:c>
      <x:c r="B2479" s="50"/>
    </x:row>
    <x:row r="2480">
      <x:c r="A2480" s="49" t="s">
        <x:v>11258</x:v>
      </x:c>
      <x:c r="B2480" s="50"/>
    </x:row>
    <x:row r="2481">
      <x:c r="A2481" s="49" t="s">
        <x:v>11262</x:v>
      </x:c>
      <x:c r="B2481" s="50"/>
    </x:row>
    <x:row r="2482">
      <x:c r="A2482" s="49" t="s">
        <x:v>11266</x:v>
      </x:c>
      <x:c r="B2482" s="50"/>
    </x:row>
    <x:row r="2483">
      <x:c r="A2483" s="49" t="s">
        <x:v>11270</x:v>
      </x:c>
      <x:c r="B2483" s="50"/>
    </x:row>
    <x:row r="2484">
      <x:c r="A2484" s="49" t="s">
        <x:v>11275</x:v>
      </x:c>
      <x:c r="B2484" s="50"/>
    </x:row>
    <x:row r="2485">
      <x:c r="A2485" s="49" t="s">
        <x:v>11280</x:v>
      </x:c>
      <x:c r="B2485" s="50"/>
    </x:row>
    <x:row r="2486">
      <x:c r="A2486" s="49" t="s">
        <x:v>11285</x:v>
      </x:c>
      <x:c r="B2486" s="50"/>
    </x:row>
    <x:row r="2487">
      <x:c r="A2487" s="49" t="s">
        <x:v>11289</x:v>
      </x:c>
      <x:c r="B2487" s="50"/>
    </x:row>
    <x:row r="2488">
      <x:c r="A2488" s="49" t="s">
        <x:v>11293</x:v>
      </x:c>
      <x:c r="B2488" s="50"/>
    </x:row>
    <x:row r="2489">
      <x:c r="A2489" s="49" t="s">
        <x:v>11297</x:v>
      </x:c>
      <x:c r="B2489" s="50"/>
    </x:row>
    <x:row r="2490">
      <x:c r="A2490" s="49" t="s">
        <x:v>11301</x:v>
      </x:c>
      <x:c r="B2490" s="50"/>
    </x:row>
    <x:row r="2491">
      <x:c r="A2491" s="49" t="s">
        <x:v>11305</x:v>
      </x:c>
      <x:c r="B2491" s="50"/>
    </x:row>
    <x:row r="2492">
      <x:c r="A2492" s="49" t="s">
        <x:v>11309</x:v>
      </x:c>
      <x:c r="B2492" s="50"/>
    </x:row>
    <x:row r="2493">
      <x:c r="A2493" s="49" t="s">
        <x:v>11314</x:v>
      </x:c>
      <x:c r="B2493" s="50"/>
    </x:row>
    <x:row r="2494">
      <x:c r="A2494" s="49" t="s">
        <x:v>11319</x:v>
      </x:c>
      <x:c r="B2494" s="50"/>
    </x:row>
    <x:row r="2495">
      <x:c r="A2495" s="49" t="s">
        <x:v>11323</x:v>
      </x:c>
      <x:c r="B2495" s="50"/>
    </x:row>
    <x:row r="2496">
      <x:c r="A2496" s="49" t="s">
        <x:v>11327</x:v>
      </x:c>
      <x:c r="B2496" s="50"/>
    </x:row>
    <x:row r="2497">
      <x:c r="A2497" s="49" t="s">
        <x:v>11331</x:v>
      </x:c>
      <x:c r="B2497" s="50"/>
    </x:row>
    <x:row r="2498">
      <x:c r="A2498" s="49" t="s">
        <x:v>11336</x:v>
      </x:c>
      <x:c r="B2498" s="50"/>
    </x:row>
    <x:row r="2499">
      <x:c r="A2499" s="49" t="s">
        <x:v>11340</x:v>
      </x:c>
      <x:c r="B2499" s="50"/>
    </x:row>
    <x:row r="2500">
      <x:c r="A2500" s="49" t="s">
        <x:v>11345</x:v>
      </x:c>
      <x:c r="B2500" s="50"/>
    </x:row>
    <x:row r="2501">
      <x:c r="A2501" s="49" t="s">
        <x:v>11350</x:v>
      </x:c>
      <x:c r="B2501" s="50"/>
    </x:row>
    <x:row r="2502">
      <x:c r="A2502" s="49" t="s">
        <x:v>11354</x:v>
      </x:c>
      <x:c r="B2502" s="50"/>
    </x:row>
    <x:row r="2503">
      <x:c r="A2503" s="49" t="s">
        <x:v>11358</x:v>
      </x:c>
      <x:c r="B2503" s="50"/>
    </x:row>
    <x:row r="2504">
      <x:c r="A2504" s="49" t="s">
        <x:v>11363</x:v>
      </x:c>
      <x:c r="B2504" s="50"/>
    </x:row>
    <x:row r="2505">
      <x:c r="A2505" s="49" t="s">
        <x:v>11368</x:v>
      </x:c>
      <x:c r="B2505" s="50"/>
    </x:row>
    <x:row r="2506">
      <x:c r="A2506" s="49" t="s">
        <x:v>11373</x:v>
      </x:c>
      <x:c r="B2506" s="50"/>
    </x:row>
    <x:row r="2507">
      <x:c r="A2507" s="49" t="s">
        <x:v>11377</x:v>
      </x:c>
      <x:c r="B2507" s="50"/>
    </x:row>
    <x:row r="2508">
      <x:c r="A2508" s="49" t="s">
        <x:v>11381</x:v>
      </x:c>
      <x:c r="B2508" s="50"/>
    </x:row>
    <x:row r="2509">
      <x:c r="A2509" s="49" t="s">
        <x:v>11386</x:v>
      </x:c>
      <x:c r="B2509" s="50"/>
    </x:row>
    <x:row r="2510">
      <x:c r="A2510" s="49" t="s">
        <x:v>11391</x:v>
      </x:c>
      <x:c r="B2510" s="50"/>
    </x:row>
    <x:row r="2511">
      <x:c r="A2511" s="49" t="s">
        <x:v>11396</x:v>
      </x:c>
      <x:c r="B2511" s="50"/>
    </x:row>
    <x:row r="2512">
      <x:c r="A2512" s="49" t="s">
        <x:v>11400</x:v>
      </x:c>
      <x:c r="B2512" s="50"/>
    </x:row>
    <x:row r="2513">
      <x:c r="A2513" s="49" t="s">
        <x:v>11405</x:v>
      </x:c>
      <x:c r="B2513" s="50"/>
    </x:row>
    <x:row r="2514">
      <x:c r="A2514" s="49" t="s">
        <x:v>11410</x:v>
      </x:c>
      <x:c r="B2514" s="50"/>
    </x:row>
    <x:row r="2515">
      <x:c r="A2515" s="49" t="s">
        <x:v>11414</x:v>
      </x:c>
      <x:c r="B2515" s="50"/>
    </x:row>
    <x:row r="2516">
      <x:c r="A2516" s="49" t="s">
        <x:v>11419</x:v>
      </x:c>
      <x:c r="B2516" s="50"/>
    </x:row>
    <x:row r="2517">
      <x:c r="A2517" s="49" t="s">
        <x:v>11423</x:v>
      </x:c>
      <x:c r="B2517" s="50"/>
    </x:row>
    <x:row r="2518">
      <x:c r="A2518" s="49" t="s">
        <x:v>11427</x:v>
      </x:c>
      <x:c r="B2518" s="50"/>
    </x:row>
    <x:row r="2519">
      <x:c r="A2519" s="49" t="s">
        <x:v>11432</x:v>
      </x:c>
      <x:c r="B2519" s="50"/>
    </x:row>
    <x:row r="2520">
      <x:c r="A2520" s="49" t="s">
        <x:v>11437</x:v>
      </x:c>
      <x:c r="B2520" s="50"/>
    </x:row>
    <x:row r="2521">
      <x:c r="A2521" s="49" t="s">
        <x:v>11441</x:v>
      </x:c>
      <x:c r="B2521" s="50"/>
    </x:row>
    <x:row r="2522">
      <x:c r="A2522" s="49" t="s">
        <x:v>11445</x:v>
      </x:c>
      <x:c r="B2522" s="50"/>
    </x:row>
    <x:row r="2523">
      <x:c r="A2523" s="49" t="s">
        <x:v>11449</x:v>
      </x:c>
      <x:c r="B2523" s="50"/>
    </x:row>
    <x:row r="2524">
      <x:c r="A2524" s="49" t="s">
        <x:v>11453</x:v>
      </x:c>
      <x:c r="B2524" s="50"/>
    </x:row>
    <x:row r="2525">
      <x:c r="A2525" s="49" t="s">
        <x:v>11458</x:v>
      </x:c>
      <x:c r="B2525" s="50"/>
    </x:row>
    <x:row r="2526">
      <x:c r="A2526" s="49" t="s">
        <x:v>11462</x:v>
      </x:c>
      <x:c r="B2526" s="50"/>
    </x:row>
    <x:row r="2527">
      <x:c r="A2527" s="49" t="s">
        <x:v>11467</x:v>
      </x:c>
      <x:c r="B2527" s="50"/>
    </x:row>
    <x:row r="2528">
      <x:c r="A2528" s="49" t="s">
        <x:v>11471</x:v>
      </x:c>
      <x:c r="B2528" s="50"/>
    </x:row>
    <x:row r="2529">
      <x:c r="A2529" s="49" t="s">
        <x:v>11475</x:v>
      </x:c>
      <x:c r="B2529" s="50"/>
    </x:row>
    <x:row r="2530">
      <x:c r="A2530" s="49" t="s">
        <x:v>11479</x:v>
      </x:c>
      <x:c r="B2530" s="50"/>
    </x:row>
    <x:row r="2531">
      <x:c r="A2531" s="49" t="s">
        <x:v>11483</x:v>
      </x:c>
      <x:c r="B2531" s="50"/>
    </x:row>
    <x:row r="2532">
      <x:c r="A2532" s="49" t="s">
        <x:v>11487</x:v>
      </x:c>
      <x:c r="B2532" s="50"/>
    </x:row>
    <x:row r="2533">
      <x:c r="A2533" s="49" t="s">
        <x:v>11492</x:v>
      </x:c>
      <x:c r="B2533" s="50"/>
    </x:row>
    <x:row r="2534">
      <x:c r="A2534" s="49" t="s">
        <x:v>11496</x:v>
      </x:c>
      <x:c r="B2534" s="50"/>
    </x:row>
    <x:row r="2535">
      <x:c r="A2535" s="49" t="s">
        <x:v>11501</x:v>
      </x:c>
      <x:c r="B2535" s="50"/>
    </x:row>
    <x:row r="2536">
      <x:c r="A2536" s="49" t="s">
        <x:v>11505</x:v>
      </x:c>
      <x:c r="B2536" s="50"/>
    </x:row>
    <x:row r="2537">
      <x:c r="A2537" s="49" t="s">
        <x:v>11509</x:v>
      </x:c>
      <x:c r="B2537" s="50"/>
    </x:row>
    <x:row r="2538">
      <x:c r="A2538" s="49" t="s">
        <x:v>11513</x:v>
      </x:c>
      <x:c r="B2538" s="50"/>
    </x:row>
    <x:row r="2539">
      <x:c r="A2539" s="49" t="s">
        <x:v>11517</x:v>
      </x:c>
      <x:c r="B2539" s="50"/>
    </x:row>
    <x:row r="2540">
      <x:c r="A2540" s="49" t="s">
        <x:v>11522</x:v>
      </x:c>
      <x:c r="B2540" s="50"/>
    </x:row>
    <x:row r="2541">
      <x:c r="A2541" s="49" t="s">
        <x:v>11526</x:v>
      </x:c>
      <x:c r="B2541" s="50"/>
    </x:row>
    <x:row r="2542">
      <x:c r="A2542" s="49" t="s">
        <x:v>11530</x:v>
      </x:c>
      <x:c r="B2542" s="50"/>
    </x:row>
    <x:row r="2543">
      <x:c r="A2543" s="49" t="s">
        <x:v>11535</x:v>
      </x:c>
      <x:c r="B2543" s="50"/>
    </x:row>
    <x:row r="2544">
      <x:c r="A2544" s="49" t="s">
        <x:v>11539</x:v>
      </x:c>
      <x:c r="B2544" s="50"/>
    </x:row>
    <x:row r="2545">
      <x:c r="A2545" s="49" t="s">
        <x:v>11544</x:v>
      </x:c>
      <x:c r="B2545" s="50"/>
    </x:row>
    <x:row r="2546">
      <x:c r="A2546" s="49" t="s">
        <x:v>11548</x:v>
      </x:c>
      <x:c r="B2546" s="50"/>
    </x:row>
    <x:row r="2547">
      <x:c r="A2547" s="49" t="s">
        <x:v>11552</x:v>
      </x:c>
      <x:c r="B2547" s="50"/>
    </x:row>
    <x:row r="2548">
      <x:c r="A2548" s="49" t="s">
        <x:v>11556</x:v>
      </x:c>
      <x:c r="B2548" s="50"/>
    </x:row>
    <x:row r="2549">
      <x:c r="A2549" s="49" t="s">
        <x:v>11560</x:v>
      </x:c>
      <x:c r="B2549" s="50"/>
    </x:row>
    <x:row r="2550">
      <x:c r="A2550" s="49" t="s">
        <x:v>11564</x:v>
      </x:c>
      <x:c r="B2550" s="50"/>
    </x:row>
    <x:row r="2551">
      <x:c r="A2551" s="49" t="s">
        <x:v>11568</x:v>
      </x:c>
      <x:c r="B2551" s="50"/>
    </x:row>
    <x:row r="2552">
      <x:c r="A2552" s="49" t="s">
        <x:v>11572</x:v>
      </x:c>
      <x:c r="B2552" s="50"/>
    </x:row>
    <x:row r="2553">
      <x:c r="A2553" s="49" t="s">
        <x:v>11576</x:v>
      </x:c>
      <x:c r="B2553" s="50"/>
    </x:row>
    <x:row r="2554">
      <x:c r="A2554" s="49" t="s">
        <x:v>11581</x:v>
      </x:c>
      <x:c r="B2554" s="50"/>
    </x:row>
    <x:row r="2555">
      <x:c r="A2555" s="49" t="s">
        <x:v>11586</x:v>
      </x:c>
      <x:c r="B2555" s="50"/>
    </x:row>
    <x:row r="2556">
      <x:c r="A2556" s="49" t="s">
        <x:v>11590</x:v>
      </x:c>
      <x:c r="B2556" s="50"/>
    </x:row>
    <x:row r="2557">
      <x:c r="A2557" s="49" t="s">
        <x:v>11594</x:v>
      </x:c>
      <x:c r="B2557" s="50"/>
    </x:row>
    <x:row r="2558">
      <x:c r="A2558" s="49" t="s">
        <x:v>11599</x:v>
      </x:c>
      <x:c r="B2558" s="50"/>
    </x:row>
    <x:row r="2559">
      <x:c r="A2559" s="49" t="s">
        <x:v>11603</x:v>
      </x:c>
      <x:c r="B2559" s="50"/>
    </x:row>
    <x:row r="2560">
      <x:c r="A2560" s="49" t="s">
        <x:v>11608</x:v>
      </x:c>
      <x:c r="B2560" s="50"/>
    </x:row>
    <x:row r="2561">
      <x:c r="A2561" s="49" t="s">
        <x:v>11612</x:v>
      </x:c>
      <x:c r="B2561" s="50"/>
    </x:row>
    <x:row r="2562">
      <x:c r="A2562" s="49" t="s">
        <x:v>11616</x:v>
      </x:c>
      <x:c r="B2562" s="50"/>
    </x:row>
    <x:row r="2563">
      <x:c r="A2563" s="49" t="s">
        <x:v>11620</x:v>
      </x:c>
      <x:c r="B2563" s="50"/>
    </x:row>
    <x:row r="2564">
      <x:c r="A2564" s="49" t="s">
        <x:v>11625</x:v>
      </x:c>
      <x:c r="B2564" s="50"/>
    </x:row>
    <x:row r="2565">
      <x:c r="A2565" s="49" t="s">
        <x:v>11629</x:v>
      </x:c>
      <x:c r="B2565" s="50"/>
    </x:row>
    <x:row r="2566">
      <x:c r="A2566" s="49" t="s">
        <x:v>11633</x:v>
      </x:c>
      <x:c r="B2566" s="50"/>
    </x:row>
    <x:row r="2567">
      <x:c r="A2567" s="49" t="s">
        <x:v>11637</x:v>
      </x:c>
      <x:c r="B2567" s="50"/>
    </x:row>
    <x:row r="2568">
      <x:c r="A2568" s="49" t="s">
        <x:v>11642</x:v>
      </x:c>
      <x:c r="B2568" s="50"/>
    </x:row>
    <x:row r="2569">
      <x:c r="A2569" s="49" t="s">
        <x:v>11646</x:v>
      </x:c>
      <x:c r="B2569" s="50"/>
    </x:row>
    <x:row r="2570">
      <x:c r="A2570" s="49" t="s">
        <x:v>11650</x:v>
      </x:c>
      <x:c r="B2570" s="50"/>
    </x:row>
    <x:row r="2571">
      <x:c r="A2571" s="49" t="s">
        <x:v>11655</x:v>
      </x:c>
      <x:c r="B2571" s="50"/>
    </x:row>
    <x:row r="2572">
      <x:c r="A2572" s="49" t="s">
        <x:v>11659</x:v>
      </x:c>
      <x:c r="B2572" s="50"/>
    </x:row>
    <x:row r="2573">
      <x:c r="A2573" s="49" t="s">
        <x:v>11663</x:v>
      </x:c>
      <x:c r="B2573" s="50"/>
    </x:row>
    <x:row r="2574">
      <x:c r="A2574" s="49" t="s">
        <x:v>11667</x:v>
      </x:c>
      <x:c r="B2574" s="50"/>
    </x:row>
    <x:row r="2575">
      <x:c r="A2575" s="49" t="s">
        <x:v>11672</x:v>
      </x:c>
      <x:c r="B2575" s="50"/>
    </x:row>
    <x:row r="2576">
      <x:c r="A2576" s="49" t="s">
        <x:v>11676</x:v>
      </x:c>
      <x:c r="B2576" s="50"/>
    </x:row>
    <x:row r="2577">
      <x:c r="A2577" s="49" t="s">
        <x:v>11681</x:v>
      </x:c>
      <x:c r="B2577" s="50"/>
    </x:row>
    <x:row r="2578">
      <x:c r="A2578" s="49" t="s">
        <x:v>11685</x:v>
      </x:c>
      <x:c r="B2578" s="50"/>
    </x:row>
    <x:row r="2579">
      <x:c r="A2579" s="49" t="s">
        <x:v>11689</x:v>
      </x:c>
      <x:c r="B2579" s="50"/>
    </x:row>
    <x:row r="2580">
      <x:c r="A2580" s="49" t="s">
        <x:v>11693</x:v>
      </x:c>
      <x:c r="B2580" s="50"/>
    </x:row>
    <x:row r="2581">
      <x:c r="A2581" s="49" t="s">
        <x:v>11697</x:v>
      </x:c>
      <x:c r="B2581" s="50"/>
    </x:row>
    <x:row r="2582">
      <x:c r="A2582" s="49" t="s">
        <x:v>11701</x:v>
      </x:c>
      <x:c r="B2582" s="50"/>
    </x:row>
    <x:row r="2583">
      <x:c r="A2583" s="49" t="s">
        <x:v>11705</x:v>
      </x:c>
      <x:c r="B2583" s="50"/>
    </x:row>
    <x:row r="2584">
      <x:c r="A2584" s="49" t="s">
        <x:v>11709</x:v>
      </x:c>
      <x:c r="B2584" s="50"/>
    </x:row>
    <x:row r="2585">
      <x:c r="A2585" s="49" t="s">
        <x:v>11713</x:v>
      </x:c>
      <x:c r="B2585" s="50"/>
    </x:row>
    <x:row r="2586">
      <x:c r="A2586" s="49" t="s">
        <x:v>11717</x:v>
      </x:c>
      <x:c r="B2586" s="50"/>
    </x:row>
    <x:row r="2587">
      <x:c r="A2587" s="49" t="s">
        <x:v>11721</x:v>
      </x:c>
      <x:c r="B2587" s="50"/>
    </x:row>
    <x:row r="2588">
      <x:c r="A2588" s="49" t="s">
        <x:v>11725</x:v>
      </x:c>
      <x:c r="B2588" s="50"/>
    </x:row>
    <x:row r="2589">
      <x:c r="A2589" s="49" t="s">
        <x:v>11730</x:v>
      </x:c>
      <x:c r="B2589" s="50"/>
    </x:row>
    <x:row r="2590">
      <x:c r="A2590" s="49" t="s">
        <x:v>11735</x:v>
      </x:c>
      <x:c r="B2590" s="50"/>
    </x:row>
    <x:row r="2591">
      <x:c r="A2591" s="49" t="s">
        <x:v>11739</x:v>
      </x:c>
      <x:c r="B2591" s="50"/>
    </x:row>
    <x:row r="2592">
      <x:c r="A2592" s="49" t="s">
        <x:v>11743</x:v>
      </x:c>
      <x:c r="B2592" s="50"/>
    </x:row>
    <x:row r="2593">
      <x:c r="A2593" s="49" t="s">
        <x:v>11747</x:v>
      </x:c>
      <x:c r="B2593" s="50"/>
    </x:row>
    <x:row r="2594">
      <x:c r="A2594" s="49" t="s">
        <x:v>11752</x:v>
      </x:c>
      <x:c r="B2594" s="50"/>
    </x:row>
    <x:row r="2595">
      <x:c r="A2595" s="49" t="s">
        <x:v>11756</x:v>
      </x:c>
      <x:c r="B2595" s="50"/>
    </x:row>
    <x:row r="2596">
      <x:c r="A2596" s="49" t="s">
        <x:v>11760</x:v>
      </x:c>
      <x:c r="B2596" s="50"/>
    </x:row>
    <x:row r="2597">
      <x:c r="A2597" s="49" t="s">
        <x:v>11764</x:v>
      </x:c>
      <x:c r="B2597" s="50"/>
    </x:row>
    <x:row r="2598">
      <x:c r="A2598" s="49" t="s">
        <x:v>11768</x:v>
      </x:c>
      <x:c r="B2598" s="50"/>
    </x:row>
    <x:row r="2599">
      <x:c r="A2599" s="49" t="s">
        <x:v>11773</x:v>
      </x:c>
      <x:c r="B2599" s="50"/>
    </x:row>
    <x:row r="2600">
      <x:c r="A2600" s="49" t="s">
        <x:v>11778</x:v>
      </x:c>
      <x:c r="B2600" s="50"/>
    </x:row>
    <x:row r="2601">
      <x:c r="A2601" s="49" t="s">
        <x:v>11783</x:v>
      </x:c>
      <x:c r="B2601" s="50"/>
    </x:row>
    <x:row r="2602">
      <x:c r="A2602" s="49" t="s">
        <x:v>11787</x:v>
      </x:c>
      <x:c r="B2602" s="50"/>
    </x:row>
    <x:row r="2603">
      <x:c r="A2603" s="49" t="s">
        <x:v>11791</x:v>
      </x:c>
      <x:c r="B2603" s="50"/>
    </x:row>
    <x:row r="2604">
      <x:c r="A2604" s="49" t="s">
        <x:v>11796</x:v>
      </x:c>
      <x:c r="B2604" s="50"/>
    </x:row>
    <x:row r="2605">
      <x:c r="A2605" s="49" t="s">
        <x:v>11800</x:v>
      </x:c>
      <x:c r="B2605" s="50"/>
    </x:row>
    <x:row r="2606">
      <x:c r="A2606" s="49" t="s">
        <x:v>11804</x:v>
      </x:c>
      <x:c r="B2606" s="50"/>
    </x:row>
    <x:row r="2607">
      <x:c r="A2607" s="49" t="s">
        <x:v>11808</x:v>
      </x:c>
      <x:c r="B2607" s="50"/>
    </x:row>
    <x:row r="2608">
      <x:c r="A2608" s="49" t="s">
        <x:v>11812</x:v>
      </x:c>
      <x:c r="B2608" s="50"/>
    </x:row>
    <x:row r="2609">
      <x:c r="A2609" s="49" t="s">
        <x:v>11816</x:v>
      </x:c>
      <x:c r="B2609" s="50"/>
    </x:row>
    <x:row r="2610">
      <x:c r="A2610" s="49" t="s">
        <x:v>11820</x:v>
      </x:c>
      <x:c r="B2610" s="50"/>
    </x:row>
    <x:row r="2611">
      <x:c r="A2611" s="49" t="s">
        <x:v>11825</x:v>
      </x:c>
      <x:c r="B2611" s="50"/>
    </x:row>
    <x:row r="2612">
      <x:c r="A2612" s="49" t="s">
        <x:v>11830</x:v>
      </x:c>
      <x:c r="B2612" s="50"/>
    </x:row>
    <x:row r="2613">
      <x:c r="A2613" s="49" t="s">
        <x:v>11834</x:v>
      </x:c>
      <x:c r="B2613" s="50"/>
    </x:row>
    <x:row r="2614">
      <x:c r="A2614" s="49" t="s">
        <x:v>11838</x:v>
      </x:c>
      <x:c r="B2614" s="50"/>
    </x:row>
    <x:row r="2615">
      <x:c r="A2615" s="49" t="s">
        <x:v>11842</x:v>
      </x:c>
      <x:c r="B2615" s="50"/>
    </x:row>
    <x:row r="2616">
      <x:c r="A2616" s="49" t="s">
        <x:v>11846</x:v>
      </x:c>
      <x:c r="B2616" s="50"/>
    </x:row>
    <x:row r="2617">
      <x:c r="A2617" s="49" t="s">
        <x:v>11850</x:v>
      </x:c>
      <x:c r="B2617" s="50"/>
    </x:row>
    <x:row r="2618">
      <x:c r="A2618" s="49" t="s">
        <x:v>11855</x:v>
      </x:c>
      <x:c r="B2618" s="50"/>
    </x:row>
    <x:row r="2619">
      <x:c r="A2619" s="49" t="s">
        <x:v>11859</x:v>
      </x:c>
      <x:c r="B2619" s="50"/>
    </x:row>
    <x:row r="2620">
      <x:c r="A2620" s="49" t="s">
        <x:v>11863</x:v>
      </x:c>
      <x:c r="B2620" s="50"/>
    </x:row>
    <x:row r="2621">
      <x:c r="A2621" s="49" t="s">
        <x:v>11867</x:v>
      </x:c>
      <x:c r="B2621" s="50"/>
    </x:row>
    <x:row r="2622">
      <x:c r="A2622" s="49" t="s">
        <x:v>11871</x:v>
      </x:c>
      <x:c r="B2622" s="50"/>
    </x:row>
    <x:row r="2623">
      <x:c r="A2623" s="49" t="s">
        <x:v>11875</x:v>
      </x:c>
      <x:c r="B2623" s="50"/>
    </x:row>
    <x:row r="2624">
      <x:c r="A2624" s="49" t="s">
        <x:v>11880</x:v>
      </x:c>
      <x:c r="B2624" s="50"/>
    </x:row>
    <x:row r="2625">
      <x:c r="A2625" s="49" t="s">
        <x:v>11884</x:v>
      </x:c>
      <x:c r="B2625" s="50"/>
    </x:row>
    <x:row r="2626">
      <x:c r="A2626" s="49" t="s">
        <x:v>11888</x:v>
      </x:c>
      <x:c r="B2626" s="50"/>
    </x:row>
    <x:row r="2627">
      <x:c r="A2627" s="49" t="s">
        <x:v>11892</x:v>
      </x:c>
      <x:c r="B2627" s="50"/>
    </x:row>
    <x:row r="2628">
      <x:c r="A2628" s="49" t="s">
        <x:v>11896</x:v>
      </x:c>
      <x:c r="B2628" s="50"/>
    </x:row>
    <x:row r="2629">
      <x:c r="A2629" s="49" t="s">
        <x:v>11900</x:v>
      </x:c>
      <x:c r="B2629" s="50"/>
    </x:row>
    <x:row r="2630">
      <x:c r="A2630" s="49" t="s">
        <x:v>11905</x:v>
      </x:c>
      <x:c r="B2630" s="50"/>
    </x:row>
    <x:row r="2631">
      <x:c r="A2631" s="49" t="s">
        <x:v>11910</x:v>
      </x:c>
      <x:c r="B2631" s="50"/>
    </x:row>
    <x:row r="2632">
      <x:c r="A2632" s="49" t="s">
        <x:v>11914</x:v>
      </x:c>
      <x:c r="B2632" s="50"/>
    </x:row>
    <x:row r="2633">
      <x:c r="A2633" s="49" t="s">
        <x:v>11918</x:v>
      </x:c>
      <x:c r="B2633" s="50"/>
    </x:row>
    <x:row r="2634">
      <x:c r="A2634" s="49" t="s">
        <x:v>11922</x:v>
      </x:c>
      <x:c r="B2634" s="50"/>
    </x:row>
    <x:row r="2635">
      <x:c r="A2635" s="49" t="s">
        <x:v>11926</x:v>
      </x:c>
      <x:c r="B2635" s="50"/>
    </x:row>
    <x:row r="2636">
      <x:c r="A2636" s="49" t="s">
        <x:v>11930</x:v>
      </x:c>
      <x:c r="B2636" s="50"/>
    </x:row>
    <x:row r="2637">
      <x:c r="A2637" s="49" t="s">
        <x:v>11934</x:v>
      </x:c>
      <x:c r="B2637" s="50"/>
    </x:row>
    <x:row r="2638">
      <x:c r="A2638" s="49" t="s">
        <x:v>11938</x:v>
      </x:c>
      <x:c r="B2638" s="50"/>
    </x:row>
    <x:row r="2639">
      <x:c r="A2639" s="49" t="s">
        <x:v>11942</x:v>
      </x:c>
      <x:c r="B2639" s="50"/>
    </x:row>
    <x:row r="2640">
      <x:c r="A2640" s="49" t="s">
        <x:v>11947</x:v>
      </x:c>
      <x:c r="B2640" s="50"/>
    </x:row>
    <x:row r="2641">
      <x:c r="A2641" s="49" t="s">
        <x:v>11951</x:v>
      </x:c>
      <x:c r="B2641" s="50"/>
    </x:row>
    <x:row r="2642">
      <x:c r="A2642" s="49" t="s">
        <x:v>11955</x:v>
      </x:c>
      <x:c r="B2642" s="50"/>
    </x:row>
    <x:row r="2643">
      <x:c r="A2643" s="49" t="s">
        <x:v>11959</x:v>
      </x:c>
      <x:c r="B2643" s="50"/>
    </x:row>
    <x:row r="2644">
      <x:c r="A2644" s="49" t="s">
        <x:v>11963</x:v>
      </x:c>
      <x:c r="B2644" s="50"/>
    </x:row>
    <x:row r="2645">
      <x:c r="A2645" s="49" t="s">
        <x:v>11968</x:v>
      </x:c>
      <x:c r="B2645" s="50"/>
    </x:row>
    <x:row r="2646">
      <x:c r="A2646" s="49" t="s">
        <x:v>11972</x:v>
      </x:c>
      <x:c r="B2646" s="50"/>
    </x:row>
    <x:row r="2647">
      <x:c r="A2647" s="49" t="s">
        <x:v>11976</x:v>
      </x:c>
      <x:c r="B2647" s="50"/>
    </x:row>
    <x:row r="2648">
      <x:c r="A2648" s="49" t="s">
        <x:v>11980</x:v>
      </x:c>
      <x:c r="B2648" s="50"/>
    </x:row>
    <x:row r="2649">
      <x:c r="A2649" s="49" t="s">
        <x:v>11984</x:v>
      </x:c>
      <x:c r="B2649" s="50"/>
    </x:row>
    <x:row r="2650">
      <x:c r="A2650" s="49" t="s">
        <x:v>11988</x:v>
      </x:c>
      <x:c r="B2650" s="50"/>
    </x:row>
    <x:row r="2651">
      <x:c r="A2651" s="49" t="s">
        <x:v>11992</x:v>
      </x:c>
      <x:c r="B2651" s="50"/>
    </x:row>
    <x:row r="2652">
      <x:c r="A2652" s="49" t="s">
        <x:v>11997</x:v>
      </x:c>
      <x:c r="B2652" s="50"/>
    </x:row>
    <x:row r="2653">
      <x:c r="A2653" s="49" t="s">
        <x:v>12001</x:v>
      </x:c>
      <x:c r="B2653" s="50"/>
    </x:row>
    <x:row r="2654">
      <x:c r="A2654" s="49" t="s">
        <x:v>12005</x:v>
      </x:c>
      <x:c r="B2654" s="50"/>
    </x:row>
    <x:row r="2655">
      <x:c r="A2655" s="49" t="s">
        <x:v>12009</x:v>
      </x:c>
      <x:c r="B2655" s="50"/>
    </x:row>
    <x:row r="2656">
      <x:c r="A2656" s="49" t="s">
        <x:v>12013</x:v>
      </x:c>
      <x:c r="B2656" s="50"/>
    </x:row>
    <x:row r="2657">
      <x:c r="A2657" s="49" t="s">
        <x:v>12017</x:v>
      </x:c>
      <x:c r="B2657" s="50"/>
    </x:row>
    <x:row r="2658">
      <x:c r="A2658" s="49" t="s">
        <x:v>12021</x:v>
      </x:c>
      <x:c r="B2658" s="50"/>
    </x:row>
    <x:row r="2659">
      <x:c r="A2659" s="49" t="s">
        <x:v>12025</x:v>
      </x:c>
      <x:c r="B2659" s="50"/>
    </x:row>
    <x:row r="2660">
      <x:c r="A2660" s="49" t="s">
        <x:v>12029</x:v>
      </x:c>
      <x:c r="B2660" s="50"/>
    </x:row>
    <x:row r="2661">
      <x:c r="A2661" s="49" t="s">
        <x:v>12033</x:v>
      </x:c>
      <x:c r="B2661" s="50"/>
    </x:row>
    <x:row r="2662">
      <x:c r="A2662" s="49" t="s">
        <x:v>12037</x:v>
      </x:c>
      <x:c r="B2662" s="50"/>
    </x:row>
    <x:row r="2663">
      <x:c r="A2663" s="49" t="s">
        <x:v>12041</x:v>
      </x:c>
      <x:c r="B2663" s="50"/>
    </x:row>
    <x:row r="2664">
      <x:c r="A2664" s="49" t="s">
        <x:v>12046</x:v>
      </x:c>
      <x:c r="B2664" s="50"/>
    </x:row>
    <x:row r="2665">
      <x:c r="A2665" s="49" t="s">
        <x:v>12050</x:v>
      </x:c>
      <x:c r="B2665" s="50"/>
    </x:row>
    <x:row r="2666">
      <x:c r="A2666" s="49" t="s">
        <x:v>12055</x:v>
      </x:c>
      <x:c r="B2666" s="50"/>
    </x:row>
    <x:row r="2667">
      <x:c r="A2667" s="49" t="s">
        <x:v>12060</x:v>
      </x:c>
      <x:c r="B2667" s="50"/>
    </x:row>
    <x:row r="2668">
      <x:c r="A2668" s="49" t="s">
        <x:v>12064</x:v>
      </x:c>
      <x:c r="B2668" s="50"/>
    </x:row>
    <x:row r="2669">
      <x:c r="A2669" s="49" t="s">
        <x:v>12068</x:v>
      </x:c>
      <x:c r="B2669" s="50"/>
    </x:row>
    <x:row r="2670">
      <x:c r="A2670" s="49" t="s">
        <x:v>12072</x:v>
      </x:c>
      <x:c r="B2670" s="50"/>
    </x:row>
    <x:row r="2671">
      <x:c r="A2671" s="49" t="s">
        <x:v>12076</x:v>
      </x:c>
      <x:c r="B2671" s="50"/>
    </x:row>
    <x:row r="2672">
      <x:c r="A2672" s="49" t="s">
        <x:v>12080</x:v>
      </x:c>
      <x:c r="B2672" s="50"/>
    </x:row>
    <x:row r="2673">
      <x:c r="A2673" s="49" t="s">
        <x:v>12085</x:v>
      </x:c>
      <x:c r="B2673" s="50"/>
    </x:row>
    <x:row r="2674">
      <x:c r="A2674" s="49" t="s">
        <x:v>12090</x:v>
      </x:c>
      <x:c r="B2674" s="50"/>
    </x:row>
    <x:row r="2675">
      <x:c r="A2675" s="49" t="s">
        <x:v>12095</x:v>
      </x:c>
      <x:c r="B2675" s="50"/>
    </x:row>
    <x:row r="2676">
      <x:c r="A2676" s="49" t="s">
        <x:v>12099</x:v>
      </x:c>
      <x:c r="B2676" s="50"/>
    </x:row>
    <x:row r="2677">
      <x:c r="A2677" s="49" t="s">
        <x:v>12103</x:v>
      </x:c>
      <x:c r="B2677" s="50"/>
    </x:row>
    <x:row r="2678">
      <x:c r="A2678" s="49" t="s">
        <x:v>12108</x:v>
      </x:c>
      <x:c r="B2678" s="50"/>
    </x:row>
    <x:row r="2679">
      <x:c r="A2679" s="49" t="s">
        <x:v>12112</x:v>
      </x:c>
      <x:c r="B2679" s="50"/>
    </x:row>
    <x:row r="2680">
      <x:c r="A2680" s="49" t="s">
        <x:v>12116</x:v>
      </x:c>
      <x:c r="B2680" s="50"/>
    </x:row>
    <x:row r="2681">
      <x:c r="A2681" s="49" t="s">
        <x:v>12120</x:v>
      </x:c>
      <x:c r="B2681" s="50"/>
    </x:row>
    <x:row r="2682">
      <x:c r="A2682" s="49" t="s">
        <x:v>12124</x:v>
      </x:c>
      <x:c r="B2682" s="50"/>
    </x:row>
    <x:row r="2683">
      <x:c r="A2683" s="49" t="s">
        <x:v>12128</x:v>
      </x:c>
      <x:c r="B2683" s="50"/>
    </x:row>
    <x:row r="2684">
      <x:c r="A2684" s="49" t="s">
        <x:v>12132</x:v>
      </x:c>
      <x:c r="B2684" s="50"/>
    </x:row>
    <x:row r="2685">
      <x:c r="A2685" s="49" t="s">
        <x:v>12136</x:v>
      </x:c>
      <x:c r="B2685" s="50"/>
    </x:row>
    <x:row r="2686">
      <x:c r="A2686" s="49" t="s">
        <x:v>12140</x:v>
      </x:c>
      <x:c r="B2686" s="50"/>
    </x:row>
    <x:row r="2687">
      <x:c r="A2687" s="49" t="s">
        <x:v>12145</x:v>
      </x:c>
      <x:c r="B2687" s="50"/>
    </x:row>
    <x:row r="2688">
      <x:c r="A2688" s="49" t="s">
        <x:v>12149</x:v>
      </x:c>
      <x:c r="B2688" s="50"/>
    </x:row>
    <x:row r="2689">
      <x:c r="A2689" s="49" t="s">
        <x:v>12154</x:v>
      </x:c>
      <x:c r="B2689" s="50"/>
    </x:row>
    <x:row r="2690">
      <x:c r="A2690" s="49" t="s">
        <x:v>12158</x:v>
      </x:c>
      <x:c r="B2690" s="50"/>
    </x:row>
    <x:row r="2691">
      <x:c r="A2691" s="49" t="s">
        <x:v>12162</x:v>
      </x:c>
      <x:c r="B2691" s="50"/>
    </x:row>
    <x:row r="2692">
      <x:c r="A2692" s="49" t="s">
        <x:v>12166</x:v>
      </x:c>
      <x:c r="B2692" s="50"/>
    </x:row>
    <x:row r="2693">
      <x:c r="A2693" s="49" t="s">
        <x:v>12171</x:v>
      </x:c>
      <x:c r="B2693" s="50"/>
    </x:row>
    <x:row r="2694">
      <x:c r="A2694" s="49" t="s">
        <x:v>12175</x:v>
      </x:c>
      <x:c r="B2694" s="50"/>
    </x:row>
    <x:row r="2695">
      <x:c r="A2695" s="49" t="s">
        <x:v>12179</x:v>
      </x:c>
      <x:c r="B2695" s="50"/>
    </x:row>
    <x:row r="2696">
      <x:c r="A2696" s="49" t="s">
        <x:v>12183</x:v>
      </x:c>
      <x:c r="B2696" s="50"/>
    </x:row>
    <x:row r="2697">
      <x:c r="A2697" s="49" t="s">
        <x:v>12187</x:v>
      </x:c>
      <x:c r="B2697" s="50"/>
    </x:row>
    <x:row r="2698">
      <x:c r="A2698" s="49" t="s">
        <x:v>12192</x:v>
      </x:c>
      <x:c r="B2698" s="50"/>
    </x:row>
    <x:row r="2699">
      <x:c r="A2699" s="49" t="s">
        <x:v>12196</x:v>
      </x:c>
      <x:c r="B2699" s="50"/>
    </x:row>
    <x:row r="2700">
      <x:c r="A2700" s="49" t="s">
        <x:v>12200</x:v>
      </x:c>
      <x:c r="B2700" s="50"/>
    </x:row>
    <x:row r="2701">
      <x:c r="A2701" s="49" t="s">
        <x:v>12204</x:v>
      </x:c>
      <x:c r="B2701" s="50"/>
    </x:row>
    <x:row r="2702">
      <x:c r="A2702" s="49" t="s">
        <x:v>12209</x:v>
      </x:c>
      <x:c r="B2702" s="50"/>
    </x:row>
    <x:row r="2703">
      <x:c r="A2703" s="49" t="s">
        <x:v>12213</x:v>
      </x:c>
      <x:c r="B2703" s="50"/>
    </x:row>
    <x:row r="2704">
      <x:c r="A2704" s="49" t="s">
        <x:v>12217</x:v>
      </x:c>
      <x:c r="B2704" s="50"/>
    </x:row>
    <x:row r="2705">
      <x:c r="A2705" s="49" t="s">
        <x:v>12222</x:v>
      </x:c>
      <x:c r="B2705" s="50"/>
    </x:row>
    <x:row r="2706">
      <x:c r="A2706" s="49" t="s">
        <x:v>12227</x:v>
      </x:c>
      <x:c r="B2706" s="50"/>
    </x:row>
    <x:row r="2707">
      <x:c r="A2707" s="49" t="s">
        <x:v>12231</x:v>
      </x:c>
      <x:c r="B2707" s="50"/>
    </x:row>
    <x:row r="2708">
      <x:c r="A2708" s="49" t="s">
        <x:v>12235</x:v>
      </x:c>
      <x:c r="B2708" s="50"/>
    </x:row>
    <x:row r="2709">
      <x:c r="A2709" s="49" t="s">
        <x:v>12239</x:v>
      </x:c>
      <x:c r="B2709" s="50"/>
    </x:row>
    <x:row r="2710">
      <x:c r="A2710" s="49" t="s">
        <x:v>12244</x:v>
      </x:c>
      <x:c r="B2710" s="50"/>
    </x:row>
    <x:row r="2711">
      <x:c r="A2711" s="49" t="s">
        <x:v>12248</x:v>
      </x:c>
      <x:c r="B2711" s="50"/>
    </x:row>
    <x:row r="2712">
      <x:c r="A2712" s="49" t="s">
        <x:v>12253</x:v>
      </x:c>
      <x:c r="B2712" s="50"/>
    </x:row>
    <x:row r="2713">
      <x:c r="A2713" s="49" t="s">
        <x:v>12258</x:v>
      </x:c>
      <x:c r="B2713" s="50"/>
    </x:row>
    <x:row r="2714">
      <x:c r="A2714" s="49" t="s">
        <x:v>12262</x:v>
      </x:c>
      <x:c r="B2714" s="50"/>
    </x:row>
    <x:row r="2715">
      <x:c r="A2715" s="49" t="s">
        <x:v>12267</x:v>
      </x:c>
      <x:c r="B2715" s="50"/>
    </x:row>
    <x:row r="2716">
      <x:c r="A2716" s="49" t="s">
        <x:v>12271</x:v>
      </x:c>
      <x:c r="B2716" s="50"/>
    </x:row>
    <x:row r="2717">
      <x:c r="A2717" s="49" t="s">
        <x:v>12275</x:v>
      </x:c>
      <x:c r="B2717" s="50"/>
    </x:row>
    <x:row r="2718">
      <x:c r="A2718" s="49" t="s">
        <x:v>12279</x:v>
      </x:c>
      <x:c r="B2718" s="50"/>
    </x:row>
    <x:row r="2719">
      <x:c r="A2719" s="49" t="s">
        <x:v>12283</x:v>
      </x:c>
      <x:c r="B2719" s="50"/>
    </x:row>
    <x:row r="2720">
      <x:c r="A2720" s="49" t="s">
        <x:v>12288</x:v>
      </x:c>
      <x:c r="B2720" s="50"/>
    </x:row>
    <x:row r="2721">
      <x:c r="A2721" s="49" t="s">
        <x:v>12293</x:v>
      </x:c>
      <x:c r="B2721" s="50"/>
    </x:row>
    <x:row r="2722">
      <x:c r="A2722" s="49" t="s">
        <x:v>12297</x:v>
      </x:c>
      <x:c r="B2722" s="50"/>
    </x:row>
    <x:row r="2723">
      <x:c r="A2723" s="49" t="s">
        <x:v>12301</x:v>
      </x:c>
      <x:c r="B2723" s="50"/>
    </x:row>
    <x:row r="2724">
      <x:c r="A2724" s="49" t="s">
        <x:v>12305</x:v>
      </x:c>
      <x:c r="B2724" s="50"/>
    </x:row>
    <x:row r="2725">
      <x:c r="A2725" s="49" t="s">
        <x:v>12310</x:v>
      </x:c>
      <x:c r="B2725" s="50"/>
    </x:row>
    <x:row r="2726">
      <x:c r="A2726" s="49" t="s">
        <x:v>12314</x:v>
      </x:c>
      <x:c r="B2726" s="50"/>
    </x:row>
    <x:row r="2727">
      <x:c r="A2727" s="49" t="s">
        <x:v>12318</x:v>
      </x:c>
      <x:c r="B2727" s="50"/>
    </x:row>
    <x:row r="2728">
      <x:c r="A2728" s="49" t="s">
        <x:v>12323</x:v>
      </x:c>
      <x:c r="B2728" s="50"/>
    </x:row>
    <x:row r="2729">
      <x:c r="A2729" s="49" t="s">
        <x:v>12328</x:v>
      </x:c>
      <x:c r="B2729" s="50"/>
    </x:row>
    <x:row r="2730">
      <x:c r="A2730" s="49" t="s">
        <x:v>12332</x:v>
      </x:c>
      <x:c r="B2730" s="50"/>
    </x:row>
    <x:row r="2731">
      <x:c r="A2731" s="49" t="s">
        <x:v>12336</x:v>
      </x:c>
      <x:c r="B2731" s="50"/>
    </x:row>
    <x:row r="2732">
      <x:c r="A2732" s="49" t="s">
        <x:v>12340</x:v>
      </x:c>
      <x:c r="B2732" s="50"/>
    </x:row>
    <x:row r="2733">
      <x:c r="A2733" s="49" t="s">
        <x:v>1573</x:v>
      </x:c>
      <x:c r="B2733" s="50"/>
    </x:row>
    <x:row r="2734">
      <x:c r="A2734" s="49" t="s">
        <x:v>12348</x:v>
      </x:c>
      <x:c r="B2734" s="50"/>
    </x:row>
    <x:row r="2735">
      <x:c r="A2735" s="49" t="s">
        <x:v>12352</x:v>
      </x:c>
      <x:c r="B2735" s="50"/>
    </x:row>
    <x:row r="2736">
      <x:c r="A2736" s="49" t="s">
        <x:v>12356</x:v>
      </x:c>
      <x:c r="B2736" s="50"/>
    </x:row>
    <x:row r="2737">
      <x:c r="A2737" s="49" t="s">
        <x:v>12361</x:v>
      </x:c>
      <x:c r="B2737" s="50"/>
    </x:row>
    <x:row r="2738">
      <x:c r="A2738" s="49" t="s">
        <x:v>12366</x:v>
      </x:c>
      <x:c r="B2738" s="50"/>
    </x:row>
    <x:row r="2739">
      <x:c r="A2739" s="49" t="s">
        <x:v>12371</x:v>
      </x:c>
      <x:c r="B2739" s="50"/>
    </x:row>
    <x:row r="2740">
      <x:c r="A2740" s="49" t="s">
        <x:v>12376</x:v>
      </x:c>
      <x:c r="B2740" s="50"/>
    </x:row>
    <x:row r="2741">
      <x:c r="A2741" s="49" t="s">
        <x:v>12380</x:v>
      </x:c>
      <x:c r="B2741" s="50"/>
    </x:row>
    <x:row r="2742">
      <x:c r="A2742" s="49" t="s">
        <x:v>12384</x:v>
      </x:c>
      <x:c r="B2742" s="50"/>
    </x:row>
    <x:row r="2743">
      <x:c r="A2743" s="49" t="s">
        <x:v>12389</x:v>
      </x:c>
      <x:c r="B2743" s="50"/>
    </x:row>
    <x:row r="2744">
      <x:c r="A2744" s="49" t="s">
        <x:v>12394</x:v>
      </x:c>
      <x:c r="B2744" s="50"/>
    </x:row>
    <x:row r="2745">
      <x:c r="A2745" s="49" t="s">
        <x:v>12399</x:v>
      </x:c>
      <x:c r="B2745" s="50"/>
    </x:row>
    <x:row r="2746">
      <x:c r="A2746" s="49" t="s">
        <x:v>12404</x:v>
      </x:c>
      <x:c r="B2746" s="50"/>
    </x:row>
    <x:row r="2747">
      <x:c r="A2747" s="51" t="s">
        <x:v>12409</x:v>
      </x:c>
      <x:c r="B2747" s="52"/>
    </x:row>
  </x:sheetData>
  <x:mergeCells>
    <x:mergeCell ref="D1:F1"/>
    <x:mergeCell ref="D2:F3"/>
  </x:mergeCells>
  <x:conditionalFormatting sqref="A2:B2747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9" customWidth="1"/>
    <x:col min="2" max="6" width="18" customWidth="1"/>
  </x:cols>
  <x:sheetData>
    <x:row r="1" ht="20" customHeight="1">
      <x:c r="A1" s="69" t="s">
        <x:v>12428</x:v>
      </x:c>
      <x:c r="B1" s="69"/>
      <x:c r="C1" s="69"/>
      <x:c r="D1" s="69"/>
      <x:c r="E1" s="69"/>
      <x:c r="F1" s="69"/>
    </x:row>
    <x:row r="2" ht="12" customHeight="1">
      <x:c r="A2" s="76" t="s">
        <x:v>12429</x:v>
      </x:c>
      <x:c r="B2" s="76"/>
      <x:c r="C2" s="76"/>
      <x:c r="D2" s="76"/>
      <x:c r="E2" s="76"/>
      <x:c r="F2" s="76"/>
    </x:row>
    <x:row r="3" ht="24" customHeight="1">
      <x:c r="A3" s="117" t="str">
        <x:f>"The Hack Database currently contains "&amp;COUNTA('Hack Database'!$A$2:$A$10000)&amp;" hacks. Add a new hack to the next blank database row and it will automatically appear in the Tracker and Finder dropdowns."</x:f>
        <x:v>The Hack Database currently contains 2747 hacks. Add a new hack to the next blank database row and it will automatically appear in the Tracker and Finder dropdowns.</x:v>
      </x:c>
      <x:c r="B3" s="118"/>
      <x:c r="C3" s="118"/>
      <x:c r="D3" s="118"/>
      <x:c r="E3" s="118"/>
      <x:c r="F3" s="119"/>
    </x:row>
    <x:row r="5">
      <x:c r="A5" s="2" t="s">
        <x:v>12430</x:v>
      </x:c>
      <x:c r="B5" s="116" t="s">
        <x:v>12431</x:v>
      </x:c>
      <x:c r="C5" s="116"/>
      <x:c r="D5" s="116"/>
      <x:c r="E5" s="116"/>
      <x:c r="F5" s="116"/>
    </x:row>
    <x:row r="6" ht="15" customHeight="1">
      <x:c r="A6" s="53" t="s">
        <x:v>12432</x:v>
      </x:c>
      <x:c r="B6" s="113" t="s">
        <x:v>12433</x:v>
      </x:c>
      <x:c r="C6" s="114"/>
      <x:c r="D6" s="114"/>
      <x:c r="E6" s="114"/>
      <x:c r="F6" s="115"/>
    </x:row>
    <x:row r="7" ht="15" customHeight="1">
      <x:c r="A7" s="54" t="s">
        <x:v>12434</x:v>
      </x:c>
      <x:c r="B7" s="110" t="s">
        <x:v>12435</x:v>
      </x:c>
      <x:c r="C7" s="111"/>
      <x:c r="D7" s="111"/>
      <x:c r="E7" s="111"/>
      <x:c r="F7" s="112"/>
    </x:row>
    <x:row r="8" ht="15" customHeight="1">
      <x:c r="A8" s="54" t="s">
        <x:v>12436</x:v>
      </x:c>
      <x:c r="B8" s="110" t="s">
        <x:v>12437</x:v>
      </x:c>
      <x:c r="C8" s="111"/>
      <x:c r="D8" s="111"/>
      <x:c r="E8" s="111"/>
      <x:c r="F8" s="112"/>
    </x:row>
    <x:row r="9" ht="15" customHeight="1">
      <x:c r="A9" s="54" t="s">
        <x:v>12438</x:v>
      </x:c>
      <x:c r="B9" s="110" t="s">
        <x:v>12439</x:v>
      </x:c>
      <x:c r="C9" s="111"/>
      <x:c r="D9" s="111"/>
      <x:c r="E9" s="111"/>
      <x:c r="F9" s="112"/>
    </x:row>
    <x:row r="10" ht="15" customHeight="1">
      <x:c r="A10" s="54" t="s">
        <x:v>12440</x:v>
      </x:c>
      <x:c r="B10" s="110" t="s">
        <x:v>12441</x:v>
      </x:c>
      <x:c r="C10" s="111"/>
      <x:c r="D10" s="111"/>
      <x:c r="E10" s="111"/>
      <x:c r="F10" s="112"/>
    </x:row>
    <x:row r="11" ht="15" customHeight="1">
      <x:c r="A11" s="55" t="s">
        <x:v>12442</x:v>
      </x:c>
      <x:c r="B11" s="120" t="s">
        <x:v>12443</x:v>
      </x:c>
      <x:c r="C11" s="121"/>
      <x:c r="D11" s="121"/>
      <x:c r="E11" s="121"/>
      <x:c r="F11" s="122"/>
    </x:row>
    <x:row r="12" ht="15" customHeight="1">
      <x:c r="A12" s="56" t="s">
        <x:v>12444</x:v>
      </x:c>
      <x:c r="B12" s="123" t="s">
        <x:v>12445</x:v>
      </x:c>
      <x:c r="C12" s="124"/>
      <x:c r="D12" s="124"/>
      <x:c r="E12" s="124"/>
      <x:c r="F12" s="125"/>
    </x:row>
  </x:sheetData>
  <x:mergeCells>
    <x:mergeCell ref="B11:F11"/>
    <x:mergeCell ref="B12:F12"/>
    <x:mergeCell ref="B7:F7"/>
    <x:mergeCell ref="B6:F6"/>
    <x:mergeCell ref="B10:F10"/>
    <x:mergeCell ref="A1:F1"/>
    <x:mergeCell ref="B5:F5"/>
    <x:mergeCell ref="B8:F8"/>
    <x:mergeCell ref="A3:F3"/>
    <x:mergeCell ref="B9:F9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0" hidden="0" customWidth="1"/>
    <x:col min="3" max="3" width="30" hidden="0" customWidth="1"/>
    <x:col min="4" max="4" width="9" hidden="0" customWidth="1"/>
    <x:col min="5" max="5" width="15" hidden="0" customWidth="1"/>
    <x:col min="6" max="6" width="20" hidden="0" customWidth="1"/>
    <x:col min="7" max="7" width="14" hidden="0" customWidth="1"/>
    <x:col min="8" max="8" width="11" hidden="0" customWidth="1"/>
    <x:col min="9" max="9" width="46" hidden="0" customWidth="1"/>
    <x:col min="10" max="10" width="46" hidden="0" customWidth="1"/>
  </x:cols>
  <x:sheetData>
    <x:row r="1" ht="34" customHeight="1">
      <x:c r="A1" s="293" t="s">
        <x:v>84</x:v>
      </x:c>
      <x:c r="B1" s="293" t="s">
        <x:v>2</x:v>
      </x:c>
      <x:c r="C1" s="293" t="s">
        <x:v>3</x:v>
      </x:c>
      <x:c r="D1" s="293" t="s">
        <x:v>4</x:v>
      </x:c>
      <x:c r="E1" s="293" t="s">
        <x:v>5</x:v>
      </x:c>
      <x:c r="F1" s="293" t="s">
        <x:v>6</x:v>
      </x:c>
      <x:c r="G1" s="293" t="s">
        <x:v>81</x:v>
      </x:c>
      <x:c r="H1" s="293" t="s">
        <x:v>82</x:v>
      </x:c>
      <x:c r="I1" s="293" t="s">
        <x:v>85</x:v>
      </x:c>
      <x:c r="J1" s="293" t="s">
        <x:v>86</x:v>
      </x:c>
    </x:row>
    <x:row r="2">
      <x:c r="A2" t="s">
        <x:v>87</x:v>
      </x:c>
      <x:c r="B2" t="s">
        <x:v>87</x:v>
      </x:c>
      <x:c r="C2" t="s">
        <x:v>88</x:v>
      </x:c>
      <x:c r="D2">
        <x:v>8</x:v>
      </x:c>
      <x:c r="E2" t="s">
        <x:v>89</x:v>
      </x:c>
      <x:c r="F2" t="s">
        <x:v>90</x:v>
      </x:c>
      <x:c r="G2">
        <x:v>45872</x:v>
      </x:c>
      <x:c r="H2" t="s">
        <x:v>91</x:v>
      </x:c>
      <x:c r="I2" t="s">
        <x:v>92</x:v>
      </x:c>
      <x:c r="J2" t="s">
        <x:v>93</x:v>
      </x:c>
    </x:row>
    <x:row r="3">
      <x:c r="A3" t="s">
        <x:v>94</x:v>
      </x:c>
      <x:c r="B3" t="s">
        <x:v>94</x:v>
      </x:c>
      <x:c r="C3" t="s">
        <x:v>95</x:v>
      </x:c>
      <x:c r="D3">
        <x:v>25</x:v>
      </x:c>
      <x:c r="E3" t="s">
        <x:v>96</x:v>
      </x:c>
      <x:c r="F3" t="s">
        <x:v>97</x:v>
      </x:c>
      <x:c r="G3">
        <x:v>46021</x:v>
      </x:c>
      <x:c r="H3" t="s">
        <x:v>98</x:v>
      </x:c>
      <x:c r="I3" t="s">
        <x:v>99</x:v>
      </x:c>
      <x:c r="J3" t="s">
        <x:v>100</x:v>
      </x:c>
    </x:row>
    <x:row r="4">
      <x:c r="A4" t="s">
        <x:v>101</x:v>
      </x:c>
      <x:c r="B4" t="s">
        <x:v>101</x:v>
      </x:c>
      <x:c r="C4" t="s">
        <x:v>102</x:v>
      </x:c>
      <x:c r="D4">
        <x:v>12</x:v>
      </x:c>
      <x:c r="E4" t="s">
        <x:v>103</x:v>
      </x:c>
      <x:c r="F4" t="s">
        <x:v>97</x:v>
      </x:c>
      <x:c r="G4">
        <x:v>41636</x:v>
      </x:c>
      <x:c r="H4" t="s">
        <x:v>104</x:v>
      </x:c>
      <x:c r="I4" t="s">
        <x:v>105</x:v>
      </x:c>
      <x:c r="J4" t="s">
        <x:v>106</x:v>
      </x:c>
    </x:row>
    <x:row r="5">
      <x:c r="A5" t="s">
        <x:v>107</x:v>
      </x:c>
      <x:c r="B5" t="s">
        <x:v>107</x:v>
      </x:c>
      <x:c r="C5" t="s">
        <x:v>108</x:v>
      </x:c>
      <x:c r="D5">
        <x:v>1</x:v>
      </x:c>
      <x:c r="E5" t="s">
        <x:v>103</x:v>
      </x:c>
      <x:c r="F5" t="s">
        <x:v>97</x:v>
      </x:c>
      <x:c r="G5">
        <x:v>45906</x:v>
      </x:c>
      <x:c r="H5" t="s">
        <x:v>109</x:v>
      </x:c>
      <x:c r="I5" t="s">
        <x:v>110</x:v>
      </x:c>
      <x:c r="J5" t="s">
        <x:v>111</x:v>
      </x:c>
    </x:row>
    <x:row r="6">
      <x:c r="A6" t="s">
        <x:v>112</x:v>
      </x:c>
      <x:c r="B6" t="s">
        <x:v>112</x:v>
      </x:c>
      <x:c r="C6" t="s">
        <x:v>113</x:v>
      </x:c>
      <x:c r="D6">
        <x:v>6</x:v>
      </x:c>
      <x:c r="E6" t="s">
        <x:v>114</x:v>
      </x:c>
      <x:c r="F6" t="s">
        <x:v>90</x:v>
      </x:c>
      <x:c r="G6">
        <x:v>44868</x:v>
      </x:c>
      <x:c r="H6" t="s">
        <x:v>115</x:v>
      </x:c>
      <x:c r="I6" t="s">
        <x:v>116</x:v>
      </x:c>
      <x:c r="J6" t="s">
        <x:v>117</x:v>
      </x:c>
    </x:row>
    <x:row r="7">
      <x:c r="A7" t="s">
        <x:v>118</x:v>
      </x:c>
      <x:c r="B7" t="s">
        <x:v>118</x:v>
      </x:c>
      <x:c r="C7" t="s">
        <x:v>119</x:v>
      </x:c>
      <x:c r="D7">
        <x:v>7</x:v>
      </x:c>
      <x:c r="E7" t="s">
        <x:v>103</x:v>
      </x:c>
      <x:c r="F7" t="s">
        <x:v>97</x:v>
      </x:c>
      <x:c r="G7">
        <x:v>41627</x:v>
      </x:c>
      <x:c r="H7" t="s">
        <x:v>120</x:v>
      </x:c>
      <x:c r="I7" t="s">
        <x:v>121</x:v>
      </x:c>
      <x:c r="J7" t="s">
        <x:v>122</x:v>
      </x:c>
    </x:row>
    <x:row r="8">
      <x:c r="A8" t="s">
        <x:v>123</x:v>
      </x:c>
      <x:c r="B8" t="s">
        <x:v>123</x:v>
      </x:c>
      <x:c r="C8" t="s">
        <x:v>124</x:v>
      </x:c>
      <x:c r="D8">
        <x:v>1</x:v>
      </x:c>
      <x:c r="E8" t="s">
        <x:v>125</x:v>
      </x:c>
      <x:c r="F8" t="s">
        <x:v>126</x:v>
      </x:c>
      <x:c r="G8">
        <x:v>42864</x:v>
      </x:c>
      <x:c r="H8" t="s">
        <x:v>127</x:v>
      </x:c>
      <x:c r="I8" t="s">
        <x:v>128</x:v>
      </x:c>
      <x:c r="J8" t="s">
        <x:v>129</x:v>
      </x:c>
    </x:row>
    <x:row r="9">
      <x:c r="A9" t="s">
        <x:v>130</x:v>
      </x:c>
      <x:c r="B9" t="s">
        <x:v>130</x:v>
      </x:c>
      <x:c r="C9" t="s">
        <x:v>131</x:v>
      </x:c>
      <x:c r="D9">
        <x:v>2</x:v>
      </x:c>
      <x:c r="E9" t="s">
        <x:v>96</x:v>
      </x:c>
      <x:c r="F9" t="s">
        <x:v>97</x:v>
      </x:c>
      <x:c r="G9">
        <x:v>45500</x:v>
      </x:c>
      <x:c r="H9" t="s">
        <x:v>132</x:v>
      </x:c>
      <x:c r="I9" t="s">
        <x:v>133</x:v>
      </x:c>
      <x:c r="J9" t="s">
        <x:v>134</x:v>
      </x:c>
    </x:row>
    <x:row r="10">
      <x:c r="A10" t="s">
        <x:v>135</x:v>
      </x:c>
      <x:c r="B10" t="s">
        <x:v>135</x:v>
      </x:c>
      <x:c r="C10" t="s">
        <x:v>136</x:v>
      </x:c>
      <x:c r="D10">
        <x:v>0</x:v>
      </x:c>
      <x:c r="E10" t="s">
        <x:v>125</x:v>
      </x:c>
      <x:c r="F10" t="s">
        <x:v>90</x:v>
      </x:c>
      <x:c r="G10">
        <x:v>46166</x:v>
      </x:c>
      <x:c r="H10" t="s">
        <x:v>137</x:v>
      </x:c>
      <x:c r="I10" t="s">
        <x:v>138</x:v>
      </x:c>
      <x:c r="J10" t="s">
        <x:v>139</x:v>
      </x:c>
    </x:row>
    <x:row r="11">
      <x:c r="A11" t="s">
        <x:v>140</x:v>
      </x:c>
      <x:c r="B11" t="s">
        <x:v>140</x:v>
      </x:c>
      <x:c r="C11" t="s">
        <x:v>141</x:v>
      </x:c>
      <x:c r="D11">
        <x:v>0</x:v>
      </x:c>
      <x:c r="E11" t="s">
        <x:v>89</x:v>
      </x:c>
      <x:c r="F11" t="s">
        <x:v>90</x:v>
      </x:c>
      <x:c r="G11">
        <x:v>45237</x:v>
      </x:c>
      <x:c r="H11" t="s">
        <x:v>142</x:v>
      </x:c>
      <x:c r="I11" t="s">
        <x:v>143</x:v>
      </x:c>
      <x:c r="J11" t="s">
        <x:v>144</x:v>
      </x:c>
    </x:row>
    <x:row r="12">
      <x:c r="A12" t="s">
        <x:v>145</x:v>
      </x:c>
      <x:c r="B12" t="s">
        <x:v>145</x:v>
      </x:c>
      <x:c r="C12" t="s">
        <x:v>146</x:v>
      </x:c>
      <x:c r="D12">
        <x:v>56</x:v>
      </x:c>
      <x:c r="E12" t="s">
        <x:v>114</x:v>
      </x:c>
      <x:c r="F12" t="s">
        <x:v>90</x:v>
      </x:c>
      <x:c r="G12">
        <x:v>46086</x:v>
      </x:c>
      <x:c r="H12" t="s">
        <x:v>147</x:v>
      </x:c>
      <x:c r="I12" t="s">
        <x:v>148</x:v>
      </x:c>
      <x:c r="J12" t="s">
        <x:v>149</x:v>
      </x:c>
    </x:row>
    <x:row r="13">
      <x:c r="A13" t="s">
        <x:v>150</x:v>
      </x:c>
      <x:c r="B13" t="s">
        <x:v>150</x:v>
      </x:c>
      <x:c r="C13" t="s">
        <x:v>151</x:v>
      </x:c>
      <x:c r="D13">
        <x:v>11</x:v>
      </x:c>
      <x:c r="E13" t="s">
        <x:v>89</x:v>
      </x:c>
      <x:c r="F13" t="s">
        <x:v>152</x:v>
      </x:c>
      <x:c r="G13">
        <x:v>44234</x:v>
      </x:c>
      <x:c r="H13" t="s">
        <x:v>153</x:v>
      </x:c>
      <x:c r="I13" t="s">
        <x:v>154</x:v>
      </x:c>
      <x:c r="J13" t="s">
        <x:v>155</x:v>
      </x:c>
    </x:row>
    <x:row r="14">
      <x:c r="A14" t="s">
        <x:v>156</x:v>
      </x:c>
      <x:c r="B14" t="s">
        <x:v>156</x:v>
      </x:c>
      <x:c r="C14" t="s">
        <x:v>157</x:v>
      </x:c>
      <x:c r="D14">
        <x:v>18</x:v>
      </x:c>
      <x:c r="E14" t="s">
        <x:v>103</x:v>
      </x:c>
      <x:c r="F14" t="s">
        <x:v>97</x:v>
      </x:c>
      <x:c r="G14">
        <x:v>45125</x:v>
      </x:c>
      <x:c r="H14" t="s">
        <x:v>158</x:v>
      </x:c>
      <x:c r="I14" t="s">
        <x:v>159</x:v>
      </x:c>
      <x:c r="J14" t="s">
        <x:v>160</x:v>
      </x:c>
    </x:row>
    <x:row r="15">
      <x:c r="A15" t="s">
        <x:v>161</x:v>
      </x:c>
      <x:c r="B15" t="s">
        <x:v>161</x:v>
      </x:c>
      <x:c r="C15" t="s">
        <x:v>162</x:v>
      </x:c>
      <x:c r="D15">
        <x:v>6</x:v>
      </x:c>
      <x:c r="E15" t="s">
        <x:v>89</x:v>
      </x:c>
      <x:c r="F15" t="s">
        <x:v>97</x:v>
      </x:c>
      <x:c r="G15">
        <x:v>45944</x:v>
      </x:c>
      <x:c r="H15" t="s">
        <x:v>163</x:v>
      </x:c>
      <x:c r="I15" t="s">
        <x:v>164</x:v>
      </x:c>
      <x:c r="J15" t="s">
        <x:v>165</x:v>
      </x:c>
    </x:row>
    <x:row r="16">
      <x:c r="A16" t="s">
        <x:v>166</x:v>
      </x:c>
      <x:c r="B16" t="s">
        <x:v>166</x:v>
      </x:c>
      <x:c r="C16" t="s">
        <x:v>167</x:v>
      </x:c>
      <x:c r="D16">
        <x:v>13</x:v>
      </x:c>
      <x:c r="E16" t="s">
        <x:v>103</x:v>
      </x:c>
      <x:c r="F16" t="s">
        <x:v>97</x:v>
      </x:c>
      <x:c r="G16">
        <x:v>41808</x:v>
      </x:c>
      <x:c r="H16" t="s">
        <x:v>168</x:v>
      </x:c>
      <x:c r="I16" t="s">
        <x:v>169</x:v>
      </x:c>
      <x:c r="J16" t="s">
        <x:v>170</x:v>
      </x:c>
    </x:row>
    <x:row r="17">
      <x:c r="A17" t="s">
        <x:v>171</x:v>
      </x:c>
      <x:c r="B17" t="s">
        <x:v>171</x:v>
      </x:c>
      <x:c r="C17" t="s">
        <x:v>167</x:v>
      </x:c>
      <x:c r="D17">
        <x:v>8</x:v>
      </x:c>
      <x:c r="E17" t="s">
        <x:v>103</x:v>
      </x:c>
      <x:c r="F17" t="s">
        <x:v>97</x:v>
      </x:c>
      <x:c r="G17">
        <x:v>41549</x:v>
      </x:c>
      <x:c r="H17" t="s">
        <x:v>172</x:v>
      </x:c>
      <x:c r="I17" t="s">
        <x:v>173</x:v>
      </x:c>
      <x:c r="J17" t="s">
        <x:v>174</x:v>
      </x:c>
    </x:row>
    <x:row r="18">
      <x:c r="A18" t="s">
        <x:v>175</x:v>
      </x:c>
      <x:c r="B18" t="s">
        <x:v>175</x:v>
      </x:c>
      <x:c r="C18" t="s">
        <x:v>176</x:v>
      </x:c>
      <x:c r="D18">
        <x:v>1</x:v>
      </x:c>
      <x:c r="E18" t="s">
        <x:v>96</x:v>
      </x:c>
      <x:c r="F18" t="s">
        <x:v>97</x:v>
      </x:c>
      <x:c r="G18">
        <x:v>45484</x:v>
      </x:c>
      <x:c r="H18" t="s">
        <x:v>177</x:v>
      </x:c>
      <x:c r="I18" t="s">
        <x:v>178</x:v>
      </x:c>
      <x:c r="J18" t="s">
        <x:v>179</x:v>
      </x:c>
    </x:row>
    <x:row r="19">
      <x:c r="A19" t="s">
        <x:v>180</x:v>
      </x:c>
      <x:c r="B19" t="s">
        <x:v>180</x:v>
      </x:c>
      <x:c r="C19" t="s">
        <x:v>176</x:v>
      </x:c>
      <x:c r="D19">
        <x:v>1</x:v>
      </x:c>
      <x:c r="E19" t="s">
        <x:v>96</x:v>
      </x:c>
      <x:c r="F19" t="s">
        <x:v>97</x:v>
      </x:c>
      <x:c r="G19">
        <x:v>45584</x:v>
      </x:c>
      <x:c r="H19" t="s">
        <x:v>181</x:v>
      </x:c>
      <x:c r="I19" t="s">
        <x:v>182</x:v>
      </x:c>
      <x:c r="J19" t="s">
        <x:v>183</x:v>
      </x:c>
    </x:row>
    <x:row r="20">
      <x:c r="A20" t="s">
        <x:v>184</x:v>
      </x:c>
      <x:c r="B20" t="s">
        <x:v>184</x:v>
      </x:c>
      <x:c r="C20" t="s">
        <x:v>176</x:v>
      </x:c>
      <x:c r="D20">
        <x:v>1</x:v>
      </x:c>
      <x:c r="E20" t="s">
        <x:v>96</x:v>
      </x:c>
      <x:c r="F20" t="s">
        <x:v>97</x:v>
      </x:c>
      <x:c r="G20">
        <x:v>45664</x:v>
      </x:c>
      <x:c r="H20" t="s">
        <x:v>185</x:v>
      </x:c>
      <x:c r="I20" t="s">
        <x:v>186</x:v>
      </x:c>
      <x:c r="J20" t="s">
        <x:v>187</x:v>
      </x:c>
    </x:row>
    <x:row r="21">
      <x:c r="A21" t="s">
        <x:v>188</x:v>
      </x:c>
      <x:c r="B21" t="s">
        <x:v>188</x:v>
      </x:c>
      <x:c r="C21" t="s">
        <x:v>176</x:v>
      </x:c>
      <x:c r="D21">
        <x:v>1</x:v>
      </x:c>
      <x:c r="E21" t="s">
        <x:v>96</x:v>
      </x:c>
      <x:c r="F21" t="s">
        <x:v>97</x:v>
      </x:c>
      <x:c r="G21">
        <x:v>45797</x:v>
      </x:c>
      <x:c r="H21" t="s">
        <x:v>189</x:v>
      </x:c>
      <x:c r="I21" t="s">
        <x:v>190</x:v>
      </x:c>
      <x:c r="J21" t="s">
        <x:v>191</x:v>
      </x:c>
    </x:row>
    <x:row r="22">
      <x:c r="A22" t="s">
        <x:v>192</x:v>
      </x:c>
      <x:c r="B22" t="s">
        <x:v>192</x:v>
      </x:c>
      <x:c r="C22" t="s">
        <x:v>176</x:v>
      </x:c>
      <x:c r="D22">
        <x:v>1</x:v>
      </x:c>
      <x:c r="E22" t="s">
        <x:v>96</x:v>
      </x:c>
      <x:c r="F22" t="s">
        <x:v>97</x:v>
      </x:c>
      <x:c r="G22">
        <x:v>46063</x:v>
      </x:c>
      <x:c r="H22" t="s">
        <x:v>193</x:v>
      </x:c>
      <x:c r="I22" t="s">
        <x:v>194</x:v>
      </x:c>
      <x:c r="J22" t="s">
        <x:v>195</x:v>
      </x:c>
    </x:row>
    <x:row r="23">
      <x:c r="A23" t="s">
        <x:v>196</x:v>
      </x:c>
      <x:c r="B23" t="s">
        <x:v>196</x:v>
      </x:c>
      <x:c r="C23" t="s">
        <x:v>197</x:v>
      </x:c>
      <x:c r="D23">
        <x:v>7</x:v>
      </x:c>
      <x:c r="E23" t="s">
        <x:v>198</x:v>
      </x:c>
      <x:c r="F23" t="s">
        <x:v>90</x:v>
      </x:c>
      <x:c r="G23">
        <x:v>43648</x:v>
      </x:c>
      <x:c r="H23" t="s">
        <x:v>199</x:v>
      </x:c>
      <x:c r="I23" t="s">
        <x:v>200</x:v>
      </x:c>
      <x:c r="J23" t="s">
        <x:v>201</x:v>
      </x:c>
    </x:row>
    <x:row r="24">
      <x:c r="A24" t="s">
        <x:v>202</x:v>
      </x:c>
      <x:c r="B24" t="s">
        <x:v>202</x:v>
      </x:c>
      <x:c r="C24" t="s">
        <x:v>203</x:v>
      </x:c>
      <x:c r="D24">
        <x:v>21</x:v>
      </x:c>
      <x:c r="E24" t="s">
        <x:v>125</x:v>
      </x:c>
      <x:c r="F24" t="s">
        <x:v>90</x:v>
      </x:c>
      <x:c r="G24">
        <x:v>45583</x:v>
      </x:c>
      <x:c r="H24" t="s">
        <x:v>204</x:v>
      </x:c>
      <x:c r="I24" t="s">
        <x:v>205</x:v>
      </x:c>
      <x:c r="J24" t="s">
        <x:v>206</x:v>
      </x:c>
    </x:row>
    <x:row r="25">
      <x:c r="A25" t="s">
        <x:v>207</x:v>
      </x:c>
      <x:c r="B25" t="s">
        <x:v>207</x:v>
      </x:c>
      <x:c r="C25" t="s">
        <x:v>208</x:v>
      </x:c>
      <x:c r="D25">
        <x:v>17</x:v>
      </x:c>
      <x:c r="E25" t="s">
        <x:v>89</x:v>
      </x:c>
      <x:c r="F25" t="s">
        <x:v>90</x:v>
      </x:c>
      <x:c r="G25">
        <x:v>45436</x:v>
      </x:c>
      <x:c r="H25" t="s">
        <x:v>209</x:v>
      </x:c>
      <x:c r="I25" t="s">
        <x:v>210</x:v>
      </x:c>
      <x:c r="J25" t="s">
        <x:v>211</x:v>
      </x:c>
    </x:row>
    <x:row r="26">
      <x:c r="A26" t="s">
        <x:v>212</x:v>
      </x:c>
      <x:c r="B26" t="s">
        <x:v>212</x:v>
      </x:c>
      <x:c r="C26" t="s">
        <x:v>213</x:v>
      </x:c>
      <x:c r="D26">
        <x:v>69</x:v>
      </x:c>
      <x:c r="E26" t="s">
        <x:v>96</x:v>
      </x:c>
      <x:c r="F26" t="s">
        <x:v>90</x:v>
      </x:c>
      <x:c r="G26">
        <x:v>44885</x:v>
      </x:c>
      <x:c r="H26" t="s">
        <x:v>214</x:v>
      </x:c>
      <x:c r="I26" t="s">
        <x:v>215</x:v>
      </x:c>
      <x:c r="J26" t="s">
        <x:v>216</x:v>
      </x:c>
    </x:row>
    <x:row r="27">
      <x:c r="A27" t="s">
        <x:v>217</x:v>
      </x:c>
      <x:c r="B27" t="s">
        <x:v>217</x:v>
      </x:c>
      <x:c r="C27" t="s">
        <x:v>218</x:v>
      </x:c>
      <x:c r="D27">
        <x:v>9</x:v>
      </x:c>
      <x:c r="E27" t="s">
        <x:v>198</x:v>
      </x:c>
      <x:c r="F27" t="s">
        <x:v>90</x:v>
      </x:c>
      <x:c r="G27">
        <x:v>44664</x:v>
      </x:c>
      <x:c r="H27" t="s">
        <x:v>219</x:v>
      </x:c>
      <x:c r="I27" t="s">
        <x:v>220</x:v>
      </x:c>
      <x:c r="J27" t="s">
        <x:v>221</x:v>
      </x:c>
    </x:row>
    <x:row r="28">
      <x:c r="A28" t="s">
        <x:v>222</x:v>
      </x:c>
      <x:c r="B28" t="s">
        <x:v>222</x:v>
      </x:c>
      <x:c r="C28" t="s">
        <x:v>223</x:v>
      </x:c>
      <x:c r="D28">
        <x:v>4</x:v>
      </x:c>
      <x:c r="E28" t="s">
        <x:v>103</x:v>
      </x:c>
      <x:c r="F28" t="s">
        <x:v>97</x:v>
      </x:c>
      <x:c r="G28">
        <x:v>42235</x:v>
      </x:c>
      <x:c r="H28" t="s">
        <x:v>224</x:v>
      </x:c>
      <x:c r="I28" t="s">
        <x:v>225</x:v>
      </x:c>
      <x:c r="J28" t="s">
        <x:v>226</x:v>
      </x:c>
    </x:row>
    <x:row r="29">
      <x:c r="A29" t="s">
        <x:v>227</x:v>
      </x:c>
      <x:c r="B29" t="s">
        <x:v>227</x:v>
      </x:c>
      <x:c r="C29" t="s">
        <x:v>203</x:v>
      </x:c>
      <x:c r="D29">
        <x:v>35</x:v>
      </x:c>
      <x:c r="E29" t="s">
        <x:v>114</x:v>
      </x:c>
      <x:c r="F29" t="s">
        <x:v>90</x:v>
      </x:c>
      <x:c r="G29">
        <x:v>44164</x:v>
      </x:c>
      <x:c r="H29" t="s">
        <x:v>228</x:v>
      </x:c>
      <x:c r="I29" t="s">
        <x:v>229</x:v>
      </x:c>
      <x:c r="J29" t="s">
        <x:v>230</x:v>
      </x:c>
    </x:row>
    <x:row r="30">
      <x:c r="A30" t="s">
        <x:v>231</x:v>
      </x:c>
      <x:c r="B30" t="s">
        <x:v>231</x:v>
      </x:c>
      <x:c r="C30" t="s">
        <x:v>232</x:v>
      </x:c>
      <x:c r="D30">
        <x:v>1</x:v>
      </x:c>
      <x:c r="E30" t="s">
        <x:v>114</x:v>
      </x:c>
      <x:c r="F30" t="s">
        <x:v>90</x:v>
      </x:c>
      <x:c r="G30">
        <x:v>45082</x:v>
      </x:c>
      <x:c r="H30" t="s">
        <x:v>233</x:v>
      </x:c>
      <x:c r="I30" t="s">
        <x:v>234</x:v>
      </x:c>
      <x:c r="J30" t="s">
        <x:v>235</x:v>
      </x:c>
    </x:row>
    <x:row r="31">
      <x:c r="A31" t="s">
        <x:v>236</x:v>
      </x:c>
      <x:c r="B31" t="s">
        <x:v>236</x:v>
      </x:c>
      <x:c r="C31" t="s">
        <x:v>237</x:v>
      </x:c>
      <x:c r="D31">
        <x:v>4</x:v>
      </x:c>
      <x:c r="E31" t="s">
        <x:v>198</x:v>
      </x:c>
      <x:c r="F31" t="s">
        <x:v>90</x:v>
      </x:c>
      <x:c r="G31">
        <x:v>44252</x:v>
      </x:c>
      <x:c r="H31" t="s">
        <x:v>238</x:v>
      </x:c>
      <x:c r="I31" t="s">
        <x:v>239</x:v>
      </x:c>
      <x:c r="J31" t="s">
        <x:v>240</x:v>
      </x:c>
    </x:row>
    <x:row r="32">
      <x:c r="A32" t="s">
        <x:v>241</x:v>
      </x:c>
      <x:c r="B32" t="s">
        <x:v>241</x:v>
      </x:c>
      <x:c r="C32" t="s">
        <x:v>232</x:v>
      </x:c>
      <x:c r="D32">
        <x:v>1</x:v>
      </x:c>
      <x:c r="E32" t="s">
        <x:v>114</x:v>
      </x:c>
      <x:c r="F32" t="s">
        <x:v>90</x:v>
      </x:c>
      <x:c r="G32">
        <x:v>45725</x:v>
      </x:c>
      <x:c r="H32" t="s">
        <x:v>242</x:v>
      </x:c>
      <x:c r="I32" t="s">
        <x:v>243</x:v>
      </x:c>
      <x:c r="J32" t="s">
        <x:v>244</x:v>
      </x:c>
    </x:row>
    <x:row r="33">
      <x:c r="A33" t="s">
        <x:v>245</x:v>
      </x:c>
      <x:c r="B33" t="s">
        <x:v>245</x:v>
      </x:c>
      <x:c r="C33" t="s">
        <x:v>246</x:v>
      </x:c>
      <x:c r="D33">
        <x:v>29</x:v>
      </x:c>
      <x:c r="E33" t="s">
        <x:v>114</x:v>
      </x:c>
      <x:c r="F33" t="s">
        <x:v>90</x:v>
      </x:c>
      <x:c r="G33">
        <x:v>44862</x:v>
      </x:c>
      <x:c r="H33" t="s">
        <x:v>247</x:v>
      </x:c>
      <x:c r="I33" t="s">
        <x:v>248</x:v>
      </x:c>
      <x:c r="J33" t="s">
        <x:v>249</x:v>
      </x:c>
    </x:row>
    <x:row r="34">
      <x:c r="A34" t="s">
        <x:v>250</x:v>
      </x:c>
      <x:c r="B34" t="s">
        <x:v>250</x:v>
      </x:c>
      <x:c r="C34" t="s">
        <x:v>251</x:v>
      </x:c>
      <x:c r="D34">
        <x:v>5</x:v>
      </x:c>
      <x:c r="E34" t="s">
        <x:v>103</x:v>
      </x:c>
      <x:c r="F34" t="s">
        <x:v>97</x:v>
      </x:c>
      <x:c r="G34">
        <x:v>42114</x:v>
      </x:c>
      <x:c r="H34" t="s">
        <x:v>252</x:v>
      </x:c>
      <x:c r="I34" t="s">
        <x:v>253</x:v>
      </x:c>
      <x:c r="J34" t="s">
        <x:v>254</x:v>
      </x:c>
    </x:row>
    <x:row r="35">
      <x:c r="A35" t="s">
        <x:v>255</x:v>
      </x:c>
      <x:c r="B35" t="s">
        <x:v>255</x:v>
      </x:c>
      <x:c r="C35" t="s">
        <x:v>256</x:v>
      </x:c>
      <x:c r="D35">
        <x:v>16</x:v>
      </x:c>
      <x:c r="E35" t="s">
        <x:v>257</x:v>
      </x:c>
      <x:c r="F35" t="s">
        <x:v>97</x:v>
      </x:c>
      <x:c r="G35">
        <x:v>41457</x:v>
      </x:c>
      <x:c r="H35" t="s">
        <x:v>258</x:v>
      </x:c>
      <x:c r="I35" t="s">
        <x:v>259</x:v>
      </x:c>
      <x:c r="J35" t="s">
        <x:v>260</x:v>
      </x:c>
    </x:row>
    <x:row r="36">
      <x:c r="A36" t="s">
        <x:v>261</x:v>
      </x:c>
      <x:c r="B36" t="s">
        <x:v>261</x:v>
      </x:c>
      <x:c r="C36" t="s">
        <x:v>262</x:v>
      </x:c>
      <x:c r="D36">
        <x:v>14</x:v>
      </x:c>
      <x:c r="E36" t="s">
        <x:v>103</x:v>
      </x:c>
      <x:c r="F36" t="s">
        <x:v>97</x:v>
      </x:c>
      <x:c r="G36">
        <x:v>43962</x:v>
      </x:c>
      <x:c r="H36" t="s">
        <x:v>263</x:v>
      </x:c>
      <x:c r="I36" t="s">
        <x:v>264</x:v>
      </x:c>
      <x:c r="J36" t="s">
        <x:v>265</x:v>
      </x:c>
    </x:row>
    <x:row r="37">
      <x:c r="A37" t="s">
        <x:v>266</x:v>
      </x:c>
      <x:c r="B37" t="s">
        <x:v>266</x:v>
      </x:c>
      <x:c r="C37" t="s">
        <x:v>267</x:v>
      </x:c>
      <x:c r="D37">
        <x:v>6</x:v>
      </x:c>
      <x:c r="E37" t="s">
        <x:v>89</x:v>
      </x:c>
      <x:c r="F37" t="s">
        <x:v>90</x:v>
      </x:c>
      <x:c r="G37">
        <x:v>45964</x:v>
      </x:c>
      <x:c r="H37" t="s">
        <x:v>268</x:v>
      </x:c>
      <x:c r="I37" t="s">
        <x:v>269</x:v>
      </x:c>
      <x:c r="J37" t="s">
        <x:v>270</x:v>
      </x:c>
    </x:row>
    <x:row r="38">
      <x:c r="A38" t="s">
        <x:v>271</x:v>
      </x:c>
      <x:c r="B38" t="s">
        <x:v>271</x:v>
      </x:c>
      <x:c r="C38" t="s">
        <x:v>272</x:v>
      </x:c>
      <x:c r="D38">
        <x:v>6</x:v>
      </x:c>
      <x:c r="E38" t="s">
        <x:v>89</x:v>
      </x:c>
      <x:c r="F38" t="s">
        <x:v>97</x:v>
      </x:c>
      <x:c r="G38">
        <x:v>45963</x:v>
      </x:c>
      <x:c r="H38" t="s">
        <x:v>273</x:v>
      </x:c>
      <x:c r="I38" t="s">
        <x:v>274</x:v>
      </x:c>
      <x:c r="J38" t="s">
        <x:v>275</x:v>
      </x:c>
    </x:row>
    <x:row r="39">
      <x:c r="A39" t="s">
        <x:v>276</x:v>
      </x:c>
      <x:c r="B39" t="s">
        <x:v>276</x:v>
      </x:c>
      <x:c r="C39" t="s">
        <x:v>277</x:v>
      </x:c>
      <x:c r="D39">
        <x:v>8</x:v>
      </x:c>
      <x:c r="E39" t="s">
        <x:v>257</x:v>
      </x:c>
      <x:c r="F39" t="s">
        <x:v>97</x:v>
      </x:c>
      <x:c r="G39">
        <x:v>43703</x:v>
      </x:c>
      <x:c r="H39" t="s">
        <x:v>278</x:v>
      </x:c>
      <x:c r="I39" t="s">
        <x:v>279</x:v>
      </x:c>
      <x:c r="J39" t="s">
        <x:v>280</x:v>
      </x:c>
    </x:row>
    <x:row r="40">
      <x:c r="A40" t="s">
        <x:v>281</x:v>
      </x:c>
      <x:c r="B40" t="s">
        <x:v>281</x:v>
      </x:c>
      <x:c r="C40" t="s">
        <x:v>282</x:v>
      </x:c>
      <x:c r="D40">
        <x:v>1</x:v>
      </x:c>
      <x:c r="E40" t="s">
        <x:v>257</x:v>
      </x:c>
      <x:c r="F40" t="s">
        <x:v>97</x:v>
      </x:c>
      <x:c r="G40">
        <x:v>42690</x:v>
      </x:c>
      <x:c r="H40" t="s">
        <x:v>283</x:v>
      </x:c>
      <x:c r="I40" t="s">
        <x:v>284</x:v>
      </x:c>
      <x:c r="J40" t="s">
        <x:v>285</x:v>
      </x:c>
    </x:row>
    <x:row r="41">
      <x:c r="A41" t="s">
        <x:v>286</x:v>
      </x:c>
      <x:c r="B41" t="s">
        <x:v>286</x:v>
      </x:c>
      <x:c r="C41" t="s">
        <x:v>287</x:v>
      </x:c>
      <x:c r="D41">
        <x:v>0</x:v>
      </x:c>
      <x:c r="E41" t="s">
        <x:v>89</x:v>
      </x:c>
      <x:c r="F41" t="s">
        <x:v>90</x:v>
      </x:c>
      <x:c r="G41">
        <x:v>44420</x:v>
      </x:c>
      <x:c r="H41" t="s">
        <x:v>288</x:v>
      </x:c>
      <x:c r="I41" t="s">
        <x:v>289</x:v>
      </x:c>
      <x:c r="J41" t="s">
        <x:v>290</x:v>
      </x:c>
    </x:row>
    <x:row r="42">
      <x:c r="A42" t="s">
        <x:v>291</x:v>
      </x:c>
      <x:c r="B42" t="s">
        <x:v>291</x:v>
      </x:c>
      <x:c r="C42" t="s">
        <x:v>292</x:v>
      </x:c>
      <x:c r="D42">
        <x:v>9</x:v>
      </x:c>
      <x:c r="E42" t="s">
        <x:v>198</x:v>
      </x:c>
      <x:c r="F42" t="s">
        <x:v>90</x:v>
      </x:c>
      <x:c r="G42">
        <x:v>45617</x:v>
      </x:c>
      <x:c r="H42" t="s">
        <x:v>293</x:v>
      </x:c>
      <x:c r="I42" t="s">
        <x:v>294</x:v>
      </x:c>
      <x:c r="J42" t="s">
        <x:v>295</x:v>
      </x:c>
    </x:row>
    <x:row r="43">
      <x:c r="A43" t="s">
        <x:v>296</x:v>
      </x:c>
      <x:c r="B43" t="s">
        <x:v>296</x:v>
      </x:c>
      <x:c r="C43" t="s">
        <x:v>297</x:v>
      </x:c>
      <x:c r="D43">
        <x:v>10</x:v>
      </x:c>
      <x:c r="E43" t="s">
        <x:v>96</x:v>
      </x:c>
      <x:c r="F43" t="s">
        <x:v>97</x:v>
      </x:c>
      <x:c r="G43">
        <x:v>43865</x:v>
      </x:c>
      <x:c r="H43" t="s">
        <x:v>298</x:v>
      </x:c>
      <x:c r="I43" t="s">
        <x:v>299</x:v>
      </x:c>
      <x:c r="J43" t="s">
        <x:v>300</x:v>
      </x:c>
    </x:row>
    <x:row r="44">
      <x:c r="A44" t="s">
        <x:v>301</x:v>
      </x:c>
      <x:c r="B44" t="s">
        <x:v>301</x:v>
      </x:c>
      <x:c r="C44" t="s">
        <x:v>302</x:v>
      </x:c>
      <x:c r="D44">
        <x:v>5</x:v>
      </x:c>
      <x:c r="E44" t="s">
        <x:v>103</x:v>
      </x:c>
      <x:c r="F44" t="s">
        <x:v>97</x:v>
      </x:c>
      <x:c r="G44">
        <x:v>45477</x:v>
      </x:c>
      <x:c r="H44" t="s">
        <x:v>303</x:v>
      </x:c>
      <x:c r="I44" t="s">
        <x:v>304</x:v>
      </x:c>
      <x:c r="J44" t="s">
        <x:v>305</x:v>
      </x:c>
    </x:row>
    <x:row r="45">
      <x:c r="A45" t="s">
        <x:v>306</x:v>
      </x:c>
      <x:c r="B45" t="s">
        <x:v>306</x:v>
      </x:c>
      <x:c r="C45" t="s">
        <x:v>307</x:v>
      </x:c>
      <x:c r="D45">
        <x:v>9</x:v>
      </x:c>
      <x:c r="E45" t="s">
        <x:v>96</x:v>
      </x:c>
      <x:c r="F45" t="s">
        <x:v>97</x:v>
      </x:c>
      <x:c r="G45">
        <x:v>44006</x:v>
      </x:c>
      <x:c r="H45" t="s">
        <x:v>308</x:v>
      </x:c>
      <x:c r="I45" t="s">
        <x:v>309</x:v>
      </x:c>
      <x:c r="J45" t="s">
        <x:v>310</x:v>
      </x:c>
    </x:row>
    <x:row r="46">
      <x:c r="A46" t="s">
        <x:v>311</x:v>
      </x:c>
      <x:c r="B46" t="s">
        <x:v>311</x:v>
      </x:c>
      <x:c r="C46" t="s">
        <x:v>312</x:v>
      </x:c>
      <x:c r="D46">
        <x:v>0</x:v>
      </x:c>
      <x:c r="E46" t="s">
        <x:v>96</x:v>
      </x:c>
      <x:c r="F46" t="s">
        <x:v>152</x:v>
      </x:c>
      <x:c r="G46">
        <x:v>44946</x:v>
      </x:c>
      <x:c r="H46" t="s">
        <x:v>313</x:v>
      </x:c>
      <x:c r="I46" t="s">
        <x:v>314</x:v>
      </x:c>
      <x:c r="J46" t="s">
        <x:v>315</x:v>
      </x:c>
    </x:row>
    <x:row r="47">
      <x:c r="A47" t="s">
        <x:v>316</x:v>
      </x:c>
      <x:c r="B47" t="s">
        <x:v>316</x:v>
      </x:c>
      <x:c r="C47" t="s">
        <x:v>317</x:v>
      </x:c>
      <x:c r="D47">
        <x:v>4</x:v>
      </x:c>
      <x:c r="E47" t="s">
        <x:v>96</x:v>
      </x:c>
      <x:c r="F47" t="s">
        <x:v>90</x:v>
      </x:c>
      <x:c r="G47">
        <x:v>44540</x:v>
      </x:c>
      <x:c r="H47" t="s">
        <x:v>318</x:v>
      </x:c>
      <x:c r="I47" t="s">
        <x:v>319</x:v>
      </x:c>
      <x:c r="J47" t="s">
        <x:v>320</x:v>
      </x:c>
    </x:row>
    <x:row r="48">
      <x:c r="A48" t="s">
        <x:v>321</x:v>
      </x:c>
      <x:c r="B48" t="s">
        <x:v>321</x:v>
      </x:c>
      <x:c r="C48" t="s">
        <x:v>317</x:v>
      </x:c>
      <x:c r="D48">
        <x:v>5</x:v>
      </x:c>
      <x:c r="E48" t="s">
        <x:v>89</x:v>
      </x:c>
      <x:c r="F48" t="s">
        <x:v>90</x:v>
      </x:c>
      <x:c r="G48">
        <x:v>45268</x:v>
      </x:c>
      <x:c r="H48" t="s">
        <x:v>322</x:v>
      </x:c>
      <x:c r="I48" t="s">
        <x:v>323</x:v>
      </x:c>
      <x:c r="J48" t="s">
        <x:v>324</x:v>
      </x:c>
    </x:row>
    <x:row r="49">
      <x:c r="A49" t="s">
        <x:v>325</x:v>
      </x:c>
      <x:c r="B49" t="s">
        <x:v>325</x:v>
      </x:c>
      <x:c r="C49" t="s">
        <x:v>326</x:v>
      </x:c>
      <x:c r="D49">
        <x:v>1</x:v>
      </x:c>
      <x:c r="E49" t="s">
        <x:v>103</x:v>
      </x:c>
      <x:c r="F49" t="s">
        <x:v>97</x:v>
      </x:c>
      <x:c r="G49">
        <x:v>43827</x:v>
      </x:c>
      <x:c r="H49" t="s">
        <x:v>327</x:v>
      </x:c>
      <x:c r="I49" t="s">
        <x:v>328</x:v>
      </x:c>
      <x:c r="J49" t="s">
        <x:v>329</x:v>
      </x:c>
    </x:row>
    <x:row r="50">
      <x:c r="A50" t="s">
        <x:v>330</x:v>
      </x:c>
      <x:c r="B50" t="s">
        <x:v>330</x:v>
      </x:c>
      <x:c r="C50" t="s">
        <x:v>331</x:v>
      </x:c>
      <x:c r="D50">
        <x:v>7</x:v>
      </x:c>
      <x:c r="E50" t="s">
        <x:v>198</x:v>
      </x:c>
      <x:c r="F50" t="s">
        <x:v>90</x:v>
      </x:c>
      <x:c r="G50">
        <x:v>45533</x:v>
      </x:c>
      <x:c r="H50" t="s">
        <x:v>332</x:v>
      </x:c>
      <x:c r="I50" t="s">
        <x:v>333</x:v>
      </x:c>
      <x:c r="J50" t="s">
        <x:v>334</x:v>
      </x:c>
    </x:row>
    <x:row r="51">
      <x:c r="A51" t="s">
        <x:v>335</x:v>
      </x:c>
      <x:c r="B51" t="s">
        <x:v>335</x:v>
      </x:c>
      <x:c r="C51" t="s">
        <x:v>336</x:v>
      </x:c>
      <x:c r="D51">
        <x:v>12</x:v>
      </x:c>
      <x:c r="E51" t="s">
        <x:v>103</x:v>
      </x:c>
      <x:c r="F51" t="s">
        <x:v>97</x:v>
      </x:c>
      <x:c r="G51">
        <x:v>43918</x:v>
      </x:c>
      <x:c r="H51" t="s">
        <x:v>337</x:v>
      </x:c>
      <x:c r="I51" t="s">
        <x:v>338</x:v>
      </x:c>
      <x:c r="J51" t="s">
        <x:v>339</x:v>
      </x:c>
    </x:row>
    <x:row r="52">
      <x:c r="A52" t="s">
        <x:v>340</x:v>
      </x:c>
      <x:c r="B52" t="s">
        <x:v>340</x:v>
      </x:c>
      <x:c r="C52" t="s">
        <x:v>341</x:v>
      </x:c>
      <x:c r="D52">
        <x:v>0</x:v>
      </x:c>
      <x:c r="E52" t="s">
        <x:v>114</x:v>
      </x:c>
      <x:c r="F52" t="s">
        <x:v>90</x:v>
      </x:c>
      <x:c r="G52">
        <x:v>44794</x:v>
      </x:c>
      <x:c r="H52" t="s">
        <x:v>342</x:v>
      </x:c>
      <x:c r="I52" t="s">
        <x:v>343</x:v>
      </x:c>
      <x:c r="J52" t="s">
        <x:v>344</x:v>
      </x:c>
    </x:row>
    <x:row r="53">
      <x:c r="A53" t="s">
        <x:v>345</x:v>
      </x:c>
      <x:c r="B53" t="s">
        <x:v>345</x:v>
      </x:c>
      <x:c r="C53" t="s">
        <x:v>346</x:v>
      </x:c>
      <x:c r="D53">
        <x:v>7</x:v>
      </x:c>
      <x:c r="E53" t="s">
        <x:v>103</x:v>
      </x:c>
      <x:c r="F53" t="s">
        <x:v>97</x:v>
      </x:c>
      <x:c r="G53">
        <x:v>42710</x:v>
      </x:c>
      <x:c r="H53" t="s">
        <x:v>347</x:v>
      </x:c>
      <x:c r="I53" t="s">
        <x:v>348</x:v>
      </x:c>
      <x:c r="J53" t="s">
        <x:v>349</x:v>
      </x:c>
    </x:row>
    <x:row r="54">
      <x:c r="A54" t="s">
        <x:v>350</x:v>
      </x:c>
      <x:c r="B54" t="s">
        <x:v>350</x:v>
      </x:c>
      <x:c r="C54" t="s">
        <x:v>351</x:v>
      </x:c>
      <x:c r="D54">
        <x:v>24</x:v>
      </x:c>
      <x:c r="E54" t="s">
        <x:v>198</x:v>
      </x:c>
      <x:c r="F54" t="s">
        <x:v>90</x:v>
      </x:c>
      <x:c r="G54">
        <x:v>44342</x:v>
      </x:c>
      <x:c r="H54" t="s">
        <x:v>352</x:v>
      </x:c>
      <x:c r="I54" t="s">
        <x:v>353</x:v>
      </x:c>
      <x:c r="J54" t="s">
        <x:v>354</x:v>
      </x:c>
    </x:row>
    <x:row r="55">
      <x:c r="A55" t="s">
        <x:v>355</x:v>
      </x:c>
      <x:c r="B55" t="s">
        <x:v>355</x:v>
      </x:c>
      <x:c r="C55" t="s">
        <x:v>356</x:v>
      </x:c>
      <x:c r="D55">
        <x:v>7</x:v>
      </x:c>
      <x:c r="E55" t="s">
        <x:v>96</x:v>
      </x:c>
      <x:c r="F55" t="s">
        <x:v>97</x:v>
      </x:c>
      <x:c r="G55">
        <x:v>42013</x:v>
      </x:c>
      <x:c r="H55" t="s">
        <x:v>357</x:v>
      </x:c>
      <x:c r="I55" t="s">
        <x:v>358</x:v>
      </x:c>
      <x:c r="J55" t="s">
        <x:v>359</x:v>
      </x:c>
    </x:row>
    <x:row r="56">
      <x:c r="A56" t="s">
        <x:v>360</x:v>
      </x:c>
      <x:c r="B56" t="s">
        <x:v>360</x:v>
      </x:c>
      <x:c r="C56" t="s">
        <x:v>361</x:v>
      </x:c>
      <x:c r="D56">
        <x:v>11</x:v>
      </x:c>
      <x:c r="E56" t="s">
        <x:v>257</x:v>
      </x:c>
      <x:c r="F56" t="s">
        <x:v>97</x:v>
      </x:c>
      <x:c r="G56">
        <x:v>42011</x:v>
      </x:c>
      <x:c r="H56" t="s">
        <x:v>362</x:v>
      </x:c>
      <x:c r="I56" t="s">
        <x:v>363</x:v>
      </x:c>
      <x:c r="J56" t="s">
        <x:v>364</x:v>
      </x:c>
    </x:row>
    <x:row r="57">
      <x:c r="A57" t="s">
        <x:v>365</x:v>
      </x:c>
      <x:c r="B57" t="s">
        <x:v>365</x:v>
      </x:c>
      <x:c r="C57" t="s">
        <x:v>361</x:v>
      </x:c>
      <x:c r="D57">
        <x:v>12</x:v>
      </x:c>
      <x:c r="E57" t="s">
        <x:v>103</x:v>
      </x:c>
      <x:c r="F57" t="s">
        <x:v>97</x:v>
      </x:c>
      <x:c r="G57">
        <x:v>42069</x:v>
      </x:c>
      <x:c r="H57" t="s">
        <x:v>366</x:v>
      </x:c>
      <x:c r="I57" t="s">
        <x:v>367</x:v>
      </x:c>
      <x:c r="J57" t="s">
        <x:v>368</x:v>
      </x:c>
    </x:row>
    <x:row r="58">
      <x:c r="A58" t="s">
        <x:v>369</x:v>
      </x:c>
      <x:c r="B58" t="s">
        <x:v>369</x:v>
      </x:c>
      <x:c r="C58" t="s">
        <x:v>326</x:v>
      </x:c>
      <x:c r="D58">
        <x:v>7</x:v>
      </x:c>
      <x:c r="E58" t="s">
        <x:v>103</x:v>
      </x:c>
      <x:c r="F58" t="s">
        <x:v>97</x:v>
      </x:c>
      <x:c r="G58">
        <x:v>43838</x:v>
      </x:c>
      <x:c r="H58" t="s">
        <x:v>370</x:v>
      </x:c>
      <x:c r="I58" t="s">
        <x:v>371</x:v>
      </x:c>
      <x:c r="J58" t="s">
        <x:v>372</x:v>
      </x:c>
    </x:row>
    <x:row r="59">
      <x:c r="A59" t="s">
        <x:v>373</x:v>
      </x:c>
      <x:c r="B59" t="s">
        <x:v>373</x:v>
      </x:c>
      <x:c r="C59" t="s">
        <x:v>374</x:v>
      </x:c>
      <x:c r="D59">
        <x:v>7</x:v>
      </x:c>
      <x:c r="E59" t="s">
        <x:v>103</x:v>
      </x:c>
      <x:c r="F59" t="s">
        <x:v>97</x:v>
      </x:c>
      <x:c r="G59">
        <x:v>44297</x:v>
      </x:c>
      <x:c r="H59" t="s">
        <x:v>375</x:v>
      </x:c>
      <x:c r="I59" t="s">
        <x:v>376</x:v>
      </x:c>
      <x:c r="J59" t="s">
        <x:v>377</x:v>
      </x:c>
    </x:row>
    <x:row r="60">
      <x:c r="A60" t="s">
        <x:v>378</x:v>
      </x:c>
      <x:c r="B60" t="s">
        <x:v>378</x:v>
      </x:c>
      <x:c r="C60" t="s">
        <x:v>379</x:v>
      </x:c>
      <x:c r="D60">
        <x:v>9</x:v>
      </x:c>
      <x:c r="E60" t="s">
        <x:v>125</x:v>
      </x:c>
      <x:c r="F60" t="s">
        <x:v>90</x:v>
      </x:c>
      <x:c r="G60">
        <x:v>45666</x:v>
      </x:c>
      <x:c r="H60" t="s">
        <x:v>380</x:v>
      </x:c>
      <x:c r="I60" t="s">
        <x:v>381</x:v>
      </x:c>
      <x:c r="J60" t="s">
        <x:v>382</x:v>
      </x:c>
    </x:row>
    <x:row r="61">
      <x:c r="A61" t="s">
        <x:v>383</x:v>
      </x:c>
      <x:c r="B61" t="s">
        <x:v>383</x:v>
      </x:c>
      <x:c r="C61" t="s">
        <x:v>384</x:v>
      </x:c>
      <x:c r="D61">
        <x:v>7</x:v>
      </x:c>
      <x:c r="E61" t="s">
        <x:v>103</x:v>
      </x:c>
      <x:c r="F61" t="s">
        <x:v>97</x:v>
      </x:c>
      <x:c r="G61">
        <x:v>45398</x:v>
      </x:c>
      <x:c r="H61" t="s">
        <x:v>385</x:v>
      </x:c>
      <x:c r="I61" t="s">
        <x:v>386</x:v>
      </x:c>
      <x:c r="J61" t="s">
        <x:v>387</x:v>
      </x:c>
    </x:row>
    <x:row r="62">
      <x:c r="A62" t="s">
        <x:v>388</x:v>
      </x:c>
      <x:c r="B62" t="s">
        <x:v>388</x:v>
      </x:c>
      <x:c r="C62" t="s">
        <x:v>389</x:v>
      </x:c>
      <x:c r="D62">
        <x:v>19</x:v>
      </x:c>
      <x:c r="E62" t="s">
        <x:v>103</x:v>
      </x:c>
      <x:c r="F62" t="s">
        <x:v>97</x:v>
      </x:c>
      <x:c r="G62">
        <x:v>43730</x:v>
      </x:c>
      <x:c r="H62" t="s">
        <x:v>390</x:v>
      </x:c>
      <x:c r="I62" t="s">
        <x:v>391</x:v>
      </x:c>
      <x:c r="J62" t="s">
        <x:v>392</x:v>
      </x:c>
    </x:row>
    <x:row r="63">
      <x:c r="A63" t="s">
        <x:v>393</x:v>
      </x:c>
      <x:c r="B63" t="s">
        <x:v>393</x:v>
      </x:c>
      <x:c r="C63" t="s">
        <x:v>394</x:v>
      </x:c>
      <x:c r="D63">
        <x:v>1</x:v>
      </x:c>
      <x:c r="E63" t="s">
        <x:v>114</x:v>
      </x:c>
      <x:c r="F63" t="s">
        <x:v>90</x:v>
      </x:c>
      <x:c r="G63">
        <x:v>42133</x:v>
      </x:c>
      <x:c r="H63" t="s">
        <x:v>395</x:v>
      </x:c>
      <x:c r="I63" t="s">
        <x:v>396</x:v>
      </x:c>
      <x:c r="J63" t="s">
        <x:v>397</x:v>
      </x:c>
    </x:row>
    <x:row r="64">
      <x:c r="A64" t="s">
        <x:v>398</x:v>
      </x:c>
      <x:c r="B64" t="s">
        <x:v>398</x:v>
      </x:c>
      <x:c r="C64" t="s">
        <x:v>399</x:v>
      </x:c>
      <x:c r="D64">
        <x:v>5</x:v>
      </x:c>
      <x:c r="E64" t="s">
        <x:v>103</x:v>
      </x:c>
      <x:c r="F64" t="s">
        <x:v>97</x:v>
      </x:c>
      <x:c r="G64">
        <x:v>43461</x:v>
      </x:c>
      <x:c r="H64" t="s">
        <x:v>400</x:v>
      </x:c>
      <x:c r="I64" t="s">
        <x:v>401</x:v>
      </x:c>
      <x:c r="J64" t="s">
        <x:v>402</x:v>
      </x:c>
    </x:row>
    <x:row r="65">
      <x:c r="A65" t="s">
        <x:v>403</x:v>
      </x:c>
      <x:c r="B65" t="s">
        <x:v>403</x:v>
      </x:c>
      <x:c r="C65" t="s">
        <x:v>404</x:v>
      </x:c>
      <x:c r="D65">
        <x:v>25</x:v>
      </x:c>
      <x:c r="E65" t="s">
        <x:v>96</x:v>
      </x:c>
      <x:c r="F65" t="s">
        <x:v>97</x:v>
      </x:c>
      <x:c r="G65">
        <x:v>42207</x:v>
      </x:c>
      <x:c r="H65" t="s">
        <x:v>405</x:v>
      </x:c>
      <x:c r="I65" t="s">
        <x:v>406</x:v>
      </x:c>
      <x:c r="J65" t="s">
        <x:v>407</x:v>
      </x:c>
    </x:row>
    <x:row r="66">
      <x:c r="A66" t="s">
        <x:v>408</x:v>
      </x:c>
      <x:c r="B66" t="s">
        <x:v>408</x:v>
      </x:c>
      <x:c r="C66" t="s">
        <x:v>409</x:v>
      </x:c>
      <x:c r="D66">
        <x:v>25</x:v>
      </x:c>
      <x:c r="E66" t="s">
        <x:v>96</x:v>
      </x:c>
      <x:c r="F66" t="s">
        <x:v>97</x:v>
      </x:c>
      <x:c r="G66">
        <x:v>43980</x:v>
      </x:c>
      <x:c r="H66" t="s">
        <x:v>410</x:v>
      </x:c>
      <x:c r="I66" t="s">
        <x:v>411</x:v>
      </x:c>
      <x:c r="J66" t="s">
        <x:v>412</x:v>
      </x:c>
    </x:row>
    <x:row r="67">
      <x:c r="A67" t="s">
        <x:v>413</x:v>
      </x:c>
      <x:c r="B67" t="s">
        <x:v>413</x:v>
      </x:c>
      <x:c r="C67" t="s">
        <x:v>414</x:v>
      </x:c>
      <x:c r="D67">
        <x:v>7</x:v>
      </x:c>
      <x:c r="E67" t="s">
        <x:v>103</x:v>
      </x:c>
      <x:c r="F67" t="s">
        <x:v>97</x:v>
      </x:c>
      <x:c r="G67">
        <x:v>42218</x:v>
      </x:c>
      <x:c r="H67" t="s">
        <x:v>415</x:v>
      </x:c>
      <x:c r="I67" t="s">
        <x:v>416</x:v>
      </x:c>
      <x:c r="J67" t="s">
        <x:v>417</x:v>
      </x:c>
    </x:row>
    <x:row r="68">
      <x:c r="A68" t="s">
        <x:v>418</x:v>
      </x:c>
      <x:c r="B68" t="s">
        <x:v>418</x:v>
      </x:c>
      <x:c r="C68" t="s">
        <x:v>419</x:v>
      </x:c>
      <x:c r="D68">
        <x:v>8</x:v>
      </x:c>
      <x:c r="E68" t="s">
        <x:v>257</x:v>
      </x:c>
      <x:c r="F68" t="s">
        <x:v>97</x:v>
      </x:c>
      <x:c r="G68">
        <x:v>41543</x:v>
      </x:c>
      <x:c r="H68" t="s">
        <x:v>420</x:v>
      </x:c>
      <x:c r="I68" t="s">
        <x:v>421</x:v>
      </x:c>
      <x:c r="J68" t="s">
        <x:v>422</x:v>
      </x:c>
    </x:row>
    <x:row r="69">
      <x:c r="A69" t="s">
        <x:v>423</x:v>
      </x:c>
      <x:c r="B69" t="s">
        <x:v>423</x:v>
      </x:c>
      <x:c r="C69" t="s">
        <x:v>419</x:v>
      </x:c>
      <x:c r="D69">
        <x:v>3</x:v>
      </x:c>
      <x:c r="E69" t="s">
        <x:v>103</x:v>
      </x:c>
      <x:c r="F69" t="s">
        <x:v>97</x:v>
      </x:c>
      <x:c r="G69">
        <x:v>42062</x:v>
      </x:c>
      <x:c r="H69" t="s">
        <x:v>424</x:v>
      </x:c>
      <x:c r="I69" t="s">
        <x:v>425</x:v>
      </x:c>
      <x:c r="J69" t="s">
        <x:v>426</x:v>
      </x:c>
    </x:row>
    <x:row r="70">
      <x:c r="A70" t="s">
        <x:v>427</x:v>
      </x:c>
      <x:c r="B70" t="s">
        <x:v>427</x:v>
      </x:c>
      <x:c r="C70" t="s">
        <x:v>428</x:v>
      </x:c>
      <x:c r="D70">
        <x:v>5</x:v>
      </x:c>
      <x:c r="E70" t="s">
        <x:v>257</x:v>
      </x:c>
      <x:c r="F70" t="s">
        <x:v>97</x:v>
      </x:c>
      <x:c r="G70">
        <x:v>42309</x:v>
      </x:c>
      <x:c r="H70" t="s">
        <x:v>429</x:v>
      </x:c>
      <x:c r="I70" t="s">
        <x:v>430</x:v>
      </x:c>
      <x:c r="J70" t="s">
        <x:v>431</x:v>
      </x:c>
    </x:row>
    <x:row r="71">
      <x:c r="A71" t="s">
        <x:v>432</x:v>
      </x:c>
      <x:c r="B71" t="s">
        <x:v>432</x:v>
      </x:c>
      <x:c r="C71" t="s">
        <x:v>433</x:v>
      </x:c>
      <x:c r="D71">
        <x:v>0</x:v>
      </x:c>
      <x:c r="E71" t="s">
        <x:v>89</x:v>
      </x:c>
      <x:c r="F71" t="s">
        <x:v>97</x:v>
      </x:c>
      <x:c r="G71">
        <x:v>44613</x:v>
      </x:c>
      <x:c r="H71" t="s">
        <x:v>434</x:v>
      </x:c>
      <x:c r="I71" t="s">
        <x:v>435</x:v>
      </x:c>
      <x:c r="J71" t="s">
        <x:v>436</x:v>
      </x:c>
    </x:row>
    <x:row r="72">
      <x:c r="A72" t="s">
        <x:v>437</x:v>
      </x:c>
      <x:c r="B72" t="s">
        <x:v>437</x:v>
      </x:c>
      <x:c r="C72" t="s">
        <x:v>438</x:v>
      </x:c>
      <x:c r="D72">
        <x:v>8</x:v>
      </x:c>
      <x:c r="E72" t="s">
        <x:v>103</x:v>
      </x:c>
      <x:c r="F72" t="s">
        <x:v>97</x:v>
      </x:c>
      <x:c r="G72">
        <x:v>42301</x:v>
      </x:c>
      <x:c r="H72" t="s">
        <x:v>439</x:v>
      </x:c>
      <x:c r="I72" t="s">
        <x:v>440</x:v>
      </x:c>
      <x:c r="J72" t="s">
        <x:v>441</x:v>
      </x:c>
    </x:row>
    <x:row r="73">
      <x:c r="A73" t="s">
        <x:v>442</x:v>
      </x:c>
      <x:c r="B73" t="s">
        <x:v>442</x:v>
      </x:c>
      <x:c r="C73" t="s">
        <x:v>326</x:v>
      </x:c>
      <x:c r="D73">
        <x:v>1</x:v>
      </x:c>
      <x:c r="E73" t="s">
        <x:v>103</x:v>
      </x:c>
      <x:c r="F73" t="s">
        <x:v>97</x:v>
      </x:c>
      <x:c r="G73">
        <x:v>43907</x:v>
      </x:c>
      <x:c r="H73" t="s">
        <x:v>443</x:v>
      </x:c>
      <x:c r="I73" t="s">
        <x:v>444</x:v>
      </x:c>
      <x:c r="J73" t="s">
        <x:v>445</x:v>
      </x:c>
    </x:row>
    <x:row r="74">
      <x:c r="A74" t="s">
        <x:v>446</x:v>
      </x:c>
      <x:c r="B74" t="s">
        <x:v>446</x:v>
      </x:c>
      <x:c r="C74" t="s">
        <x:v>447</x:v>
      </x:c>
      <x:c r="D74">
        <x:v>41</x:v>
      </x:c>
      <x:c r="E74" t="s">
        <x:v>103</x:v>
      </x:c>
      <x:c r="F74" t="s">
        <x:v>97</x:v>
      </x:c>
      <x:c r="G74">
        <x:v>44540</x:v>
      </x:c>
      <x:c r="H74" t="s">
        <x:v>448</x:v>
      </x:c>
      <x:c r="I74" t="s">
        <x:v>449</x:v>
      </x:c>
      <x:c r="J74" t="s">
        <x:v>450</x:v>
      </x:c>
    </x:row>
    <x:row r="75">
      <x:c r="A75" t="s">
        <x:v>451</x:v>
      </x:c>
      <x:c r="B75" t="s">
        <x:v>451</x:v>
      </x:c>
      <x:c r="C75" t="s">
        <x:v>452</x:v>
      </x:c>
      <x:c r="D75">
        <x:v>13</x:v>
      </x:c>
      <x:c r="E75" t="s">
        <x:v>198</x:v>
      </x:c>
      <x:c r="F75" t="s">
        <x:v>90</x:v>
      </x:c>
      <x:c r="G75">
        <x:v>46207</x:v>
      </x:c>
      <x:c r="H75" t="s">
        <x:v>453</x:v>
      </x:c>
      <x:c r="I75" t="s">
        <x:v>454</x:v>
      </x:c>
      <x:c r="J75" t="s">
        <x:v>455</x:v>
      </x:c>
    </x:row>
    <x:row r="76">
      <x:c r="A76" t="s">
        <x:v>456</x:v>
      </x:c>
      <x:c r="B76" t="s">
        <x:v>456</x:v>
      </x:c>
      <x:c r="C76" t="s">
        <x:v>447</x:v>
      </x:c>
      <x:c r="D76">
        <x:v>6</x:v>
      </x:c>
      <x:c r="E76" t="s">
        <x:v>257</x:v>
      </x:c>
      <x:c r="F76" t="s">
        <x:v>97</x:v>
      </x:c>
      <x:c r="G76">
        <x:v>41539</x:v>
      </x:c>
      <x:c r="H76" t="s">
        <x:v>457</x:v>
      </x:c>
      <x:c r="I76" t="s">
        <x:v>458</x:v>
      </x:c>
      <x:c r="J76" t="s">
        <x:v>459</x:v>
      </x:c>
    </x:row>
    <x:row r="77">
      <x:c r="A77" t="s">
        <x:v>460</x:v>
      </x:c>
      <x:c r="B77" t="s">
        <x:v>460</x:v>
      </x:c>
      <x:c r="C77" t="s">
        <x:v>461</x:v>
      </x:c>
      <x:c r="D77">
        <x:v>1</x:v>
      </x:c>
      <x:c r="E77" t="s">
        <x:v>114</x:v>
      </x:c>
      <x:c r="F77" t="s">
        <x:v>126</x:v>
      </x:c>
      <x:c r="G77">
        <x:v>43782</x:v>
      </x:c>
      <x:c r="H77" t="s">
        <x:v>462</x:v>
      </x:c>
      <x:c r="I77" t="s">
        <x:v>463</x:v>
      </x:c>
      <x:c r="J77" t="s">
        <x:v>464</x:v>
      </x:c>
    </x:row>
    <x:row r="78">
      <x:c r="A78" t="s">
        <x:v>465</x:v>
      </x:c>
      <x:c r="B78" t="s">
        <x:v>465</x:v>
      </x:c>
      <x:c r="C78" t="s">
        <x:v>466</x:v>
      </x:c>
      <x:c r="D78">
        <x:v>9</x:v>
      </x:c>
      <x:c r="E78" t="s">
        <x:v>114</x:v>
      </x:c>
      <x:c r="F78" t="s">
        <x:v>90</x:v>
      </x:c>
      <x:c r="G78">
        <x:v>45463</x:v>
      </x:c>
      <x:c r="H78" t="s">
        <x:v>467</x:v>
      </x:c>
      <x:c r="I78" t="s">
        <x:v>468</x:v>
      </x:c>
      <x:c r="J78" t="s">
        <x:v>469</x:v>
      </x:c>
    </x:row>
    <x:row r="79">
      <x:c r="A79" t="s">
        <x:v>470</x:v>
      </x:c>
      <x:c r="B79" t="s">
        <x:v>470</x:v>
      </x:c>
      <x:c r="C79" t="s">
        <x:v>471</x:v>
      </x:c>
      <x:c r="D79">
        <x:v>7</x:v>
      </x:c>
      <x:c r="E79" t="s">
        <x:v>96</x:v>
      </x:c>
      <x:c r="F79" t="s">
        <x:v>97</x:v>
      </x:c>
      <x:c r="G79">
        <x:v>44034</x:v>
      </x:c>
      <x:c r="H79" t="s">
        <x:v>472</x:v>
      </x:c>
      <x:c r="I79" t="s">
        <x:v>473</x:v>
      </x:c>
      <x:c r="J79" t="s">
        <x:v>474</x:v>
      </x:c>
    </x:row>
    <x:row r="80">
      <x:c r="A80" t="s">
        <x:v>475</x:v>
      </x:c>
      <x:c r="B80" t="s">
        <x:v>475</x:v>
      </x:c>
      <x:c r="C80" t="s">
        <x:v>476</x:v>
      </x:c>
      <x:c r="D80">
        <x:v>26</x:v>
      </x:c>
      <x:c r="E80" t="s">
        <x:v>89</x:v>
      </x:c>
      <x:c r="F80" t="s">
        <x:v>97</x:v>
      </x:c>
      <x:c r="G80">
        <x:v>46035</x:v>
      </x:c>
      <x:c r="H80" t="s">
        <x:v>477</x:v>
      </x:c>
      <x:c r="I80" t="s">
        <x:v>478</x:v>
      </x:c>
      <x:c r="J80" t="s">
        <x:v>479</x:v>
      </x:c>
    </x:row>
    <x:row r="81">
      <x:c r="A81" t="s">
        <x:v>480</x:v>
      </x:c>
      <x:c r="B81" t="s">
        <x:v>480</x:v>
      </x:c>
      <x:c r="C81" t="s">
        <x:v>481</x:v>
      </x:c>
      <x:c r="D81">
        <x:v>1</x:v>
      </x:c>
      <x:c r="E81" t="s">
        <x:v>103</x:v>
      </x:c>
      <x:c r="F81" t="s">
        <x:v>97</x:v>
      </x:c>
      <x:c r="G81">
        <x:v>45532</x:v>
      </x:c>
      <x:c r="H81" t="s">
        <x:v>482</x:v>
      </x:c>
      <x:c r="I81" t="s">
        <x:v>483</x:v>
      </x:c>
      <x:c r="J81" t="s">
        <x:v>484</x:v>
      </x:c>
    </x:row>
    <x:row r="82">
      <x:c r="A82" t="s">
        <x:v>485</x:v>
      </x:c>
      <x:c r="B82" t="s">
        <x:v>485</x:v>
      </x:c>
      <x:c r="C82" t="s">
        <x:v>486</x:v>
      </x:c>
      <x:c r="D82">
        <x:v>7</x:v>
      </x:c>
      <x:c r="E82" t="s">
        <x:v>198</x:v>
      </x:c>
      <x:c r="F82" t="s">
        <x:v>90</x:v>
      </x:c>
      <x:c r="G82">
        <x:v>44881</x:v>
      </x:c>
      <x:c r="H82" t="s">
        <x:v>487</x:v>
      </x:c>
      <x:c r="I82" t="s">
        <x:v>488</x:v>
      </x:c>
      <x:c r="J82" t="s">
        <x:v>489</x:v>
      </x:c>
    </x:row>
    <x:row r="83">
      <x:c r="A83" t="s">
        <x:v>490</x:v>
      </x:c>
      <x:c r="B83" t="s">
        <x:v>490</x:v>
      </x:c>
      <x:c r="C83" t="s">
        <x:v>491</x:v>
      </x:c>
      <x:c r="D83">
        <x:v>6</x:v>
      </x:c>
      <x:c r="E83" t="s">
        <x:v>96</x:v>
      </x:c>
      <x:c r="F83" t="s">
        <x:v>90</x:v>
      </x:c>
      <x:c r="G83">
        <x:v>44932</x:v>
      </x:c>
      <x:c r="H83" t="s">
        <x:v>492</x:v>
      </x:c>
      <x:c r="I83" t="s">
        <x:v>493</x:v>
      </x:c>
      <x:c r="J83" t="s">
        <x:v>494</x:v>
      </x:c>
    </x:row>
    <x:row r="84">
      <x:c r="A84" t="s">
        <x:v>495</x:v>
      </x:c>
      <x:c r="B84" t="s">
        <x:v>495</x:v>
      </x:c>
      <x:c r="C84" t="s">
        <x:v>491</x:v>
      </x:c>
      <x:c r="D84">
        <x:v>6</x:v>
      </x:c>
      <x:c r="E84" t="s">
        <x:v>96</x:v>
      </x:c>
      <x:c r="F84" t="s">
        <x:v>90</x:v>
      </x:c>
      <x:c r="G84">
        <x:v>45509</x:v>
      </x:c>
      <x:c r="H84" t="s">
        <x:v>496</x:v>
      </x:c>
      <x:c r="I84" t="s">
        <x:v>497</x:v>
      </x:c>
      <x:c r="J84" t="s">
        <x:v>498</x:v>
      </x:c>
    </x:row>
    <x:row r="85">
      <x:c r="A85" t="s">
        <x:v>499</x:v>
      </x:c>
      <x:c r="B85" t="s">
        <x:v>499</x:v>
      </x:c>
      <x:c r="C85" t="s">
        <x:v>500</x:v>
      </x:c>
      <x:c r="D85">
        <x:v>7</x:v>
      </x:c>
      <x:c r="E85" t="s">
        <x:v>103</x:v>
      </x:c>
      <x:c r="F85" t="s">
        <x:v>97</x:v>
      </x:c>
      <x:c r="G85">
        <x:v>42299</x:v>
      </x:c>
      <x:c r="H85" t="s">
        <x:v>501</x:v>
      </x:c>
      <x:c r="I85" t="s">
        <x:v>502</x:v>
      </x:c>
      <x:c r="J85" t="s">
        <x:v>503</x:v>
      </x:c>
    </x:row>
    <x:row r="86">
      <x:c r="A86" t="s">
        <x:v>504</x:v>
      </x:c>
      <x:c r="B86" t="s">
        <x:v>504</x:v>
      </x:c>
      <x:c r="C86" t="s">
        <x:v>505</x:v>
      </x:c>
      <x:c r="D86">
        <x:v>6</x:v>
      </x:c>
      <x:c r="E86" t="s">
        <x:v>257</x:v>
      </x:c>
      <x:c r="F86" t="s">
        <x:v>97</x:v>
      </x:c>
      <x:c r="G86">
        <x:v>42220</x:v>
      </x:c>
      <x:c r="H86" t="s">
        <x:v>506</x:v>
      </x:c>
      <x:c r="I86" t="s">
        <x:v>507</x:v>
      </x:c>
      <x:c r="J86" t="s">
        <x:v>508</x:v>
      </x:c>
    </x:row>
    <x:row r="87">
      <x:c r="A87" t="s">
        <x:v>509</x:v>
      </x:c>
      <x:c r="B87" t="s">
        <x:v>509</x:v>
      </x:c>
      <x:c r="C87" t="s">
        <x:v>510</x:v>
      </x:c>
      <x:c r="D87">
        <x:v>8</x:v>
      </x:c>
      <x:c r="E87" t="s">
        <x:v>89</x:v>
      </x:c>
      <x:c r="F87" t="s">
        <x:v>97</x:v>
      </x:c>
      <x:c r="G87">
        <x:v>42939</x:v>
      </x:c>
      <x:c r="H87" t="s">
        <x:v>511</x:v>
      </x:c>
      <x:c r="I87" t="s">
        <x:v>512</x:v>
      </x:c>
      <x:c r="J87" t="s">
        <x:v>513</x:v>
      </x:c>
    </x:row>
    <x:row r="88">
      <x:c r="A88" t="s">
        <x:v>514</x:v>
      </x:c>
      <x:c r="B88" t="s">
        <x:v>514</x:v>
      </x:c>
      <x:c r="C88" t="s">
        <x:v>510</x:v>
      </x:c>
      <x:c r="D88">
        <x:v>8</x:v>
      </x:c>
      <x:c r="E88" t="s">
        <x:v>89</x:v>
      </x:c>
      <x:c r="F88" t="s">
        <x:v>97</x:v>
      </x:c>
      <x:c r="G88">
        <x:v>42738</x:v>
      </x:c>
      <x:c r="H88" t="s">
        <x:v>515</x:v>
      </x:c>
      <x:c r="I88" t="s">
        <x:v>516</x:v>
      </x:c>
      <x:c r="J88" t="s">
        <x:v>517</x:v>
      </x:c>
    </x:row>
    <x:row r="89">
      <x:c r="A89" t="s">
        <x:v>518</x:v>
      </x:c>
      <x:c r="B89" t="s">
        <x:v>518</x:v>
      </x:c>
      <x:c r="C89" t="s">
        <x:v>519</x:v>
      </x:c>
      <x:c r="D89">
        <x:v>16</x:v>
      </x:c>
      <x:c r="E89" t="s">
        <x:v>89</x:v>
      </x:c>
      <x:c r="F89" t="s">
        <x:v>90</x:v>
      </x:c>
      <x:c r="G89">
        <x:v>45152</x:v>
      </x:c>
      <x:c r="H89" t="s">
        <x:v>520</x:v>
      </x:c>
      <x:c r="I89" t="s">
        <x:v>521</x:v>
      </x:c>
      <x:c r="J89" t="s">
        <x:v>522</x:v>
      </x:c>
    </x:row>
    <x:row r="90">
      <x:c r="A90" t="s">
        <x:v>523</x:v>
      </x:c>
      <x:c r="B90" t="s">
        <x:v>523</x:v>
      </x:c>
      <x:c r="C90" t="s">
        <x:v>524</x:v>
      </x:c>
      <x:c r="D90">
        <x:v>8</x:v>
      </x:c>
      <x:c r="E90" t="s">
        <x:v>89</x:v>
      </x:c>
      <x:c r="F90" t="s">
        <x:v>90</x:v>
      </x:c>
      <x:c r="G90">
        <x:v>44445</x:v>
      </x:c>
      <x:c r="H90" t="s">
        <x:v>525</x:v>
      </x:c>
      <x:c r="I90" t="s">
        <x:v>526</x:v>
      </x:c>
      <x:c r="J90" t="s">
        <x:v>527</x:v>
      </x:c>
    </x:row>
    <x:row r="91">
      <x:c r="A91" t="s">
        <x:v>528</x:v>
      </x:c>
      <x:c r="B91" t="s">
        <x:v>528</x:v>
      </x:c>
      <x:c r="C91" t="s">
        <x:v>447</x:v>
      </x:c>
      <x:c r="D91">
        <x:v>8</x:v>
      </x:c>
      <x:c r="E91" t="s">
        <x:v>96</x:v>
      </x:c>
      <x:c r="F91" t="s">
        <x:v>97</x:v>
      </x:c>
      <x:c r="G91">
        <x:v>41451</x:v>
      </x:c>
      <x:c r="H91" t="s">
        <x:v>529</x:v>
      </x:c>
      <x:c r="I91" t="s">
        <x:v>530</x:v>
      </x:c>
      <x:c r="J91" t="s">
        <x:v>531</x:v>
      </x:c>
    </x:row>
    <x:row r="92">
      <x:c r="A92" t="s">
        <x:v>532</x:v>
      </x:c>
      <x:c r="B92" t="s">
        <x:v>532</x:v>
      </x:c>
      <x:c r="C92" t="s">
        <x:v>533</x:v>
      </x:c>
      <x:c r="D92">
        <x:v>7</x:v>
      </x:c>
      <x:c r="E92" t="s">
        <x:v>114</x:v>
      </x:c>
      <x:c r="F92" t="s">
        <x:v>152</x:v>
      </x:c>
      <x:c r="G92">
        <x:v>46133</x:v>
      </x:c>
      <x:c r="H92" t="s">
        <x:v>534</x:v>
      </x:c>
      <x:c r="I92" t="s">
        <x:v>535</x:v>
      </x:c>
      <x:c r="J92" t="s">
        <x:v>536</x:v>
      </x:c>
    </x:row>
    <x:row r="93">
      <x:c r="A93" t="s">
        <x:v>537</x:v>
      </x:c>
      <x:c r="B93" t="s">
        <x:v>537</x:v>
      </x:c>
      <x:c r="C93" t="s">
        <x:v>538</x:v>
      </x:c>
      <x:c r="D93">
        <x:v>1</x:v>
      </x:c>
      <x:c r="E93" t="s">
        <x:v>103</x:v>
      </x:c>
      <x:c r="F93" t="s">
        <x:v>97</x:v>
      </x:c>
      <x:c r="G93">
        <x:v>41445</x:v>
      </x:c>
      <x:c r="H93" t="s">
        <x:v>539</x:v>
      </x:c>
      <x:c r="I93" t="s">
        <x:v>540</x:v>
      </x:c>
      <x:c r="J93" t="s">
        <x:v>541</x:v>
      </x:c>
    </x:row>
    <x:row r="94">
      <x:c r="A94" t="s">
        <x:v>542</x:v>
      </x:c>
      <x:c r="B94" t="s">
        <x:v>542</x:v>
      </x:c>
      <x:c r="C94" t="s">
        <x:v>543</x:v>
      </x:c>
      <x:c r="D94">
        <x:v>107</x:v>
      </x:c>
      <x:c r="E94" t="s">
        <x:v>103</x:v>
      </x:c>
      <x:c r="F94" t="s">
        <x:v>97</x:v>
      </x:c>
      <x:c r="G94">
        <x:v>46073</x:v>
      </x:c>
      <x:c r="H94" t="s">
        <x:v>544</x:v>
      </x:c>
      <x:c r="I94" t="s">
        <x:v>545</x:v>
      </x:c>
      <x:c r="J94" t="s">
        <x:v>546</x:v>
      </x:c>
    </x:row>
    <x:row r="95">
      <x:c r="A95" t="s">
        <x:v>547</x:v>
      </x:c>
      <x:c r="B95" t="s">
        <x:v>547</x:v>
      </x:c>
      <x:c r="C95" t="s">
        <x:v>548</x:v>
      </x:c>
      <x:c r="D95">
        <x:v>94</x:v>
      </x:c>
      <x:c r="E95" t="s">
        <x:v>198</x:v>
      </x:c>
      <x:c r="F95" t="s">
        <x:v>97</x:v>
      </x:c>
      <x:c r="G95">
        <x:v>43167</x:v>
      </x:c>
      <x:c r="H95" t="s">
        <x:v>549</x:v>
      </x:c>
      <x:c r="I95" t="s">
        <x:v>550</x:v>
      </x:c>
      <x:c r="J95" t="s">
        <x:v>551</x:v>
      </x:c>
    </x:row>
    <x:row r="96">
      <x:c r="A96" t="s">
        <x:v>552</x:v>
      </x:c>
      <x:c r="B96" t="s">
        <x:v>552</x:v>
      </x:c>
      <x:c r="C96" t="s">
        <x:v>553</x:v>
      </x:c>
      <x:c r="D96">
        <x:v>7</x:v>
      </x:c>
      <x:c r="E96" t="s">
        <x:v>96</x:v>
      </x:c>
      <x:c r="F96" t="s">
        <x:v>97</x:v>
      </x:c>
      <x:c r="G96">
        <x:v>43670</x:v>
      </x:c>
      <x:c r="H96" t="s">
        <x:v>554</x:v>
      </x:c>
      <x:c r="I96" t="s">
        <x:v>555</x:v>
      </x:c>
      <x:c r="J96" t="s">
        <x:v>556</x:v>
      </x:c>
    </x:row>
    <x:row r="97">
      <x:c r="A97" t="s">
        <x:v>557</x:v>
      </x:c>
      <x:c r="B97" t="s">
        <x:v>557</x:v>
      </x:c>
      <x:c r="C97" t="s">
        <x:v>246</x:v>
      </x:c>
      <x:c r="D97">
        <x:v>18</x:v>
      </x:c>
      <x:c r="E97" t="s">
        <x:v>198</x:v>
      </x:c>
      <x:c r="F97" t="s">
        <x:v>90</x:v>
      </x:c>
      <x:c r="G97">
        <x:v>45769</x:v>
      </x:c>
      <x:c r="H97" t="s">
        <x:v>558</x:v>
      </x:c>
      <x:c r="I97" t="s">
        <x:v>559</x:v>
      </x:c>
      <x:c r="J97" t="s">
        <x:v>560</x:v>
      </x:c>
    </x:row>
    <x:row r="98">
      <x:c r="A98" t="s">
        <x:v>561</x:v>
      </x:c>
      <x:c r="B98" t="s">
        <x:v>561</x:v>
      </x:c>
      <x:c r="C98" t="s">
        <x:v>562</x:v>
      </x:c>
      <x:c r="D98">
        <x:v>11</x:v>
      </x:c>
      <x:c r="E98" t="s">
        <x:v>198</x:v>
      </x:c>
      <x:c r="F98" t="s">
        <x:v>90</x:v>
      </x:c>
      <x:c r="G98">
        <x:v>44950</x:v>
      </x:c>
      <x:c r="H98" t="s">
        <x:v>563</x:v>
      </x:c>
      <x:c r="I98" t="s">
        <x:v>564</x:v>
      </x:c>
      <x:c r="J98" t="s">
        <x:v>565</x:v>
      </x:c>
    </x:row>
    <x:row r="99">
      <x:c r="A99" t="s">
        <x:v>566</x:v>
      </x:c>
      <x:c r="B99" t="s">
        <x:v>566</x:v>
      </x:c>
      <x:c r="C99" t="s">
        <x:v>567</x:v>
      </x:c>
      <x:c r="D99">
        <x:v>69</x:v>
      </x:c>
      <x:c r="E99" t="s">
        <x:v>89</x:v>
      </x:c>
      <x:c r="F99" t="s">
        <x:v>97</x:v>
      </x:c>
      <x:c r="G99">
        <x:v>45802</x:v>
      </x:c>
      <x:c r="H99" t="s">
        <x:v>568</x:v>
      </x:c>
      <x:c r="I99" t="s">
        <x:v>569</x:v>
      </x:c>
      <x:c r="J99" t="s">
        <x:v>570</x:v>
      </x:c>
    </x:row>
    <x:row r="100">
      <x:c r="A100" t="s">
        <x:v>571</x:v>
      </x:c>
      <x:c r="B100" t="s">
        <x:v>571</x:v>
      </x:c>
      <x:c r="C100" t="s">
        <x:v>572</x:v>
      </x:c>
      <x:c r="D100">
        <x:v>1</x:v>
      </x:c>
      <x:c r="E100" t="s">
        <x:v>96</x:v>
      </x:c>
      <x:c r="F100" t="s">
        <x:v>97</x:v>
      </x:c>
      <x:c r="G100">
        <x:v>42345</x:v>
      </x:c>
      <x:c r="H100" t="s">
        <x:v>573</x:v>
      </x:c>
      <x:c r="I100" t="s">
        <x:v>574</x:v>
      </x:c>
      <x:c r="J100" t="s">
        <x:v>575</x:v>
      </x:c>
    </x:row>
    <x:row r="101">
      <x:c r="A101" t="s">
        <x:v>576</x:v>
      </x:c>
      <x:c r="B101" t="s">
        <x:v>576</x:v>
      </x:c>
      <x:c r="C101" t="s">
        <x:v>577</x:v>
      </x:c>
      <x:c r="D101">
        <x:v>120</x:v>
      </x:c>
      <x:c r="E101" t="s">
        <x:v>125</x:v>
      </x:c>
      <x:c r="F101" t="s">
        <x:v>97</x:v>
      </x:c>
      <x:c r="G101">
        <x:v>42876</x:v>
      </x:c>
      <x:c r="H101" t="s">
        <x:v>578</x:v>
      </x:c>
      <x:c r="I101" t="s">
        <x:v>579</x:v>
      </x:c>
      <x:c r="J101" t="s">
        <x:v>580</x:v>
      </x:c>
    </x:row>
    <x:row r="102">
      <x:c r="A102" t="s">
        <x:v>581</x:v>
      </x:c>
      <x:c r="B102" t="s">
        <x:v>581</x:v>
      </x:c>
      <x:c r="C102" t="s">
        <x:v>341</x:v>
      </x:c>
      <x:c r="D102">
        <x:v>0</x:v>
      </x:c>
      <x:c r="E102" t="s">
        <x:v>114</x:v>
      </x:c>
      <x:c r="F102" t="s">
        <x:v>90</x:v>
      </x:c>
      <x:c r="G102">
        <x:v>44609</x:v>
      </x:c>
      <x:c r="H102" t="s">
        <x:v>582</x:v>
      </x:c>
      <x:c r="I102" t="s">
        <x:v>583</x:v>
      </x:c>
      <x:c r="J102" t="s">
        <x:v>584</x:v>
      </x:c>
    </x:row>
    <x:row r="103">
      <x:c r="A103" t="s">
        <x:v>585</x:v>
      </x:c>
      <x:c r="B103" t="s">
        <x:v>585</x:v>
      </x:c>
      <x:c r="C103" t="s">
        <x:v>586</x:v>
      </x:c>
      <x:c r="D103">
        <x:v>4</x:v>
      </x:c>
      <x:c r="E103" t="s">
        <x:v>96</x:v>
      </x:c>
      <x:c r="F103" t="s">
        <x:v>97</x:v>
      </x:c>
      <x:c r="G103">
        <x:v>43292</x:v>
      </x:c>
      <x:c r="H103" t="s">
        <x:v>587</x:v>
      </x:c>
      <x:c r="I103" t="s">
        <x:v>588</x:v>
      </x:c>
      <x:c r="J103" t="s">
        <x:v>589</x:v>
      </x:c>
    </x:row>
    <x:row r="104">
      <x:c r="A104" t="s">
        <x:v>590</x:v>
      </x:c>
      <x:c r="B104" t="s">
        <x:v>590</x:v>
      </x:c>
      <x:c r="C104" t="s">
        <x:v>591</x:v>
      </x:c>
      <x:c r="D104">
        <x:v>1</x:v>
      </x:c>
      <x:c r="E104" t="s">
        <x:v>96</x:v>
      </x:c>
      <x:c r="F104" t="s">
        <x:v>97</x:v>
      </x:c>
      <x:c r="G104">
        <x:v>45732</x:v>
      </x:c>
      <x:c r="H104" t="s">
        <x:v>592</x:v>
      </x:c>
      <x:c r="I104" t="s">
        <x:v>593</x:v>
      </x:c>
      <x:c r="J104" t="s">
        <x:v>594</x:v>
      </x:c>
    </x:row>
    <x:row r="105">
      <x:c r="A105" t="s">
        <x:v>595</x:v>
      </x:c>
      <x:c r="B105" t="s">
        <x:v>595</x:v>
      </x:c>
      <x:c r="C105" t="s">
        <x:v>591</x:v>
      </x:c>
      <x:c r="D105">
        <x:v>16</x:v>
      </x:c>
      <x:c r="E105" t="s">
        <x:v>103</x:v>
      </x:c>
      <x:c r="F105" t="s">
        <x:v>97</x:v>
      </x:c>
      <x:c r="G105">
        <x:v>42306</x:v>
      </x:c>
      <x:c r="H105" t="s">
        <x:v>596</x:v>
      </x:c>
      <x:c r="I105" t="s">
        <x:v>597</x:v>
      </x:c>
      <x:c r="J105" t="s">
        <x:v>598</x:v>
      </x:c>
    </x:row>
    <x:row r="106">
      <x:c r="A106" t="s">
        <x:v>599</x:v>
      </x:c>
      <x:c r="B106" t="s">
        <x:v>599</x:v>
      </x:c>
      <x:c r="C106" t="s">
        <x:v>600</x:v>
      </x:c>
      <x:c r="D106">
        <x:v>14</x:v>
      </x:c>
      <x:c r="E106" t="s">
        <x:v>89</x:v>
      </x:c>
      <x:c r="F106" t="s">
        <x:v>90</x:v>
      </x:c>
      <x:c r="G106">
        <x:v>44950</x:v>
      </x:c>
      <x:c r="H106" t="s">
        <x:v>601</x:v>
      </x:c>
      <x:c r="I106" t="s">
        <x:v>602</x:v>
      </x:c>
      <x:c r="J106" t="s">
        <x:v>603</x:v>
      </x:c>
    </x:row>
    <x:row r="107">
      <x:c r="A107" t="s">
        <x:v>604</x:v>
      </x:c>
      <x:c r="B107" t="s">
        <x:v>604</x:v>
      </x:c>
      <x:c r="C107" t="s">
        <x:v>533</x:v>
      </x:c>
      <x:c r="D107">
        <x:v>0</x:v>
      </x:c>
      <x:c r="E107" t="s">
        <x:v>125</x:v>
      </x:c>
      <x:c r="F107" t="s">
        <x:v>90</x:v>
      </x:c>
      <x:c r="G107">
        <x:v>46089</x:v>
      </x:c>
      <x:c r="H107" t="s">
        <x:v>605</x:v>
      </x:c>
      <x:c r="I107" t="s">
        <x:v>606</x:v>
      </x:c>
      <x:c r="J107" t="s">
        <x:v>607</x:v>
      </x:c>
    </x:row>
    <x:row r="108">
      <x:c r="A108" t="s">
        <x:v>608</x:v>
      </x:c>
      <x:c r="B108" t="s">
        <x:v>608</x:v>
      </x:c>
      <x:c r="C108" t="s">
        <x:v>609</x:v>
      </x:c>
      <x:c r="D108">
        <x:v>3</x:v>
      </x:c>
      <x:c r="E108" t="s">
        <x:v>198</x:v>
      </x:c>
      <x:c r="F108" t="s">
        <x:v>610</x:v>
      </x:c>
      <x:c r="G108">
        <x:v>43450</x:v>
      </x:c>
      <x:c r="H108" t="s">
        <x:v>611</x:v>
      </x:c>
      <x:c r="I108" t="s">
        <x:v>612</x:v>
      </x:c>
      <x:c r="J108" t="s">
        <x:v>613</x:v>
      </x:c>
    </x:row>
    <x:row r="109">
      <x:c r="A109" t="s">
        <x:v>614</x:v>
      </x:c>
      <x:c r="B109" t="s">
        <x:v>614</x:v>
      </x:c>
      <x:c r="C109" t="s">
        <x:v>615</x:v>
      </x:c>
      <x:c r="D109">
        <x:v>10</x:v>
      </x:c>
      <x:c r="E109" t="s">
        <x:v>89</x:v>
      </x:c>
      <x:c r="F109" t="s">
        <x:v>90</x:v>
      </x:c>
      <x:c r="G109">
        <x:v>44854</x:v>
      </x:c>
      <x:c r="H109" t="s">
        <x:v>616</x:v>
      </x:c>
      <x:c r="I109" t="s">
        <x:v>617</x:v>
      </x:c>
      <x:c r="J109" t="s">
        <x:v>618</x:v>
      </x:c>
    </x:row>
    <x:row r="110">
      <x:c r="A110" t="s">
        <x:v>619</x:v>
      </x:c>
      <x:c r="B110" t="s">
        <x:v>619</x:v>
      </x:c>
      <x:c r="C110" t="s">
        <x:v>615</x:v>
      </x:c>
      <x:c r="D110">
        <x:v>20</x:v>
      </x:c>
      <x:c r="E110" t="s">
        <x:v>198</x:v>
      </x:c>
      <x:c r="F110" t="s">
        <x:v>90</x:v>
      </x:c>
      <x:c r="G110">
        <x:v>46055</x:v>
      </x:c>
      <x:c r="H110" t="s">
        <x:v>620</x:v>
      </x:c>
      <x:c r="I110" t="s">
        <x:v>621</x:v>
      </x:c>
      <x:c r="J110" t="s">
        <x:v>622</x:v>
      </x:c>
    </x:row>
    <x:row r="111">
      <x:c r="A111" t="s">
        <x:v>623</x:v>
      </x:c>
      <x:c r="B111" t="s">
        <x:v>623</x:v>
      </x:c>
      <x:c r="C111" t="s">
        <x:v>624</x:v>
      </x:c>
      <x:c r="D111">
        <x:v>10</x:v>
      </x:c>
      <x:c r="E111" t="s">
        <x:v>89</x:v>
      </x:c>
      <x:c r="F111" t="s">
        <x:v>90</x:v>
      </x:c>
      <x:c r="G111">
        <x:v>44745</x:v>
      </x:c>
      <x:c r="H111" t="s">
        <x:v>625</x:v>
      </x:c>
      <x:c r="I111" t="s">
        <x:v>626</x:v>
      </x:c>
      <x:c r="J111" t="s">
        <x:v>627</x:v>
      </x:c>
    </x:row>
    <x:row r="112">
      <x:c r="A112" t="s">
        <x:v>628</x:v>
      </x:c>
      <x:c r="B112" t="s">
        <x:v>628</x:v>
      </x:c>
      <x:c r="C112" t="s">
        <x:v>629</x:v>
      </x:c>
      <x:c r="D112">
        <x:v>15</x:v>
      </x:c>
      <x:c r="E112" t="s">
        <x:v>114</x:v>
      </x:c>
      <x:c r="F112" t="s">
        <x:v>90</x:v>
      </x:c>
      <x:c r="G112">
        <x:v>44846</x:v>
      </x:c>
      <x:c r="H112" t="s">
        <x:v>630</x:v>
      </x:c>
      <x:c r="I112" t="s">
        <x:v>631</x:v>
      </x:c>
      <x:c r="J112" t="s">
        <x:v>632</x:v>
      </x:c>
    </x:row>
    <x:row r="113">
      <x:c r="A113" t="s">
        <x:v>633</x:v>
      </x:c>
      <x:c r="B113" t="s">
        <x:v>633</x:v>
      </x:c>
      <x:c r="C113" t="s">
        <x:v>629</x:v>
      </x:c>
      <x:c r="D113">
        <x:v>14</x:v>
      </x:c>
      <x:c r="E113" t="s">
        <x:v>114</x:v>
      </x:c>
      <x:c r="F113" t="s">
        <x:v>90</x:v>
      </x:c>
      <x:c r="G113">
        <x:v>44624</x:v>
      </x:c>
      <x:c r="H113" t="s">
        <x:v>634</x:v>
      </x:c>
      <x:c r="I113" t="s">
        <x:v>635</x:v>
      </x:c>
      <x:c r="J113" t="s">
        <x:v>636</x:v>
      </x:c>
    </x:row>
    <x:row r="114">
      <x:c r="A114" t="s">
        <x:v>637</x:v>
      </x:c>
      <x:c r="B114" t="s">
        <x:v>637</x:v>
      </x:c>
      <x:c r="C114" t="s">
        <x:v>629</x:v>
      </x:c>
      <x:c r="D114">
        <x:v>13</x:v>
      </x:c>
      <x:c r="E114" t="s">
        <x:v>114</x:v>
      </x:c>
      <x:c r="F114" t="s">
        <x:v>90</x:v>
      </x:c>
      <x:c r="G114">
        <x:v>44985</x:v>
      </x:c>
      <x:c r="H114" t="s">
        <x:v>638</x:v>
      </x:c>
      <x:c r="I114" t="s">
        <x:v>639</x:v>
      </x:c>
      <x:c r="J114" t="s">
        <x:v>640</x:v>
      </x:c>
    </x:row>
    <x:row r="115">
      <x:c r="A115" t="s">
        <x:v>641</x:v>
      </x:c>
      <x:c r="B115" t="s">
        <x:v>641</x:v>
      </x:c>
      <x:c r="C115" t="s">
        <x:v>642</x:v>
      </x:c>
      <x:c r="D115">
        <x:v>73</x:v>
      </x:c>
      <x:c r="E115" t="s">
        <x:v>96</x:v>
      </x:c>
      <x:c r="F115" t="s">
        <x:v>97</x:v>
      </x:c>
      <x:c r="G115">
        <x:v>46092</x:v>
      </x:c>
      <x:c r="H115" t="s">
        <x:v>643</x:v>
      </x:c>
      <x:c r="I115" t="s">
        <x:v>644</x:v>
      </x:c>
      <x:c r="J115" t="s">
        <x:v>645</x:v>
      </x:c>
    </x:row>
    <x:row r="116">
      <x:c r="A116" t="s">
        <x:v>646</x:v>
      </x:c>
      <x:c r="B116" t="s">
        <x:v>646</x:v>
      </x:c>
      <x:c r="C116" t="s">
        <x:v>647</x:v>
      </x:c>
      <x:c r="D116">
        <x:v>44</x:v>
      </x:c>
      <x:c r="E116" t="s">
        <x:v>89</x:v>
      </x:c>
      <x:c r="F116" t="s">
        <x:v>90</x:v>
      </x:c>
      <x:c r="G116">
        <x:v>43760</x:v>
      </x:c>
      <x:c r="H116" t="s">
        <x:v>648</x:v>
      </x:c>
      <x:c r="I116" t="s">
        <x:v>649</x:v>
      </x:c>
      <x:c r="J116" t="s">
        <x:v>650</x:v>
      </x:c>
    </x:row>
    <x:row r="117">
      <x:c r="A117" t="s">
        <x:v>651</x:v>
      </x:c>
      <x:c r="B117" t="s">
        <x:v>651</x:v>
      </x:c>
      <x:c r="C117" t="s">
        <x:v>652</x:v>
      </x:c>
      <x:c r="D117">
        <x:v>8</x:v>
      </x:c>
      <x:c r="E117" t="s">
        <x:v>103</x:v>
      </x:c>
      <x:c r="F117" t="s">
        <x:v>97</x:v>
      </x:c>
      <x:c r="G117">
        <x:v>41815</x:v>
      </x:c>
      <x:c r="H117" t="s">
        <x:v>653</x:v>
      </x:c>
      <x:c r="I117" t="s">
        <x:v>654</x:v>
      </x:c>
      <x:c r="J117" t="s">
        <x:v>655</x:v>
      </x:c>
    </x:row>
    <x:row r="118">
      <x:c r="A118" t="s">
        <x:v>656</x:v>
      </x:c>
      <x:c r="B118" t="s">
        <x:v>656</x:v>
      </x:c>
      <x:c r="C118" t="s">
        <x:v>652</x:v>
      </x:c>
      <x:c r="D118">
        <x:v>7</x:v>
      </x:c>
      <x:c r="E118" t="s">
        <x:v>103</x:v>
      </x:c>
      <x:c r="F118" t="s">
        <x:v>97</x:v>
      </x:c>
      <x:c r="G118">
        <x:v>41513</x:v>
      </x:c>
      <x:c r="H118" t="s">
        <x:v>657</x:v>
      </x:c>
      <x:c r="I118" t="s">
        <x:v>658</x:v>
      </x:c>
      <x:c r="J118" t="s">
        <x:v>659</x:v>
      </x:c>
    </x:row>
    <x:row r="119">
      <x:c r="A119" t="s">
        <x:v>660</x:v>
      </x:c>
      <x:c r="B119" t="s">
        <x:v>660</x:v>
      </x:c>
      <x:c r="C119" t="s">
        <x:v>661</x:v>
      </x:c>
      <x:c r="D119">
        <x:v>3</x:v>
      </x:c>
      <x:c r="E119" t="s">
        <x:v>257</x:v>
      </x:c>
      <x:c r="F119" t="s">
        <x:v>97</x:v>
      </x:c>
      <x:c r="G119">
        <x:v>42044</x:v>
      </x:c>
      <x:c r="H119" t="s">
        <x:v>662</x:v>
      </x:c>
      <x:c r="I119" t="s">
        <x:v>663</x:v>
      </x:c>
      <x:c r="J119" t="s">
        <x:v>664</x:v>
      </x:c>
    </x:row>
    <x:row r="120">
      <x:c r="A120" t="s">
        <x:v>665</x:v>
      </x:c>
      <x:c r="B120" t="s">
        <x:v>665</x:v>
      </x:c>
      <x:c r="C120" t="s">
        <x:v>666</x:v>
      </x:c>
      <x:c r="D120">
        <x:v>3</x:v>
      </x:c>
      <x:c r="E120" t="s">
        <x:v>89</x:v>
      </x:c>
      <x:c r="F120" t="s">
        <x:v>152</x:v>
      </x:c>
      <x:c r="G120">
        <x:v>44774</x:v>
      </x:c>
      <x:c r="H120" t="s">
        <x:v>667</x:v>
      </x:c>
      <x:c r="I120" t="s">
        <x:v>668</x:v>
      </x:c>
      <x:c r="J120" t="s">
        <x:v>669</x:v>
      </x:c>
    </x:row>
    <x:row r="121">
      <x:c r="A121" t="s">
        <x:v>670</x:v>
      </x:c>
      <x:c r="B121" t="s">
        <x:v>670</x:v>
      </x:c>
      <x:c r="C121" t="s">
        <x:v>666</x:v>
      </x:c>
      <x:c r="D121">
        <x:v>10</x:v>
      </x:c>
      <x:c r="E121" t="s">
        <x:v>89</x:v>
      </x:c>
      <x:c r="F121" t="s">
        <x:v>97</x:v>
      </x:c>
      <x:c r="G121">
        <x:v>46167</x:v>
      </x:c>
      <x:c r="H121" t="s">
        <x:v>671</x:v>
      </x:c>
      <x:c r="I121" t="s">
        <x:v>672</x:v>
      </x:c>
      <x:c r="J121" t="s">
        <x:v>673</x:v>
      </x:c>
    </x:row>
    <x:row r="122">
      <x:c r="A122" t="s">
        <x:v>674</x:v>
      </x:c>
      <x:c r="B122" t="s">
        <x:v>674</x:v>
      </x:c>
      <x:c r="C122" t="s">
        <x:v>675</x:v>
      </x:c>
      <x:c r="D122">
        <x:v>20</x:v>
      </x:c>
      <x:c r="E122" t="s">
        <x:v>103</x:v>
      </x:c>
      <x:c r="F122" t="s">
        <x:v>97</x:v>
      </x:c>
      <x:c r="G122">
        <x:v>41570</x:v>
      </x:c>
      <x:c r="H122" t="s">
        <x:v>676</x:v>
      </x:c>
      <x:c r="I122" t="s">
        <x:v>677</x:v>
      </x:c>
      <x:c r="J122" t="s">
        <x:v>678</x:v>
      </x:c>
    </x:row>
    <x:row r="123">
      <x:c r="A123" t="s">
        <x:v>679</x:v>
      </x:c>
      <x:c r="B123" t="s">
        <x:v>679</x:v>
      </x:c>
      <x:c r="C123" t="s">
        <x:v>680</x:v>
      </x:c>
      <x:c r="D123">
        <x:v>1</x:v>
      </x:c>
      <x:c r="E123" t="s">
        <x:v>125</x:v>
      </x:c>
      <x:c r="F123" t="s">
        <x:v>90</x:v>
      </x:c>
      <x:c r="G123">
        <x:v>44874</x:v>
      </x:c>
      <x:c r="H123" t="s">
        <x:v>681</x:v>
      </x:c>
      <x:c r="I123" t="s">
        <x:v>682</x:v>
      </x:c>
      <x:c r="J123" t="s">
        <x:v>683</x:v>
      </x:c>
    </x:row>
    <x:row r="124">
      <x:c r="A124" t="s">
        <x:v>684</x:v>
      </x:c>
      <x:c r="B124" t="s">
        <x:v>684</x:v>
      </x:c>
      <x:c r="C124" t="s">
        <x:v>685</x:v>
      </x:c>
      <x:c r="D124">
        <x:v>22</x:v>
      </x:c>
      <x:c r="E124" t="s">
        <x:v>198</x:v>
      </x:c>
      <x:c r="F124" t="s">
        <x:v>90</x:v>
      </x:c>
      <x:c r="G124">
        <x:v>45151</x:v>
      </x:c>
      <x:c r="H124" t="s">
        <x:v>686</x:v>
      </x:c>
      <x:c r="I124" t="s">
        <x:v>687</x:v>
      </x:c>
      <x:c r="J124" t="s">
        <x:v>688</x:v>
      </x:c>
    </x:row>
    <x:row r="125">
      <x:c r="A125" t="s">
        <x:v>689</x:v>
      </x:c>
      <x:c r="B125" t="s">
        <x:v>689</x:v>
      </x:c>
      <x:c r="C125" t="s">
        <x:v>690</x:v>
      </x:c>
      <x:c r="D125">
        <x:v>6</x:v>
      </x:c>
      <x:c r="E125" t="s">
        <x:v>96</x:v>
      </x:c>
      <x:c r="F125" t="s">
        <x:v>97</x:v>
      </x:c>
      <x:c r="G125">
        <x:v>42258</x:v>
      </x:c>
      <x:c r="H125" t="s">
        <x:v>691</x:v>
      </x:c>
      <x:c r="I125" t="s">
        <x:v>692</x:v>
      </x:c>
      <x:c r="J125" t="s">
        <x:v>693</x:v>
      </x:c>
    </x:row>
    <x:row r="126">
      <x:c r="A126" t="s">
        <x:v>694</x:v>
      </x:c>
      <x:c r="B126" t="s">
        <x:v>694</x:v>
      </x:c>
      <x:c r="C126" t="s">
        <x:v>695</x:v>
      </x:c>
      <x:c r="D126">
        <x:v>29</x:v>
      </x:c>
      <x:c r="E126" t="s">
        <x:v>198</x:v>
      </x:c>
      <x:c r="F126" t="s">
        <x:v>90</x:v>
      </x:c>
      <x:c r="G126">
        <x:v>44342</x:v>
      </x:c>
      <x:c r="H126" t="s">
        <x:v>696</x:v>
      </x:c>
      <x:c r="I126" t="s">
        <x:v>697</x:v>
      </x:c>
      <x:c r="J126" t="s">
        <x:v>698</x:v>
      </x:c>
    </x:row>
    <x:row r="127">
      <x:c r="A127" t="s">
        <x:v>23</x:v>
      </x:c>
      <x:c r="B127" t="s">
        <x:v>23</x:v>
      </x:c>
      <x:c r="C127" t="s">
        <x:v>695</x:v>
      </x:c>
      <x:c r="D127">
        <x:v>28</x:v>
      </x:c>
      <x:c r="E127" t="s">
        <x:v>89</x:v>
      </x:c>
      <x:c r="F127" t="s">
        <x:v>90</x:v>
      </x:c>
      <x:c r="G127">
        <x:v>43442</x:v>
      </x:c>
      <x:c r="H127" t="s">
        <x:v>699</x:v>
      </x:c>
      <x:c r="I127" t="s">
        <x:v>700</x:v>
      </x:c>
      <x:c r="J127" t="s">
        <x:v>701</x:v>
      </x:c>
    </x:row>
    <x:row r="128">
      <x:c r="A128" t="s">
        <x:v>702</x:v>
      </x:c>
      <x:c r="B128" t="s">
        <x:v>702</x:v>
      </x:c>
      <x:c r="C128" t="s">
        <x:v>703</x:v>
      </x:c>
      <x:c r="D128">
        <x:v>10</x:v>
      </x:c>
      <x:c r="E128" t="s">
        <x:v>198</x:v>
      </x:c>
      <x:c r="F128" t="s">
        <x:v>90</x:v>
      </x:c>
      <x:c r="G128">
        <x:v>44958</x:v>
      </x:c>
      <x:c r="H128" t="s">
        <x:v>704</x:v>
      </x:c>
      <x:c r="I128" t="s">
        <x:v>705</x:v>
      </x:c>
      <x:c r="J128" t="s">
        <x:v>706</x:v>
      </x:c>
    </x:row>
    <x:row r="129">
      <x:c r="A129" t="s">
        <x:v>707</x:v>
      </x:c>
      <x:c r="B129" t="s">
        <x:v>707</x:v>
      </x:c>
      <x:c r="C129" t="s">
        <x:v>708</x:v>
      </x:c>
      <x:c r="D129">
        <x:v>32</x:v>
      </x:c>
      <x:c r="E129" t="s">
        <x:v>125</x:v>
      </x:c>
      <x:c r="F129" t="s">
        <x:v>90</x:v>
      </x:c>
      <x:c r="G129">
        <x:v>45680</x:v>
      </x:c>
      <x:c r="H129" t="s">
        <x:v>709</x:v>
      </x:c>
      <x:c r="I129" t="s">
        <x:v>710</x:v>
      </x:c>
      <x:c r="J129" t="s">
        <x:v>711</x:v>
      </x:c>
    </x:row>
    <x:row r="130">
      <x:c r="A130" t="s">
        <x:v>712</x:v>
      </x:c>
      <x:c r="B130" t="s">
        <x:v>712</x:v>
      </x:c>
      <x:c r="C130" t="s">
        <x:v>713</x:v>
      </x:c>
      <x:c r="D130">
        <x:v>38</x:v>
      </x:c>
      <x:c r="E130" t="s">
        <x:v>103</x:v>
      </x:c>
      <x:c r="F130" t="s">
        <x:v>97</x:v>
      </x:c>
      <x:c r="G130">
        <x:v>42561</x:v>
      </x:c>
      <x:c r="H130" t="s">
        <x:v>714</x:v>
      </x:c>
      <x:c r="I130" t="s">
        <x:v>715</x:v>
      </x:c>
      <x:c r="J130" t="s">
        <x:v>716</x:v>
      </x:c>
    </x:row>
    <x:row r="131">
      <x:c r="A131" t="s">
        <x:v>717</x:v>
      </x:c>
      <x:c r="B131" t="s">
        <x:v>717</x:v>
      </x:c>
      <x:c r="C131" t="s">
        <x:v>718</x:v>
      </x:c>
      <x:c r="D131">
        <x:v>4</x:v>
      </x:c>
      <x:c r="E131" t="s">
        <x:v>103</x:v>
      </x:c>
      <x:c r="F131" t="s">
        <x:v>97</x:v>
      </x:c>
      <x:c r="G131">
        <x:v>42046</x:v>
      </x:c>
      <x:c r="H131" t="s">
        <x:v>719</x:v>
      </x:c>
      <x:c r="I131" t="s">
        <x:v>720</x:v>
      </x:c>
      <x:c r="J131" t="s">
        <x:v>721</x:v>
      </x:c>
    </x:row>
    <x:row r="132">
      <x:c r="A132" t="s">
        <x:v>722</x:v>
      </x:c>
      <x:c r="B132" t="s">
        <x:v>722</x:v>
      </x:c>
      <x:c r="C132" t="s">
        <x:v>723</x:v>
      </x:c>
      <x:c r="D132">
        <x:v>10</x:v>
      </x:c>
      <x:c r="E132" t="s">
        <x:v>96</x:v>
      </x:c>
      <x:c r="F132" t="s">
        <x:v>97</x:v>
      </x:c>
      <x:c r="G132">
        <x:v>45706</x:v>
      </x:c>
      <x:c r="H132" t="s">
        <x:v>724</x:v>
      </x:c>
      <x:c r="I132" t="s">
        <x:v>725</x:v>
      </x:c>
      <x:c r="J132" t="s">
        <x:v>726</x:v>
      </x:c>
    </x:row>
    <x:row r="133">
      <x:c r="A133" t="s">
        <x:v>727</x:v>
      </x:c>
      <x:c r="B133" t="s">
        <x:v>727</x:v>
      </x:c>
      <x:c r="C133" t="s">
        <x:v>491</x:v>
      </x:c>
      <x:c r="D133">
        <x:v>0</x:v>
      </x:c>
      <x:c r="E133" t="s">
        <x:v>96</x:v>
      </x:c>
      <x:c r="F133" t="s">
        <x:v>90</x:v>
      </x:c>
      <x:c r="G133">
        <x:v>44475</x:v>
      </x:c>
      <x:c r="H133" t="s">
        <x:v>728</x:v>
      </x:c>
      <x:c r="I133" t="s">
        <x:v>729</x:v>
      </x:c>
      <x:c r="J133" t="s">
        <x:v>730</x:v>
      </x:c>
    </x:row>
    <x:row r="134">
      <x:c r="A134" t="s">
        <x:v>731</x:v>
      </x:c>
      <x:c r="B134" t="s">
        <x:v>731</x:v>
      </x:c>
      <x:c r="C134" t="s">
        <x:v>732</x:v>
      </x:c>
      <x:c r="D134">
        <x:v>9</x:v>
      </x:c>
      <x:c r="E134" t="s">
        <x:v>103</x:v>
      </x:c>
      <x:c r="F134" t="s">
        <x:v>97</x:v>
      </x:c>
      <x:c r="G134">
        <x:v>42716</x:v>
      </x:c>
      <x:c r="H134" t="s">
        <x:v>733</x:v>
      </x:c>
      <x:c r="I134" t="s">
        <x:v>734</x:v>
      </x:c>
      <x:c r="J134" t="s">
        <x:v>735</x:v>
      </x:c>
    </x:row>
    <x:row r="135">
      <x:c r="A135" t="s">
        <x:v>736</x:v>
      </x:c>
      <x:c r="B135" t="s">
        <x:v>736</x:v>
      </x:c>
      <x:c r="C135" t="s">
        <x:v>737</x:v>
      </x:c>
      <x:c r="D135">
        <x:v>1</x:v>
      </x:c>
      <x:c r="E135" t="s">
        <x:v>114</x:v>
      </x:c>
      <x:c r="F135" t="s">
        <x:v>90</x:v>
      </x:c>
      <x:c r="G135">
        <x:v>45091</x:v>
      </x:c>
      <x:c r="H135" t="s">
        <x:v>738</x:v>
      </x:c>
      <x:c r="I135" t="s">
        <x:v>739</x:v>
      </x:c>
      <x:c r="J135" t="s">
        <x:v>740</x:v>
      </x:c>
    </x:row>
    <x:row r="136">
      <x:c r="A136" t="s">
        <x:v>741</x:v>
      </x:c>
      <x:c r="B136" t="s">
        <x:v>741</x:v>
      </x:c>
      <x:c r="C136" t="s">
        <x:v>742</x:v>
      </x:c>
      <x:c r="D136">
        <x:v>0</x:v>
      </x:c>
      <x:c r="E136" t="s">
        <x:v>257</x:v>
      </x:c>
      <x:c r="F136" t="s">
        <x:v>97</x:v>
      </x:c>
      <x:c r="G136">
        <x:v>44859</x:v>
      </x:c>
      <x:c r="H136" t="s">
        <x:v>743</x:v>
      </x:c>
      <x:c r="I136" t="s">
        <x:v>744</x:v>
      </x:c>
      <x:c r="J136" t="s">
        <x:v>745</x:v>
      </x:c>
    </x:row>
    <x:row r="137">
      <x:c r="A137" t="s">
        <x:v>746</x:v>
      </x:c>
      <x:c r="B137" t="s">
        <x:v>746</x:v>
      </x:c>
      <x:c r="C137" t="s">
        <x:v>742</x:v>
      </x:c>
      <x:c r="D137">
        <x:v>5</x:v>
      </x:c>
      <x:c r="E137" t="s">
        <x:v>103</x:v>
      </x:c>
      <x:c r="F137" t="s">
        <x:v>97</x:v>
      </x:c>
      <x:c r="G137">
        <x:v>44407</x:v>
      </x:c>
      <x:c r="H137" t="s">
        <x:v>747</x:v>
      </x:c>
      <x:c r="I137" t="s">
        <x:v>748</x:v>
      </x:c>
      <x:c r="J137" t="s">
        <x:v>749</x:v>
      </x:c>
    </x:row>
    <x:row r="138">
      <x:c r="A138" t="s">
        <x:v>750</x:v>
      </x:c>
      <x:c r="B138" t="s">
        <x:v>750</x:v>
      </x:c>
      <x:c r="C138" t="s">
        <x:v>751</x:v>
      </x:c>
      <x:c r="D138">
        <x:v>10</x:v>
      </x:c>
      <x:c r="E138" t="s">
        <x:v>89</x:v>
      </x:c>
      <x:c r="F138" t="s">
        <x:v>90</x:v>
      </x:c>
      <x:c r="G138">
        <x:v>43908</x:v>
      </x:c>
      <x:c r="H138" t="s">
        <x:v>752</x:v>
      </x:c>
      <x:c r="I138" t="s">
        <x:v>753</x:v>
      </x:c>
      <x:c r="J138" t="s">
        <x:v>754</x:v>
      </x:c>
    </x:row>
    <x:row r="139">
      <x:c r="A139" t="s">
        <x:v>755</x:v>
      </x:c>
      <x:c r="B139" t="s">
        <x:v>755</x:v>
      </x:c>
      <x:c r="C139" t="s">
        <x:v>756</x:v>
      </x:c>
      <x:c r="D139">
        <x:v>8</x:v>
      </x:c>
      <x:c r="E139" t="s">
        <x:v>89</x:v>
      </x:c>
      <x:c r="F139" t="s">
        <x:v>90</x:v>
      </x:c>
      <x:c r="G139">
        <x:v>45634</x:v>
      </x:c>
      <x:c r="H139" t="s">
        <x:v>757</x:v>
      </x:c>
      <x:c r="I139" t="s">
        <x:v>758</x:v>
      </x:c>
      <x:c r="J139" t="s">
        <x:v>759</x:v>
      </x:c>
    </x:row>
    <x:row r="140">
      <x:c r="A140" t="s">
        <x:v>760</x:v>
      </x:c>
      <x:c r="B140" t="s">
        <x:v>760</x:v>
      </x:c>
      <x:c r="C140" t="s">
        <x:v>761</x:v>
      </x:c>
      <x:c r="D140">
        <x:v>11</x:v>
      </x:c>
      <x:c r="E140" t="s">
        <x:v>89</x:v>
      </x:c>
      <x:c r="F140" t="s">
        <x:v>90</x:v>
      </x:c>
      <x:c r="G140">
        <x:v>44736</x:v>
      </x:c>
      <x:c r="H140" t="s">
        <x:v>762</x:v>
      </x:c>
      <x:c r="I140" t="s">
        <x:v>763</x:v>
      </x:c>
      <x:c r="J140" t="s">
        <x:v>764</x:v>
      </x:c>
    </x:row>
    <x:row r="141">
      <x:c r="A141" t="s">
        <x:v>765</x:v>
      </x:c>
      <x:c r="B141" t="s">
        <x:v>765</x:v>
      </x:c>
      <x:c r="C141" t="s">
        <x:v>766</x:v>
      </x:c>
      <x:c r="D141">
        <x:v>7</x:v>
      </x:c>
      <x:c r="E141" t="s">
        <x:v>103</x:v>
      </x:c>
      <x:c r="F141" t="s">
        <x:v>97</x:v>
      </x:c>
      <x:c r="G141">
        <x:v>44297</x:v>
      </x:c>
      <x:c r="H141" t="s">
        <x:v>767</x:v>
      </x:c>
      <x:c r="I141" t="s">
        <x:v>768</x:v>
      </x:c>
      <x:c r="J141" t="s">
        <x:v>769</x:v>
      </x:c>
    </x:row>
    <x:row r="142">
      <x:c r="A142" t="s">
        <x:v>770</x:v>
      </x:c>
      <x:c r="B142" t="s">
        <x:v>770</x:v>
      </x:c>
      <x:c r="C142" t="s">
        <x:v>771</x:v>
      </x:c>
      <x:c r="D142">
        <x:v>117</x:v>
      </x:c>
      <x:c r="E142" t="s">
        <x:v>89</x:v>
      </x:c>
      <x:c r="F142" t="s">
        <x:v>97</x:v>
      </x:c>
      <x:c r="G142">
        <x:v>41639</x:v>
      </x:c>
      <x:c r="H142" t="s">
        <x:v>772</x:v>
      </x:c>
      <x:c r="I142" t="s">
        <x:v>773</x:v>
      </x:c>
      <x:c r="J142" t="s">
        <x:v>774</x:v>
      </x:c>
    </x:row>
    <x:row r="143">
      <x:c r="A143" t="s">
        <x:v>775</x:v>
      </x:c>
      <x:c r="B143" t="s">
        <x:v>775</x:v>
      </x:c>
      <x:c r="C143" t="s">
        <x:v>776</x:v>
      </x:c>
      <x:c r="D143">
        <x:v>14</x:v>
      </x:c>
      <x:c r="E143" t="s">
        <x:v>103</x:v>
      </x:c>
      <x:c r="F143" t="s">
        <x:v>97</x:v>
      </x:c>
      <x:c r="G143">
        <x:v>42303</x:v>
      </x:c>
      <x:c r="H143" t="s">
        <x:v>777</x:v>
      </x:c>
      <x:c r="I143" t="s">
        <x:v>778</x:v>
      </x:c>
      <x:c r="J143" t="s">
        <x:v>779</x:v>
      </x:c>
    </x:row>
    <x:row r="144">
      <x:c r="A144" t="s">
        <x:v>780</x:v>
      </x:c>
      <x:c r="B144" t="s">
        <x:v>780</x:v>
      </x:c>
      <x:c r="C144" t="s">
        <x:v>781</x:v>
      </x:c>
      <x:c r="D144">
        <x:v>7</x:v>
      </x:c>
      <x:c r="E144" t="s">
        <x:v>89</x:v>
      </x:c>
      <x:c r="F144" t="s">
        <x:v>90</x:v>
      </x:c>
      <x:c r="G144">
        <x:v>44405</x:v>
      </x:c>
      <x:c r="H144" t="s">
        <x:v>782</x:v>
      </x:c>
      <x:c r="I144" t="s">
        <x:v>783</x:v>
      </x:c>
      <x:c r="J144" t="s">
        <x:v>784</x:v>
      </x:c>
    </x:row>
    <x:row r="145">
      <x:c r="A145" t="s">
        <x:v>785</x:v>
      </x:c>
      <x:c r="B145" t="s">
        <x:v>785</x:v>
      </x:c>
      <x:c r="C145" t="s">
        <x:v>786</x:v>
      </x:c>
      <x:c r="D145">
        <x:v>19</x:v>
      </x:c>
      <x:c r="E145" t="s">
        <x:v>96</x:v>
      </x:c>
      <x:c r="F145" t="s">
        <x:v>97</x:v>
      </x:c>
      <x:c r="G145">
        <x:v>42284</x:v>
      </x:c>
      <x:c r="H145" t="s">
        <x:v>787</x:v>
      </x:c>
      <x:c r="I145" t="s">
        <x:v>788</x:v>
      </x:c>
      <x:c r="J145" t="s">
        <x:v>789</x:v>
      </x:c>
    </x:row>
    <x:row r="146">
      <x:c r="A146" t="s">
        <x:v>790</x:v>
      </x:c>
      <x:c r="B146" t="s">
        <x:v>790</x:v>
      </x:c>
      <x:c r="C146" t="s">
        <x:v>791</x:v>
      </x:c>
      <x:c r="D146">
        <x:v>8</x:v>
      </x:c>
      <x:c r="E146" t="s">
        <x:v>96</x:v>
      </x:c>
      <x:c r="F146" t="s">
        <x:v>97</x:v>
      </x:c>
      <x:c r="G146">
        <x:v>42207</x:v>
      </x:c>
      <x:c r="H146" t="s">
        <x:v>792</x:v>
      </x:c>
      <x:c r="I146" t="s">
        <x:v>793</x:v>
      </x:c>
      <x:c r="J146" t="s">
        <x:v>794</x:v>
      </x:c>
    </x:row>
    <x:row r="147">
      <x:c r="A147" t="s">
        <x:v>795</x:v>
      </x:c>
      <x:c r="B147" t="s">
        <x:v>795</x:v>
      </x:c>
      <x:c r="C147" t="s">
        <x:v>317</x:v>
      </x:c>
      <x:c r="D147">
        <x:v>4</x:v>
      </x:c>
      <x:c r="E147" t="s">
        <x:v>89</x:v>
      </x:c>
      <x:c r="F147" t="s">
        <x:v>90</x:v>
      </x:c>
      <x:c r="G147">
        <x:v>44995</x:v>
      </x:c>
      <x:c r="H147" t="s">
        <x:v>796</x:v>
      </x:c>
      <x:c r="I147" t="s">
        <x:v>797</x:v>
      </x:c>
      <x:c r="J147" t="s">
        <x:v>798</x:v>
      </x:c>
    </x:row>
    <x:row r="148">
      <x:c r="A148" t="s">
        <x:v>799</x:v>
      </x:c>
      <x:c r="B148" t="s">
        <x:v>799</x:v>
      </x:c>
      <x:c r="C148" t="s">
        <x:v>800</x:v>
      </x:c>
      <x:c r="D148">
        <x:v>11</x:v>
      </x:c>
      <x:c r="E148" t="s">
        <x:v>257</x:v>
      </x:c>
      <x:c r="F148" t="s">
        <x:v>97</x:v>
      </x:c>
      <x:c r="G148">
        <x:v>42295</x:v>
      </x:c>
      <x:c r="H148" t="s">
        <x:v>801</x:v>
      </x:c>
      <x:c r="I148" t="s">
        <x:v>802</x:v>
      </x:c>
      <x:c r="J148" t="s">
        <x:v>803</x:v>
      </x:c>
    </x:row>
    <x:row r="149">
      <x:c r="A149" t="s">
        <x:v>804</x:v>
      </x:c>
      <x:c r="B149" t="s">
        <x:v>804</x:v>
      </x:c>
      <x:c r="C149" t="s">
        <x:v>805</x:v>
      </x:c>
      <x:c r="D149">
        <x:v>5</x:v>
      </x:c>
      <x:c r="E149" t="s">
        <x:v>257</x:v>
      </x:c>
      <x:c r="F149" t="s">
        <x:v>97</x:v>
      </x:c>
      <x:c r="G149">
        <x:v>42317</x:v>
      </x:c>
      <x:c r="H149" t="s">
        <x:v>806</x:v>
      </x:c>
      <x:c r="I149" t="s">
        <x:v>807</x:v>
      </x:c>
      <x:c r="J149" t="s">
        <x:v>808</x:v>
      </x:c>
    </x:row>
    <x:row r="150">
      <x:c r="A150" t="s">
        <x:v>809</x:v>
      </x:c>
      <x:c r="B150" t="s">
        <x:v>809</x:v>
      </x:c>
      <x:c r="C150" t="s">
        <x:v>810</x:v>
      </x:c>
      <x:c r="D150">
        <x:v>9</x:v>
      </x:c>
      <x:c r="E150" t="s">
        <x:v>96</x:v>
      </x:c>
      <x:c r="F150" t="s">
        <x:v>97</x:v>
      </x:c>
      <x:c r="G150">
        <x:v>42065</x:v>
      </x:c>
      <x:c r="H150" t="s">
        <x:v>811</x:v>
      </x:c>
      <x:c r="I150" t="s">
        <x:v>812</x:v>
      </x:c>
      <x:c r="J150" t="s">
        <x:v>813</x:v>
      </x:c>
    </x:row>
    <x:row r="151">
      <x:c r="A151" t="s">
        <x:v>814</x:v>
      </x:c>
      <x:c r="B151" t="s">
        <x:v>814</x:v>
      </x:c>
      <x:c r="C151" t="s">
        <x:v>815</x:v>
      </x:c>
      <x:c r="D151">
        <x:v>71</x:v>
      </x:c>
      <x:c r="E151" t="s">
        <x:v>103</x:v>
      </x:c>
      <x:c r="F151" t="s">
        <x:v>97</x:v>
      </x:c>
      <x:c r="G151">
        <x:v>42892</x:v>
      </x:c>
      <x:c r="H151" t="s">
        <x:v>816</x:v>
      </x:c>
      <x:c r="I151" t="s">
        <x:v>817</x:v>
      </x:c>
      <x:c r="J151" t="s">
        <x:v>818</x:v>
      </x:c>
    </x:row>
    <x:row r="152">
      <x:c r="A152" t="s">
        <x:v>819</x:v>
      </x:c>
      <x:c r="B152" t="s">
        <x:v>819</x:v>
      </x:c>
      <x:c r="C152" t="s">
        <x:v>815</x:v>
      </x:c>
      <x:c r="D152">
        <x:v>34</x:v>
      </x:c>
      <x:c r="E152" t="s">
        <x:v>103</x:v>
      </x:c>
      <x:c r="F152" t="s">
        <x:v>97</x:v>
      </x:c>
      <x:c r="G152">
        <x:v>42987</x:v>
      </x:c>
      <x:c r="H152" t="s">
        <x:v>820</x:v>
      </x:c>
      <x:c r="I152" t="s">
        <x:v>821</x:v>
      </x:c>
      <x:c r="J152" t="s">
        <x:v>822</x:v>
      </x:c>
    </x:row>
    <x:row r="153">
      <x:c r="A153" t="s">
        <x:v>823</x:v>
      </x:c>
      <x:c r="B153" t="s">
        <x:v>823</x:v>
      </x:c>
      <x:c r="C153" t="s">
        <x:v>586</x:v>
      </x:c>
      <x:c r="D153">
        <x:v>54</x:v>
      </x:c>
      <x:c r="E153" t="s">
        <x:v>103</x:v>
      </x:c>
      <x:c r="F153" t="s">
        <x:v>97</x:v>
      </x:c>
      <x:c r="G153">
        <x:v>42764</x:v>
      </x:c>
      <x:c r="H153" t="s">
        <x:v>824</x:v>
      </x:c>
      <x:c r="I153" t="s">
        <x:v>825</x:v>
      </x:c>
      <x:c r="J153" t="s">
        <x:v>826</x:v>
      </x:c>
    </x:row>
    <x:row r="154">
      <x:c r="A154" t="s">
        <x:v>827</x:v>
      </x:c>
      <x:c r="B154" t="s">
        <x:v>827</x:v>
      </x:c>
      <x:c r="C154" t="s">
        <x:v>586</x:v>
      </x:c>
      <x:c r="D154">
        <x:v>70</x:v>
      </x:c>
      <x:c r="E154" t="s">
        <x:v>103</x:v>
      </x:c>
      <x:c r="F154" t="s">
        <x:v>97</x:v>
      </x:c>
      <x:c r="G154">
        <x:v>42926</x:v>
      </x:c>
      <x:c r="H154" t="s">
        <x:v>828</x:v>
      </x:c>
      <x:c r="I154" t="s">
        <x:v>829</x:v>
      </x:c>
      <x:c r="J154" t="s">
        <x:v>830</x:v>
      </x:c>
    </x:row>
    <x:row r="155">
      <x:c r="A155" t="s">
        <x:v>831</x:v>
      </x:c>
      <x:c r="B155" t="s">
        <x:v>831</x:v>
      </x:c>
      <x:c r="C155" t="s">
        <x:v>832</x:v>
      </x:c>
      <x:c r="D155">
        <x:v>8</x:v>
      </x:c>
      <x:c r="E155" t="s">
        <x:v>103</x:v>
      </x:c>
      <x:c r="F155" t="s">
        <x:v>97</x:v>
      </x:c>
      <x:c r="G155">
        <x:v>42211</x:v>
      </x:c>
      <x:c r="H155" t="s">
        <x:v>833</x:v>
      </x:c>
      <x:c r="I155" t="s">
        <x:v>834</x:v>
      </x:c>
      <x:c r="J155" t="s">
        <x:v>835</x:v>
      </x:c>
    </x:row>
    <x:row r="156">
      <x:c r="A156" t="s">
        <x:v>836</x:v>
      </x:c>
      <x:c r="B156" t="s">
        <x:v>836</x:v>
      </x:c>
      <x:c r="C156" t="s">
        <x:v>837</x:v>
      </x:c>
      <x:c r="D156">
        <x:v>8</x:v>
      </x:c>
      <x:c r="E156" t="s">
        <x:v>96</x:v>
      </x:c>
      <x:c r="F156" t="s">
        <x:v>97</x:v>
      </x:c>
      <x:c r="G156">
        <x:v>42587</x:v>
      </x:c>
      <x:c r="H156" t="s">
        <x:v>838</x:v>
      </x:c>
      <x:c r="I156" t="s">
        <x:v>839</x:v>
      </x:c>
      <x:c r="J156" t="s">
        <x:v>840</x:v>
      </x:c>
    </x:row>
    <x:row r="157">
      <x:c r="A157" t="s">
        <x:v>841</x:v>
      </x:c>
      <x:c r="B157" t="s">
        <x:v>841</x:v>
      </x:c>
      <x:c r="C157" t="s">
        <x:v>837</x:v>
      </x:c>
      <x:c r="D157">
        <x:v>9</x:v>
      </x:c>
      <x:c r="E157" t="s">
        <x:v>89</x:v>
      </x:c>
      <x:c r="F157" t="s">
        <x:v>97</x:v>
      </x:c>
      <x:c r="G157">
        <x:v>44385</x:v>
      </x:c>
      <x:c r="H157" t="s">
        <x:v>842</x:v>
      </x:c>
      <x:c r="I157" t="s">
        <x:v>843</x:v>
      </x:c>
      <x:c r="J157" t="s">
        <x:v>844</x:v>
      </x:c>
    </x:row>
    <x:row r="158">
      <x:c r="A158" t="s">
        <x:v>845</x:v>
      </x:c>
      <x:c r="B158" t="s">
        <x:v>845</x:v>
      </x:c>
      <x:c r="C158" t="s">
        <x:v>543</x:v>
      </x:c>
      <x:c r="D158">
        <x:v>27</x:v>
      </x:c>
      <x:c r="E158" t="s">
        <x:v>103</x:v>
      </x:c>
      <x:c r="F158" t="s">
        <x:v>97</x:v>
      </x:c>
      <x:c r="G158">
        <x:v>46137</x:v>
      </x:c>
      <x:c r="H158" t="s">
        <x:v>846</x:v>
      </x:c>
      <x:c r="I158" t="s">
        <x:v>847</x:v>
      </x:c>
      <x:c r="J158" t="s">
        <x:v>848</x:v>
      </x:c>
    </x:row>
    <x:row r="159">
      <x:c r="A159" t="s">
        <x:v>849</x:v>
      </x:c>
      <x:c r="B159" t="s">
        <x:v>849</x:v>
      </x:c>
      <x:c r="C159" t="s">
        <x:v>850</x:v>
      </x:c>
      <x:c r="D159">
        <x:v>13</x:v>
      </x:c>
      <x:c r="E159" t="s">
        <x:v>96</x:v>
      </x:c>
      <x:c r="F159" t="s">
        <x:v>90</x:v>
      </x:c>
      <x:c r="G159">
        <x:v>46192</x:v>
      </x:c>
      <x:c r="H159" t="s">
        <x:v>851</x:v>
      </x:c>
      <x:c r="I159" t="s">
        <x:v>852</x:v>
      </x:c>
      <x:c r="J159" t="s">
        <x:v>853</x:v>
      </x:c>
    </x:row>
    <x:row r="160">
      <x:c r="A160" t="s">
        <x:v>854</x:v>
      </x:c>
      <x:c r="B160" t="s">
        <x:v>854</x:v>
      </x:c>
      <x:c r="C160" t="s">
        <x:v>855</x:v>
      </x:c>
      <x:c r="D160">
        <x:v>5</x:v>
      </x:c>
      <x:c r="E160" t="s">
        <x:v>103</x:v>
      </x:c>
      <x:c r="F160" t="s">
        <x:v>97</x:v>
      </x:c>
      <x:c r="G160">
        <x:v>42058</x:v>
      </x:c>
      <x:c r="H160" t="s">
        <x:v>856</x:v>
      </x:c>
      <x:c r="I160" t="s">
        <x:v>857</x:v>
      </x:c>
      <x:c r="J160" t="s">
        <x:v>858</x:v>
      </x:c>
    </x:row>
    <x:row r="161">
      <x:c r="A161" t="s">
        <x:v>859</x:v>
      </x:c>
      <x:c r="B161" t="s">
        <x:v>859</x:v>
      </x:c>
      <x:c r="C161" t="s">
        <x:v>860</x:v>
      </x:c>
      <x:c r="D161">
        <x:v>45</x:v>
      </x:c>
      <x:c r="E161" t="s">
        <x:v>103</x:v>
      </x:c>
      <x:c r="F161" t="s">
        <x:v>97</x:v>
      </x:c>
      <x:c r="G161">
        <x:v>45279</x:v>
      </x:c>
      <x:c r="H161" t="s">
        <x:v>861</x:v>
      </x:c>
      <x:c r="I161" t="s">
        <x:v>862</x:v>
      </x:c>
      <x:c r="J161" t="s">
        <x:v>863</x:v>
      </x:c>
    </x:row>
    <x:row r="162">
      <x:c r="A162" t="s">
        <x:v>864</x:v>
      </x:c>
      <x:c r="B162" t="s">
        <x:v>864</x:v>
      </x:c>
      <x:c r="C162" t="s">
        <x:v>865</x:v>
      </x:c>
      <x:c r="D162">
        <x:v>33</x:v>
      </x:c>
      <x:c r="E162" t="s">
        <x:v>103</x:v>
      </x:c>
      <x:c r="F162" t="s">
        <x:v>97</x:v>
      </x:c>
      <x:c r="G162">
        <x:v>44845</x:v>
      </x:c>
      <x:c r="H162" t="s">
        <x:v>866</x:v>
      </x:c>
      <x:c r="I162" t="s">
        <x:v>867</x:v>
      </x:c>
      <x:c r="J162" t="s">
        <x:v>868</x:v>
      </x:c>
    </x:row>
    <x:row r="163">
      <x:c r="A163" t="s">
        <x:v>869</x:v>
      </x:c>
      <x:c r="B163" t="s">
        <x:v>869</x:v>
      </x:c>
      <x:c r="C163" t="s">
        <x:v>870</x:v>
      </x:c>
      <x:c r="D163">
        <x:v>9</x:v>
      </x:c>
      <x:c r="E163" t="s">
        <x:v>198</x:v>
      </x:c>
      <x:c r="F163" t="s">
        <x:v>90</x:v>
      </x:c>
      <x:c r="G163">
        <x:v>44918</x:v>
      </x:c>
      <x:c r="H163" t="s">
        <x:v>871</x:v>
      </x:c>
      <x:c r="I163" t="s">
        <x:v>872</x:v>
      </x:c>
      <x:c r="J163" t="s">
        <x:v>873</x:v>
      </x:c>
    </x:row>
    <x:row r="164">
      <x:c r="A164" t="s">
        <x:v>874</x:v>
      </x:c>
      <x:c r="B164" t="s">
        <x:v>874</x:v>
      </x:c>
      <x:c r="C164" t="s">
        <x:v>875</x:v>
      </x:c>
      <x:c r="D164">
        <x:v>15</x:v>
      </x:c>
      <x:c r="E164" t="s">
        <x:v>114</x:v>
      </x:c>
      <x:c r="F164" t="s">
        <x:v>90</x:v>
      </x:c>
      <x:c r="G164">
        <x:v>45211</x:v>
      </x:c>
      <x:c r="H164" t="s">
        <x:v>876</x:v>
      </x:c>
      <x:c r="I164" t="s">
        <x:v>877</x:v>
      </x:c>
      <x:c r="J164" t="s">
        <x:v>878</x:v>
      </x:c>
    </x:row>
    <x:row r="165">
      <x:c r="A165" t="s">
        <x:v>879</x:v>
      </x:c>
      <x:c r="B165" t="s">
        <x:v>879</x:v>
      </x:c>
      <x:c r="C165" t="s">
        <x:v>880</x:v>
      </x:c>
      <x:c r="D165">
        <x:v>25</x:v>
      </x:c>
      <x:c r="E165" t="s">
        <x:v>198</x:v>
      </x:c>
      <x:c r="F165" t="s">
        <x:v>90</x:v>
      </x:c>
      <x:c r="G165">
        <x:v>46114</x:v>
      </x:c>
      <x:c r="H165" t="s">
        <x:v>881</x:v>
      </x:c>
      <x:c r="I165" t="s">
        <x:v>882</x:v>
      </x:c>
      <x:c r="J165" t="s">
        <x:v>883</x:v>
      </x:c>
    </x:row>
    <x:row r="166">
      <x:c r="A166" t="s">
        <x:v>884</x:v>
      </x:c>
      <x:c r="B166" t="s">
        <x:v>884</x:v>
      </x:c>
      <x:c r="C166" t="s">
        <x:v>885</x:v>
      </x:c>
      <x:c r="D166">
        <x:v>16</x:v>
      </x:c>
      <x:c r="E166" t="s">
        <x:v>198</x:v>
      </x:c>
      <x:c r="F166" t="s">
        <x:v>90</x:v>
      </x:c>
      <x:c r="G166">
        <x:v>44368</x:v>
      </x:c>
      <x:c r="H166" t="s">
        <x:v>886</x:v>
      </x:c>
      <x:c r="I166" t="s">
        <x:v>887</x:v>
      </x:c>
      <x:c r="J166" t="s">
        <x:v>888</x:v>
      </x:c>
    </x:row>
    <x:row r="167">
      <x:c r="A167" t="s">
        <x:v>889</x:v>
      </x:c>
      <x:c r="B167" t="s">
        <x:v>889</x:v>
      </x:c>
      <x:c r="C167" t="s">
        <x:v>890</x:v>
      </x:c>
      <x:c r="D167">
        <x:v>19</x:v>
      </x:c>
      <x:c r="E167" t="s">
        <x:v>103</x:v>
      </x:c>
      <x:c r="F167" t="s">
        <x:v>97</x:v>
      </x:c>
      <x:c r="G167">
        <x:v>42346</x:v>
      </x:c>
      <x:c r="H167" t="s">
        <x:v>891</x:v>
      </x:c>
      <x:c r="I167" t="s">
        <x:v>892</x:v>
      </x:c>
      <x:c r="J167" t="s">
        <x:v>893</x:v>
      </x:c>
    </x:row>
    <x:row r="168">
      <x:c r="A168" t="s">
        <x:v>894</x:v>
      </x:c>
      <x:c r="B168" t="s">
        <x:v>894</x:v>
      </x:c>
      <x:c r="C168" t="s">
        <x:v>119</x:v>
      </x:c>
      <x:c r="D168">
        <x:v>8</x:v>
      </x:c>
      <x:c r="E168" t="s">
        <x:v>198</x:v>
      </x:c>
      <x:c r="F168" t="s">
        <x:v>90</x:v>
      </x:c>
      <x:c r="G168">
        <x:v>46117</x:v>
      </x:c>
      <x:c r="H168" t="s">
        <x:v>895</x:v>
      </x:c>
      <x:c r="I168" t="s">
        <x:v>896</x:v>
      </x:c>
      <x:c r="J168" t="s">
        <x:v>897</x:v>
      </x:c>
    </x:row>
    <x:row r="169">
      <x:c r="A169" t="s">
        <x:v>898</x:v>
      </x:c>
      <x:c r="B169" t="s">
        <x:v>898</x:v>
      </x:c>
      <x:c r="C169" t="s">
        <x:v>742</x:v>
      </x:c>
      <x:c r="D169">
        <x:v>10</x:v>
      </x:c>
      <x:c r="E169" t="s">
        <x:v>96</x:v>
      </x:c>
      <x:c r="F169" t="s">
        <x:v>97</x:v>
      </x:c>
      <x:c r="G169">
        <x:v>45401</x:v>
      </x:c>
      <x:c r="H169" t="s">
        <x:v>899</x:v>
      </x:c>
      <x:c r="I169" t="s">
        <x:v>900</x:v>
      </x:c>
      <x:c r="J169" t="s">
        <x:v>901</x:v>
      </x:c>
    </x:row>
    <x:row r="170">
      <x:c r="A170" t="s">
        <x:v>902</x:v>
      </x:c>
      <x:c r="B170" t="s">
        <x:v>902</x:v>
      </x:c>
      <x:c r="C170" t="s">
        <x:v>903</x:v>
      </x:c>
      <x:c r="D170">
        <x:v>11</x:v>
      </x:c>
      <x:c r="E170" t="s">
        <x:v>89</x:v>
      </x:c>
      <x:c r="F170" t="s">
        <x:v>90</x:v>
      </x:c>
      <x:c r="G170">
        <x:v>45742</x:v>
      </x:c>
      <x:c r="H170" t="s">
        <x:v>904</x:v>
      </x:c>
      <x:c r="I170" t="s">
        <x:v>905</x:v>
      </x:c>
      <x:c r="J170" t="s">
        <x:v>906</x:v>
      </x:c>
    </x:row>
    <x:row r="171">
      <x:c r="A171" t="s">
        <x:v>907</x:v>
      </x:c>
      <x:c r="B171" t="s">
        <x:v>907</x:v>
      </x:c>
      <x:c r="C171" t="s">
        <x:v>908</x:v>
      </x:c>
      <x:c r="D171">
        <x:v>1</x:v>
      </x:c>
      <x:c r="E171" t="s">
        <x:v>125</x:v>
      </x:c>
      <x:c r="F171" t="s">
        <x:v>126</x:v>
      </x:c>
      <x:c r="G171">
        <x:v>44428</x:v>
      </x:c>
      <x:c r="H171" t="s">
        <x:v>909</x:v>
      </x:c>
      <x:c r="I171" t="s">
        <x:v>910</x:v>
      </x:c>
      <x:c r="J171" t="s">
        <x:v>911</x:v>
      </x:c>
    </x:row>
    <x:row r="172">
      <x:c r="A172" t="s">
        <x:v>912</x:v>
      </x:c>
      <x:c r="B172" t="s">
        <x:v>912</x:v>
      </x:c>
      <x:c r="C172" t="s">
        <x:v>913</x:v>
      </x:c>
      <x:c r="D172">
        <x:v>5</x:v>
      </x:c>
      <x:c r="E172" t="s">
        <x:v>103</x:v>
      </x:c>
      <x:c r="F172" t="s">
        <x:v>97</x:v>
      </x:c>
      <x:c r="G172">
        <x:v>43670</x:v>
      </x:c>
      <x:c r="H172" t="s">
        <x:v>914</x:v>
      </x:c>
      <x:c r="I172" t="s">
        <x:v>915</x:v>
      </x:c>
      <x:c r="J172" t="s">
        <x:v>916</x:v>
      </x:c>
    </x:row>
    <x:row r="173">
      <x:c r="A173" t="s">
        <x:v>917</x:v>
      </x:c>
      <x:c r="B173" t="s">
        <x:v>917</x:v>
      </x:c>
      <x:c r="C173" t="s">
        <x:v>918</x:v>
      </x:c>
      <x:c r="D173">
        <x:v>3</x:v>
      </x:c>
      <x:c r="E173" t="s">
        <x:v>125</x:v>
      </x:c>
      <x:c r="F173" t="s">
        <x:v>90</x:v>
      </x:c>
      <x:c r="G173">
        <x:v>46097</x:v>
      </x:c>
      <x:c r="H173" t="s">
        <x:v>919</x:v>
      </x:c>
      <x:c r="I173" t="s">
        <x:v>920</x:v>
      </x:c>
      <x:c r="J173" t="s">
        <x:v>921</x:v>
      </x:c>
    </x:row>
    <x:row r="174">
      <x:c r="A174" t="s">
        <x:v>922</x:v>
      </x:c>
      <x:c r="B174" t="s">
        <x:v>922</x:v>
      </x:c>
      <x:c r="C174" t="s">
        <x:v>923</x:v>
      </x:c>
      <x:c r="D174">
        <x:v>15</x:v>
      </x:c>
      <x:c r="E174" t="s">
        <x:v>198</x:v>
      </x:c>
      <x:c r="F174" t="s">
        <x:v>90</x:v>
      </x:c>
      <x:c r="G174">
        <x:v>44523</x:v>
      </x:c>
      <x:c r="H174" t="s">
        <x:v>924</x:v>
      </x:c>
      <x:c r="I174" t="s">
        <x:v>925</x:v>
      </x:c>
      <x:c r="J174" t="s">
        <x:v>926</x:v>
      </x:c>
    </x:row>
    <x:row r="175">
      <x:c r="A175" t="s">
        <x:v>927</x:v>
      </x:c>
      <x:c r="B175" t="s">
        <x:v>927</x:v>
      </x:c>
      <x:c r="C175" t="s">
        <x:v>928</x:v>
      </x:c>
      <x:c r="D175">
        <x:v>24</x:v>
      </x:c>
      <x:c r="E175" t="s">
        <x:v>103</x:v>
      </x:c>
      <x:c r="F175" t="s">
        <x:v>97</x:v>
      </x:c>
      <x:c r="G175">
        <x:v>42238</x:v>
      </x:c>
      <x:c r="H175" t="s">
        <x:v>929</x:v>
      </x:c>
      <x:c r="I175" t="s">
        <x:v>930</x:v>
      </x:c>
      <x:c r="J175" t="s">
        <x:v>931</x:v>
      </x:c>
    </x:row>
    <x:row r="176">
      <x:c r="A176" t="s">
        <x:v>932</x:v>
      </x:c>
      <x:c r="B176" t="s">
        <x:v>932</x:v>
      </x:c>
      <x:c r="C176" t="s">
        <x:v>933</x:v>
      </x:c>
      <x:c r="D176">
        <x:v>40</x:v>
      </x:c>
      <x:c r="E176" t="s">
        <x:v>96</x:v>
      </x:c>
      <x:c r="F176" t="s">
        <x:v>97</x:v>
      </x:c>
      <x:c r="G176">
        <x:v>45430</x:v>
      </x:c>
      <x:c r="H176" t="s">
        <x:v>934</x:v>
      </x:c>
      <x:c r="I176" t="s">
        <x:v>935</x:v>
      </x:c>
      <x:c r="J176" t="s">
        <x:v>936</x:v>
      </x:c>
    </x:row>
    <x:row r="177">
      <x:c r="A177" t="s">
        <x:v>937</x:v>
      </x:c>
      <x:c r="B177" t="s">
        <x:v>937</x:v>
      </x:c>
      <x:c r="C177" t="s">
        <x:v>938</x:v>
      </x:c>
      <x:c r="D177">
        <x:v>18</x:v>
      </x:c>
      <x:c r="E177" t="s">
        <x:v>198</x:v>
      </x:c>
      <x:c r="F177" t="s">
        <x:v>90</x:v>
      </x:c>
      <x:c r="G177">
        <x:v>44622</x:v>
      </x:c>
      <x:c r="H177" t="s">
        <x:v>939</x:v>
      </x:c>
      <x:c r="I177" t="s">
        <x:v>940</x:v>
      </x:c>
      <x:c r="J177" t="s">
        <x:v>941</x:v>
      </x:c>
    </x:row>
    <x:row r="178">
      <x:c r="A178" t="s">
        <x:v>942</x:v>
      </x:c>
      <x:c r="B178" t="s">
        <x:v>942</x:v>
      </x:c>
      <x:c r="C178" t="s">
        <x:v>943</x:v>
      </x:c>
      <x:c r="D178">
        <x:v>4</x:v>
      </x:c>
      <x:c r="E178" t="s">
        <x:v>257</x:v>
      </x:c>
      <x:c r="F178" t="s">
        <x:v>97</x:v>
      </x:c>
      <x:c r="G178">
        <x:v>45584</x:v>
      </x:c>
      <x:c r="H178" t="s">
        <x:v>944</x:v>
      </x:c>
      <x:c r="I178" t="s">
        <x:v>945</x:v>
      </x:c>
      <x:c r="J178" t="s">
        <x:v>946</x:v>
      </x:c>
    </x:row>
    <x:row r="179">
      <x:c r="A179" t="s">
        <x:v>947</x:v>
      </x:c>
      <x:c r="B179" t="s">
        <x:v>947</x:v>
      </x:c>
      <x:c r="C179" t="s">
        <x:v>948</x:v>
      </x:c>
      <x:c r="D179">
        <x:v>11</x:v>
      </x:c>
      <x:c r="E179" t="s">
        <x:v>103</x:v>
      </x:c>
      <x:c r="F179" t="s">
        <x:v>97</x:v>
      </x:c>
      <x:c r="G179">
        <x:v>42021</x:v>
      </x:c>
      <x:c r="H179" t="s">
        <x:v>949</x:v>
      </x:c>
      <x:c r="I179" t="s">
        <x:v>950</x:v>
      </x:c>
      <x:c r="J179" t="s">
        <x:v>951</x:v>
      </x:c>
    </x:row>
    <x:row r="180">
      <x:c r="A180" t="s">
        <x:v>952</x:v>
      </x:c>
      <x:c r="B180" t="s">
        <x:v>952</x:v>
      </x:c>
      <x:c r="C180" t="s">
        <x:v>953</x:v>
      </x:c>
      <x:c r="D180">
        <x:v>12</x:v>
      </x:c>
      <x:c r="E180" t="s">
        <x:v>198</x:v>
      </x:c>
      <x:c r="F180" t="s">
        <x:v>90</x:v>
      </x:c>
      <x:c r="G180">
        <x:v>45530</x:v>
      </x:c>
      <x:c r="H180" t="s">
        <x:v>954</x:v>
      </x:c>
      <x:c r="I180" t="s">
        <x:v>955</x:v>
      </x:c>
      <x:c r="J180" t="s">
        <x:v>956</x:v>
      </x:c>
    </x:row>
    <x:row r="181">
      <x:c r="A181" t="s">
        <x:v>957</x:v>
      </x:c>
      <x:c r="B181" t="s">
        <x:v>957</x:v>
      </x:c>
      <x:c r="C181" t="s">
        <x:v>958</x:v>
      </x:c>
      <x:c r="D181">
        <x:v>5</x:v>
      </x:c>
      <x:c r="E181" t="s">
        <x:v>198</x:v>
      </x:c>
      <x:c r="F181" t="s">
        <x:v>90</x:v>
      </x:c>
      <x:c r="G181">
        <x:v>43774</x:v>
      </x:c>
      <x:c r="H181" t="s">
        <x:v>959</x:v>
      </x:c>
      <x:c r="I181" t="s">
        <x:v>960</x:v>
      </x:c>
      <x:c r="J181" t="s">
        <x:v>961</x:v>
      </x:c>
    </x:row>
    <x:row r="182">
      <x:c r="A182" t="s">
        <x:v>962</x:v>
      </x:c>
      <x:c r="B182" t="s">
        <x:v>962</x:v>
      </x:c>
      <x:c r="C182" t="s">
        <x:v>963</x:v>
      </x:c>
      <x:c r="D182">
        <x:v>14</x:v>
      </x:c>
      <x:c r="E182" t="s">
        <x:v>89</x:v>
      </x:c>
      <x:c r="F182" t="s">
        <x:v>90</x:v>
      </x:c>
      <x:c r="G182">
        <x:v>45899</x:v>
      </x:c>
      <x:c r="H182" t="s">
        <x:v>964</x:v>
      </x:c>
      <x:c r="I182" t="s">
        <x:v>965</x:v>
      </x:c>
      <x:c r="J182" t="s">
        <x:v>966</x:v>
      </x:c>
    </x:row>
    <x:row r="183">
      <x:c r="A183" t="s">
        <x:v>967</x:v>
      </x:c>
      <x:c r="B183" t="s">
        <x:v>967</x:v>
      </x:c>
      <x:c r="C183" t="s">
        <x:v>968</x:v>
      </x:c>
      <x:c r="D183">
        <x:v>44</x:v>
      </x:c>
      <x:c r="E183" t="s">
        <x:v>89</x:v>
      </x:c>
      <x:c r="F183" t="s">
        <x:v>90</x:v>
      </x:c>
      <x:c r="G183">
        <x:v>43514</x:v>
      </x:c>
      <x:c r="H183" t="s">
        <x:v>969</x:v>
      </x:c>
      <x:c r="I183" t="s">
        <x:v>970</x:v>
      </x:c>
      <x:c r="J183" t="s">
        <x:v>971</x:v>
      </x:c>
    </x:row>
    <x:row r="184">
      <x:c r="A184" t="s">
        <x:v>972</x:v>
      </x:c>
      <x:c r="B184" t="s">
        <x:v>972</x:v>
      </x:c>
      <x:c r="C184" t="s">
        <x:v>973</x:v>
      </x:c>
      <x:c r="D184">
        <x:v>34</x:v>
      </x:c>
      <x:c r="E184" t="s">
        <x:v>96</x:v>
      </x:c>
      <x:c r="F184" t="s">
        <x:v>90</x:v>
      </x:c>
      <x:c r="G184">
        <x:v>44734</x:v>
      </x:c>
      <x:c r="H184" t="s">
        <x:v>974</x:v>
      </x:c>
      <x:c r="I184" t="s">
        <x:v>975</x:v>
      </x:c>
      <x:c r="J184" t="s">
        <x:v>976</x:v>
      </x:c>
    </x:row>
    <x:row r="185">
      <x:c r="A185" t="s">
        <x:v>977</x:v>
      </x:c>
      <x:c r="B185" t="s">
        <x:v>977</x:v>
      </x:c>
      <x:c r="C185" t="s">
        <x:v>978</x:v>
      </x:c>
      <x:c r="D185">
        <x:v>36</x:v>
      </x:c>
      <x:c r="E185" t="s">
        <x:v>103</x:v>
      </x:c>
      <x:c r="F185" t="s">
        <x:v>97</x:v>
      </x:c>
      <x:c r="G185">
        <x:v>41454</x:v>
      </x:c>
      <x:c r="H185" t="s">
        <x:v>979</x:v>
      </x:c>
      <x:c r="I185" t="s">
        <x:v>980</x:v>
      </x:c>
      <x:c r="J185" t="s">
        <x:v>981</x:v>
      </x:c>
    </x:row>
    <x:row r="186">
      <x:c r="A186" t="s">
        <x:v>982</x:v>
      </x:c>
      <x:c r="B186" t="s">
        <x:v>982</x:v>
      </x:c>
      <x:c r="C186" t="s">
        <x:v>983</x:v>
      </x:c>
      <x:c r="D186">
        <x:v>25</x:v>
      </x:c>
      <x:c r="E186" t="s">
        <x:v>114</x:v>
      </x:c>
      <x:c r="F186" t="s">
        <x:v>90</x:v>
      </x:c>
      <x:c r="G186">
        <x:v>46096</x:v>
      </x:c>
      <x:c r="H186" t="s">
        <x:v>984</x:v>
      </x:c>
      <x:c r="I186" t="s">
        <x:v>985</x:v>
      </x:c>
      <x:c r="J186" t="s">
        <x:v>986</x:v>
      </x:c>
    </x:row>
    <x:row r="187">
      <x:c r="A187" t="s">
        <x:v>987</x:v>
      </x:c>
      <x:c r="B187" t="s">
        <x:v>987</x:v>
      </x:c>
      <x:c r="C187" t="s">
        <x:v>988</x:v>
      </x:c>
      <x:c r="D187">
        <x:v>13</x:v>
      </x:c>
      <x:c r="E187" t="s">
        <x:v>96</x:v>
      </x:c>
      <x:c r="F187" t="s">
        <x:v>90</x:v>
      </x:c>
      <x:c r="G187">
        <x:v>43335</x:v>
      </x:c>
      <x:c r="H187" t="s">
        <x:v>989</x:v>
      </x:c>
      <x:c r="I187" t="s">
        <x:v>990</x:v>
      </x:c>
      <x:c r="J187" t="s">
        <x:v>991</x:v>
      </x:c>
    </x:row>
    <x:row r="188">
      <x:c r="A188" t="s">
        <x:v>992</x:v>
      </x:c>
      <x:c r="B188" t="s">
        <x:v>992</x:v>
      </x:c>
      <x:c r="C188" t="s">
        <x:v>993</x:v>
      </x:c>
      <x:c r="D188">
        <x:v>3</x:v>
      </x:c>
      <x:c r="E188" t="s">
        <x:v>198</x:v>
      </x:c>
      <x:c r="F188" t="s">
        <x:v>90</x:v>
      </x:c>
      <x:c r="G188">
        <x:v>44705</x:v>
      </x:c>
      <x:c r="H188" t="s">
        <x:v>994</x:v>
      </x:c>
      <x:c r="I188" t="s">
        <x:v>995</x:v>
      </x:c>
      <x:c r="J188" t="s">
        <x:v>996</x:v>
      </x:c>
    </x:row>
    <x:row r="189">
      <x:c r="A189" t="s">
        <x:v>997</x:v>
      </x:c>
      <x:c r="B189" t="s">
        <x:v>997</x:v>
      </x:c>
      <x:c r="C189" t="s">
        <x:v>998</x:v>
      </x:c>
      <x:c r="D189">
        <x:v>13</x:v>
      </x:c>
      <x:c r="E189" t="s">
        <x:v>89</x:v>
      </x:c>
      <x:c r="F189" t="s">
        <x:v>90</x:v>
      </x:c>
      <x:c r="G189">
        <x:v>45592</x:v>
      </x:c>
      <x:c r="H189" t="s">
        <x:v>999</x:v>
      </x:c>
      <x:c r="I189" t="s">
        <x:v>1000</x:v>
      </x:c>
      <x:c r="J189" t="s">
        <x:v>1001</x:v>
      </x:c>
    </x:row>
    <x:row r="190">
      <x:c r="A190" t="s">
        <x:v>1002</x:v>
      </x:c>
      <x:c r="B190" t="s">
        <x:v>1002</x:v>
      </x:c>
      <x:c r="C190" t="s">
        <x:v>1003</x:v>
      </x:c>
      <x:c r="D190">
        <x:v>9</x:v>
      </x:c>
      <x:c r="E190" t="s">
        <x:v>198</x:v>
      </x:c>
      <x:c r="F190" t="s">
        <x:v>90</x:v>
      </x:c>
      <x:c r="G190">
        <x:v>46107</x:v>
      </x:c>
      <x:c r="H190" t="s">
        <x:v>1004</x:v>
      </x:c>
      <x:c r="I190" t="s">
        <x:v>1005</x:v>
      </x:c>
      <x:c r="J190" t="s">
        <x:v>1006</x:v>
      </x:c>
    </x:row>
    <x:row r="191">
      <x:c r="A191" t="s">
        <x:v>1007</x:v>
      </x:c>
      <x:c r="B191" t="s">
        <x:v>1007</x:v>
      </x:c>
      <x:c r="C191" t="s">
        <x:v>1008</x:v>
      </x:c>
      <x:c r="D191">
        <x:v>10</x:v>
      </x:c>
      <x:c r="E191" t="s">
        <x:v>257</x:v>
      </x:c>
      <x:c r="F191" t="s">
        <x:v>97</x:v>
      </x:c>
      <x:c r="G191">
        <x:v>42260</x:v>
      </x:c>
      <x:c r="H191" t="s">
        <x:v>1009</x:v>
      </x:c>
      <x:c r="I191" t="s">
        <x:v>1010</x:v>
      </x:c>
      <x:c r="J191" t="s">
        <x:v>1011</x:v>
      </x:c>
    </x:row>
    <x:row r="192">
      <x:c r="A192" t="s">
        <x:v>1012</x:v>
      </x:c>
      <x:c r="B192" t="s">
        <x:v>1012</x:v>
      </x:c>
      <x:c r="C192" t="s">
        <x:v>1013</x:v>
      </x:c>
      <x:c r="D192">
        <x:v>19</x:v>
      </x:c>
      <x:c r="E192" t="s">
        <x:v>96</x:v>
      </x:c>
      <x:c r="F192" t="s">
        <x:v>97</x:v>
      </x:c>
      <x:c r="G192">
        <x:v>45928</x:v>
      </x:c>
      <x:c r="H192" t="s">
        <x:v>1014</x:v>
      </x:c>
      <x:c r="I192" t="s">
        <x:v>1015</x:v>
      </x:c>
      <x:c r="J192" t="s">
        <x:v>1016</x:v>
      </x:c>
    </x:row>
    <x:row r="193">
      <x:c r="A193" t="s">
        <x:v>1017</x:v>
      </x:c>
      <x:c r="B193" t="s">
        <x:v>1017</x:v>
      </x:c>
      <x:c r="C193" t="s">
        <x:v>1013</x:v>
      </x:c>
      <x:c r="D193">
        <x:v>23</x:v>
      </x:c>
      <x:c r="E193" t="s">
        <x:v>96</x:v>
      </x:c>
      <x:c r="F193" t="s">
        <x:v>97</x:v>
      </x:c>
      <x:c r="G193">
        <x:v>45628</x:v>
      </x:c>
      <x:c r="H193" t="s">
        <x:v>1018</x:v>
      </x:c>
      <x:c r="I193" t="s">
        <x:v>1019</x:v>
      </x:c>
      <x:c r="J193" t="s">
        <x:v>1020</x:v>
      </x:c>
    </x:row>
    <x:row r="194">
      <x:c r="A194" t="s">
        <x:v>1021</x:v>
      </x:c>
      <x:c r="B194" t="s">
        <x:v>1021</x:v>
      </x:c>
      <x:c r="C194" t="s">
        <x:v>1022</x:v>
      </x:c>
      <x:c r="D194">
        <x:v>6</x:v>
      </x:c>
      <x:c r="E194" t="s">
        <x:v>114</x:v>
      </x:c>
      <x:c r="F194" t="s">
        <x:v>90</x:v>
      </x:c>
      <x:c r="G194">
        <x:v>44938</x:v>
      </x:c>
      <x:c r="H194" t="s">
        <x:v>1023</x:v>
      </x:c>
      <x:c r="I194" t="s">
        <x:v>1024</x:v>
      </x:c>
      <x:c r="J194" t="s">
        <x:v>1025</x:v>
      </x:c>
    </x:row>
    <x:row r="195">
      <x:c r="A195" t="s">
        <x:v>1026</x:v>
      </x:c>
      <x:c r="B195" t="s">
        <x:v>1026</x:v>
      </x:c>
      <x:c r="C195" t="s">
        <x:v>394</x:v>
      </x:c>
      <x:c r="D195">
        <x:v>40</x:v>
      </x:c>
      <x:c r="E195" t="s">
        <x:v>198</x:v>
      </x:c>
      <x:c r="F195" t="s">
        <x:v>90</x:v>
      </x:c>
      <x:c r="G195">
        <x:v>42179</x:v>
      </x:c>
      <x:c r="H195" t="s">
        <x:v>1027</x:v>
      </x:c>
      <x:c r="I195" t="s">
        <x:v>1028</x:v>
      </x:c>
      <x:c r="J195" t="s">
        <x:v>1029</x:v>
      </x:c>
    </x:row>
    <x:row r="196">
      <x:c r="A196" t="s">
        <x:v>1030</x:v>
      </x:c>
      <x:c r="B196" t="s">
        <x:v>1030</x:v>
      </x:c>
      <x:c r="C196" t="s">
        <x:v>1031</x:v>
      </x:c>
      <x:c r="D196">
        <x:v>10</x:v>
      </x:c>
      <x:c r="E196" t="s">
        <x:v>103</x:v>
      </x:c>
      <x:c r="F196" t="s">
        <x:v>97</x:v>
      </x:c>
      <x:c r="G196">
        <x:v>42093</x:v>
      </x:c>
      <x:c r="H196" t="s">
        <x:v>1032</x:v>
      </x:c>
      <x:c r="I196" t="s">
        <x:v>1033</x:v>
      </x:c>
      <x:c r="J196" t="s">
        <x:v>1034</x:v>
      </x:c>
    </x:row>
    <x:row r="197">
      <x:c r="A197" t="s">
        <x:v>1035</x:v>
      </x:c>
      <x:c r="B197" t="s">
        <x:v>1035</x:v>
      </x:c>
      <x:c r="C197" t="s">
        <x:v>1036</x:v>
      </x:c>
      <x:c r="D197">
        <x:v>22</x:v>
      </x:c>
      <x:c r="E197" t="s">
        <x:v>114</x:v>
      </x:c>
      <x:c r="F197" t="s">
        <x:v>90</x:v>
      </x:c>
      <x:c r="G197">
        <x:v>45077</x:v>
      </x:c>
      <x:c r="H197" t="s">
        <x:v>1037</x:v>
      </x:c>
      <x:c r="I197" t="s">
        <x:v>1038</x:v>
      </x:c>
      <x:c r="J197" t="s">
        <x:v>1039</x:v>
      </x:c>
    </x:row>
    <x:row r="198">
      <x:c r="A198" t="s">
        <x:v>1040</x:v>
      </x:c>
      <x:c r="B198" t="s">
        <x:v>1040</x:v>
      </x:c>
      <x:c r="C198" t="s">
        <x:v>1041</x:v>
      </x:c>
      <x:c r="D198">
        <x:v>13</x:v>
      </x:c>
      <x:c r="E198" t="s">
        <x:v>96</x:v>
      </x:c>
      <x:c r="F198" t="s">
        <x:v>97</x:v>
      </x:c>
      <x:c r="G198">
        <x:v>43918</x:v>
      </x:c>
      <x:c r="H198" t="s">
        <x:v>1042</x:v>
      </x:c>
      <x:c r="I198" t="s">
        <x:v>1043</x:v>
      </x:c>
      <x:c r="J198" t="s">
        <x:v>1044</x:v>
      </x:c>
    </x:row>
    <x:row r="199">
      <x:c r="A199" t="s">
        <x:v>1045</x:v>
      </x:c>
      <x:c r="B199" t="s">
        <x:v>1045</x:v>
      </x:c>
      <x:c r="C199" t="s">
        <x:v>1041</x:v>
      </x:c>
      <x:c r="D199">
        <x:v>11</x:v>
      </x:c>
      <x:c r="E199" t="s">
        <x:v>96</x:v>
      </x:c>
      <x:c r="F199" t="s">
        <x:v>97</x:v>
      </x:c>
      <x:c r="G199">
        <x:v>44505</x:v>
      </x:c>
      <x:c r="H199" t="s">
        <x:v>1046</x:v>
      </x:c>
      <x:c r="I199" t="s">
        <x:v>1047</x:v>
      </x:c>
      <x:c r="J199" t="s">
        <x:v>1048</x:v>
      </x:c>
    </x:row>
    <x:row r="200">
      <x:c r="A200" t="s">
        <x:v>1049</x:v>
      </x:c>
      <x:c r="B200" t="s">
        <x:v>1049</x:v>
      </x:c>
      <x:c r="C200" t="s">
        <x:v>1050</x:v>
      </x:c>
      <x:c r="D200">
        <x:v>16</x:v>
      </x:c>
      <x:c r="E200" t="s">
        <x:v>198</x:v>
      </x:c>
      <x:c r="F200" t="s">
        <x:v>90</x:v>
      </x:c>
      <x:c r="G200">
        <x:v>45347</x:v>
      </x:c>
      <x:c r="H200" t="s">
        <x:v>1051</x:v>
      </x:c>
      <x:c r="I200" t="s">
        <x:v>1052</x:v>
      </x:c>
      <x:c r="J200" t="s">
        <x:v>1053</x:v>
      </x:c>
    </x:row>
    <x:row r="201">
      <x:c r="A201" t="s">
        <x:v>1054</x:v>
      </x:c>
      <x:c r="B201" t="s">
        <x:v>1054</x:v>
      </x:c>
      <x:c r="C201" t="s">
        <x:v>1055</x:v>
      </x:c>
      <x:c r="D201">
        <x:v>8</x:v>
      </x:c>
      <x:c r="E201" t="s">
        <x:v>96</x:v>
      </x:c>
      <x:c r="F201" t="s">
        <x:v>97</x:v>
      </x:c>
      <x:c r="G201">
        <x:v>44700</x:v>
      </x:c>
      <x:c r="H201" t="s">
        <x:v>1056</x:v>
      </x:c>
      <x:c r="I201" t="s">
        <x:v>1057</x:v>
      </x:c>
      <x:c r="J201" t="s">
        <x:v>1058</x:v>
      </x:c>
    </x:row>
    <x:row r="202">
      <x:c r="A202" t="s">
        <x:v>1059</x:v>
      </x:c>
      <x:c r="B202" t="s">
        <x:v>1059</x:v>
      </x:c>
      <x:c r="C202" t="s">
        <x:v>1060</x:v>
      </x:c>
      <x:c r="D202">
        <x:v>14</x:v>
      </x:c>
      <x:c r="E202" t="s">
        <x:v>89</x:v>
      </x:c>
      <x:c r="F202" t="s">
        <x:v>90</x:v>
      </x:c>
      <x:c r="G202">
        <x:v>44577</x:v>
      </x:c>
      <x:c r="H202" t="s">
        <x:v>1061</x:v>
      </x:c>
      <x:c r="I202" t="s">
        <x:v>1062</x:v>
      </x:c>
      <x:c r="J202" t="s">
        <x:v>1063</x:v>
      </x:c>
    </x:row>
    <x:row r="203">
      <x:c r="A203" t="s">
        <x:v>1064</x:v>
      </x:c>
      <x:c r="B203" t="s">
        <x:v>1064</x:v>
      </x:c>
      <x:c r="C203" t="s">
        <x:v>524</x:v>
      </x:c>
      <x:c r="D203">
        <x:v>20</x:v>
      </x:c>
      <x:c r="E203" t="s">
        <x:v>198</x:v>
      </x:c>
      <x:c r="F203" t="s">
        <x:v>90</x:v>
      </x:c>
      <x:c r="G203">
        <x:v>44523</x:v>
      </x:c>
      <x:c r="H203" t="s">
        <x:v>1065</x:v>
      </x:c>
      <x:c r="I203" t="s">
        <x:v>1066</x:v>
      </x:c>
      <x:c r="J203" t="s">
        <x:v>1067</x:v>
      </x:c>
    </x:row>
    <x:row r="204">
      <x:c r="A204" t="s">
        <x:v>1068</x:v>
      </x:c>
      <x:c r="B204" t="s">
        <x:v>1068</x:v>
      </x:c>
      <x:c r="C204" t="s">
        <x:v>524</x:v>
      </x:c>
      <x:c r="D204">
        <x:v>5</x:v>
      </x:c>
      <x:c r="E204" t="s">
        <x:v>198</x:v>
      </x:c>
      <x:c r="F204" t="s">
        <x:v>90</x:v>
      </x:c>
      <x:c r="G204">
        <x:v>46005</x:v>
      </x:c>
      <x:c r="H204" t="s">
        <x:v>1069</x:v>
      </x:c>
      <x:c r="I204" t="s">
        <x:v>1070</x:v>
      </x:c>
      <x:c r="J204" t="s">
        <x:v>1071</x:v>
      </x:c>
    </x:row>
    <x:row r="205">
      <x:c r="A205" t="s">
        <x:v>1072</x:v>
      </x:c>
      <x:c r="B205" t="s">
        <x:v>1072</x:v>
      </x:c>
      <x:c r="C205" t="s">
        <x:v>1073</x:v>
      </x:c>
      <x:c r="D205">
        <x:v>15</x:v>
      </x:c>
      <x:c r="E205" t="s">
        <x:v>96</x:v>
      </x:c>
      <x:c r="F205" t="s">
        <x:v>90</x:v>
      </x:c>
      <x:c r="G205">
        <x:v>45893</x:v>
      </x:c>
      <x:c r="H205" t="s">
        <x:v>1074</x:v>
      </x:c>
      <x:c r="I205" t="s">
        <x:v>1075</x:v>
      </x:c>
      <x:c r="J205" t="s">
        <x:v>1076</x:v>
      </x:c>
    </x:row>
    <x:row r="206">
      <x:c r="A206" t="s">
        <x:v>1077</x:v>
      </x:c>
      <x:c r="B206" t="s">
        <x:v>1077</x:v>
      </x:c>
      <x:c r="C206" t="s">
        <x:v>1073</x:v>
      </x:c>
      <x:c r="D206">
        <x:v>20</x:v>
      </x:c>
      <x:c r="E206" t="s">
        <x:v>198</x:v>
      </x:c>
      <x:c r="F206" t="s">
        <x:v>90</x:v>
      </x:c>
      <x:c r="G206">
        <x:v>45386</x:v>
      </x:c>
      <x:c r="H206" t="s">
        <x:v>1078</x:v>
      </x:c>
      <x:c r="I206" t="s">
        <x:v>1079</x:v>
      </x:c>
      <x:c r="J206" t="s">
        <x:v>1080</x:v>
      </x:c>
    </x:row>
    <x:row r="207">
      <x:c r="A207" t="s">
        <x:v>1081</x:v>
      </x:c>
      <x:c r="B207" t="s">
        <x:v>1081</x:v>
      </x:c>
      <x:c r="C207" t="s">
        <x:v>1082</x:v>
      </x:c>
      <x:c r="D207">
        <x:v>4</x:v>
      </x:c>
      <x:c r="E207" t="s">
        <x:v>96</x:v>
      </x:c>
      <x:c r="F207" t="s">
        <x:v>97</x:v>
      </x:c>
      <x:c r="G207">
        <x:v>44710</x:v>
      </x:c>
      <x:c r="H207" t="s">
        <x:v>1083</x:v>
      </x:c>
      <x:c r="I207" t="s">
        <x:v>1084</x:v>
      </x:c>
      <x:c r="J207" t="s">
        <x:v>1085</x:v>
      </x:c>
    </x:row>
    <x:row r="208">
      <x:c r="A208" t="s">
        <x:v>1086</x:v>
      </x:c>
      <x:c r="B208" t="s">
        <x:v>1086</x:v>
      </x:c>
      <x:c r="C208" t="s">
        <x:v>1087</x:v>
      </x:c>
      <x:c r="D208">
        <x:v>12</x:v>
      </x:c>
      <x:c r="E208" t="s">
        <x:v>89</x:v>
      </x:c>
      <x:c r="F208" t="s">
        <x:v>90</x:v>
      </x:c>
      <x:c r="G208">
        <x:v>45509</x:v>
      </x:c>
      <x:c r="H208" t="s">
        <x:v>1088</x:v>
      </x:c>
      <x:c r="I208" t="s">
        <x:v>1089</x:v>
      </x:c>
      <x:c r="J208" t="s">
        <x:v>1090</x:v>
      </x:c>
    </x:row>
    <x:row r="209">
      <x:c r="A209" t="s">
        <x:v>1091</x:v>
      </x:c>
      <x:c r="B209" t="s">
        <x:v>1091</x:v>
      </x:c>
      <x:c r="C209" t="s">
        <x:v>1092</x:v>
      </x:c>
      <x:c r="D209">
        <x:v>9</x:v>
      </x:c>
      <x:c r="E209" t="s">
        <x:v>198</x:v>
      </x:c>
      <x:c r="F209" t="s">
        <x:v>90</x:v>
      </x:c>
      <x:c r="G209">
        <x:v>45125</x:v>
      </x:c>
      <x:c r="H209" t="s">
        <x:v>1093</x:v>
      </x:c>
      <x:c r="I209" t="s">
        <x:v>1094</x:v>
      </x:c>
      <x:c r="J209" t="s">
        <x:v>1095</x:v>
      </x:c>
    </x:row>
    <x:row r="210">
      <x:c r="A210" t="s">
        <x:v>1096</x:v>
      </x:c>
      <x:c r="B210" t="s">
        <x:v>1096</x:v>
      </x:c>
      <x:c r="C210" t="s">
        <x:v>1097</x:v>
      </x:c>
      <x:c r="D210">
        <x:v>11</x:v>
      </x:c>
      <x:c r="E210" t="s">
        <x:v>89</x:v>
      </x:c>
      <x:c r="F210" t="s">
        <x:v>90</x:v>
      </x:c>
      <x:c r="G210">
        <x:v>44768</x:v>
      </x:c>
      <x:c r="H210" t="s">
        <x:v>1098</x:v>
      </x:c>
      <x:c r="I210" t="s">
        <x:v>1099</x:v>
      </x:c>
      <x:c r="J210" t="s">
        <x:v>1100</x:v>
      </x:c>
    </x:row>
    <x:row r="211">
      <x:c r="A211" t="s">
        <x:v>1101</x:v>
      </x:c>
      <x:c r="B211" t="s">
        <x:v>1101</x:v>
      </x:c>
      <x:c r="C211" t="s">
        <x:v>1102</x:v>
      </x:c>
      <x:c r="D211">
        <x:v>13</x:v>
      </x:c>
      <x:c r="E211" t="s">
        <x:v>114</x:v>
      </x:c>
      <x:c r="F211" t="s">
        <x:v>90</x:v>
      </x:c>
      <x:c r="G211">
        <x:v>45941</x:v>
      </x:c>
      <x:c r="H211" t="s">
        <x:v>1103</x:v>
      </x:c>
      <x:c r="I211" t="s">
        <x:v>1104</x:v>
      </x:c>
      <x:c r="J211" t="s">
        <x:v>1105</x:v>
      </x:c>
    </x:row>
    <x:row r="212">
      <x:c r="A212" t="s">
        <x:v>1106</x:v>
      </x:c>
      <x:c r="B212" t="s">
        <x:v>1106</x:v>
      </x:c>
      <x:c r="C212" t="s">
        <x:v>1107</x:v>
      </x:c>
      <x:c r="D212">
        <x:v>7</x:v>
      </x:c>
      <x:c r="E212" t="s">
        <x:v>96</x:v>
      </x:c>
      <x:c r="F212" t="s">
        <x:v>90</x:v>
      </x:c>
      <x:c r="G212">
        <x:v>44781</x:v>
      </x:c>
      <x:c r="H212" t="s">
        <x:v>1108</x:v>
      </x:c>
      <x:c r="I212" t="s">
        <x:v>1109</x:v>
      </x:c>
      <x:c r="J212" t="s">
        <x:v>1110</x:v>
      </x:c>
    </x:row>
    <x:row r="213">
      <x:c r="A213" t="s">
        <x:v>1111</x:v>
      </x:c>
      <x:c r="B213" t="s">
        <x:v>1111</x:v>
      </x:c>
      <x:c r="C213" t="s">
        <x:v>1112</x:v>
      </x:c>
      <x:c r="D213">
        <x:v>10</x:v>
      </x:c>
      <x:c r="E213" t="s">
        <x:v>89</x:v>
      </x:c>
      <x:c r="F213" t="s">
        <x:v>90</x:v>
      </x:c>
      <x:c r="G213">
        <x:v>44994</x:v>
      </x:c>
      <x:c r="H213" t="s">
        <x:v>1113</x:v>
      </x:c>
      <x:c r="I213" t="s">
        <x:v>1114</x:v>
      </x:c>
      <x:c r="J213" t="s">
        <x:v>1115</x:v>
      </x:c>
    </x:row>
    <x:row r="214">
      <x:c r="A214" t="s">
        <x:v>1116</x:v>
      </x:c>
      <x:c r="B214" t="s">
        <x:v>1116</x:v>
      </x:c>
      <x:c r="C214" t="s">
        <x:v>438</x:v>
      </x:c>
      <x:c r="D214">
        <x:v>18</x:v>
      </x:c>
      <x:c r="E214" t="s">
        <x:v>103</x:v>
      </x:c>
      <x:c r="F214" t="s">
        <x:v>97</x:v>
      </x:c>
      <x:c r="G214">
        <x:v>41509</x:v>
      </x:c>
      <x:c r="H214" t="s">
        <x:v>1117</x:v>
      </x:c>
      <x:c r="I214" t="s">
        <x:v>1118</x:v>
      </x:c>
      <x:c r="J214" t="s">
        <x:v>1119</x:v>
      </x:c>
    </x:row>
    <x:row r="215">
      <x:c r="A215" t="s">
        <x:v>1120</x:v>
      </x:c>
      <x:c r="B215" t="s">
        <x:v>1120</x:v>
      </x:c>
      <x:c r="C215" t="s">
        <x:v>1121</x:v>
      </x:c>
      <x:c r="D215">
        <x:v>91</x:v>
      </x:c>
      <x:c r="E215" t="s">
        <x:v>96</x:v>
      </x:c>
      <x:c r="F215" t="s">
        <x:v>97</x:v>
      </x:c>
      <x:c r="G215">
        <x:v>44607</x:v>
      </x:c>
      <x:c r="H215" t="s">
        <x:v>1122</x:v>
      </x:c>
      <x:c r="I215" t="s">
        <x:v>1123</x:v>
      </x:c>
      <x:c r="J215" t="s">
        <x:v>1124</x:v>
      </x:c>
    </x:row>
    <x:row r="216">
      <x:c r="A216" t="s">
        <x:v>1125</x:v>
      </x:c>
      <x:c r="B216" t="s">
        <x:v>1125</x:v>
      </x:c>
      <x:c r="C216" t="s">
        <x:v>524</x:v>
      </x:c>
      <x:c r="D216">
        <x:v>5</x:v>
      </x:c>
      <x:c r="E216" t="s">
        <x:v>125</x:v>
      </x:c>
      <x:c r="F216" t="s">
        <x:v>90</x:v>
      </x:c>
      <x:c r="G216">
        <x:v>45216</x:v>
      </x:c>
      <x:c r="H216" t="s">
        <x:v>1126</x:v>
      </x:c>
      <x:c r="I216" t="s">
        <x:v>1127</x:v>
      </x:c>
      <x:c r="J216" t="s">
        <x:v>1128</x:v>
      </x:c>
    </x:row>
    <x:row r="217">
      <x:c r="A217" t="s">
        <x:v>1129</x:v>
      </x:c>
      <x:c r="B217" t="s">
        <x:v>1129</x:v>
      </x:c>
      <x:c r="C217" t="s">
        <x:v>1130</x:v>
      </x:c>
      <x:c r="D217">
        <x:v>10</x:v>
      </x:c>
      <x:c r="E217" t="s">
        <x:v>89</x:v>
      </x:c>
      <x:c r="F217" t="s">
        <x:v>97</x:v>
      </x:c>
      <x:c r="G217">
        <x:v>45690</x:v>
      </x:c>
      <x:c r="H217" t="s">
        <x:v>1131</x:v>
      </x:c>
      <x:c r="I217" t="s">
        <x:v>1132</x:v>
      </x:c>
      <x:c r="J217" t="s">
        <x:v>1133</x:v>
      </x:c>
    </x:row>
    <x:row r="218">
      <x:c r="A218" t="s">
        <x:v>1134</x:v>
      </x:c>
      <x:c r="B218" t="s">
        <x:v>1134</x:v>
      </x:c>
      <x:c r="C218" t="s">
        <x:v>1135</x:v>
      </x:c>
      <x:c r="D218">
        <x:v>1</x:v>
      </x:c>
      <x:c r="E218" t="s">
        <x:v>114</x:v>
      </x:c>
      <x:c r="F218" t="s">
        <x:v>126</x:v>
      </x:c>
      <x:c r="G218">
        <x:v>42796</x:v>
      </x:c>
      <x:c r="H218" t="s">
        <x:v>1136</x:v>
      </x:c>
      <x:c r="I218" t="s">
        <x:v>1137</x:v>
      </x:c>
      <x:c r="J218" t="s">
        <x:v>1138</x:v>
      </x:c>
    </x:row>
    <x:row r="219">
      <x:c r="A219" t="s">
        <x:v>1139</x:v>
      </x:c>
      <x:c r="B219" t="s">
        <x:v>1139</x:v>
      </x:c>
      <x:c r="C219" t="s">
        <x:v>409</x:v>
      </x:c>
      <x:c r="D219">
        <x:v>13</x:v>
      </x:c>
      <x:c r="E219" t="s">
        <x:v>198</x:v>
      </x:c>
      <x:c r="F219" t="s">
        <x:v>90</x:v>
      </x:c>
      <x:c r="G219">
        <x:v>44145</x:v>
      </x:c>
      <x:c r="H219" t="s">
        <x:v>1140</x:v>
      </x:c>
      <x:c r="I219" t="s">
        <x:v>1141</x:v>
      </x:c>
      <x:c r="J219" t="s">
        <x:v>1142</x:v>
      </x:c>
    </x:row>
    <x:row r="220">
      <x:c r="A220" t="s">
        <x:v>1143</x:v>
      </x:c>
      <x:c r="B220" t="s">
        <x:v>1143</x:v>
      </x:c>
      <x:c r="C220" t="s">
        <x:v>102</x:v>
      </x:c>
      <x:c r="D220">
        <x:v>58</x:v>
      </x:c>
      <x:c r="E220" t="s">
        <x:v>89</x:v>
      </x:c>
      <x:c r="F220" t="s">
        <x:v>97</x:v>
      </x:c>
      <x:c r="G220">
        <x:v>43372</x:v>
      </x:c>
      <x:c r="H220" t="s">
        <x:v>1144</x:v>
      </x:c>
      <x:c r="I220" t="s">
        <x:v>1145</x:v>
      </x:c>
      <x:c r="J220" t="s">
        <x:v>1146</x:v>
      </x:c>
    </x:row>
    <x:row r="221">
      <x:c r="A221" t="s">
        <x:v>1147</x:v>
      </x:c>
      <x:c r="B221" t="s">
        <x:v>1147</x:v>
      </x:c>
      <x:c r="C221" t="s">
        <x:v>1148</x:v>
      </x:c>
      <x:c r="D221">
        <x:v>4</x:v>
      </x:c>
      <x:c r="E221" t="s">
        <x:v>198</x:v>
      </x:c>
      <x:c r="F221" t="s">
        <x:v>90</x:v>
      </x:c>
      <x:c r="G221">
        <x:v>46220</x:v>
      </x:c>
      <x:c r="H221" t="s">
        <x:v>1149</x:v>
      </x:c>
      <x:c r="I221" t="s">
        <x:v>1150</x:v>
      </x:c>
      <x:c r="J221" t="s">
        <x:v>1151</x:v>
      </x:c>
    </x:row>
    <x:row r="222">
      <x:c r="A222" t="s">
        <x:v>1152</x:v>
      </x:c>
      <x:c r="B222" t="s">
        <x:v>1152</x:v>
      </x:c>
      <x:c r="C222" t="s">
        <x:v>850</x:v>
      </x:c>
      <x:c r="D222">
        <x:v>23</x:v>
      </x:c>
      <x:c r="E222" t="s">
        <x:v>198</x:v>
      </x:c>
      <x:c r="F222" t="s">
        <x:v>90</x:v>
      </x:c>
      <x:c r="G222">
        <x:v>45680</x:v>
      </x:c>
      <x:c r="H222" t="s">
        <x:v>1153</x:v>
      </x:c>
      <x:c r="I222" t="s">
        <x:v>1154</x:v>
      </x:c>
      <x:c r="J222" t="s">
        <x:v>1155</x:v>
      </x:c>
    </x:row>
    <x:row r="223">
      <x:c r="A223" t="s">
        <x:v>1156</x:v>
      </x:c>
      <x:c r="B223" t="s">
        <x:v>1156</x:v>
      </x:c>
      <x:c r="C223" t="s">
        <x:v>1157</x:v>
      </x:c>
      <x:c r="D223">
        <x:v>33</x:v>
      </x:c>
      <x:c r="E223" t="s">
        <x:v>96</x:v>
      </x:c>
      <x:c r="F223" t="s">
        <x:v>97</x:v>
      </x:c>
      <x:c r="G223">
        <x:v>41450</x:v>
      </x:c>
      <x:c r="H223" t="s">
        <x:v>1158</x:v>
      </x:c>
      <x:c r="I223" t="s">
        <x:v>1159</x:v>
      </x:c>
      <x:c r="J223" t="s">
        <x:v>1160</x:v>
      </x:c>
    </x:row>
    <x:row r="224">
      <x:c r="A224" t="s">
        <x:v>1161</x:v>
      </x:c>
      <x:c r="B224" t="s">
        <x:v>1161</x:v>
      </x:c>
      <x:c r="C224" t="s">
        <x:v>1162</x:v>
      </x:c>
      <x:c r="D224">
        <x:v>5</x:v>
      </x:c>
      <x:c r="E224" t="s">
        <x:v>89</x:v>
      </x:c>
      <x:c r="F224" t="s">
        <x:v>90</x:v>
      </x:c>
      <x:c r="G224">
        <x:v>45215</x:v>
      </x:c>
      <x:c r="H224" t="s">
        <x:v>1163</x:v>
      </x:c>
      <x:c r="I224" t="s">
        <x:v>1164</x:v>
      </x:c>
      <x:c r="J224" t="s">
        <x:v>1165</x:v>
      </x:c>
    </x:row>
    <x:row r="225">
      <x:c r="A225" t="s">
        <x:v>1166</x:v>
      </x:c>
      <x:c r="B225" t="s">
        <x:v>1166</x:v>
      </x:c>
      <x:c r="C225" t="s">
        <x:v>1167</x:v>
      </x:c>
      <x:c r="D225">
        <x:v>7</x:v>
      </x:c>
      <x:c r="E225" t="s">
        <x:v>89</x:v>
      </x:c>
      <x:c r="F225" t="s">
        <x:v>97</x:v>
      </x:c>
      <x:c r="G225">
        <x:v>46013</x:v>
      </x:c>
      <x:c r="H225" t="s">
        <x:v>1168</x:v>
      </x:c>
      <x:c r="I225" t="s">
        <x:v>1169</x:v>
      </x:c>
      <x:c r="J225" t="s">
        <x:v>1170</x:v>
      </x:c>
    </x:row>
    <x:row r="226">
      <x:c r="A226" t="s">
        <x:v>1171</x:v>
      </x:c>
      <x:c r="B226" t="s">
        <x:v>1171</x:v>
      </x:c>
      <x:c r="C226" t="s">
        <x:v>680</x:v>
      </x:c>
      <x:c r="D226">
        <x:v>6</x:v>
      </x:c>
      <x:c r="E226" t="s">
        <x:v>114</x:v>
      </x:c>
      <x:c r="F226" t="s">
        <x:v>90</x:v>
      </x:c>
      <x:c r="G226">
        <x:v>44657</x:v>
      </x:c>
      <x:c r="H226" t="s">
        <x:v>1172</x:v>
      </x:c>
      <x:c r="I226" t="s">
        <x:v>1173</x:v>
      </x:c>
      <x:c r="J226" t="s">
        <x:v>1174</x:v>
      </x:c>
    </x:row>
    <x:row r="227">
      <x:c r="A227" t="s">
        <x:v>1175</x:v>
      </x:c>
      <x:c r="B227" t="s">
        <x:v>1175</x:v>
      </x:c>
      <x:c r="C227" t="s">
        <x:v>1092</x:v>
      </x:c>
      <x:c r="D227">
        <x:v>12</x:v>
      </x:c>
      <x:c r="E227" t="s">
        <x:v>114</x:v>
      </x:c>
      <x:c r="F227" t="s">
        <x:v>90</x:v>
      </x:c>
      <x:c r="G227">
        <x:v>44825</x:v>
      </x:c>
      <x:c r="H227" t="s">
        <x:v>1176</x:v>
      </x:c>
      <x:c r="I227" t="s">
        <x:v>1177</x:v>
      </x:c>
      <x:c r="J227" t="s">
        <x:v>1178</x:v>
      </x:c>
    </x:row>
    <x:row r="228">
      <x:c r="A228" t="s">
        <x:v>1179</x:v>
      </x:c>
      <x:c r="B228" t="s">
        <x:v>1179</x:v>
      </x:c>
      <x:c r="C228" t="s">
        <x:v>1180</x:v>
      </x:c>
      <x:c r="D228">
        <x:v>17</x:v>
      </x:c>
      <x:c r="E228" t="s">
        <x:v>89</x:v>
      </x:c>
      <x:c r="F228" t="s">
        <x:v>90</x:v>
      </x:c>
      <x:c r="G228">
        <x:v>44900</x:v>
      </x:c>
      <x:c r="H228" t="s">
        <x:v>1181</x:v>
      </x:c>
      <x:c r="I228" t="s">
        <x:v>1182</x:v>
      </x:c>
      <x:c r="J228" t="s">
        <x:v>1183</x:v>
      </x:c>
    </x:row>
    <x:row r="229">
      <x:c r="A229" t="s">
        <x:v>1184</x:v>
      </x:c>
      <x:c r="B229" t="s">
        <x:v>1184</x:v>
      </x:c>
      <x:c r="C229" t="s">
        <x:v>1060</x:v>
      </x:c>
      <x:c r="D229">
        <x:v>17</x:v>
      </x:c>
      <x:c r="E229" t="s">
        <x:v>89</x:v>
      </x:c>
      <x:c r="F229" t="s">
        <x:v>90</x:v>
      </x:c>
      <x:c r="G229">
        <x:v>44361</x:v>
      </x:c>
      <x:c r="H229" t="s">
        <x:v>1185</x:v>
      </x:c>
      <x:c r="I229" t="s">
        <x:v>1186</x:v>
      </x:c>
      <x:c r="J229" t="s">
        <x:v>1187</x:v>
      </x:c>
    </x:row>
    <x:row r="230">
      <x:c r="A230" t="s">
        <x:v>1188</x:v>
      </x:c>
      <x:c r="B230" t="s">
        <x:v>1188</x:v>
      </x:c>
      <x:c r="C230" t="s">
        <x:v>1189</x:v>
      </x:c>
      <x:c r="D230">
        <x:v>11</x:v>
      </x:c>
      <x:c r="E230" t="s">
        <x:v>198</x:v>
      </x:c>
      <x:c r="F230" t="s">
        <x:v>90</x:v>
      </x:c>
      <x:c r="G230">
        <x:v>45733</x:v>
      </x:c>
      <x:c r="H230" t="s">
        <x:v>1190</x:v>
      </x:c>
      <x:c r="I230" t="s">
        <x:v>1191</x:v>
      </x:c>
      <x:c r="J230" t="s">
        <x:v>1192</x:v>
      </x:c>
    </x:row>
    <x:row r="231">
      <x:c r="A231" t="s">
        <x:v>1193</x:v>
      </x:c>
      <x:c r="B231" t="s">
        <x:v>1193</x:v>
      </x:c>
      <x:c r="C231" t="s">
        <x:v>1194</x:v>
      </x:c>
      <x:c r="D231">
        <x:v>24</x:v>
      </x:c>
      <x:c r="E231" t="s">
        <x:v>103</x:v>
      </x:c>
      <x:c r="F231" t="s">
        <x:v>97</x:v>
      </x:c>
      <x:c r="G231">
        <x:v>42147</x:v>
      </x:c>
      <x:c r="H231" t="s">
        <x:v>1195</x:v>
      </x:c>
      <x:c r="I231" t="s">
        <x:v>1196</x:v>
      </x:c>
      <x:c r="J231" t="s">
        <x:v>1197</x:v>
      </x:c>
    </x:row>
    <x:row r="232">
      <x:c r="A232" t="s">
        <x:v>1198</x:v>
      </x:c>
      <x:c r="B232" t="s">
        <x:v>1198</x:v>
      </x:c>
      <x:c r="C232" t="s">
        <x:v>1199</x:v>
      </x:c>
      <x:c r="D232">
        <x:v>6</x:v>
      </x:c>
      <x:c r="E232" t="s">
        <x:v>103</x:v>
      </x:c>
      <x:c r="F232" t="s">
        <x:v>97</x:v>
      </x:c>
      <x:c r="G232">
        <x:v>42309</x:v>
      </x:c>
      <x:c r="H232" t="s">
        <x:v>1200</x:v>
      </x:c>
      <x:c r="I232" t="s">
        <x:v>1201</x:v>
      </x:c>
      <x:c r="J232" t="s">
        <x:v>1202</x:v>
      </x:c>
    </x:row>
    <x:row r="233">
      <x:c r="A233" t="s">
        <x:v>1203</x:v>
      </x:c>
      <x:c r="B233" t="s">
        <x:v>1203</x:v>
      </x:c>
      <x:c r="C233" t="s">
        <x:v>1204</x:v>
      </x:c>
      <x:c r="D233">
        <x:v>11</x:v>
      </x:c>
      <x:c r="E233" t="s">
        <x:v>96</x:v>
      </x:c>
      <x:c r="F233" t="s">
        <x:v>97</x:v>
      </x:c>
      <x:c r="G233">
        <x:v>44872</x:v>
      </x:c>
      <x:c r="H233" t="s">
        <x:v>1205</x:v>
      </x:c>
      <x:c r="I233" t="s">
        <x:v>1206</x:v>
      </x:c>
      <x:c r="J233" t="s">
        <x:v>1207</x:v>
      </x:c>
    </x:row>
    <x:row r="234">
      <x:c r="A234" t="s">
        <x:v>1208</x:v>
      </x:c>
      <x:c r="B234" t="s">
        <x:v>1208</x:v>
      </x:c>
      <x:c r="C234" t="s">
        <x:v>1209</x:v>
      </x:c>
      <x:c r="D234">
        <x:v>9</x:v>
      </x:c>
      <x:c r="E234" t="s">
        <x:v>198</x:v>
      </x:c>
      <x:c r="F234" t="s">
        <x:v>90</x:v>
      </x:c>
      <x:c r="G234">
        <x:v>44400</x:v>
      </x:c>
      <x:c r="H234" t="s">
        <x:v>1210</x:v>
      </x:c>
      <x:c r="I234" t="s">
        <x:v>1211</x:v>
      </x:c>
      <x:c r="J234" t="s">
        <x:v>1212</x:v>
      </x:c>
    </x:row>
    <x:row r="235">
      <x:c r="A235" t="s">
        <x:v>1213</x:v>
      </x:c>
      <x:c r="B235" t="s">
        <x:v>1213</x:v>
      </x:c>
      <x:c r="C235" t="s">
        <x:v>1214</x:v>
      </x:c>
      <x:c r="D235">
        <x:v>41</x:v>
      </x:c>
      <x:c r="E235" t="s">
        <x:v>103</x:v>
      </x:c>
      <x:c r="F235" t="s">
        <x:v>97</x:v>
      </x:c>
      <x:c r="G235">
        <x:v>42619</x:v>
      </x:c>
      <x:c r="H235" t="s">
        <x:v>1215</x:v>
      </x:c>
      <x:c r="I235" t="s">
        <x:v>1216</x:v>
      </x:c>
      <x:c r="J235" t="s">
        <x:v>1217</x:v>
      </x:c>
    </x:row>
    <x:row r="236">
      <x:c r="A236" t="s">
        <x:v>1218</x:v>
      </x:c>
      <x:c r="B236" t="s">
        <x:v>1218</x:v>
      </x:c>
      <x:c r="C236" t="s">
        <x:v>1219</x:v>
      </x:c>
      <x:c r="D236">
        <x:v>25</x:v>
      </x:c>
      <x:c r="E236" t="s">
        <x:v>103</x:v>
      </x:c>
      <x:c r="F236" t="s">
        <x:v>97</x:v>
      </x:c>
      <x:c r="G236">
        <x:v>41572</x:v>
      </x:c>
      <x:c r="H236" t="s">
        <x:v>1220</x:v>
      </x:c>
      <x:c r="I236" t="s">
        <x:v>1221</x:v>
      </x:c>
      <x:c r="J236" t="s">
        <x:v>1222</x:v>
      </x:c>
    </x:row>
    <x:row r="237">
      <x:c r="A237" t="s">
        <x:v>1223</x:v>
      </x:c>
      <x:c r="B237" t="s">
        <x:v>1223</x:v>
      </x:c>
      <x:c r="C237" t="s">
        <x:v>1224</x:v>
      </x:c>
      <x:c r="D237">
        <x:v>20</x:v>
      </x:c>
      <x:c r="E237" t="s">
        <x:v>114</x:v>
      </x:c>
      <x:c r="F237" t="s">
        <x:v>90</x:v>
      </x:c>
      <x:c r="G237">
        <x:v>44476</x:v>
      </x:c>
      <x:c r="H237" t="s">
        <x:v>1225</x:v>
      </x:c>
      <x:c r="I237" t="s">
        <x:v>1226</x:v>
      </x:c>
      <x:c r="J237" t="s">
        <x:v>1227</x:v>
      </x:c>
    </x:row>
    <x:row r="238">
      <x:c r="A238" t="s">
        <x:v>1228</x:v>
      </x:c>
      <x:c r="B238" t="s">
        <x:v>1228</x:v>
      </x:c>
      <x:c r="C238" t="s">
        <x:v>973</x:v>
      </x:c>
      <x:c r="D238">
        <x:v>0</x:v>
      </x:c>
      <x:c r="E238" t="s">
        <x:v>89</x:v>
      </x:c>
      <x:c r="F238" t="s">
        <x:v>90</x:v>
      </x:c>
      <x:c r="G238">
        <x:v>44887</x:v>
      </x:c>
      <x:c r="H238" t="s">
        <x:v>1229</x:v>
      </x:c>
      <x:c r="I238" t="s">
        <x:v>1230</x:v>
      </x:c>
      <x:c r="J238" t="s">
        <x:v>1231</x:v>
      </x:c>
    </x:row>
    <x:row r="239">
      <x:c r="A239" t="s">
        <x:v>1232</x:v>
      </x:c>
      <x:c r="B239" t="s">
        <x:v>1232</x:v>
      </x:c>
      <x:c r="C239" t="s">
        <x:v>1233</x:v>
      </x:c>
      <x:c r="D239">
        <x:v>8</x:v>
      </x:c>
      <x:c r="E239" t="s">
        <x:v>96</x:v>
      </x:c>
      <x:c r="F239" t="s">
        <x:v>97</x:v>
      </x:c>
      <x:c r="G239">
        <x:v>44341</x:v>
      </x:c>
      <x:c r="H239" t="s">
        <x:v>1234</x:v>
      </x:c>
      <x:c r="I239" t="s">
        <x:v>1235</x:v>
      </x:c>
      <x:c r="J239" t="s">
        <x:v>1236</x:v>
      </x:c>
    </x:row>
    <x:row r="240">
      <x:c r="A240" t="s">
        <x:v>1237</x:v>
      </x:c>
      <x:c r="B240" t="s">
        <x:v>1237</x:v>
      </x:c>
      <x:c r="C240" t="s">
        <x:v>1238</x:v>
      </x:c>
      <x:c r="D240">
        <x:v>1</x:v>
      </x:c>
      <x:c r="E240" t="s">
        <x:v>114</x:v>
      </x:c>
      <x:c r="F240" t="s">
        <x:v>90</x:v>
      </x:c>
      <x:c r="G240">
        <x:v>45749</x:v>
      </x:c>
      <x:c r="H240" t="s">
        <x:v>1239</x:v>
      </x:c>
      <x:c r="I240" t="s">
        <x:v>1240</x:v>
      </x:c>
      <x:c r="J240" t="s">
        <x:v>1241</x:v>
      </x:c>
    </x:row>
    <x:row r="241">
      <x:c r="A241" t="s">
        <x:v>1242</x:v>
      </x:c>
      <x:c r="B241" t="s">
        <x:v>1242</x:v>
      </x:c>
      <x:c r="C241" t="s">
        <x:v>1243</x:v>
      </x:c>
      <x:c r="D241">
        <x:v>9</x:v>
      </x:c>
      <x:c r="E241" t="s">
        <x:v>114</x:v>
      </x:c>
      <x:c r="F241" t="s">
        <x:v>90</x:v>
      </x:c>
      <x:c r="G241">
        <x:v>45899</x:v>
      </x:c>
      <x:c r="H241" t="s">
        <x:v>1244</x:v>
      </x:c>
      <x:c r="I241" t="s">
        <x:v>1245</x:v>
      </x:c>
      <x:c r="J241" t="s">
        <x:v>1246</x:v>
      </x:c>
    </x:row>
    <x:row r="242">
      <x:c r="A242" t="s">
        <x:v>1247</x:v>
      </x:c>
      <x:c r="B242" t="s">
        <x:v>1247</x:v>
      </x:c>
      <x:c r="C242" t="s">
        <x:v>1248</x:v>
      </x:c>
      <x:c r="D242">
        <x:v>52</x:v>
      </x:c>
      <x:c r="E242" t="s">
        <x:v>103</x:v>
      </x:c>
      <x:c r="F242" t="s">
        <x:v>97</x:v>
      </x:c>
      <x:c r="G242">
        <x:v>43300</x:v>
      </x:c>
      <x:c r="H242" t="s">
        <x:v>1249</x:v>
      </x:c>
      <x:c r="I242" t="s">
        <x:v>1250</x:v>
      </x:c>
      <x:c r="J242" t="s">
        <x:v>1251</x:v>
      </x:c>
    </x:row>
    <x:row r="243">
      <x:c r="A243" t="s">
        <x:v>1252</x:v>
      </x:c>
      <x:c r="B243" t="s">
        <x:v>1252</x:v>
      </x:c>
      <x:c r="C243" t="s">
        <x:v>1253</x:v>
      </x:c>
      <x:c r="D243">
        <x:v>10</x:v>
      </x:c>
      <x:c r="E243" t="s">
        <x:v>96</x:v>
      </x:c>
      <x:c r="F243" t="s">
        <x:v>97</x:v>
      </x:c>
      <x:c r="G243">
        <x:v>45717</x:v>
      </x:c>
      <x:c r="H243" t="s">
        <x:v>1254</x:v>
      </x:c>
      <x:c r="I243" t="s">
        <x:v>1255</x:v>
      </x:c>
      <x:c r="J243" t="s">
        <x:v>1256</x:v>
      </x:c>
    </x:row>
    <x:row r="244">
      <x:c r="A244" t="s">
        <x:v>1257</x:v>
      </x:c>
      <x:c r="B244" t="s">
        <x:v>1257</x:v>
      </x:c>
      <x:c r="C244" t="s">
        <x:v>1258</x:v>
      </x:c>
      <x:c r="D244">
        <x:v>9</x:v>
      </x:c>
      <x:c r="E244" t="s">
        <x:v>96</x:v>
      </x:c>
      <x:c r="F244" t="s">
        <x:v>97</x:v>
      </x:c>
      <x:c r="G244">
        <x:v>42039</x:v>
      </x:c>
      <x:c r="H244" t="s">
        <x:v>1259</x:v>
      </x:c>
      <x:c r="I244" t="s">
        <x:v>1260</x:v>
      </x:c>
      <x:c r="J244" t="s">
        <x:v>1261</x:v>
      </x:c>
    </x:row>
    <x:row r="245">
      <x:c r="A245" t="s">
        <x:v>1262</x:v>
      </x:c>
      <x:c r="B245" t="s">
        <x:v>1262</x:v>
      </x:c>
      <x:c r="C245" t="s">
        <x:v>1263</x:v>
      </x:c>
      <x:c r="D245">
        <x:v>17</x:v>
      </x:c>
      <x:c r="E245" t="s">
        <x:v>103</x:v>
      </x:c>
      <x:c r="F245" t="s">
        <x:v>97</x:v>
      </x:c>
      <x:c r="G245">
        <x:v>42304</x:v>
      </x:c>
      <x:c r="H245" t="s">
        <x:v>1264</x:v>
      </x:c>
      <x:c r="I245" t="s">
        <x:v>1265</x:v>
      </x:c>
      <x:c r="J245" t="s">
        <x:v>1266</x:v>
      </x:c>
    </x:row>
    <x:row r="246">
      <x:c r="A246" t="s">
        <x:v>1267</x:v>
      </x:c>
      <x:c r="B246" t="s">
        <x:v>1267</x:v>
      </x:c>
      <x:c r="C246" t="s">
        <x:v>1268</x:v>
      </x:c>
      <x:c r="D246">
        <x:v>7</x:v>
      </x:c>
      <x:c r="E246" t="s">
        <x:v>96</x:v>
      </x:c>
      <x:c r="F246" t="s">
        <x:v>97</x:v>
      </x:c>
      <x:c r="G246">
        <x:v>42306</x:v>
      </x:c>
      <x:c r="H246" t="s">
        <x:v>1269</x:v>
      </x:c>
      <x:c r="I246" t="s">
        <x:v>1270</x:v>
      </x:c>
      <x:c r="J246" t="s">
        <x:v>1271</x:v>
      </x:c>
    </x:row>
    <x:row r="247">
      <x:c r="A247" t="s">
        <x:v>1272</x:v>
      </x:c>
      <x:c r="B247" t="s">
        <x:v>1272</x:v>
      </x:c>
      <x:c r="C247" t="s">
        <x:v>1273</x:v>
      </x:c>
      <x:c r="D247">
        <x:v>48</x:v>
      </x:c>
      <x:c r="E247" t="s">
        <x:v>103</x:v>
      </x:c>
      <x:c r="F247" t="s">
        <x:v>97</x:v>
      </x:c>
      <x:c r="G247">
        <x:v>41552</x:v>
      </x:c>
      <x:c r="H247" t="s">
        <x:v>1274</x:v>
      </x:c>
      <x:c r="I247" t="s">
        <x:v>1275</x:v>
      </x:c>
      <x:c r="J247" t="s">
        <x:v>1276</x:v>
      </x:c>
    </x:row>
    <x:row r="248">
      <x:c r="A248" t="s">
        <x:v>1277</x:v>
      </x:c>
      <x:c r="B248" t="s">
        <x:v>1277</x:v>
      </x:c>
      <x:c r="C248" t="s">
        <x:v>1273</x:v>
      </x:c>
      <x:c r="D248">
        <x:v>10</x:v>
      </x:c>
      <x:c r="E248" t="s">
        <x:v>103</x:v>
      </x:c>
      <x:c r="F248" t="s">
        <x:v>97</x:v>
      </x:c>
      <x:c r="G248">
        <x:v>42013</x:v>
      </x:c>
      <x:c r="H248" t="s">
        <x:v>1278</x:v>
      </x:c>
      <x:c r="I248" t="s">
        <x:v>1279</x:v>
      </x:c>
      <x:c r="J248" t="s">
        <x:v>1280</x:v>
      </x:c>
    </x:row>
    <x:row r="249">
      <x:c r="A249" t="s">
        <x:v>1281</x:v>
      </x:c>
      <x:c r="B249" t="s">
        <x:v>1281</x:v>
      </x:c>
      <x:c r="C249" t="s">
        <x:v>1282</x:v>
      </x:c>
      <x:c r="D249">
        <x:v>6</x:v>
      </x:c>
      <x:c r="E249" t="s">
        <x:v>103</x:v>
      </x:c>
      <x:c r="F249" t="s">
        <x:v>97</x:v>
      </x:c>
      <x:c r="G249">
        <x:v>43471</x:v>
      </x:c>
      <x:c r="H249" t="s">
        <x:v>1283</x:v>
      </x:c>
      <x:c r="I249" t="s">
        <x:v>1284</x:v>
      </x:c>
      <x:c r="J249" t="s">
        <x:v>1285</x:v>
      </x:c>
    </x:row>
    <x:row r="250">
      <x:c r="A250" t="s">
        <x:v>1286</x:v>
      </x:c>
      <x:c r="B250" t="s">
        <x:v>1286</x:v>
      </x:c>
      <x:c r="C250" t="s">
        <x:v>102</x:v>
      </x:c>
      <x:c r="D250">
        <x:v>18</x:v>
      </x:c>
      <x:c r="E250" t="s">
        <x:v>103</x:v>
      </x:c>
      <x:c r="F250" t="s">
        <x:v>97</x:v>
      </x:c>
      <x:c r="G250">
        <x:v>41572</x:v>
      </x:c>
      <x:c r="H250" t="s">
        <x:v>1287</x:v>
      </x:c>
      <x:c r="I250" t="s">
        <x:v>1288</x:v>
      </x:c>
      <x:c r="J250" t="s">
        <x:v>1289</x:v>
      </x:c>
    </x:row>
    <x:row r="251">
      <x:c r="A251" t="s">
        <x:v>1290</x:v>
      </x:c>
      <x:c r="B251" t="s">
        <x:v>1290</x:v>
      </x:c>
      <x:c r="C251" t="s">
        <x:v>1291</x:v>
      </x:c>
      <x:c r="D251">
        <x:v>11</x:v>
      </x:c>
      <x:c r="E251" t="s">
        <x:v>103</x:v>
      </x:c>
      <x:c r="F251" t="s">
        <x:v>97</x:v>
      </x:c>
      <x:c r="G251">
        <x:v>42208</x:v>
      </x:c>
      <x:c r="H251" t="s">
        <x:v>1292</x:v>
      </x:c>
      <x:c r="I251" t="s">
        <x:v>1293</x:v>
      </x:c>
      <x:c r="J251" t="s">
        <x:v>1294</x:v>
      </x:c>
    </x:row>
    <x:row r="252">
      <x:c r="A252" t="s">
        <x:v>1295</x:v>
      </x:c>
      <x:c r="B252" t="s">
        <x:v>1295</x:v>
      </x:c>
      <x:c r="C252" t="s">
        <x:v>1296</x:v>
      </x:c>
      <x:c r="D252">
        <x:v>15</x:v>
      </x:c>
      <x:c r="E252" t="s">
        <x:v>103</x:v>
      </x:c>
      <x:c r="F252" t="s">
        <x:v>97</x:v>
      </x:c>
      <x:c r="G252">
        <x:v>42224</x:v>
      </x:c>
      <x:c r="H252" t="s">
        <x:v>1297</x:v>
      </x:c>
      <x:c r="I252" t="s">
        <x:v>1298</x:v>
      </x:c>
      <x:c r="J252" t="s">
        <x:v>1299</x:v>
      </x:c>
    </x:row>
    <x:row r="253">
      <x:c r="A253" t="s">
        <x:v>1300</x:v>
      </x:c>
      <x:c r="B253" t="s">
        <x:v>1300</x:v>
      </x:c>
      <x:c r="C253" t="s">
        <x:v>1301</x:v>
      </x:c>
      <x:c r="D253">
        <x:v>0</x:v>
      </x:c>
      <x:c r="E253" t="s">
        <x:v>257</x:v>
      </x:c>
      <x:c r="F253" t="s">
        <x:v>97</x:v>
      </x:c>
      <x:c r="G253">
        <x:v>45876</x:v>
      </x:c>
      <x:c r="H253" t="s">
        <x:v>1302</x:v>
      </x:c>
      <x:c r="I253" t="s">
        <x:v>1303</x:v>
      </x:c>
      <x:c r="J253" t="s">
        <x:v>1304</x:v>
      </x:c>
    </x:row>
    <x:row r="254">
      <x:c r="A254" t="s">
        <x:v>1305</x:v>
      </x:c>
      <x:c r="B254" t="s">
        <x:v>1305</x:v>
      </x:c>
      <x:c r="C254" t="s">
        <x:v>1306</x:v>
      </x:c>
      <x:c r="D254">
        <x:v>1</x:v>
      </x:c>
      <x:c r="E254" t="s">
        <x:v>103</x:v>
      </x:c>
      <x:c r="F254" t="s">
        <x:v>97</x:v>
      </x:c>
      <x:c r="G254">
        <x:v>42579</x:v>
      </x:c>
      <x:c r="H254" t="s">
        <x:v>1307</x:v>
      </x:c>
      <x:c r="I254" t="s">
        <x:v>1308</x:v>
      </x:c>
      <x:c r="J254" t="s">
        <x:v>1309</x:v>
      </x:c>
    </x:row>
    <x:row r="255">
      <x:c r="A255" t="s">
        <x:v>1310</x:v>
      </x:c>
      <x:c r="B255" t="s">
        <x:v>1310</x:v>
      </x:c>
      <x:c r="C255" t="s">
        <x:v>1306</x:v>
      </x:c>
      <x:c r="D255">
        <x:v>1</x:v>
      </x:c>
      <x:c r="E255" t="s">
        <x:v>103</x:v>
      </x:c>
      <x:c r="F255" t="s">
        <x:v>97</x:v>
      </x:c>
      <x:c r="G255">
        <x:v>43895</x:v>
      </x:c>
      <x:c r="H255" t="s">
        <x:v>1311</x:v>
      </x:c>
      <x:c r="I255" t="s">
        <x:v>1312</x:v>
      </x:c>
      <x:c r="J255" t="s">
        <x:v>1313</x:v>
      </x:c>
    </x:row>
    <x:row r="256">
      <x:c r="A256" t="s">
        <x:v>1314</x:v>
      </x:c>
      <x:c r="B256" t="s">
        <x:v>1314</x:v>
      </x:c>
      <x:c r="C256" t="s">
        <x:v>1315</x:v>
      </x:c>
      <x:c r="D256">
        <x:v>1</x:v>
      </x:c>
      <x:c r="E256" t="s">
        <x:v>103</x:v>
      </x:c>
      <x:c r="F256" t="s">
        <x:v>97</x:v>
      </x:c>
      <x:c r="G256">
        <x:v>42322</x:v>
      </x:c>
      <x:c r="H256" t="s">
        <x:v>1316</x:v>
      </x:c>
      <x:c r="I256" t="s">
        <x:v>1317</x:v>
      </x:c>
      <x:c r="J256" t="s">
        <x:v>1318</x:v>
      </x:c>
    </x:row>
    <x:row r="257">
      <x:c r="A257" t="s">
        <x:v>1319</x:v>
      </x:c>
      <x:c r="B257" t="s">
        <x:v>1319</x:v>
      </x:c>
      <x:c r="C257" t="s">
        <x:v>1320</x:v>
      </x:c>
      <x:c r="D257">
        <x:v>4</x:v>
      </x:c>
      <x:c r="E257" t="s">
        <x:v>96</x:v>
      </x:c>
      <x:c r="F257" t="s">
        <x:v>97</x:v>
      </x:c>
      <x:c r="G257">
        <x:v>44908</x:v>
      </x:c>
      <x:c r="H257" t="s">
        <x:v>1321</x:v>
      </x:c>
      <x:c r="I257" t="s">
        <x:v>1322</x:v>
      </x:c>
      <x:c r="J257" t="s">
        <x:v>1323</x:v>
      </x:c>
    </x:row>
    <x:row r="258">
      <x:c r="A258" t="s">
        <x:v>1324</x:v>
      </x:c>
      <x:c r="B258" t="s">
        <x:v>1324</x:v>
      </x:c>
      <x:c r="C258" t="s">
        <x:v>1320</x:v>
      </x:c>
      <x:c r="D258">
        <x:v>5</x:v>
      </x:c>
      <x:c r="E258" t="s">
        <x:v>198</x:v>
      </x:c>
      <x:c r="F258" t="s">
        <x:v>97</x:v>
      </x:c>
      <x:c r="G258">
        <x:v>44505</x:v>
      </x:c>
      <x:c r="H258" t="s">
        <x:v>1325</x:v>
      </x:c>
      <x:c r="I258" t="s">
        <x:v>1326</x:v>
      </x:c>
      <x:c r="J258" t="s">
        <x:v>1327</x:v>
      </x:c>
    </x:row>
    <x:row r="259">
      <x:c r="A259" t="s">
        <x:v>1328</x:v>
      </x:c>
      <x:c r="B259" t="s">
        <x:v>1328</x:v>
      </x:c>
      <x:c r="C259" t="s">
        <x:v>1329</x:v>
      </x:c>
      <x:c r="D259">
        <x:v>5</x:v>
      </x:c>
      <x:c r="E259" t="s">
        <x:v>96</x:v>
      </x:c>
      <x:c r="F259" t="s">
        <x:v>97</x:v>
      </x:c>
      <x:c r="G259">
        <x:v>44971</x:v>
      </x:c>
      <x:c r="H259" t="s">
        <x:v>1330</x:v>
      </x:c>
      <x:c r="I259" t="s">
        <x:v>1331</x:v>
      </x:c>
      <x:c r="J259" t="s">
        <x:v>1332</x:v>
      </x:c>
    </x:row>
    <x:row r="260">
      <x:c r="A260" t="s">
        <x:v>1333</x:v>
      </x:c>
      <x:c r="B260" t="s">
        <x:v>1333</x:v>
      </x:c>
      <x:c r="C260" t="s">
        <x:v>1334</x:v>
      </x:c>
      <x:c r="D260">
        <x:v>6</x:v>
      </x:c>
      <x:c r="E260" t="s">
        <x:v>103</x:v>
      </x:c>
      <x:c r="F260" t="s">
        <x:v>97</x:v>
      </x:c>
      <x:c r="G260">
        <x:v>41856</x:v>
      </x:c>
      <x:c r="H260" t="s">
        <x:v>1335</x:v>
      </x:c>
      <x:c r="I260" t="s">
        <x:v>1336</x:v>
      </x:c>
      <x:c r="J260" t="s">
        <x:v>1337</x:v>
      </x:c>
    </x:row>
    <x:row r="261">
      <x:c r="A261" t="s">
        <x:v>1338</x:v>
      </x:c>
      <x:c r="B261" t="s">
        <x:v>1338</x:v>
      </x:c>
      <x:c r="C261" t="s">
        <x:v>1339</x:v>
      </x:c>
      <x:c r="D261">
        <x:v>9</x:v>
      </x:c>
      <x:c r="E261" t="s">
        <x:v>257</x:v>
      </x:c>
      <x:c r="F261" t="s">
        <x:v>97</x:v>
      </x:c>
      <x:c r="G261">
        <x:v>42275</x:v>
      </x:c>
      <x:c r="H261" t="s">
        <x:v>1340</x:v>
      </x:c>
      <x:c r="I261" t="s">
        <x:v>1341</x:v>
      </x:c>
      <x:c r="J261" t="s">
        <x:v>1342</x:v>
      </x:c>
    </x:row>
    <x:row r="262">
      <x:c r="A262" t="s">
        <x:v>1343</x:v>
      </x:c>
      <x:c r="B262" t="s">
        <x:v>1343</x:v>
      </x:c>
      <x:c r="C262" t="s">
        <x:v>1344</x:v>
      </x:c>
      <x:c r="D262">
        <x:v>67</x:v>
      </x:c>
      <x:c r="E262" t="s">
        <x:v>96</x:v>
      </x:c>
      <x:c r="F262" t="s">
        <x:v>97</x:v>
      </x:c>
      <x:c r="G262">
        <x:v>45199</x:v>
      </x:c>
      <x:c r="H262" t="s">
        <x:v>1345</x:v>
      </x:c>
      <x:c r="I262" t="s">
        <x:v>1346</x:v>
      </x:c>
      <x:c r="J262" t="s">
        <x:v>1347</x:v>
      </x:c>
    </x:row>
    <x:row r="263">
      <x:c r="A263" t="s">
        <x:v>1348</x:v>
      </x:c>
      <x:c r="B263" t="s">
        <x:v>1348</x:v>
      </x:c>
      <x:c r="C263" t="s">
        <x:v>1344</x:v>
      </x:c>
      <x:c r="D263">
        <x:v>68</x:v>
      </x:c>
      <x:c r="E263" t="s">
        <x:v>96</x:v>
      </x:c>
      <x:c r="F263" t="s">
        <x:v>97</x:v>
      </x:c>
      <x:c r="G263">
        <x:v>45420</x:v>
      </x:c>
      <x:c r="H263" t="s">
        <x:v>1349</x:v>
      </x:c>
      <x:c r="I263" t="s">
        <x:v>1350</x:v>
      </x:c>
      <x:c r="J263" t="s">
        <x:v>1351</x:v>
      </x:c>
    </x:row>
    <x:row r="264">
      <x:c r="A264" t="s">
        <x:v>1352</x:v>
      </x:c>
      <x:c r="B264" t="s">
        <x:v>1352</x:v>
      </x:c>
      <x:c r="C264" t="s">
        <x:v>1344</x:v>
      </x:c>
      <x:c r="D264">
        <x:v>44</x:v>
      </x:c>
      <x:c r="E264" t="s">
        <x:v>96</x:v>
      </x:c>
      <x:c r="F264" t="s">
        <x:v>97</x:v>
      </x:c>
      <x:c r="G264">
        <x:v>45232</x:v>
      </x:c>
      <x:c r="H264" t="s">
        <x:v>1353</x:v>
      </x:c>
      <x:c r="I264" t="s">
        <x:v>1354</x:v>
      </x:c>
      <x:c r="J264" t="s">
        <x:v>1355</x:v>
      </x:c>
    </x:row>
    <x:row r="265">
      <x:c r="A265" t="s">
        <x:v>1356</x:v>
      </x:c>
      <x:c r="B265" t="s">
        <x:v>1356</x:v>
      </x:c>
      <x:c r="C265" t="s">
        <x:v>1344</x:v>
      </x:c>
      <x:c r="D265">
        <x:v>70</x:v>
      </x:c>
      <x:c r="E265" t="s">
        <x:v>96</x:v>
      </x:c>
      <x:c r="F265" t="s">
        <x:v>97</x:v>
      </x:c>
      <x:c r="G265">
        <x:v>45391</x:v>
      </x:c>
      <x:c r="H265" t="s">
        <x:v>1357</x:v>
      </x:c>
      <x:c r="I265" t="s">
        <x:v>1358</x:v>
      </x:c>
      <x:c r="J265" t="s">
        <x:v>1359</x:v>
      </x:c>
    </x:row>
    <x:row r="266">
      <x:c r="A266" t="s">
        <x:v>1360</x:v>
      </x:c>
      <x:c r="B266" t="s">
        <x:v>1360</x:v>
      </x:c>
      <x:c r="C266" t="s">
        <x:v>1361</x:v>
      </x:c>
      <x:c r="D266">
        <x:v>6</x:v>
      </x:c>
      <x:c r="E266" t="s">
        <x:v>257</x:v>
      </x:c>
      <x:c r="F266" t="s">
        <x:v>97</x:v>
      </x:c>
      <x:c r="G266">
        <x:v>42293</x:v>
      </x:c>
      <x:c r="H266" t="s">
        <x:v>1362</x:v>
      </x:c>
      <x:c r="I266" t="s">
        <x:v>1363</x:v>
      </x:c>
      <x:c r="J266" t="s">
        <x:v>1364</x:v>
      </x:c>
    </x:row>
    <x:row r="267">
      <x:c r="A267" t="s">
        <x:v>1365</x:v>
      </x:c>
      <x:c r="B267" t="s">
        <x:v>1365</x:v>
      </x:c>
      <x:c r="C267" t="s">
        <x:v>1092</x:v>
      </x:c>
      <x:c r="D267">
        <x:v>28</x:v>
      </x:c>
      <x:c r="E267" t="s">
        <x:v>198</x:v>
      </x:c>
      <x:c r="F267" t="s">
        <x:v>90</x:v>
      </x:c>
      <x:c r="G267">
        <x:v>44534</x:v>
      </x:c>
      <x:c r="H267" t="s">
        <x:v>1366</x:v>
      </x:c>
      <x:c r="I267" t="s">
        <x:v>1367</x:v>
      </x:c>
      <x:c r="J267" t="s">
        <x:v>1368</x:v>
      </x:c>
    </x:row>
    <x:row r="268">
      <x:c r="A268" t="s">
        <x:v>1369</x:v>
      </x:c>
      <x:c r="B268" t="s">
        <x:v>1369</x:v>
      </x:c>
      <x:c r="C268" t="s">
        <x:v>1370</x:v>
      </x:c>
      <x:c r="D268">
        <x:v>12</x:v>
      </x:c>
      <x:c r="E268" t="s">
        <x:v>198</x:v>
      </x:c>
      <x:c r="F268" t="s">
        <x:v>90</x:v>
      </x:c>
      <x:c r="G268">
        <x:v>44666</x:v>
      </x:c>
      <x:c r="H268" t="s">
        <x:v>1371</x:v>
      </x:c>
      <x:c r="I268" t="s">
        <x:v>1372</x:v>
      </x:c>
      <x:c r="J268" t="s">
        <x:v>1373</x:v>
      </x:c>
    </x:row>
    <x:row r="269">
      <x:c r="A269" t="s">
        <x:v>1374</x:v>
      </x:c>
      <x:c r="B269" t="s">
        <x:v>1374</x:v>
      </x:c>
      <x:c r="C269" t="s">
        <x:v>1370</x:v>
      </x:c>
      <x:c r="D269">
        <x:v>26</x:v>
      </x:c>
      <x:c r="E269" t="s">
        <x:v>198</x:v>
      </x:c>
      <x:c r="F269" t="s">
        <x:v>90</x:v>
      </x:c>
      <x:c r="G269">
        <x:v>45243</x:v>
      </x:c>
      <x:c r="H269" t="s">
        <x:v>1375</x:v>
      </x:c>
      <x:c r="I269" t="s">
        <x:v>1376</x:v>
      </x:c>
      <x:c r="J269" t="s">
        <x:v>1377</x:v>
      </x:c>
    </x:row>
    <x:row r="270">
      <x:c r="A270" t="s">
        <x:v>1378</x:v>
      </x:c>
      <x:c r="B270" t="s">
        <x:v>1378</x:v>
      </x:c>
      <x:c r="C270" t="s">
        <x:v>751</x:v>
      </x:c>
      <x:c r="D270">
        <x:v>11</x:v>
      </x:c>
      <x:c r="E270" t="s">
        <x:v>96</x:v>
      </x:c>
      <x:c r="F270" t="s">
        <x:v>90</x:v>
      </x:c>
      <x:c r="G270">
        <x:v>43920</x:v>
      </x:c>
      <x:c r="H270" t="s">
        <x:v>1379</x:v>
      </x:c>
      <x:c r="I270" t="s">
        <x:v>1380</x:v>
      </x:c>
      <x:c r="J270" t="s">
        <x:v>1381</x:v>
      </x:c>
    </x:row>
    <x:row r="271">
      <x:c r="A271" t="s">
        <x:v>1382</x:v>
      </x:c>
      <x:c r="B271" t="s">
        <x:v>1382</x:v>
      </x:c>
      <x:c r="C271" t="s">
        <x:v>1383</x:v>
      </x:c>
      <x:c r="D271">
        <x:v>10</x:v>
      </x:c>
      <x:c r="E271" t="s">
        <x:v>198</x:v>
      </x:c>
      <x:c r="F271" t="s">
        <x:v>90</x:v>
      </x:c>
      <x:c r="G271">
        <x:v>43754</x:v>
      </x:c>
      <x:c r="H271" t="s">
        <x:v>1384</x:v>
      </x:c>
      <x:c r="I271" t="s">
        <x:v>1385</x:v>
      </x:c>
      <x:c r="J271" t="s">
        <x:v>1386</x:v>
      </x:c>
    </x:row>
    <x:row r="272">
      <x:c r="A272" t="s">
        <x:v>1387</x:v>
      </x:c>
      <x:c r="B272" t="s">
        <x:v>1387</x:v>
      </x:c>
      <x:c r="C272" t="s">
        <x:v>1388</x:v>
      </x:c>
      <x:c r="D272">
        <x:v>6</x:v>
      </x:c>
      <x:c r="E272" t="s">
        <x:v>114</x:v>
      </x:c>
      <x:c r="F272" t="s">
        <x:v>90</x:v>
      </x:c>
      <x:c r="G272">
        <x:v>44700</x:v>
      </x:c>
      <x:c r="H272" t="s">
        <x:v>1389</x:v>
      </x:c>
      <x:c r="I272" t="s">
        <x:v>1390</x:v>
      </x:c>
      <x:c r="J272" t="s">
        <x:v>1391</x:v>
      </x:c>
    </x:row>
    <x:row r="273">
      <x:c r="A273" t="s">
        <x:v>1392</x:v>
      </x:c>
      <x:c r="B273" t="s">
        <x:v>1392</x:v>
      </x:c>
      <x:c r="C273" t="s">
        <x:v>1393</x:v>
      </x:c>
      <x:c r="D273">
        <x:v>11</x:v>
      </x:c>
      <x:c r="E273" t="s">
        <x:v>89</x:v>
      </x:c>
      <x:c r="F273" t="s">
        <x:v>90</x:v>
      </x:c>
      <x:c r="G273">
        <x:v>44513</x:v>
      </x:c>
      <x:c r="H273" t="s">
        <x:v>1394</x:v>
      </x:c>
      <x:c r="I273" t="s">
        <x:v>1395</x:v>
      </x:c>
      <x:c r="J273" t="s">
        <x:v>1396</x:v>
      </x:c>
    </x:row>
    <x:row r="274">
      <x:c r="A274" t="s">
        <x:v>1397</x:v>
      </x:c>
      <x:c r="B274" t="s">
        <x:v>1397</x:v>
      </x:c>
      <x:c r="C274" t="s">
        <x:v>1282</x:v>
      </x:c>
      <x:c r="D274">
        <x:v>23</x:v>
      </x:c>
      <x:c r="E274" t="s">
        <x:v>103</x:v>
      </x:c>
      <x:c r="F274" t="s">
        <x:v>97</x:v>
      </x:c>
      <x:c r="G274">
        <x:v>43657</x:v>
      </x:c>
      <x:c r="H274" t="s">
        <x:v>1398</x:v>
      </x:c>
      <x:c r="I274" t="s">
        <x:v>1399</x:v>
      </x:c>
      <x:c r="J274" t="s">
        <x:v>1400</x:v>
      </x:c>
    </x:row>
    <x:row r="275">
      <x:c r="A275" t="s">
        <x:v>1401</x:v>
      </x:c>
      <x:c r="B275" t="s">
        <x:v>1401</x:v>
      </x:c>
      <x:c r="C275" t="s">
        <x:v>1402</x:v>
      </x:c>
      <x:c r="D275">
        <x:v>4</x:v>
      </x:c>
      <x:c r="E275" t="s">
        <x:v>103</x:v>
      </x:c>
      <x:c r="F275" t="s">
        <x:v>97</x:v>
      </x:c>
      <x:c r="G275">
        <x:v>45049</x:v>
      </x:c>
      <x:c r="H275" t="s">
        <x:v>1403</x:v>
      </x:c>
      <x:c r="I275" t="s">
        <x:v>1404</x:v>
      </x:c>
      <x:c r="J275" t="s">
        <x:v>1405</x:v>
      </x:c>
    </x:row>
    <x:row r="276">
      <x:c r="A276" t="s">
        <x:v>1406</x:v>
      </x:c>
      <x:c r="B276" t="s">
        <x:v>1406</x:v>
      </x:c>
      <x:c r="C276" t="s">
        <x:v>1407</x:v>
      </x:c>
      <x:c r="D276">
        <x:v>12</x:v>
      </x:c>
      <x:c r="E276" t="s">
        <x:v>198</x:v>
      </x:c>
      <x:c r="F276" t="s">
        <x:v>90</x:v>
      </x:c>
      <x:c r="G276">
        <x:v>45952</x:v>
      </x:c>
      <x:c r="H276" t="s">
        <x:v>1408</x:v>
      </x:c>
      <x:c r="I276" t="s">
        <x:v>1409</x:v>
      </x:c>
      <x:c r="J276" t="s">
        <x:v>1410</x:v>
      </x:c>
    </x:row>
    <x:row r="277">
      <x:c r="A277" t="s">
        <x:v>1411</x:v>
      </x:c>
      <x:c r="B277" t="s">
        <x:v>1411</x:v>
      </x:c>
      <x:c r="C277" t="s">
        <x:v>1412</x:v>
      </x:c>
      <x:c r="D277">
        <x:v>5</x:v>
      </x:c>
      <x:c r="E277" t="s">
        <x:v>89</x:v>
      </x:c>
      <x:c r="F277" t="s">
        <x:v>90</x:v>
      </x:c>
      <x:c r="G277">
        <x:v>46214</x:v>
      </x:c>
      <x:c r="H277" t="s">
        <x:v>1413</x:v>
      </x:c>
      <x:c r="I277" t="s">
        <x:v>1414</x:v>
      </x:c>
      <x:c r="J277" t="s">
        <x:v>1415</x:v>
      </x:c>
    </x:row>
    <x:row r="278">
      <x:c r="A278" t="s">
        <x:v>1416</x:v>
      </x:c>
      <x:c r="B278" t="s">
        <x:v>1416</x:v>
      </x:c>
      <x:c r="C278" t="s">
        <x:v>1417</x:v>
      </x:c>
      <x:c r="D278">
        <x:v>5</x:v>
      </x:c>
      <x:c r="E278" t="s">
        <x:v>96</x:v>
      </x:c>
      <x:c r="F278" t="s">
        <x:v>610</x:v>
      </x:c>
      <x:c r="G278">
        <x:v>45743</x:v>
      </x:c>
      <x:c r="H278" t="s">
        <x:v>1418</x:v>
      </x:c>
      <x:c r="I278" t="s">
        <x:v>1419</x:v>
      </x:c>
      <x:c r="J278" t="s">
        <x:v>1420</x:v>
      </x:c>
    </x:row>
    <x:row r="279">
      <x:c r="A279" t="s">
        <x:v>1421</x:v>
      </x:c>
      <x:c r="B279" t="s">
        <x:v>1421</x:v>
      </x:c>
      <x:c r="C279" t="s">
        <x:v>1422</x:v>
      </x:c>
      <x:c r="D279">
        <x:v>98</x:v>
      </x:c>
      <x:c r="E279" t="s">
        <x:v>96</x:v>
      </x:c>
      <x:c r="F279" t="s">
        <x:v>97</x:v>
      </x:c>
      <x:c r="G279">
        <x:v>41644</x:v>
      </x:c>
      <x:c r="H279" t="s">
        <x:v>1423</x:v>
      </x:c>
      <x:c r="I279" t="s">
        <x:v>1424</x:v>
      </x:c>
      <x:c r="J279" t="s">
        <x:v>1425</x:v>
      </x:c>
    </x:row>
    <x:row r="280">
      <x:c r="A280" t="s">
        <x:v>1426</x:v>
      </x:c>
      <x:c r="B280" t="s">
        <x:v>1426</x:v>
      </x:c>
      <x:c r="C280" t="s">
        <x:v>1427</x:v>
      </x:c>
      <x:c r="D280">
        <x:v>12</x:v>
      </x:c>
      <x:c r="E280" t="s">
        <x:v>89</x:v>
      </x:c>
      <x:c r="F280" t="s">
        <x:v>90</x:v>
      </x:c>
      <x:c r="G280">
        <x:v>45022</x:v>
      </x:c>
      <x:c r="H280" t="s">
        <x:v>1428</x:v>
      </x:c>
      <x:c r="I280" t="s">
        <x:v>1429</x:v>
      </x:c>
      <x:c r="J280" t="s">
        <x:v>1430</x:v>
      </x:c>
    </x:row>
    <x:row r="281">
      <x:c r="A281" t="s">
        <x:v>1431</x:v>
      </x:c>
      <x:c r="B281" t="s">
        <x:v>1431</x:v>
      </x:c>
      <x:c r="C281" t="s">
        <x:v>1427</x:v>
      </x:c>
      <x:c r="D281">
        <x:v>25</x:v>
      </x:c>
      <x:c r="E281" t="s">
        <x:v>198</x:v>
      </x:c>
      <x:c r="F281" t="s">
        <x:v>90</x:v>
      </x:c>
      <x:c r="G281">
        <x:v>45329</x:v>
      </x:c>
      <x:c r="H281" t="s">
        <x:v>1432</x:v>
      </x:c>
      <x:c r="I281" t="s">
        <x:v>1433</x:v>
      </x:c>
      <x:c r="J281" t="s">
        <x:v>1434</x:v>
      </x:c>
    </x:row>
    <x:row r="282">
      <x:c r="A282" t="s">
        <x:v>1435</x:v>
      </x:c>
      <x:c r="B282" t="s">
        <x:v>1435</x:v>
      </x:c>
      <x:c r="C282" t="s">
        <x:v>1427</x:v>
      </x:c>
      <x:c r="D282">
        <x:v>21</x:v>
      </x:c>
      <x:c r="E282" t="s">
        <x:v>198</x:v>
      </x:c>
      <x:c r="F282" t="s">
        <x:v>90</x:v>
      </x:c>
      <x:c r="G282">
        <x:v>45419</x:v>
      </x:c>
      <x:c r="H282" t="s">
        <x:v>1436</x:v>
      </x:c>
      <x:c r="I282" t="s">
        <x:v>1437</x:v>
      </x:c>
      <x:c r="J282" t="s">
        <x:v>1438</x:v>
      </x:c>
    </x:row>
    <x:row r="283">
      <x:c r="A283" t="s">
        <x:v>1439</x:v>
      </x:c>
      <x:c r="B283" t="s">
        <x:v>1439</x:v>
      </x:c>
      <x:c r="C283" t="s">
        <x:v>1440</x:v>
      </x:c>
      <x:c r="D283">
        <x:v>80</x:v>
      </x:c>
      <x:c r="E283" t="s">
        <x:v>96</x:v>
      </x:c>
      <x:c r="F283" t="s">
        <x:v>97</x:v>
      </x:c>
      <x:c r="G283">
        <x:v>44828</x:v>
      </x:c>
      <x:c r="H283" t="s">
        <x:v>1441</x:v>
      </x:c>
      <x:c r="I283" t="s">
        <x:v>1442</x:v>
      </x:c>
      <x:c r="J283" t="s">
        <x:v>1443</x:v>
      </x:c>
    </x:row>
    <x:row r="284">
      <x:c r="A284" t="s">
        <x:v>1444</x:v>
      </x:c>
      <x:c r="B284" t="s">
        <x:v>1444</x:v>
      </x:c>
      <x:c r="C284" t="s">
        <x:v>1445</x:v>
      </x:c>
      <x:c r="D284">
        <x:v>24</x:v>
      </x:c>
      <x:c r="E284" t="s">
        <x:v>89</x:v>
      </x:c>
      <x:c r="F284" t="s">
        <x:v>90</x:v>
      </x:c>
      <x:c r="G284">
        <x:v>45137</x:v>
      </x:c>
      <x:c r="H284" t="s">
        <x:v>1446</x:v>
      </x:c>
      <x:c r="I284" t="s">
        <x:v>1447</x:v>
      </x:c>
      <x:c r="J284" t="s">
        <x:v>1448</x:v>
      </x:c>
    </x:row>
    <x:row r="285">
      <x:c r="A285" t="s">
        <x:v>1449</x:v>
      </x:c>
      <x:c r="B285" t="s">
        <x:v>1449</x:v>
      </x:c>
      <x:c r="C285" t="s">
        <x:v>1445</x:v>
      </x:c>
      <x:c r="D285">
        <x:v>19</x:v>
      </x:c>
      <x:c r="E285" t="s">
        <x:v>89</x:v>
      </x:c>
      <x:c r="F285" t="s">
        <x:v>90</x:v>
      </x:c>
      <x:c r="G285">
        <x:v>43627</x:v>
      </x:c>
      <x:c r="H285" t="s">
        <x:v>1450</x:v>
      </x:c>
      <x:c r="I285" t="s">
        <x:v>1451</x:v>
      </x:c>
      <x:c r="J285" t="s">
        <x:v>1452</x:v>
      </x:c>
    </x:row>
    <x:row r="286">
      <x:c r="A286" t="s">
        <x:v>1453</x:v>
      </x:c>
      <x:c r="B286" t="s">
        <x:v>1453</x:v>
      </x:c>
      <x:c r="C286" t="s">
        <x:v>1445</x:v>
      </x:c>
      <x:c r="D286">
        <x:v>19</x:v>
      </x:c>
      <x:c r="E286" t="s">
        <x:v>89</x:v>
      </x:c>
      <x:c r="F286" t="s">
        <x:v>90</x:v>
      </x:c>
      <x:c r="G286">
        <x:v>44073</x:v>
      </x:c>
      <x:c r="H286" t="s">
        <x:v>1454</x:v>
      </x:c>
      <x:c r="I286" t="s">
        <x:v>1455</x:v>
      </x:c>
      <x:c r="J286" t="s">
        <x:v>1456</x:v>
      </x:c>
    </x:row>
    <x:row r="287">
      <x:c r="A287" t="s">
        <x:v>1457</x:v>
      </x:c>
      <x:c r="B287" t="s">
        <x:v>1457</x:v>
      </x:c>
      <x:c r="C287" t="s">
        <x:v>1458</x:v>
      </x:c>
      <x:c r="D287">
        <x:v>11</x:v>
      </x:c>
      <x:c r="E287" t="s">
        <x:v>198</x:v>
      </x:c>
      <x:c r="F287" t="s">
        <x:v>90</x:v>
      </x:c>
      <x:c r="G287">
        <x:v>45062</x:v>
      </x:c>
      <x:c r="H287" t="s">
        <x:v>1459</x:v>
      </x:c>
      <x:c r="I287" t="s">
        <x:v>1460</x:v>
      </x:c>
      <x:c r="J287" t="s">
        <x:v>1461</x:v>
      </x:c>
    </x:row>
    <x:row r="288">
      <x:c r="A288" t="s">
        <x:v>1462</x:v>
      </x:c>
      <x:c r="B288" t="s">
        <x:v>1462</x:v>
      </x:c>
      <x:c r="C288" t="s">
        <x:v>1458</x:v>
      </x:c>
      <x:c r="D288">
        <x:v>16</x:v>
      </x:c>
      <x:c r="E288" t="s">
        <x:v>114</x:v>
      </x:c>
      <x:c r="F288" t="s">
        <x:v>90</x:v>
      </x:c>
      <x:c r="G288">
        <x:v>45539</x:v>
      </x:c>
      <x:c r="H288" t="s">
        <x:v>1463</x:v>
      </x:c>
      <x:c r="I288" t="s">
        <x:v>1464</x:v>
      </x:c>
      <x:c r="J288" t="s">
        <x:v>1465</x:v>
      </x:c>
    </x:row>
    <x:row r="289">
      <x:c r="A289" t="s">
        <x:v>1466</x:v>
      </x:c>
      <x:c r="B289" t="s">
        <x:v>1466</x:v>
      </x:c>
      <x:c r="C289" t="s">
        <x:v>1467</x:v>
      </x:c>
      <x:c r="D289">
        <x:v>10</x:v>
      </x:c>
      <x:c r="E289" t="s">
        <x:v>198</x:v>
      </x:c>
      <x:c r="F289" t="s">
        <x:v>97</x:v>
      </x:c>
      <x:c r="G289">
        <x:v>44143</x:v>
      </x:c>
      <x:c r="H289" t="s">
        <x:v>1468</x:v>
      </x:c>
      <x:c r="I289" t="s">
        <x:v>1469</x:v>
      </x:c>
      <x:c r="J289" t="s">
        <x:v>1470</x:v>
      </x:c>
    </x:row>
    <x:row r="290">
      <x:c r="A290" t="s">
        <x:v>1471</x:v>
      </x:c>
      <x:c r="B290" t="s">
        <x:v>1471</x:v>
      </x:c>
      <x:c r="C290" t="s">
        <x:v>1472</x:v>
      </x:c>
      <x:c r="D290">
        <x:v>1</x:v>
      </x:c>
      <x:c r="E290" t="s">
        <x:v>89</x:v>
      </x:c>
      <x:c r="F290" t="s">
        <x:v>90</x:v>
      </x:c>
      <x:c r="G290">
        <x:v>45767</x:v>
      </x:c>
      <x:c r="H290" t="s">
        <x:v>1473</x:v>
      </x:c>
      <x:c r="I290" t="s">
        <x:v>1474</x:v>
      </x:c>
      <x:c r="J290" t="s">
        <x:v>1475</x:v>
      </x:c>
    </x:row>
    <x:row r="291">
      <x:c r="A291" t="s">
        <x:v>1476</x:v>
      </x:c>
      <x:c r="B291" t="s">
        <x:v>1476</x:v>
      </x:c>
      <x:c r="C291" t="s">
        <x:v>850</x:v>
      </x:c>
      <x:c r="D291">
        <x:v>10</x:v>
      </x:c>
      <x:c r="E291" t="s">
        <x:v>89</x:v>
      </x:c>
      <x:c r="F291" t="s">
        <x:v>90</x:v>
      </x:c>
      <x:c r="G291">
        <x:v>45833</x:v>
      </x:c>
      <x:c r="H291" t="s">
        <x:v>1477</x:v>
      </x:c>
      <x:c r="I291" t="s">
        <x:v>1478</x:v>
      </x:c>
      <x:c r="J291" t="s">
        <x:v>1479</x:v>
      </x:c>
    </x:row>
    <x:row r="292">
      <x:c r="A292" t="s">
        <x:v>1480</x:v>
      </x:c>
      <x:c r="B292" t="s">
        <x:v>1480</x:v>
      </x:c>
      <x:c r="C292" t="s">
        <x:v>586</x:v>
      </x:c>
      <x:c r="D292">
        <x:v>6</x:v>
      </x:c>
      <x:c r="E292" t="s">
        <x:v>96</x:v>
      </x:c>
      <x:c r="F292" t="s">
        <x:v>97</x:v>
      </x:c>
      <x:c r="G292">
        <x:v>43651</x:v>
      </x:c>
      <x:c r="H292" t="s">
        <x:v>1481</x:v>
      </x:c>
      <x:c r="I292" t="s">
        <x:v>1482</x:v>
      </x:c>
      <x:c r="J292" t="s">
        <x:v>1483</x:v>
      </x:c>
    </x:row>
    <x:row r="293">
      <x:c r="A293" t="s">
        <x:v>1484</x:v>
      </x:c>
      <x:c r="B293" t="s">
        <x:v>1484</x:v>
      </x:c>
      <x:c r="C293" t="s">
        <x:v>102</x:v>
      </x:c>
      <x:c r="D293">
        <x:v>5</x:v>
      </x:c>
      <x:c r="E293" t="s">
        <x:v>96</x:v>
      </x:c>
      <x:c r="F293" t="s">
        <x:v>97</x:v>
      </x:c>
      <x:c r="G293">
        <x:v>41900</x:v>
      </x:c>
      <x:c r="H293" t="s">
        <x:v>1485</x:v>
      </x:c>
      <x:c r="I293" t="s">
        <x:v>1486</x:v>
      </x:c>
      <x:c r="J293" t="s">
        <x:v>1487</x:v>
      </x:c>
    </x:row>
    <x:row r="294">
      <x:c r="A294" t="s">
        <x:v>1488</x:v>
      </x:c>
      <x:c r="B294" t="s">
        <x:v>1488</x:v>
      </x:c>
      <x:c r="C294" t="s">
        <x:v>141</x:v>
      </x:c>
      <x:c r="D294">
        <x:v>1</x:v>
      </x:c>
      <x:c r="E294" t="s">
        <x:v>114</x:v>
      </x:c>
      <x:c r="F294" t="s">
        <x:v>90</x:v>
      </x:c>
      <x:c r="G294">
        <x:v>44798</x:v>
      </x:c>
      <x:c r="H294" t="s">
        <x:v>1489</x:v>
      </x:c>
      <x:c r="I294" t="s">
        <x:v>1490</x:v>
      </x:c>
      <x:c r="J294" t="s">
        <x:v>1491</x:v>
      </x:c>
    </x:row>
    <x:row r="295">
      <x:c r="A295" t="s">
        <x:v>1492</x:v>
      </x:c>
      <x:c r="B295" t="s">
        <x:v>1492</x:v>
      </x:c>
      <x:c r="C295" t="s">
        <x:v>933</x:v>
      </x:c>
      <x:c r="D295">
        <x:v>1</x:v>
      </x:c>
      <x:c r="E295" t="s">
        <x:v>198</x:v>
      </x:c>
      <x:c r="F295" t="s">
        <x:v>90</x:v>
      </x:c>
      <x:c r="G295">
        <x:v>42674</x:v>
      </x:c>
      <x:c r="H295" t="s">
        <x:v>1493</x:v>
      </x:c>
      <x:c r="I295" t="s">
        <x:v>1494</x:v>
      </x:c>
      <x:c r="J295" t="s">
        <x:v>1495</x:v>
      </x:c>
    </x:row>
    <x:row r="296">
      <x:c r="A296" t="s">
        <x:v>1496</x:v>
      </x:c>
      <x:c r="B296" t="s">
        <x:v>1496</x:v>
      </x:c>
      <x:c r="C296" t="s">
        <x:v>1497</x:v>
      </x:c>
      <x:c r="D296">
        <x:v>6</x:v>
      </x:c>
      <x:c r="E296" t="s">
        <x:v>198</x:v>
      </x:c>
      <x:c r="F296" t="s">
        <x:v>90</x:v>
      </x:c>
      <x:c r="G296">
        <x:v>46080</x:v>
      </x:c>
      <x:c r="H296" t="s">
        <x:v>1498</x:v>
      </x:c>
      <x:c r="I296" t="s">
        <x:v>1499</x:v>
      </x:c>
      <x:c r="J296" t="s">
        <x:v>1500</x:v>
      </x:c>
    </x:row>
    <x:row r="297">
      <x:c r="A297" t="s">
        <x:v>1501</x:v>
      </x:c>
      <x:c r="B297" t="s">
        <x:v>1501</x:v>
      </x:c>
      <x:c r="C297" t="s">
        <x:v>1502</x:v>
      </x:c>
      <x:c r="D297">
        <x:v>12</x:v>
      </x:c>
      <x:c r="E297" t="s">
        <x:v>89</x:v>
      </x:c>
      <x:c r="F297" t="s">
        <x:v>90</x:v>
      </x:c>
      <x:c r="G297">
        <x:v>45540</x:v>
      </x:c>
      <x:c r="H297" t="s">
        <x:v>1503</x:v>
      </x:c>
      <x:c r="I297" t="s">
        <x:v>1504</x:v>
      </x:c>
      <x:c r="J297" t="s">
        <x:v>1505</x:v>
      </x:c>
    </x:row>
    <x:row r="298">
      <x:c r="A298" t="s">
        <x:v>1506</x:v>
      </x:c>
      <x:c r="B298" t="s">
        <x:v>1506</x:v>
      </x:c>
      <x:c r="C298" t="s">
        <x:v>1502</x:v>
      </x:c>
      <x:c r="D298">
        <x:v>10</x:v>
      </x:c>
      <x:c r="E298" t="s">
        <x:v>96</x:v>
      </x:c>
      <x:c r="F298" t="s">
        <x:v>90</x:v>
      </x:c>
      <x:c r="G298">
        <x:v>45717</x:v>
      </x:c>
      <x:c r="H298" t="s">
        <x:v>1507</x:v>
      </x:c>
      <x:c r="I298" t="s">
        <x:v>1508</x:v>
      </x:c>
      <x:c r="J298" t="s">
        <x:v>1509</x:v>
      </x:c>
    </x:row>
    <x:row r="299">
      <x:c r="A299" t="s">
        <x:v>1510</x:v>
      </x:c>
      <x:c r="B299" t="s">
        <x:v>1510</x:v>
      </x:c>
      <x:c r="C299" t="s">
        <x:v>1511</x:v>
      </x:c>
      <x:c r="D299">
        <x:v>17</x:v>
      </x:c>
      <x:c r="E299" t="s">
        <x:v>89</x:v>
      </x:c>
      <x:c r="F299" t="s">
        <x:v>90</x:v>
      </x:c>
      <x:c r="G299">
        <x:v>44285</x:v>
      </x:c>
      <x:c r="H299" t="s">
        <x:v>1512</x:v>
      </x:c>
      <x:c r="I299" t="s">
        <x:v>1513</x:v>
      </x:c>
      <x:c r="J299" t="s">
        <x:v>1514</x:v>
      </x:c>
    </x:row>
    <x:row r="300">
      <x:c r="A300" t="s">
        <x:v>1515</x:v>
      </x:c>
      <x:c r="B300" t="s">
        <x:v>1515</x:v>
      </x:c>
      <x:c r="C300" t="s">
        <x:v>1516</x:v>
      </x:c>
      <x:c r="D300">
        <x:v>7</x:v>
      </x:c>
      <x:c r="E300" t="s">
        <x:v>198</x:v>
      </x:c>
      <x:c r="F300" t="s">
        <x:v>90</x:v>
      </x:c>
      <x:c r="G300">
        <x:v>45778</x:v>
      </x:c>
      <x:c r="H300" t="s">
        <x:v>1517</x:v>
      </x:c>
      <x:c r="I300" t="s">
        <x:v>1518</x:v>
      </x:c>
      <x:c r="J300" t="s">
        <x:v>1519</x:v>
      </x:c>
    </x:row>
    <x:row r="301">
      <x:c r="A301" t="s">
        <x:v>1520</x:v>
      </x:c>
      <x:c r="B301" t="s">
        <x:v>1520</x:v>
      </x:c>
      <x:c r="C301" t="s">
        <x:v>1521</x:v>
      </x:c>
      <x:c r="D301">
        <x:v>10</x:v>
      </x:c>
      <x:c r="E301" t="s">
        <x:v>198</x:v>
      </x:c>
      <x:c r="F301" t="s">
        <x:v>90</x:v>
      </x:c>
      <x:c r="G301">
        <x:v>44827</x:v>
      </x:c>
      <x:c r="H301" t="s">
        <x:v>1522</x:v>
      </x:c>
      <x:c r="I301" t="s">
        <x:v>1523</x:v>
      </x:c>
      <x:c r="J301" t="s">
        <x:v>1524</x:v>
      </x:c>
    </x:row>
    <x:row r="302">
      <x:c r="A302" t="s">
        <x:v>1525</x:v>
      </x:c>
      <x:c r="B302" t="s">
        <x:v>1525</x:v>
      </x:c>
      <x:c r="C302" t="s">
        <x:v>1521</x:v>
      </x:c>
      <x:c r="D302">
        <x:v>18</x:v>
      </x:c>
      <x:c r="E302" t="s">
        <x:v>114</x:v>
      </x:c>
      <x:c r="F302" t="s">
        <x:v>90</x:v>
      </x:c>
      <x:c r="G302">
        <x:v>45054</x:v>
      </x:c>
      <x:c r="H302" t="s">
        <x:v>1526</x:v>
      </x:c>
      <x:c r="I302" t="s">
        <x:v>1527</x:v>
      </x:c>
      <x:c r="J302" t="s">
        <x:v>1528</x:v>
      </x:c>
    </x:row>
    <x:row r="303">
      <x:c r="A303" t="s">
        <x:v>1529</x:v>
      </x:c>
      <x:c r="B303" t="s">
        <x:v>1529</x:v>
      </x:c>
      <x:c r="C303" t="s">
        <x:v>1530</x:v>
      </x:c>
      <x:c r="D303">
        <x:v>8</x:v>
      </x:c>
      <x:c r="E303" t="s">
        <x:v>103</x:v>
      </x:c>
      <x:c r="F303" t="s">
        <x:v>97</x:v>
      </x:c>
      <x:c r="G303">
        <x:v>43700</x:v>
      </x:c>
      <x:c r="H303" t="s">
        <x:v>1531</x:v>
      </x:c>
      <x:c r="I303" t="s">
        <x:v>1532</x:v>
      </x:c>
      <x:c r="J303" t="s">
        <x:v>1533</x:v>
      </x:c>
    </x:row>
    <x:row r="304">
      <x:c r="A304" t="s">
        <x:v>1534</x:v>
      </x:c>
      <x:c r="B304" t="s">
        <x:v>1534</x:v>
      </x:c>
      <x:c r="C304" t="s">
        <x:v>1535</x:v>
      </x:c>
      <x:c r="D304">
        <x:v>24</x:v>
      </x:c>
      <x:c r="E304" t="s">
        <x:v>96</x:v>
      </x:c>
      <x:c r="F304" t="s">
        <x:v>97</x:v>
      </x:c>
      <x:c r="G304">
        <x:v>42719</x:v>
      </x:c>
      <x:c r="H304" t="s">
        <x:v>1536</x:v>
      </x:c>
      <x:c r="I304" t="s">
        <x:v>1537</x:v>
      </x:c>
      <x:c r="J304" t="s">
        <x:v>1538</x:v>
      </x:c>
    </x:row>
    <x:row r="305">
      <x:c r="A305" t="s">
        <x:v>1539</x:v>
      </x:c>
      <x:c r="B305" t="s">
        <x:v>1539</x:v>
      </x:c>
      <x:c r="C305" t="s">
        <x:v>1535</x:v>
      </x:c>
      <x:c r="D305">
        <x:v>25</x:v>
      </x:c>
      <x:c r="E305" t="s">
        <x:v>103</x:v>
      </x:c>
      <x:c r="F305" t="s">
        <x:v>97</x:v>
      </x:c>
      <x:c r="G305">
        <x:v>43275</x:v>
      </x:c>
      <x:c r="H305" t="s">
        <x:v>1540</x:v>
      </x:c>
      <x:c r="I305" t="s">
        <x:v>1541</x:v>
      </x:c>
      <x:c r="J305" t="s">
        <x:v>1542</x:v>
      </x:c>
    </x:row>
    <x:row r="306">
      <x:c r="A306" t="s">
        <x:v>1543</x:v>
      </x:c>
      <x:c r="B306" t="s">
        <x:v>1543</x:v>
      </x:c>
      <x:c r="C306" t="s">
        <x:v>1544</x:v>
      </x:c>
      <x:c r="D306">
        <x:v>6</x:v>
      </x:c>
      <x:c r="E306" t="s">
        <x:v>103</x:v>
      </x:c>
      <x:c r="F306" t="s">
        <x:v>97</x:v>
      </x:c>
      <x:c r="G306">
        <x:v>41675</x:v>
      </x:c>
      <x:c r="H306" t="s">
        <x:v>1545</x:v>
      </x:c>
      <x:c r="I306" t="s">
        <x:v>1546</x:v>
      </x:c>
      <x:c r="J306" t="s">
        <x:v>1547</x:v>
      </x:c>
    </x:row>
    <x:row r="307">
      <x:c r="A307" t="s">
        <x:v>1548</x:v>
      </x:c>
      <x:c r="B307" t="s">
        <x:v>1548</x:v>
      </x:c>
      <x:c r="C307" t="s">
        <x:v>1549</x:v>
      </x:c>
      <x:c r="D307">
        <x:v>1</x:v>
      </x:c>
      <x:c r="E307" t="s">
        <x:v>96</x:v>
      </x:c>
      <x:c r="F307" t="s">
        <x:v>90</x:v>
      </x:c>
      <x:c r="G307">
        <x:v>43946</x:v>
      </x:c>
      <x:c r="H307" t="s">
        <x:v>1550</x:v>
      </x:c>
      <x:c r="I307" t="s">
        <x:v>1551</x:v>
      </x:c>
      <x:c r="J307" t="s">
        <x:v>1552</x:v>
      </x:c>
    </x:row>
    <x:row r="308">
      <x:c r="A308" t="s">
        <x:v>1553</x:v>
      </x:c>
      <x:c r="B308" t="s">
        <x:v>1553</x:v>
      </x:c>
      <x:c r="C308" t="s">
        <x:v>1549</x:v>
      </x:c>
      <x:c r="D308">
        <x:v>1</x:v>
      </x:c>
      <x:c r="E308" t="s">
        <x:v>198</x:v>
      </x:c>
      <x:c r="F308" t="s">
        <x:v>152</x:v>
      </x:c>
      <x:c r="G308">
        <x:v>43972</x:v>
      </x:c>
      <x:c r="H308" t="s">
        <x:v>1554</x:v>
      </x:c>
      <x:c r="I308" t="s">
        <x:v>1555</x:v>
      </x:c>
      <x:c r="J308" t="s">
        <x:v>1556</x:v>
      </x:c>
    </x:row>
    <x:row r="309">
      <x:c r="A309" t="s">
        <x:v>1557</x:v>
      </x:c>
      <x:c r="B309" t="s">
        <x:v>1557</x:v>
      </x:c>
      <x:c r="C309" t="s">
        <x:v>1558</x:v>
      </x:c>
      <x:c r="D309">
        <x:v>26</x:v>
      </x:c>
      <x:c r="E309" t="s">
        <x:v>103</x:v>
      </x:c>
      <x:c r="F309" t="s">
        <x:v>97</x:v>
      </x:c>
      <x:c r="G309">
        <x:v>42615</x:v>
      </x:c>
      <x:c r="H309" t="s">
        <x:v>1559</x:v>
      </x:c>
      <x:c r="I309" t="s">
        <x:v>1560</x:v>
      </x:c>
      <x:c r="J309" t="s">
        <x:v>1561</x:v>
      </x:c>
    </x:row>
    <x:row r="310">
      <x:c r="A310" t="s">
        <x:v>1562</x:v>
      </x:c>
      <x:c r="B310" t="s">
        <x:v>1562</x:v>
      </x:c>
      <x:c r="C310" t="s">
        <x:v>1563</x:v>
      </x:c>
      <x:c r="D310">
        <x:v>9</x:v>
      </x:c>
      <x:c r="E310" t="s">
        <x:v>125</x:v>
      </x:c>
      <x:c r="F310" t="s">
        <x:v>90</x:v>
      </x:c>
      <x:c r="G310">
        <x:v>44135</x:v>
      </x:c>
      <x:c r="H310" t="s">
        <x:v>1564</x:v>
      </x:c>
      <x:c r="I310" t="s">
        <x:v>1565</x:v>
      </x:c>
      <x:c r="J310" t="s">
        <x:v>1566</x:v>
      </x:c>
    </x:row>
    <x:row r="311">
      <x:c r="A311" t="s">
        <x:v>1567</x:v>
      </x:c>
      <x:c r="B311" t="s">
        <x:v>1567</x:v>
      </x:c>
      <x:c r="C311" t="s">
        <x:v>1568</x:v>
      </x:c>
      <x:c r="D311">
        <x:v>1</x:v>
      </x:c>
      <x:c r="E311" t="s">
        <x:v>89</x:v>
      </x:c>
      <x:c r="F311" t="s">
        <x:v>610</x:v>
      </x:c>
      <x:c r="G311">
        <x:v>42897</x:v>
      </x:c>
      <x:c r="H311" t="s">
        <x:v>1569</x:v>
      </x:c>
      <x:c r="I311" t="s">
        <x:v>1570</x:v>
      </x:c>
      <x:c r="J311" t="s">
        <x:v>1571</x:v>
      </x:c>
    </x:row>
    <x:row r="312">
      <x:c r="A312" t="s">
        <x:v>1572</x:v>
      </x:c>
      <x:c r="B312" t="s">
        <x:v>1572</x:v>
      </x:c>
      <x:c r="C312" t="s">
        <x:v>1573</x:v>
      </x:c>
      <x:c r="D312">
        <x:v>5</x:v>
      </x:c>
      <x:c r="E312" t="s">
        <x:v>103</x:v>
      </x:c>
      <x:c r="F312" t="s">
        <x:v>97</x:v>
      </x:c>
      <x:c r="G312">
        <x:v>42276</x:v>
      </x:c>
      <x:c r="H312" t="s">
        <x:v>1574</x:v>
      </x:c>
      <x:c r="I312" t="s">
        <x:v>1575</x:v>
      </x:c>
      <x:c r="J312" t="s">
        <x:v>1576</x:v>
      </x:c>
    </x:row>
    <x:row r="313">
      <x:c r="A313" t="s">
        <x:v>1577</x:v>
      </x:c>
      <x:c r="B313" t="s">
        <x:v>1577</x:v>
      </x:c>
      <x:c r="C313" t="s">
        <x:v>1472</x:v>
      </x:c>
      <x:c r="D313">
        <x:v>6</x:v>
      </x:c>
      <x:c r="E313" t="s">
        <x:v>96</x:v>
      </x:c>
      <x:c r="F313" t="s">
        <x:v>97</x:v>
      </x:c>
      <x:c r="G313">
        <x:v>46142</x:v>
      </x:c>
      <x:c r="H313" t="s">
        <x:v>1578</x:v>
      </x:c>
      <x:c r="I313" t="s">
        <x:v>1579</x:v>
      </x:c>
      <x:c r="J313" t="s">
        <x:v>1580</x:v>
      </x:c>
    </x:row>
    <x:row r="314">
      <x:c r="A314" t="s">
        <x:v>1581</x:v>
      </x:c>
      <x:c r="B314" t="s">
        <x:v>1581</x:v>
      </x:c>
      <x:c r="C314" t="s">
        <x:v>1472</x:v>
      </x:c>
      <x:c r="D314">
        <x:v>6</x:v>
      </x:c>
      <x:c r="E314" t="s">
        <x:v>96</x:v>
      </x:c>
      <x:c r="F314" t="s">
        <x:v>97</x:v>
      </x:c>
      <x:c r="G314">
        <x:v>46198</x:v>
      </x:c>
      <x:c r="H314" t="s">
        <x:v>1582</x:v>
      </x:c>
      <x:c r="I314" t="s">
        <x:v>1583</x:v>
      </x:c>
      <x:c r="J314" t="s">
        <x:v>1584</x:v>
      </x:c>
    </x:row>
    <x:row r="315">
      <x:c r="A315" t="s">
        <x:v>1585</x:v>
      </x:c>
      <x:c r="B315" t="s">
        <x:v>1585</x:v>
      </x:c>
      <x:c r="C315" t="s">
        <x:v>1472</x:v>
      </x:c>
      <x:c r="D315">
        <x:v>6</x:v>
      </x:c>
      <x:c r="E315" t="s">
        <x:v>89</x:v>
      </x:c>
      <x:c r="F315" t="s">
        <x:v>97</x:v>
      </x:c>
      <x:c r="G315">
        <x:v>46164</x:v>
      </x:c>
      <x:c r="H315" t="s">
        <x:v>1586</x:v>
      </x:c>
      <x:c r="I315" t="s">
        <x:v>1587</x:v>
      </x:c>
      <x:c r="J315" t="s">
        <x:v>1588</x:v>
      </x:c>
    </x:row>
    <x:row r="316">
      <x:c r="A316" t="s">
        <x:v>1589</x:v>
      </x:c>
      <x:c r="B316" t="s">
        <x:v>1589</x:v>
      </x:c>
      <x:c r="C316" t="s">
        <x:v>1472</x:v>
      </x:c>
      <x:c r="D316">
        <x:v>6</x:v>
      </x:c>
      <x:c r="E316" t="s">
        <x:v>89</x:v>
      </x:c>
      <x:c r="F316" t="s">
        <x:v>97</x:v>
      </x:c>
      <x:c r="G316">
        <x:v>46202</x:v>
      </x:c>
      <x:c r="H316" t="s">
        <x:v>1590</x:v>
      </x:c>
      <x:c r="I316" t="s">
        <x:v>1591</x:v>
      </x:c>
      <x:c r="J316" t="s">
        <x:v>1592</x:v>
      </x:c>
    </x:row>
    <x:row r="317">
      <x:c r="A317" t="s">
        <x:v>1593</x:v>
      </x:c>
      <x:c r="B317" t="s">
        <x:v>1593</x:v>
      </x:c>
      <x:c r="C317" t="s">
        <x:v>1594</x:v>
      </x:c>
      <x:c r="D317">
        <x:v>1</x:v>
      </x:c>
      <x:c r="E317" t="s">
        <x:v>125</x:v>
      </x:c>
      <x:c r="F317" t="s">
        <x:v>126</x:v>
      </x:c>
      <x:c r="G317">
        <x:v>43962</x:v>
      </x:c>
      <x:c r="H317" t="s">
        <x:v>1595</x:v>
      </x:c>
      <x:c r="I317" t="s">
        <x:v>1596</x:v>
      </x:c>
      <x:c r="J317" t="s">
        <x:v>1597</x:v>
      </x:c>
    </x:row>
    <x:row r="318">
      <x:c r="A318" t="s">
        <x:v>1598</x:v>
      </x:c>
      <x:c r="B318" t="s">
        <x:v>1598</x:v>
      </x:c>
      <x:c r="C318" t="s">
        <x:v>800</x:v>
      </x:c>
      <x:c r="D318">
        <x:v>2</x:v>
      </x:c>
      <x:c r="E318" t="s">
        <x:v>103</x:v>
      </x:c>
      <x:c r="F318" t="s">
        <x:v>97</x:v>
      </x:c>
      <x:c r="G318">
        <x:v>41999</x:v>
      </x:c>
      <x:c r="H318" t="s">
        <x:v>1599</x:v>
      </x:c>
      <x:c r="I318" t="s">
        <x:v>1600</x:v>
      </x:c>
      <x:c r="J318" t="s">
        <x:v>1601</x:v>
      </x:c>
    </x:row>
    <x:row r="319">
      <x:c r="A319" t="s">
        <x:v>1602</x:v>
      </x:c>
      <x:c r="B319" t="s">
        <x:v>1602</x:v>
      </x:c>
      <x:c r="C319" t="s">
        <x:v>1603</x:v>
      </x:c>
      <x:c r="D319">
        <x:v>11</x:v>
      </x:c>
      <x:c r="E319" t="s">
        <x:v>198</x:v>
      </x:c>
      <x:c r="F319" t="s">
        <x:v>90</x:v>
      </x:c>
      <x:c r="G319">
        <x:v>44237</x:v>
      </x:c>
      <x:c r="H319" t="s">
        <x:v>1604</x:v>
      </x:c>
      <x:c r="I319" t="s">
        <x:v>1605</x:v>
      </x:c>
      <x:c r="J319" t="s">
        <x:v>1606</x:v>
      </x:c>
    </x:row>
    <x:row r="320">
      <x:c r="A320" t="s">
        <x:v>1607</x:v>
      </x:c>
      <x:c r="B320" t="s">
        <x:v>1607</x:v>
      </x:c>
      <x:c r="C320" t="s">
        <x:v>1608</x:v>
      </x:c>
      <x:c r="D320">
        <x:v>6</x:v>
      </x:c>
      <x:c r="E320" t="s">
        <x:v>198</x:v>
      </x:c>
      <x:c r="F320" t="s">
        <x:v>90</x:v>
      </x:c>
      <x:c r="G320">
        <x:v>44362</x:v>
      </x:c>
      <x:c r="H320" t="s">
        <x:v>1609</x:v>
      </x:c>
      <x:c r="I320" t="s">
        <x:v>1610</x:v>
      </x:c>
      <x:c r="J320" t="s">
        <x:v>1611</x:v>
      </x:c>
    </x:row>
    <x:row r="321">
      <x:c r="A321" t="s">
        <x:v>1612</x:v>
      </x:c>
      <x:c r="B321" t="s">
        <x:v>1612</x:v>
      </x:c>
      <x:c r="C321" t="s">
        <x:v>1613</x:v>
      </x:c>
      <x:c r="D321">
        <x:v>20</x:v>
      </x:c>
      <x:c r="E321" t="s">
        <x:v>103</x:v>
      </x:c>
      <x:c r="F321" t="s">
        <x:v>90</x:v>
      </x:c>
      <x:c r="G321">
        <x:v>46006</x:v>
      </x:c>
      <x:c r="H321" t="s">
        <x:v>1614</x:v>
      </x:c>
      <x:c r="I321" t="s">
        <x:v>1615</x:v>
      </x:c>
      <x:c r="J321" t="s">
        <x:v>1616</x:v>
      </x:c>
    </x:row>
    <x:row r="322">
      <x:c r="A322" t="s">
        <x:v>1617</x:v>
      </x:c>
      <x:c r="B322" t="s">
        <x:v>1617</x:v>
      </x:c>
      <x:c r="C322" t="s">
        <x:v>1618</x:v>
      </x:c>
      <x:c r="D322">
        <x:v>9</x:v>
      </x:c>
      <x:c r="E322" t="s">
        <x:v>198</x:v>
      </x:c>
      <x:c r="F322" t="s">
        <x:v>90</x:v>
      </x:c>
      <x:c r="G322">
        <x:v>44594</x:v>
      </x:c>
      <x:c r="H322" t="s">
        <x:v>1619</x:v>
      </x:c>
      <x:c r="I322" t="s">
        <x:v>1620</x:v>
      </x:c>
      <x:c r="J322" t="s">
        <x:v>1621</x:v>
      </x:c>
    </x:row>
    <x:row r="323">
      <x:c r="A323" t="s">
        <x:v>1622</x:v>
      </x:c>
      <x:c r="B323" t="s">
        <x:v>1622</x:v>
      </x:c>
      <x:c r="C323" t="s">
        <x:v>756</x:v>
      </x:c>
      <x:c r="D323">
        <x:v>15</x:v>
      </x:c>
      <x:c r="E323" t="s">
        <x:v>198</x:v>
      </x:c>
      <x:c r="F323" t="s">
        <x:v>90</x:v>
      </x:c>
      <x:c r="G323">
        <x:v>43452</x:v>
      </x:c>
      <x:c r="H323" t="s">
        <x:v>1623</x:v>
      </x:c>
      <x:c r="I323" t="s">
        <x:v>1624</x:v>
      </x:c>
      <x:c r="J323" t="s">
        <x:v>1625</x:v>
      </x:c>
    </x:row>
    <x:row r="324">
      <x:c r="A324" t="s">
        <x:v>1626</x:v>
      </x:c>
      <x:c r="B324" t="s">
        <x:v>1626</x:v>
      </x:c>
      <x:c r="C324" t="s">
        <x:v>756</x:v>
      </x:c>
      <x:c r="D324">
        <x:v>0</x:v>
      </x:c>
      <x:c r="E324" t="s">
        <x:v>198</x:v>
      </x:c>
      <x:c r="F324" t="s">
        <x:v>90</x:v>
      </x:c>
      <x:c r="G324">
        <x:v>45902</x:v>
      </x:c>
      <x:c r="H324" t="s">
        <x:v>1627</x:v>
      </x:c>
      <x:c r="I324" t="s">
        <x:v>1628</x:v>
      </x:c>
      <x:c r="J324" t="s">
        <x:v>1629</x:v>
      </x:c>
    </x:row>
    <x:row r="325">
      <x:c r="A325" t="s">
        <x:v>1630</x:v>
      </x:c>
      <x:c r="B325" t="s">
        <x:v>1630</x:v>
      </x:c>
      <x:c r="C325" t="s">
        <x:v>1631</x:v>
      </x:c>
      <x:c r="D325">
        <x:v>11</x:v>
      </x:c>
      <x:c r="E325" t="s">
        <x:v>103</x:v>
      </x:c>
      <x:c r="F325" t="s">
        <x:v>97</x:v>
      </x:c>
      <x:c r="G325">
        <x:v>42215</x:v>
      </x:c>
      <x:c r="H325" t="s">
        <x:v>1632</x:v>
      </x:c>
      <x:c r="I325" t="s">
        <x:v>1633</x:v>
      </x:c>
      <x:c r="J325" t="s">
        <x:v>1634</x:v>
      </x:c>
    </x:row>
    <x:row r="326">
      <x:c r="A326" t="s">
        <x:v>1635</x:v>
      </x:c>
      <x:c r="B326" t="s">
        <x:v>1635</x:v>
      </x:c>
      <x:c r="C326" t="s">
        <x:v>1636</x:v>
      </x:c>
      <x:c r="D326">
        <x:v>26</x:v>
      </x:c>
      <x:c r="E326" t="s">
        <x:v>96</x:v>
      </x:c>
      <x:c r="F326" t="s">
        <x:v>97</x:v>
      </x:c>
      <x:c r="G326">
        <x:v>42037</x:v>
      </x:c>
      <x:c r="H326" t="s">
        <x:v>1637</x:v>
      </x:c>
      <x:c r="I326" t="s">
        <x:v>1638</x:v>
      </x:c>
      <x:c r="J326" t="s">
        <x:v>1639</x:v>
      </x:c>
    </x:row>
    <x:row r="327">
      <x:c r="A327" t="s">
        <x:v>1640</x:v>
      </x:c>
      <x:c r="B327" t="s">
        <x:v>1640</x:v>
      </x:c>
      <x:c r="C327" t="s">
        <x:v>1641</x:v>
      </x:c>
      <x:c r="D327">
        <x:v>10</x:v>
      </x:c>
      <x:c r="E327" t="s">
        <x:v>96</x:v>
      </x:c>
      <x:c r="F327" t="s">
        <x:v>97</x:v>
      </x:c>
      <x:c r="G327">
        <x:v>45314</x:v>
      </x:c>
      <x:c r="H327" t="s">
        <x:v>1642</x:v>
      </x:c>
      <x:c r="I327" t="s">
        <x:v>1643</x:v>
      </x:c>
      <x:c r="J327" t="s">
        <x:v>1644</x:v>
      </x:c>
    </x:row>
    <x:row r="328">
      <x:c r="A328" t="s">
        <x:v>1645</x:v>
      </x:c>
      <x:c r="B328" t="s">
        <x:v>1645</x:v>
      </x:c>
      <x:c r="C328" t="s">
        <x:v>1646</x:v>
      </x:c>
      <x:c r="D328">
        <x:v>4</x:v>
      </x:c>
      <x:c r="E328" t="s">
        <x:v>198</x:v>
      </x:c>
      <x:c r="F328" t="s">
        <x:v>90</x:v>
      </x:c>
      <x:c r="G328">
        <x:v>45111</x:v>
      </x:c>
      <x:c r="H328" t="s">
        <x:v>1647</x:v>
      </x:c>
      <x:c r="I328" t="s">
        <x:v>1648</x:v>
      </x:c>
      <x:c r="J328" t="s">
        <x:v>1649</x:v>
      </x:c>
    </x:row>
    <x:row r="329">
      <x:c r="A329" t="s">
        <x:v>1650</x:v>
      </x:c>
      <x:c r="B329" t="s">
        <x:v>1650</x:v>
      </x:c>
      <x:c r="C329" t="s">
        <x:v>1535</x:v>
      </x:c>
      <x:c r="D329">
        <x:v>0</x:v>
      </x:c>
      <x:c r="E329" t="s">
        <x:v>96</x:v>
      </x:c>
      <x:c r="F329" t="s">
        <x:v>97</x:v>
      </x:c>
      <x:c r="G329">
        <x:v>42718</x:v>
      </x:c>
      <x:c r="H329" t="s">
        <x:v>1651</x:v>
      </x:c>
      <x:c r="I329" t="s">
        <x:v>1652</x:v>
      </x:c>
      <x:c r="J329" t="s">
        <x:v>1653</x:v>
      </x:c>
    </x:row>
    <x:row r="330">
      <x:c r="A330" t="s">
        <x:v>1654</x:v>
      </x:c>
      <x:c r="B330" t="s">
        <x:v>1654</x:v>
      </x:c>
      <x:c r="C330" t="s">
        <x:v>1655</x:v>
      </x:c>
      <x:c r="D330">
        <x:v>8</x:v>
      </x:c>
      <x:c r="E330" t="s">
        <x:v>257</x:v>
      </x:c>
      <x:c r="F330" t="s">
        <x:v>97</x:v>
      </x:c>
      <x:c r="G330">
        <x:v>44614</x:v>
      </x:c>
      <x:c r="H330" t="s">
        <x:v>1656</x:v>
      </x:c>
      <x:c r="I330" t="s">
        <x:v>1657</x:v>
      </x:c>
      <x:c r="J330" t="s">
        <x:v>1658</x:v>
      </x:c>
    </x:row>
    <x:row r="331">
      <x:c r="A331" t="s">
        <x:v>1659</x:v>
      </x:c>
      <x:c r="B331" t="s">
        <x:v>1659</x:v>
      </x:c>
      <x:c r="C331" t="s">
        <x:v>1660</x:v>
      </x:c>
      <x:c r="D331">
        <x:v>11</x:v>
      </x:c>
      <x:c r="E331" t="s">
        <x:v>89</x:v>
      </x:c>
      <x:c r="F331" t="s">
        <x:v>90</x:v>
      </x:c>
      <x:c r="G331">
        <x:v>44685</x:v>
      </x:c>
      <x:c r="H331" t="s">
        <x:v>1661</x:v>
      </x:c>
      <x:c r="I331" t="s">
        <x:v>1662</x:v>
      </x:c>
      <x:c r="J331" t="s">
        <x:v>1663</x:v>
      </x:c>
    </x:row>
    <x:row r="332">
      <x:c r="A332" t="s">
        <x:v>38</x:v>
      </x:c>
      <x:c r="B332" t="s">
        <x:v>38</x:v>
      </x:c>
      <x:c r="C332" t="s">
        <x:v>1664</x:v>
      </x:c>
      <x:c r="D332">
        <x:v>17</x:v>
      </x:c>
      <x:c r="E332" t="s">
        <x:v>198</x:v>
      </x:c>
      <x:c r="F332" t="s">
        <x:v>90</x:v>
      </x:c>
      <x:c r="G332">
        <x:v>45040</x:v>
      </x:c>
      <x:c r="H332" t="s">
        <x:v>1665</x:v>
      </x:c>
      <x:c r="I332" t="s">
        <x:v>1666</x:v>
      </x:c>
      <x:c r="J332" t="s">
        <x:v>1667</x:v>
      </x:c>
    </x:row>
    <x:row r="333">
      <x:c r="A333" t="s">
        <x:v>1668</x:v>
      </x:c>
      <x:c r="B333" t="s">
        <x:v>1668</x:v>
      </x:c>
      <x:c r="C333" t="s">
        <x:v>1669</x:v>
      </x:c>
      <x:c r="D333">
        <x:v>23</x:v>
      </x:c>
      <x:c r="E333" t="s">
        <x:v>96</x:v>
      </x:c>
      <x:c r="F333" t="s">
        <x:v>90</x:v>
      </x:c>
      <x:c r="G333">
        <x:v>45477</x:v>
      </x:c>
      <x:c r="H333" t="s">
        <x:v>1670</x:v>
      </x:c>
      <x:c r="I333" t="s">
        <x:v>1671</x:v>
      </x:c>
      <x:c r="J333" t="s">
        <x:v>1672</x:v>
      </x:c>
    </x:row>
    <x:row r="334">
      <x:c r="A334" t="s">
        <x:v>1673</x:v>
      </x:c>
      <x:c r="B334" t="s">
        <x:v>1673</x:v>
      </x:c>
      <x:c r="C334" t="s">
        <x:v>1674</x:v>
      </x:c>
      <x:c r="D334">
        <x:v>10</x:v>
      </x:c>
      <x:c r="E334" t="s">
        <x:v>89</x:v>
      </x:c>
      <x:c r="F334" t="s">
        <x:v>90</x:v>
      </x:c>
      <x:c r="G334">
        <x:v>45613</x:v>
      </x:c>
      <x:c r="H334" t="s">
        <x:v>1675</x:v>
      </x:c>
      <x:c r="I334" t="s">
        <x:v>1676</x:v>
      </x:c>
      <x:c r="J334" t="s">
        <x:v>1677</x:v>
      </x:c>
    </x:row>
    <x:row r="335">
      <x:c r="A335" t="s">
        <x:v>1678</x:v>
      </x:c>
      <x:c r="B335" t="s">
        <x:v>1678</x:v>
      </x:c>
      <x:c r="C335" t="s">
        <x:v>119</x:v>
      </x:c>
      <x:c r="D335">
        <x:v>12</x:v>
      </x:c>
      <x:c r="E335" t="s">
        <x:v>257</x:v>
      </x:c>
      <x:c r="F335" t="s">
        <x:v>97</x:v>
      </x:c>
      <x:c r="G335">
        <x:v>42132</x:v>
      </x:c>
      <x:c r="H335" t="s">
        <x:v>1679</x:v>
      </x:c>
      <x:c r="I335" t="s">
        <x:v>1680</x:v>
      </x:c>
      <x:c r="J335" t="s">
        <x:v>1681</x:v>
      </x:c>
    </x:row>
    <x:row r="336">
      <x:c r="A336" t="s">
        <x:v>1682</x:v>
      </x:c>
      <x:c r="B336" t="s">
        <x:v>1682</x:v>
      </x:c>
      <x:c r="C336" t="s">
        <x:v>1683</x:v>
      </x:c>
      <x:c r="D336">
        <x:v>1</x:v>
      </x:c>
      <x:c r="E336" t="s">
        <x:v>103</x:v>
      </x:c>
      <x:c r="F336" t="s">
        <x:v>97</x:v>
      </x:c>
      <x:c r="G336">
        <x:v>42003</x:v>
      </x:c>
      <x:c r="H336" t="s">
        <x:v>1684</x:v>
      </x:c>
      <x:c r="I336" t="s">
        <x:v>1685</x:v>
      </x:c>
      <x:c r="J336" t="s">
        <x:v>1686</x:v>
      </x:c>
    </x:row>
    <x:row r="337">
      <x:c r="A337" t="s">
        <x:v>1687</x:v>
      </x:c>
      <x:c r="B337" t="s">
        <x:v>1687</x:v>
      </x:c>
      <x:c r="C337" t="s">
        <x:v>1688</x:v>
      </x:c>
      <x:c r="D337">
        <x:v>19</x:v>
      </x:c>
      <x:c r="E337" t="s">
        <x:v>198</x:v>
      </x:c>
      <x:c r="F337" t="s">
        <x:v>90</x:v>
      </x:c>
      <x:c r="G337">
        <x:v>44523</x:v>
      </x:c>
      <x:c r="H337" t="s">
        <x:v>1689</x:v>
      </x:c>
      <x:c r="I337" t="s">
        <x:v>1690</x:v>
      </x:c>
      <x:c r="J337" t="s">
        <x:v>1691</x:v>
      </x:c>
    </x:row>
    <x:row r="338">
      <x:c r="A338" t="s">
        <x:v>1692</x:v>
      </x:c>
      <x:c r="B338" t="s">
        <x:v>1692</x:v>
      </x:c>
      <x:c r="C338" t="s">
        <x:v>781</x:v>
      </x:c>
      <x:c r="D338">
        <x:v>13</x:v>
      </x:c>
      <x:c r="E338" t="s">
        <x:v>198</x:v>
      </x:c>
      <x:c r="F338" t="s">
        <x:v>90</x:v>
      </x:c>
      <x:c r="G338">
        <x:v>44722</x:v>
      </x:c>
      <x:c r="H338" t="s">
        <x:v>1693</x:v>
      </x:c>
      <x:c r="I338" t="s">
        <x:v>1694</x:v>
      </x:c>
      <x:c r="J338" t="s">
        <x:v>1695</x:v>
      </x:c>
    </x:row>
    <x:row r="339">
      <x:c r="A339" t="s">
        <x:v>1696</x:v>
      </x:c>
      <x:c r="B339" t="s">
        <x:v>1696</x:v>
      </x:c>
      <x:c r="C339" t="s">
        <x:v>1697</x:v>
      </x:c>
      <x:c r="D339">
        <x:v>5</x:v>
      </x:c>
      <x:c r="E339" t="s">
        <x:v>96</x:v>
      </x:c>
      <x:c r="F339" t="s">
        <x:v>152</x:v>
      </x:c>
      <x:c r="G339">
        <x:v>44383</x:v>
      </x:c>
      <x:c r="H339" t="s">
        <x:v>1698</x:v>
      </x:c>
      <x:c r="I339" t="s">
        <x:v>1699</x:v>
      </x:c>
      <x:c r="J339" t="s">
        <x:v>1700</x:v>
      </x:c>
    </x:row>
    <x:row r="340">
      <x:c r="A340" t="s">
        <x:v>1701</x:v>
      </x:c>
      <x:c r="B340" t="s">
        <x:v>1701</x:v>
      </x:c>
      <x:c r="C340" t="s">
        <x:v>1702</x:v>
      </x:c>
      <x:c r="D340">
        <x:v>8</x:v>
      </x:c>
      <x:c r="E340" t="s">
        <x:v>114</x:v>
      </x:c>
      <x:c r="F340" t="s">
        <x:v>90</x:v>
      </x:c>
      <x:c r="G340">
        <x:v>45452</x:v>
      </x:c>
      <x:c r="H340" t="s">
        <x:v>1703</x:v>
      </x:c>
      <x:c r="I340" t="s">
        <x:v>1704</x:v>
      </x:c>
      <x:c r="J340" t="s">
        <x:v>1705</x:v>
      </x:c>
    </x:row>
    <x:row r="341">
      <x:c r="A341" t="s">
        <x:v>1706</x:v>
      </x:c>
      <x:c r="B341" t="s">
        <x:v>1706</x:v>
      </x:c>
      <x:c r="C341" t="s">
        <x:v>102</x:v>
      </x:c>
      <x:c r="D341">
        <x:v>12</x:v>
      </x:c>
      <x:c r="E341" t="s">
        <x:v>96</x:v>
      </x:c>
      <x:c r="F341" t="s">
        <x:v>97</x:v>
      </x:c>
      <x:c r="G341">
        <x:v>42380</x:v>
      </x:c>
      <x:c r="H341" t="s">
        <x:v>1707</x:v>
      </x:c>
      <x:c r="I341" t="s">
        <x:v>1708</x:v>
      </x:c>
      <x:c r="J341" t="s">
        <x:v>1709</x:v>
      </x:c>
    </x:row>
    <x:row r="342">
      <x:c r="A342" t="s">
        <x:v>1710</x:v>
      </x:c>
      <x:c r="B342" t="s">
        <x:v>1710</x:v>
      </x:c>
      <x:c r="C342" t="s">
        <x:v>1167</x:v>
      </x:c>
      <x:c r="D342">
        <x:v>6</x:v>
      </x:c>
      <x:c r="E342" t="s">
        <x:v>96</x:v>
      </x:c>
      <x:c r="F342" t="s">
        <x:v>97</x:v>
      </x:c>
      <x:c r="G342">
        <x:v>45534</x:v>
      </x:c>
      <x:c r="H342" t="s">
        <x:v>1711</x:v>
      </x:c>
      <x:c r="I342" t="s">
        <x:v>1712</x:v>
      </x:c>
      <x:c r="J342" t="s">
        <x:v>1713</x:v>
      </x:c>
    </x:row>
    <x:row r="343">
      <x:c r="A343" t="s">
        <x:v>1714</x:v>
      </x:c>
      <x:c r="B343" t="s">
        <x:v>1714</x:v>
      </x:c>
      <x:c r="C343" t="s">
        <x:v>1253</x:v>
      </x:c>
      <x:c r="D343">
        <x:v>4</x:v>
      </x:c>
      <x:c r="E343" t="s">
        <x:v>96</x:v>
      </x:c>
      <x:c r="F343" t="s">
        <x:v>97</x:v>
      </x:c>
      <x:c r="G343">
        <x:v>45627</x:v>
      </x:c>
      <x:c r="H343" t="s">
        <x:v>1715</x:v>
      </x:c>
      <x:c r="I343" t="s">
        <x:v>1716</x:v>
      </x:c>
      <x:c r="J343" t="s">
        <x:v>1717</x:v>
      </x:c>
    </x:row>
    <x:row r="344">
      <x:c r="A344" t="s">
        <x:v>1718</x:v>
      </x:c>
      <x:c r="B344" t="s">
        <x:v>1718</x:v>
      </x:c>
      <x:c r="C344" t="s">
        <x:v>1253</x:v>
      </x:c>
      <x:c r="D344">
        <x:v>8</x:v>
      </x:c>
      <x:c r="E344" t="s">
        <x:v>103</x:v>
      </x:c>
      <x:c r="F344" t="s">
        <x:v>97</x:v>
      </x:c>
      <x:c r="G344">
        <x:v>45565</x:v>
      </x:c>
      <x:c r="H344" t="s">
        <x:v>1719</x:v>
      </x:c>
      <x:c r="I344" t="s">
        <x:v>1720</x:v>
      </x:c>
      <x:c r="J344" t="s">
        <x:v>1721</x:v>
      </x:c>
    </x:row>
    <x:row r="345">
      <x:c r="A345" t="s">
        <x:v>1722</x:v>
      </x:c>
      <x:c r="B345" t="s">
        <x:v>1722</x:v>
      </x:c>
      <x:c r="C345" t="s">
        <x:v>1723</x:v>
      </x:c>
      <x:c r="D345">
        <x:v>27</x:v>
      </x:c>
      <x:c r="E345" t="s">
        <x:v>96</x:v>
      </x:c>
      <x:c r="F345" t="s">
        <x:v>97</x:v>
      </x:c>
      <x:c r="G345">
        <x:v>42733</x:v>
      </x:c>
      <x:c r="H345" t="s">
        <x:v>1724</x:v>
      </x:c>
      <x:c r="I345" t="s">
        <x:v>1725</x:v>
      </x:c>
      <x:c r="J345" t="s">
        <x:v>1726</x:v>
      </x:c>
    </x:row>
    <x:row r="346">
      <x:c r="A346" t="s">
        <x:v>1727</x:v>
      </x:c>
      <x:c r="B346" t="s">
        <x:v>1727</x:v>
      </x:c>
      <x:c r="C346" t="s">
        <x:v>685</x:v>
      </x:c>
      <x:c r="D346">
        <x:v>0</x:v>
      </x:c>
      <x:c r="E346" t="s">
        <x:v>198</x:v>
      </x:c>
      <x:c r="F346" t="s">
        <x:v>90</x:v>
      </x:c>
      <x:c r="G346">
        <x:v>45747</x:v>
      </x:c>
      <x:c r="H346" t="s">
        <x:v>1728</x:v>
      </x:c>
      <x:c r="I346" t="s">
        <x:v>1729</x:v>
      </x:c>
      <x:c r="J346" t="s">
        <x:v>1730</x:v>
      </x:c>
    </x:row>
    <x:row r="347">
      <x:c r="A347" t="s">
        <x:v>1731</x:v>
      </x:c>
      <x:c r="B347" t="s">
        <x:v>1731</x:v>
      </x:c>
      <x:c r="C347" t="s">
        <x:v>203</x:v>
      </x:c>
      <x:c r="D347">
        <x:v>9</x:v>
      </x:c>
      <x:c r="E347" t="s">
        <x:v>125</x:v>
      </x:c>
      <x:c r="F347" t="s">
        <x:v>90</x:v>
      </x:c>
      <x:c r="G347">
        <x:v>45781</x:v>
      </x:c>
      <x:c r="H347" t="s">
        <x:v>1732</x:v>
      </x:c>
      <x:c r="I347" t="s">
        <x:v>1733</x:v>
      </x:c>
      <x:c r="J347" t="s">
        <x:v>1734</x:v>
      </x:c>
    </x:row>
    <x:row r="348">
      <x:c r="A348" t="s">
        <x:v>1735</x:v>
      </x:c>
      <x:c r="B348" t="s">
        <x:v>1735</x:v>
      </x:c>
      <x:c r="C348" t="s">
        <x:v>1736</x:v>
      </x:c>
      <x:c r="D348">
        <x:v>22</x:v>
      </x:c>
      <x:c r="E348" t="s">
        <x:v>198</x:v>
      </x:c>
      <x:c r="F348" t="s">
        <x:v>90</x:v>
      </x:c>
      <x:c r="G348">
        <x:v>45608</x:v>
      </x:c>
      <x:c r="H348" t="s">
        <x:v>1737</x:v>
      </x:c>
      <x:c r="I348" t="s">
        <x:v>1738</x:v>
      </x:c>
      <x:c r="J348" t="s">
        <x:v>1739</x:v>
      </x:c>
    </x:row>
    <x:row r="349">
      <x:c r="A349" t="s">
        <x:v>1740</x:v>
      </x:c>
      <x:c r="B349" t="s">
        <x:v>1740</x:v>
      </x:c>
      <x:c r="C349" t="s">
        <x:v>1741</x:v>
      </x:c>
      <x:c r="D349">
        <x:v>15</x:v>
      </x:c>
      <x:c r="E349" t="s">
        <x:v>103</x:v>
      </x:c>
      <x:c r="F349" t="s">
        <x:v>97</x:v>
      </x:c>
      <x:c r="G349">
        <x:v>41569</x:v>
      </x:c>
      <x:c r="H349" t="s">
        <x:v>1742</x:v>
      </x:c>
      <x:c r="I349" t="s">
        <x:v>1743</x:v>
      </x:c>
      <x:c r="J349" t="s">
        <x:v>1744</x:v>
      </x:c>
    </x:row>
    <x:row r="350">
      <x:c r="A350" t="s">
        <x:v>1745</x:v>
      </x:c>
      <x:c r="B350" t="s">
        <x:v>1745</x:v>
      </x:c>
      <x:c r="C350" t="s">
        <x:v>1746</x:v>
      </x:c>
      <x:c r="D350">
        <x:v>7</x:v>
      </x:c>
      <x:c r="E350" t="s">
        <x:v>103</x:v>
      </x:c>
      <x:c r="F350" t="s">
        <x:v>97</x:v>
      </x:c>
      <x:c r="G350">
        <x:v>43167</x:v>
      </x:c>
      <x:c r="H350" t="s">
        <x:v>1747</x:v>
      </x:c>
      <x:c r="I350" t="s">
        <x:v>1748</x:v>
      </x:c>
      <x:c r="J350" t="s">
        <x:v>1749</x:v>
      </x:c>
    </x:row>
    <x:row r="351">
      <x:c r="A351" t="s">
        <x:v>1750</x:v>
      </x:c>
      <x:c r="B351" t="s">
        <x:v>1750</x:v>
      </x:c>
      <x:c r="C351" t="s">
        <x:v>1751</x:v>
      </x:c>
      <x:c r="D351">
        <x:v>120</x:v>
      </x:c>
      <x:c r="E351" t="s">
        <x:v>96</x:v>
      </x:c>
      <x:c r="F351" t="s">
        <x:v>97</x:v>
      </x:c>
      <x:c r="G351">
        <x:v>43571</x:v>
      </x:c>
      <x:c r="H351" t="s">
        <x:v>1752</x:v>
      </x:c>
      <x:c r="I351" t="s">
        <x:v>1753</x:v>
      </x:c>
      <x:c r="J351" t="s">
        <x:v>1754</x:v>
      </x:c>
    </x:row>
    <x:row r="352">
      <x:c r="A352" t="s">
        <x:v>1755</x:v>
      </x:c>
      <x:c r="B352" t="s">
        <x:v>1755</x:v>
      </x:c>
      <x:c r="C352" t="s">
        <x:v>1751</x:v>
      </x:c>
      <x:c r="D352">
        <x:v>120</x:v>
      </x:c>
      <x:c r="E352" t="s">
        <x:v>96</x:v>
      </x:c>
      <x:c r="F352" t="s">
        <x:v>97</x:v>
      </x:c>
      <x:c r="G352">
        <x:v>43995</x:v>
      </x:c>
      <x:c r="H352" t="s">
        <x:v>1756</x:v>
      </x:c>
      <x:c r="I352" t="s">
        <x:v>1757</x:v>
      </x:c>
      <x:c r="J352" t="s">
        <x:v>1758</x:v>
      </x:c>
    </x:row>
    <x:row r="353">
      <x:c r="A353" t="s">
        <x:v>1759</x:v>
      </x:c>
      <x:c r="B353" t="s">
        <x:v>1759</x:v>
      </x:c>
      <x:c r="C353" t="s">
        <x:v>1751</x:v>
      </x:c>
      <x:c r="D353">
        <x:v>113</x:v>
      </x:c>
      <x:c r="E353" t="s">
        <x:v>96</x:v>
      </x:c>
      <x:c r="F353" t="s">
        <x:v>97</x:v>
      </x:c>
      <x:c r="G353">
        <x:v>43615</x:v>
      </x:c>
      <x:c r="H353" t="s">
        <x:v>1760</x:v>
      </x:c>
      <x:c r="I353" t="s">
        <x:v>1761</x:v>
      </x:c>
      <x:c r="J353" t="s">
        <x:v>1762</x:v>
      </x:c>
    </x:row>
    <x:row r="354">
      <x:c r="A354" t="s">
        <x:v>1763</x:v>
      </x:c>
      <x:c r="B354" t="s">
        <x:v>1763</x:v>
      </x:c>
      <x:c r="C354" t="s">
        <x:v>718</x:v>
      </x:c>
      <x:c r="D354">
        <x:v>32</x:v>
      </x:c>
      <x:c r="E354" t="s">
        <x:v>257</x:v>
      </x:c>
      <x:c r="F354" t="s">
        <x:v>97</x:v>
      </x:c>
      <x:c r="G354">
        <x:v>42108</x:v>
      </x:c>
      <x:c r="H354" t="s">
        <x:v>1764</x:v>
      </x:c>
      <x:c r="I354" t="s">
        <x:v>1765</x:v>
      </x:c>
      <x:c r="J354" t="s">
        <x:v>1766</x:v>
      </x:c>
    </x:row>
    <x:row r="355">
      <x:c r="A355" t="s">
        <x:v>1767</x:v>
      </x:c>
      <x:c r="B355" t="s">
        <x:v>1767</x:v>
      </x:c>
      <x:c r="C355" t="s">
        <x:v>1768</x:v>
      </x:c>
      <x:c r="D355">
        <x:v>96</x:v>
      </x:c>
      <x:c r="E355" t="s">
        <x:v>198</x:v>
      </x:c>
      <x:c r="F355" t="s">
        <x:v>90</x:v>
      </x:c>
      <x:c r="G355">
        <x:v>43263</x:v>
      </x:c>
      <x:c r="H355" t="s">
        <x:v>1769</x:v>
      </x:c>
      <x:c r="I355" t="s">
        <x:v>1770</x:v>
      </x:c>
      <x:c r="J355" t="s">
        <x:v>1771</x:v>
      </x:c>
    </x:row>
    <x:row r="356">
      <x:c r="A356" t="s">
        <x:v>1772</x:v>
      </x:c>
      <x:c r="B356" t="s">
        <x:v>1772</x:v>
      </x:c>
      <x:c r="C356" t="s">
        <x:v>756</x:v>
      </x:c>
      <x:c r="D356">
        <x:v>9</x:v>
      </x:c>
      <x:c r="E356" t="s">
        <x:v>96</x:v>
      </x:c>
      <x:c r="F356" t="s">
        <x:v>90</x:v>
      </x:c>
      <x:c r="G356">
        <x:v>43558</x:v>
      </x:c>
      <x:c r="H356" t="s">
        <x:v>1773</x:v>
      </x:c>
      <x:c r="I356" t="s">
        <x:v>1774</x:v>
      </x:c>
      <x:c r="J356" t="s">
        <x:v>1775</x:v>
      </x:c>
    </x:row>
    <x:row r="357">
      <x:c r="A357" t="s">
        <x:v>1776</x:v>
      </x:c>
      <x:c r="B357" t="s">
        <x:v>1776</x:v>
      </x:c>
      <x:c r="C357" t="s">
        <x:v>1777</x:v>
      </x:c>
      <x:c r="D357">
        <x:v>11</x:v>
      </x:c>
      <x:c r="E357" t="s">
        <x:v>89</x:v>
      </x:c>
      <x:c r="F357" t="s">
        <x:v>90</x:v>
      </x:c>
      <x:c r="G357">
        <x:v>44822</x:v>
      </x:c>
      <x:c r="H357" t="s">
        <x:v>1778</x:v>
      </x:c>
      <x:c r="I357" t="s">
        <x:v>1779</x:v>
      </x:c>
      <x:c r="J357" t="s">
        <x:v>1780</x:v>
      </x:c>
    </x:row>
    <x:row r="358">
      <x:c r="A358" t="s">
        <x:v>1781</x:v>
      </x:c>
      <x:c r="B358" t="s">
        <x:v>1781</x:v>
      </x:c>
      <x:c r="C358" t="s">
        <x:v>1782</x:v>
      </x:c>
      <x:c r="D358">
        <x:v>10</x:v>
      </x:c>
      <x:c r="E358" t="s">
        <x:v>114</x:v>
      </x:c>
      <x:c r="F358" t="s">
        <x:v>90</x:v>
      </x:c>
      <x:c r="G358">
        <x:v>44952</x:v>
      </x:c>
      <x:c r="H358" t="s">
        <x:v>1783</x:v>
      </x:c>
      <x:c r="I358" t="s">
        <x:v>1784</x:v>
      </x:c>
      <x:c r="J358" t="s">
        <x:v>1785</x:v>
      </x:c>
    </x:row>
    <x:row r="359">
      <x:c r="A359" t="s">
        <x:v>1786</x:v>
      </x:c>
      <x:c r="B359" t="s">
        <x:v>1786</x:v>
      </x:c>
      <x:c r="C359" t="s">
        <x:v>1787</x:v>
      </x:c>
      <x:c r="D359">
        <x:v>11</x:v>
      </x:c>
      <x:c r="E359" t="s">
        <x:v>103</x:v>
      </x:c>
      <x:c r="F359" t="s">
        <x:v>97</x:v>
      </x:c>
      <x:c r="G359">
        <x:v>41856</x:v>
      </x:c>
      <x:c r="H359" t="s">
        <x:v>1788</x:v>
      </x:c>
      <x:c r="I359" t="s">
        <x:v>1789</x:v>
      </x:c>
      <x:c r="J359" t="s">
        <x:v>1790</x:v>
      </x:c>
    </x:row>
    <x:row r="360">
      <x:c r="A360" t="s">
        <x:v>1791</x:v>
      </x:c>
      <x:c r="B360" t="s">
        <x:v>1791</x:v>
      </x:c>
      <x:c r="C360" t="s">
        <x:v>1273</x:v>
      </x:c>
      <x:c r="D360">
        <x:v>15</x:v>
      </x:c>
      <x:c r="E360" t="s">
        <x:v>103</x:v>
      </x:c>
      <x:c r="F360" t="s">
        <x:v>97</x:v>
      </x:c>
      <x:c r="G360">
        <x:v>41614</x:v>
      </x:c>
      <x:c r="H360" t="s">
        <x:v>1792</x:v>
      </x:c>
      <x:c r="I360" t="s">
        <x:v>1793</x:v>
      </x:c>
      <x:c r="J360" t="s">
        <x:v>1794</x:v>
      </x:c>
    </x:row>
    <x:row r="361">
      <x:c r="A361" t="s">
        <x:v>1795</x:v>
      </x:c>
      <x:c r="B361" t="s">
        <x:v>1795</x:v>
      </x:c>
      <x:c r="C361" t="s">
        <x:v>1796</x:v>
      </x:c>
      <x:c r="D361">
        <x:v>2</x:v>
      </x:c>
      <x:c r="E361" t="s">
        <x:v>114</x:v>
      </x:c>
      <x:c r="F361" t="s">
        <x:v>126</x:v>
      </x:c>
      <x:c r="G361">
        <x:v>42753</x:v>
      </x:c>
      <x:c r="H361" t="s">
        <x:v>1797</x:v>
      </x:c>
      <x:c r="I361" t="s">
        <x:v>1798</x:v>
      </x:c>
      <x:c r="J361" t="s">
        <x:v>1799</x:v>
      </x:c>
    </x:row>
    <x:row r="362">
      <x:c r="A362" t="s">
        <x:v>1800</x:v>
      </x:c>
      <x:c r="B362" t="s">
        <x:v>1801</x:v>
      </x:c>
      <x:c r="C362" t="s">
        <x:v>1802</x:v>
      </x:c>
      <x:c r="D362">
        <x:v>5</x:v>
      </x:c>
      <x:c r="E362" t="s">
        <x:v>96</x:v>
      </x:c>
      <x:c r="F362" t="s">
        <x:v>97</x:v>
      </x:c>
      <x:c r="G362">
        <x:v>41644</x:v>
      </x:c>
      <x:c r="H362" t="s">
        <x:v>1803</x:v>
      </x:c>
      <x:c r="I362" t="s">
        <x:v>1804</x:v>
      </x:c>
      <x:c r="J362" t="s">
        <x:v>1805</x:v>
      </x:c>
    </x:row>
    <x:row r="363">
      <x:c r="A363" t="s">
        <x:v>1806</x:v>
      </x:c>
      <x:c r="B363" t="s">
        <x:v>1807</x:v>
      </x:c>
      <x:c r="C363" t="s">
        <x:v>1808</x:v>
      </x:c>
      <x:c r="D363">
        <x:v>22</x:v>
      </x:c>
      <x:c r="E363" t="s">
        <x:v>114</x:v>
      </x:c>
      <x:c r="F363" t="s">
        <x:v>90</x:v>
      </x:c>
      <x:c r="G363">
        <x:v>44449</x:v>
      </x:c>
      <x:c r="H363" t="s">
        <x:v>1809</x:v>
      </x:c>
      <x:c r="I363" t="s">
        <x:v>1810</x:v>
      </x:c>
      <x:c r="J363" t="s">
        <x:v>1811</x:v>
      </x:c>
    </x:row>
    <x:row r="364">
      <x:c r="A364" t="s">
        <x:v>1812</x:v>
      </x:c>
      <x:c r="B364" t="s">
        <x:v>1812</x:v>
      </x:c>
      <x:c r="C364" t="s">
        <x:v>1802</x:v>
      </x:c>
      <x:c r="D364">
        <x:v>8</x:v>
      </x:c>
      <x:c r="E364" t="s">
        <x:v>96</x:v>
      </x:c>
      <x:c r="F364" t="s">
        <x:v>97</x:v>
      </x:c>
      <x:c r="G364">
        <x:v>42334</x:v>
      </x:c>
      <x:c r="H364" t="s">
        <x:v>1813</x:v>
      </x:c>
      <x:c r="I364" t="s">
        <x:v>1814</x:v>
      </x:c>
      <x:c r="J364" t="s">
        <x:v>1815</x:v>
      </x:c>
    </x:row>
    <x:row r="365">
      <x:c r="A365" t="s">
        <x:v>1816</x:v>
      </x:c>
      <x:c r="B365" t="s">
        <x:v>1816</x:v>
      </x:c>
      <x:c r="C365" t="s">
        <x:v>102</x:v>
      </x:c>
      <x:c r="D365">
        <x:v>95</x:v>
      </x:c>
      <x:c r="E365" t="s">
        <x:v>114</x:v>
      </x:c>
      <x:c r="F365" t="s">
        <x:v>97</x:v>
      </x:c>
      <x:c r="G365">
        <x:v>42211</x:v>
      </x:c>
      <x:c r="H365" t="s">
        <x:v>1817</x:v>
      </x:c>
      <x:c r="I365" t="s">
        <x:v>1818</x:v>
      </x:c>
      <x:c r="J365" t="s">
        <x:v>1819</x:v>
      </x:c>
    </x:row>
    <x:row r="366">
      <x:c r="A366" t="s">
        <x:v>1820</x:v>
      </x:c>
      <x:c r="B366" t="s">
        <x:v>1820</x:v>
      </x:c>
      <x:c r="C366" t="s">
        <x:v>1821</x:v>
      </x:c>
      <x:c r="D366">
        <x:v>18</x:v>
      </x:c>
      <x:c r="E366" t="s">
        <x:v>103</x:v>
      </x:c>
      <x:c r="F366" t="s">
        <x:v>97</x:v>
      </x:c>
      <x:c r="G366">
        <x:v>42288</x:v>
      </x:c>
      <x:c r="H366" t="s">
        <x:v>1822</x:v>
      </x:c>
      <x:c r="I366" t="s">
        <x:v>1823</x:v>
      </x:c>
      <x:c r="J366" t="s">
        <x:v>1824</x:v>
      </x:c>
    </x:row>
    <x:row r="367">
      <x:c r="A367" t="s">
        <x:v>1825</x:v>
      </x:c>
      <x:c r="B367" t="s">
        <x:v>1825</x:v>
      </x:c>
      <x:c r="C367" t="s">
        <x:v>1826</x:v>
      </x:c>
      <x:c r="D367">
        <x:v>36</x:v>
      </x:c>
      <x:c r="E367" t="s">
        <x:v>96</x:v>
      </x:c>
      <x:c r="F367" t="s">
        <x:v>610</x:v>
      </x:c>
      <x:c r="G367">
        <x:v>42654</x:v>
      </x:c>
      <x:c r="H367" t="s">
        <x:v>1827</x:v>
      </x:c>
      <x:c r="I367" t="s">
        <x:v>1828</x:v>
      </x:c>
      <x:c r="J367" t="s">
        <x:v>1829</x:v>
      </x:c>
    </x:row>
    <x:row r="368">
      <x:c r="A368" t="s">
        <x:v>1830</x:v>
      </x:c>
      <x:c r="B368" t="s">
        <x:v>1830</x:v>
      </x:c>
      <x:c r="C368" t="s">
        <x:v>1831</x:v>
      </x:c>
      <x:c r="D368">
        <x:v>18</x:v>
      </x:c>
      <x:c r="E368" t="s">
        <x:v>198</x:v>
      </x:c>
      <x:c r="F368" t="s">
        <x:v>90</x:v>
      </x:c>
      <x:c r="G368">
        <x:v>44156</x:v>
      </x:c>
      <x:c r="H368" t="s">
        <x:v>1832</x:v>
      </x:c>
      <x:c r="I368" t="s">
        <x:v>1833</x:v>
      </x:c>
      <x:c r="J368" t="s">
        <x:v>1834</x:v>
      </x:c>
    </x:row>
    <x:row r="369">
      <x:c r="A369" t="s">
        <x:v>1835</x:v>
      </x:c>
      <x:c r="B369" t="s">
        <x:v>1835</x:v>
      </x:c>
      <x:c r="C369" t="s">
        <x:v>1836</x:v>
      </x:c>
      <x:c r="D369">
        <x:v>13</x:v>
      </x:c>
      <x:c r="E369" t="s">
        <x:v>89</x:v>
      </x:c>
      <x:c r="F369" t="s">
        <x:v>90</x:v>
      </x:c>
      <x:c r="G369">
        <x:v>45262</x:v>
      </x:c>
      <x:c r="H369" t="s">
        <x:v>1837</x:v>
      </x:c>
      <x:c r="I369" t="s">
        <x:v>1838</x:v>
      </x:c>
      <x:c r="J369" t="s">
        <x:v>1839</x:v>
      </x:c>
    </x:row>
    <x:row r="370">
      <x:c r="A370" t="s">
        <x:v>1840</x:v>
      </x:c>
      <x:c r="B370" t="s">
        <x:v>1840</x:v>
      </x:c>
      <x:c r="C370" t="s">
        <x:v>1841</x:v>
      </x:c>
      <x:c r="D370">
        <x:v>4</x:v>
      </x:c>
      <x:c r="E370" t="s">
        <x:v>103</x:v>
      </x:c>
      <x:c r="F370" t="s">
        <x:v>97</x:v>
      </x:c>
      <x:c r="G370">
        <x:v>43035</x:v>
      </x:c>
      <x:c r="H370" t="s">
        <x:v>1842</x:v>
      </x:c>
      <x:c r="I370" t="s">
        <x:v>1843</x:v>
      </x:c>
      <x:c r="J370" t="s">
        <x:v>1844</x:v>
      </x:c>
    </x:row>
    <x:row r="371">
      <x:c r="A371" t="s">
        <x:v>1845</x:v>
      </x:c>
      <x:c r="B371" t="s">
        <x:v>1845</x:v>
      </x:c>
      <x:c r="C371" t="s">
        <x:v>1846</x:v>
      </x:c>
      <x:c r="D371">
        <x:v>8</x:v>
      </x:c>
      <x:c r="E371" t="s">
        <x:v>96</x:v>
      </x:c>
      <x:c r="F371" t="s">
        <x:v>97</x:v>
      </x:c>
      <x:c r="G371">
        <x:v>44724</x:v>
      </x:c>
      <x:c r="H371" t="s">
        <x:v>1847</x:v>
      </x:c>
      <x:c r="I371" t="s">
        <x:v>1848</x:v>
      </x:c>
      <x:c r="J371" t="s">
        <x:v>1849</x:v>
      </x:c>
    </x:row>
    <x:row r="372">
      <x:c r="A372" t="s">
        <x:v>1850</x:v>
      </x:c>
      <x:c r="B372" t="s">
        <x:v>1850</x:v>
      </x:c>
      <x:c r="C372" t="s">
        <x:v>1851</x:v>
      </x:c>
      <x:c r="D372">
        <x:v>1</x:v>
      </x:c>
      <x:c r="E372" t="s">
        <x:v>89</x:v>
      </x:c>
      <x:c r="F372" t="s">
        <x:v>610</x:v>
      </x:c>
      <x:c r="G372">
        <x:v>41710</x:v>
      </x:c>
      <x:c r="H372" t="s">
        <x:v>1852</x:v>
      </x:c>
      <x:c r="I372" t="s">
        <x:v>1853</x:v>
      </x:c>
      <x:c r="J372" t="s">
        <x:v>1854</x:v>
      </x:c>
    </x:row>
    <x:row r="373">
      <x:c r="A373" t="s">
        <x:v>1855</x:v>
      </x:c>
      <x:c r="B373" t="s">
        <x:v>1855</x:v>
      </x:c>
      <x:c r="C373" t="s">
        <x:v>1856</x:v>
      </x:c>
      <x:c r="D373">
        <x:v>16</x:v>
      </x:c>
      <x:c r="E373" t="s">
        <x:v>89</x:v>
      </x:c>
      <x:c r="F373" t="s">
        <x:v>90</x:v>
      </x:c>
      <x:c r="G373">
        <x:v>43424</x:v>
      </x:c>
      <x:c r="H373" t="s">
        <x:v>1857</x:v>
      </x:c>
      <x:c r="I373" t="s">
        <x:v>1858</x:v>
      </x:c>
      <x:c r="J373" t="s">
        <x:v>1859</x:v>
      </x:c>
    </x:row>
    <x:row r="374">
      <x:c r="A374" t="s">
        <x:v>1860</x:v>
      </x:c>
      <x:c r="B374" t="s">
        <x:v>1860</x:v>
      </x:c>
      <x:c r="C374" t="s">
        <x:v>1861</x:v>
      </x:c>
      <x:c r="D374">
        <x:v>4</x:v>
      </x:c>
      <x:c r="E374" t="s">
        <x:v>198</x:v>
      </x:c>
      <x:c r="F374" t="s">
        <x:v>90</x:v>
      </x:c>
      <x:c r="G374">
        <x:v>45230</x:v>
      </x:c>
      <x:c r="H374" t="s">
        <x:v>1862</x:v>
      </x:c>
      <x:c r="I374" t="s">
        <x:v>1863</x:v>
      </x:c>
      <x:c r="J374" t="s">
        <x:v>1864</x:v>
      </x:c>
    </x:row>
    <x:row r="375">
      <x:c r="A375" t="s">
        <x:v>1865</x:v>
      </x:c>
      <x:c r="B375" t="s">
        <x:v>1865</x:v>
      </x:c>
      <x:c r="C375" t="s">
        <x:v>880</x:v>
      </x:c>
      <x:c r="D375">
        <x:v>23</x:v>
      </x:c>
      <x:c r="E375" t="s">
        <x:v>198</x:v>
      </x:c>
      <x:c r="F375" t="s">
        <x:v>90</x:v>
      </x:c>
      <x:c r="G375">
        <x:v>46219</x:v>
      </x:c>
      <x:c r="H375" t="s">
        <x:v>1866</x:v>
      </x:c>
      <x:c r="I375" t="s">
        <x:v>1867</x:v>
      </x:c>
      <x:c r="J375" t="s">
        <x:v>1868</x:v>
      </x:c>
    </x:row>
    <x:row r="376">
      <x:c r="A376" t="s">
        <x:v>1869</x:v>
      </x:c>
      <x:c r="B376" t="s">
        <x:v>1869</x:v>
      </x:c>
      <x:c r="C376" t="s">
        <x:v>1870</x:v>
      </x:c>
      <x:c r="D376">
        <x:v>27</x:v>
      </x:c>
      <x:c r="E376" t="s">
        <x:v>89</x:v>
      </x:c>
      <x:c r="F376" t="s">
        <x:v>90</x:v>
      </x:c>
      <x:c r="G376">
        <x:v>44413</x:v>
      </x:c>
      <x:c r="H376" t="s">
        <x:v>1871</x:v>
      </x:c>
      <x:c r="I376" t="s">
        <x:v>1872</x:v>
      </x:c>
      <x:c r="J376" t="s">
        <x:v>1873</x:v>
      </x:c>
    </x:row>
    <x:row r="377">
      <x:c r="A377" t="s">
        <x:v>1874</x:v>
      </x:c>
      <x:c r="B377" t="s">
        <x:v>1874</x:v>
      </x:c>
      <x:c r="C377" t="s">
        <x:v>1875</x:v>
      </x:c>
      <x:c r="D377">
        <x:v>45</x:v>
      </x:c>
      <x:c r="E377" t="s">
        <x:v>198</x:v>
      </x:c>
      <x:c r="F377" t="s">
        <x:v>90</x:v>
      </x:c>
      <x:c r="G377">
        <x:v>45836</x:v>
      </x:c>
      <x:c r="H377" t="s">
        <x:v>1876</x:v>
      </x:c>
      <x:c r="I377" t="s">
        <x:v>1877</x:v>
      </x:c>
      <x:c r="J377" t="s">
        <x:v>1878</x:v>
      </x:c>
    </x:row>
    <x:row r="378">
      <x:c r="A378" t="s">
        <x:v>1879</x:v>
      </x:c>
      <x:c r="B378" t="s">
        <x:v>1879</x:v>
      </x:c>
      <x:c r="C378" t="s">
        <x:v>1880</x:v>
      </x:c>
      <x:c r="D378">
        <x:v>23</x:v>
      </x:c>
      <x:c r="E378" t="s">
        <x:v>198</x:v>
      </x:c>
      <x:c r="F378" t="s">
        <x:v>90</x:v>
      </x:c>
      <x:c r="G378">
        <x:v>45484</x:v>
      </x:c>
      <x:c r="H378" t="s">
        <x:v>1881</x:v>
      </x:c>
      <x:c r="I378" t="s">
        <x:v>1882</x:v>
      </x:c>
      <x:c r="J378" t="s">
        <x:v>1883</x:v>
      </x:c>
    </x:row>
    <x:row r="379">
      <x:c r="A379" t="s">
        <x:v>1884</x:v>
      </x:c>
      <x:c r="B379" t="s">
        <x:v>1884</x:v>
      </x:c>
      <x:c r="C379" t="s">
        <x:v>1885</x:v>
      </x:c>
      <x:c r="D379">
        <x:v>14</x:v>
      </x:c>
      <x:c r="E379" t="s">
        <x:v>198</x:v>
      </x:c>
      <x:c r="F379" t="s">
        <x:v>90</x:v>
      </x:c>
      <x:c r="G379">
        <x:v>45587</x:v>
      </x:c>
      <x:c r="H379" t="s">
        <x:v>1886</x:v>
      </x:c>
      <x:c r="I379" t="s">
        <x:v>1887</x:v>
      </x:c>
      <x:c r="J379" t="s">
        <x:v>1888</x:v>
      </x:c>
    </x:row>
    <x:row r="380">
      <x:c r="A380" t="s">
        <x:v>1889</x:v>
      </x:c>
      <x:c r="B380" t="s">
        <x:v>1889</x:v>
      </x:c>
      <x:c r="C380" t="s">
        <x:v>1751</x:v>
      </x:c>
      <x:c r="D380">
        <x:v>102</x:v>
      </x:c>
      <x:c r="E380" t="s">
        <x:v>96</x:v>
      </x:c>
      <x:c r="F380" t="s">
        <x:v>97</x:v>
      </x:c>
      <x:c r="G380">
        <x:v>46204</x:v>
      </x:c>
      <x:c r="H380" t="s">
        <x:v>1890</x:v>
      </x:c>
      <x:c r="I380" t="s">
        <x:v>1891</x:v>
      </x:c>
      <x:c r="J380" t="s">
        <x:v>1892</x:v>
      </x:c>
    </x:row>
    <x:row r="381">
      <x:c r="A381" t="s">
        <x:v>1893</x:v>
      </x:c>
      <x:c r="B381" t="s">
        <x:v>1893</x:v>
      </x:c>
      <x:c r="C381" t="s">
        <x:v>1751</x:v>
      </x:c>
      <x:c r="D381">
        <x:v>120</x:v>
      </x:c>
      <x:c r="E381" t="s">
        <x:v>96</x:v>
      </x:c>
      <x:c r="F381" t="s">
        <x:v>97</x:v>
      </x:c>
      <x:c r="G381">
        <x:v>46215</x:v>
      </x:c>
      <x:c r="H381" t="s">
        <x:v>1894</x:v>
      </x:c>
      <x:c r="I381" t="s">
        <x:v>1895</x:v>
      </x:c>
      <x:c r="J381" t="s">
        <x:v>1896</x:v>
      </x:c>
    </x:row>
    <x:row r="382">
      <x:c r="A382" t="s">
        <x:v>1897</x:v>
      </x:c>
      <x:c r="B382" t="s">
        <x:v>1897</x:v>
      </x:c>
      <x:c r="C382" t="s">
        <x:v>1898</x:v>
      </x:c>
      <x:c r="D382">
        <x:v>10</x:v>
      </x:c>
      <x:c r="E382" t="s">
        <x:v>89</x:v>
      </x:c>
      <x:c r="F382" t="s">
        <x:v>90</x:v>
      </x:c>
      <x:c r="G382">
        <x:v>45867</x:v>
      </x:c>
      <x:c r="H382" t="s">
        <x:v>1899</x:v>
      </x:c>
      <x:c r="I382" t="s">
        <x:v>1900</x:v>
      </x:c>
      <x:c r="J382" t="s">
        <x:v>1901</x:v>
      </x:c>
    </x:row>
    <x:row r="383">
      <x:c r="A383" t="s">
        <x:v>1902</x:v>
      </x:c>
      <x:c r="B383" t="s">
        <x:v>1902</x:v>
      </x:c>
      <x:c r="C383" t="s">
        <x:v>1898</x:v>
      </x:c>
      <x:c r="D383">
        <x:v>14</x:v>
      </x:c>
      <x:c r="E383" t="s">
        <x:v>89</x:v>
      </x:c>
      <x:c r="F383" t="s">
        <x:v>90</x:v>
      </x:c>
      <x:c r="G383">
        <x:v>46007</x:v>
      </x:c>
      <x:c r="H383" t="s">
        <x:v>1903</x:v>
      </x:c>
      <x:c r="I383" t="s">
        <x:v>1904</x:v>
      </x:c>
      <x:c r="J383" t="s">
        <x:v>1905</x:v>
      </x:c>
    </x:row>
    <x:row r="384">
      <x:c r="A384" t="s">
        <x:v>1906</x:v>
      </x:c>
      <x:c r="B384" t="s">
        <x:v>1906</x:v>
      </x:c>
      <x:c r="C384" t="s">
        <x:v>1907</x:v>
      </x:c>
      <x:c r="D384">
        <x:v>15</x:v>
      </x:c>
      <x:c r="E384" t="s">
        <x:v>198</x:v>
      </x:c>
      <x:c r="F384" t="s">
        <x:v>90</x:v>
      </x:c>
      <x:c r="G384">
        <x:v>45120</x:v>
      </x:c>
      <x:c r="H384" t="s">
        <x:v>1908</x:v>
      </x:c>
      <x:c r="I384" t="s">
        <x:v>1909</x:v>
      </x:c>
      <x:c r="J384" t="s">
        <x:v>1910</x:v>
      </x:c>
    </x:row>
    <x:row r="385">
      <x:c r="A385" t="s">
        <x:v>1911</x:v>
      </x:c>
      <x:c r="B385" t="s">
        <x:v>1911</x:v>
      </x:c>
      <x:c r="C385" t="s">
        <x:v>1912</x:v>
      </x:c>
      <x:c r="D385">
        <x:v>22</x:v>
      </x:c>
      <x:c r="E385" t="s">
        <x:v>198</x:v>
      </x:c>
      <x:c r="F385" t="s">
        <x:v>90</x:v>
      </x:c>
      <x:c r="G385">
        <x:v>44378</x:v>
      </x:c>
      <x:c r="H385" t="s">
        <x:v>1913</x:v>
      </x:c>
      <x:c r="I385" t="s">
        <x:v>1914</x:v>
      </x:c>
      <x:c r="J385" t="s">
        <x:v>1915</x:v>
      </x:c>
    </x:row>
    <x:row r="386">
      <x:c r="A386" t="s">
        <x:v>1916</x:v>
      </x:c>
      <x:c r="B386" t="s">
        <x:v>1916</x:v>
      </x:c>
      <x:c r="C386" t="s">
        <x:v>491</x:v>
      </x:c>
      <x:c r="D386">
        <x:v>11</x:v>
      </x:c>
      <x:c r="E386" t="s">
        <x:v>89</x:v>
      </x:c>
      <x:c r="F386" t="s">
        <x:v>90</x:v>
      </x:c>
      <x:c r="G386">
        <x:v>44861</x:v>
      </x:c>
      <x:c r="H386" t="s">
        <x:v>1917</x:v>
      </x:c>
      <x:c r="I386" t="s">
        <x:v>1918</x:v>
      </x:c>
      <x:c r="J386" t="s">
        <x:v>1919</x:v>
      </x:c>
    </x:row>
    <x:row r="387">
      <x:c r="A387" t="s">
        <x:v>1920</x:v>
      </x:c>
      <x:c r="B387" t="s">
        <x:v>1920</x:v>
      </x:c>
      <x:c r="C387" t="s">
        <x:v>1921</x:v>
      </x:c>
      <x:c r="D387">
        <x:v>8</x:v>
      </x:c>
      <x:c r="E387" t="s">
        <x:v>198</x:v>
      </x:c>
      <x:c r="F387" t="s">
        <x:v>90</x:v>
      </x:c>
      <x:c r="G387">
        <x:v>44330</x:v>
      </x:c>
      <x:c r="H387" t="s">
        <x:v>1922</x:v>
      </x:c>
      <x:c r="I387" t="s">
        <x:v>1923</x:v>
      </x:c>
      <x:c r="J387" t="s">
        <x:v>1924</x:v>
      </x:c>
    </x:row>
    <x:row r="388">
      <x:c r="A388" t="s">
        <x:v>1925</x:v>
      </x:c>
      <x:c r="B388" t="s">
        <x:v>1925</x:v>
      </x:c>
      <x:c r="C388" t="s">
        <x:v>1921</x:v>
      </x:c>
      <x:c r="D388">
        <x:v>9</x:v>
      </x:c>
      <x:c r="E388" t="s">
        <x:v>198</x:v>
      </x:c>
      <x:c r="F388" t="s">
        <x:v>90</x:v>
      </x:c>
      <x:c r="G388">
        <x:v>44373</x:v>
      </x:c>
      <x:c r="H388" t="s">
        <x:v>1926</x:v>
      </x:c>
      <x:c r="I388" t="s">
        <x:v>1927</x:v>
      </x:c>
      <x:c r="J388" t="s">
        <x:v>1928</x:v>
      </x:c>
    </x:row>
    <x:row r="389">
      <x:c r="A389" t="s">
        <x:v>1929</x:v>
      </x:c>
      <x:c r="B389" t="s">
        <x:v>1929</x:v>
      </x:c>
      <x:c r="C389" t="s">
        <x:v>1921</x:v>
      </x:c>
      <x:c r="D389">
        <x:v>12</x:v>
      </x:c>
      <x:c r="E389" t="s">
        <x:v>198</x:v>
      </x:c>
      <x:c r="F389" t="s">
        <x:v>90</x:v>
      </x:c>
      <x:c r="G389">
        <x:v>44724</x:v>
      </x:c>
      <x:c r="H389" t="s">
        <x:v>1930</x:v>
      </x:c>
      <x:c r="I389" t="s">
        <x:v>1931</x:v>
      </x:c>
      <x:c r="J389" t="s">
        <x:v>1932</x:v>
      </x:c>
    </x:row>
    <x:row r="390">
      <x:c r="A390" t="s">
        <x:v>1933</x:v>
      </x:c>
      <x:c r="B390" t="s">
        <x:v>1933</x:v>
      </x:c>
      <x:c r="C390" t="s">
        <x:v>1921</x:v>
      </x:c>
      <x:c r="D390">
        <x:v>13</x:v>
      </x:c>
      <x:c r="E390" t="s">
        <x:v>198</x:v>
      </x:c>
      <x:c r="F390" t="s">
        <x:v>90</x:v>
      </x:c>
      <x:c r="G390">
        <x:v>45150</x:v>
      </x:c>
      <x:c r="H390" t="s">
        <x:v>1934</x:v>
      </x:c>
      <x:c r="I390" t="s">
        <x:v>1935</x:v>
      </x:c>
      <x:c r="J390" t="s">
        <x:v>1936</x:v>
      </x:c>
    </x:row>
    <x:row r="391">
      <x:c r="A391" t="s">
        <x:v>1937</x:v>
      </x:c>
      <x:c r="B391" t="s">
        <x:v>1937</x:v>
      </x:c>
      <x:c r="C391" t="s">
        <x:v>1921</x:v>
      </x:c>
      <x:c r="D391">
        <x:v>23</x:v>
      </x:c>
      <x:c r="E391" t="s">
        <x:v>114</x:v>
      </x:c>
      <x:c r="F391" t="s">
        <x:v>90</x:v>
      </x:c>
      <x:c r="G391">
        <x:v>45522</x:v>
      </x:c>
      <x:c r="H391" t="s">
        <x:v>1938</x:v>
      </x:c>
      <x:c r="I391" t="s">
        <x:v>1939</x:v>
      </x:c>
      <x:c r="J391" t="s">
        <x:v>1940</x:v>
      </x:c>
    </x:row>
    <x:row r="392">
      <x:c r="A392" t="s">
        <x:v>1941</x:v>
      </x:c>
      <x:c r="B392" t="s">
        <x:v>1941</x:v>
      </x:c>
      <x:c r="C392" t="s">
        <x:v>1942</x:v>
      </x:c>
      <x:c r="D392">
        <x:v>10</x:v>
      </x:c>
      <x:c r="E392" t="s">
        <x:v>89</x:v>
      </x:c>
      <x:c r="F392" t="s">
        <x:v>90</x:v>
      </x:c>
      <x:c r="G392">
        <x:v>45567</x:v>
      </x:c>
      <x:c r="H392" t="s">
        <x:v>1943</x:v>
      </x:c>
      <x:c r="I392" t="s">
        <x:v>1944</x:v>
      </x:c>
      <x:c r="J392" t="s">
        <x:v>1945</x:v>
      </x:c>
    </x:row>
    <x:row r="393">
      <x:c r="A393" t="s">
        <x:v>1946</x:v>
      </x:c>
      <x:c r="B393" t="s">
        <x:v>1946</x:v>
      </x:c>
      <x:c r="C393" t="s">
        <x:v>1942</x:v>
      </x:c>
      <x:c r="D393">
        <x:v>14</x:v>
      </x:c>
      <x:c r="E393" t="s">
        <x:v>89</x:v>
      </x:c>
      <x:c r="F393" t="s">
        <x:v>90</x:v>
      </x:c>
      <x:c r="G393">
        <x:v>44249</x:v>
      </x:c>
      <x:c r="H393" t="s">
        <x:v>1947</x:v>
      </x:c>
      <x:c r="I393" t="s">
        <x:v>1948</x:v>
      </x:c>
      <x:c r="J393" t="s">
        <x:v>1949</x:v>
      </x:c>
    </x:row>
    <x:row r="394">
      <x:c r="A394" t="s">
        <x:v>1950</x:v>
      </x:c>
      <x:c r="B394" t="s">
        <x:v>1950</x:v>
      </x:c>
      <x:c r="C394" t="s">
        <x:v>1942</x:v>
      </x:c>
      <x:c r="D394">
        <x:v>15</x:v>
      </x:c>
      <x:c r="E394" t="s">
        <x:v>89</x:v>
      </x:c>
      <x:c r="F394" t="s">
        <x:v>90</x:v>
      </x:c>
      <x:c r="G394">
        <x:v>44698</x:v>
      </x:c>
      <x:c r="H394" t="s">
        <x:v>1951</x:v>
      </x:c>
      <x:c r="I394" t="s">
        <x:v>1952</x:v>
      </x:c>
      <x:c r="J394" t="s">
        <x:v>1953</x:v>
      </x:c>
    </x:row>
    <x:row r="395">
      <x:c r="A395" t="s">
        <x:v>1954</x:v>
      </x:c>
      <x:c r="B395" t="s">
        <x:v>1954</x:v>
      </x:c>
      <x:c r="C395" t="s">
        <x:v>1955</x:v>
      </x:c>
      <x:c r="D395">
        <x:v>10</x:v>
      </x:c>
      <x:c r="E395" t="s">
        <x:v>198</x:v>
      </x:c>
      <x:c r="F395" t="s">
        <x:v>90</x:v>
      </x:c>
      <x:c r="G395">
        <x:v>45914</x:v>
      </x:c>
      <x:c r="H395" t="s">
        <x:v>1956</x:v>
      </x:c>
      <x:c r="I395" t="s">
        <x:v>1957</x:v>
      </x:c>
      <x:c r="J395" t="s">
        <x:v>1958</x:v>
      </x:c>
    </x:row>
    <x:row r="396">
      <x:c r="A396" t="s">
        <x:v>1959</x:v>
      </x:c>
      <x:c r="B396" t="s">
        <x:v>1959</x:v>
      </x:c>
      <x:c r="C396" t="s">
        <x:v>1613</x:v>
      </x:c>
      <x:c r="D396">
        <x:v>0</x:v>
      </x:c>
      <x:c r="E396" t="s">
        <x:v>96</x:v>
      </x:c>
      <x:c r="F396" t="s">
        <x:v>97</x:v>
      </x:c>
      <x:c r="G396">
        <x:v>45747</x:v>
      </x:c>
      <x:c r="H396" t="s">
        <x:v>1960</x:v>
      </x:c>
      <x:c r="I396" t="s">
        <x:v>1961</x:v>
      </x:c>
      <x:c r="J396" t="s">
        <x:v>1962</x:v>
      </x:c>
    </x:row>
    <x:row r="397">
      <x:c r="A397" t="s">
        <x:v>1963</x:v>
      </x:c>
      <x:c r="B397" t="s">
        <x:v>1963</x:v>
      </x:c>
      <x:c r="C397" t="s">
        <x:v>1964</x:v>
      </x:c>
      <x:c r="D397">
        <x:v>9</x:v>
      </x:c>
      <x:c r="E397" t="s">
        <x:v>198</x:v>
      </x:c>
      <x:c r="F397" t="s">
        <x:v>90</x:v>
      </x:c>
      <x:c r="G397">
        <x:v>44879</x:v>
      </x:c>
      <x:c r="H397" t="s">
        <x:v>1965</x:v>
      </x:c>
      <x:c r="I397" t="s">
        <x:v>1966</x:v>
      </x:c>
      <x:c r="J397" t="s">
        <x:v>1967</x:v>
      </x:c>
    </x:row>
    <x:row r="398">
      <x:c r="A398" t="s">
        <x:v>1968</x:v>
      </x:c>
      <x:c r="B398" t="s">
        <x:v>1968</x:v>
      </x:c>
      <x:c r="C398" t="s">
        <x:v>1969</x:v>
      </x:c>
      <x:c r="D398">
        <x:v>8</x:v>
      </x:c>
      <x:c r="E398" t="s">
        <x:v>114</x:v>
      </x:c>
      <x:c r="F398" t="s">
        <x:v>90</x:v>
      </x:c>
      <x:c r="G398">
        <x:v>44729</x:v>
      </x:c>
      <x:c r="H398" t="s">
        <x:v>1970</x:v>
      </x:c>
      <x:c r="I398" t="s">
        <x:v>1971</x:v>
      </x:c>
      <x:c r="J398" t="s">
        <x:v>1972</x:v>
      </x:c>
    </x:row>
    <x:row r="399">
      <x:c r="A399" t="s">
        <x:v>1973</x:v>
      </x:c>
      <x:c r="B399" t="s">
        <x:v>1973</x:v>
      </x:c>
      <x:c r="C399" t="s">
        <x:v>1969</x:v>
      </x:c>
      <x:c r="D399">
        <x:v>10</x:v>
      </x:c>
      <x:c r="E399" t="s">
        <x:v>114</x:v>
      </x:c>
      <x:c r="F399" t="s">
        <x:v>90</x:v>
      </x:c>
      <x:c r="G399">
        <x:v>44529</x:v>
      </x:c>
      <x:c r="H399" t="s">
        <x:v>1974</x:v>
      </x:c>
      <x:c r="I399" t="s">
        <x:v>1975</x:v>
      </x:c>
      <x:c r="J399" t="s">
        <x:v>1976</x:v>
      </x:c>
    </x:row>
    <x:row r="400">
      <x:c r="A400" t="s">
        <x:v>1977</x:v>
      </x:c>
      <x:c r="B400" t="s">
        <x:v>1977</x:v>
      </x:c>
      <x:c r="C400" t="s">
        <x:v>1969</x:v>
      </x:c>
      <x:c r="D400">
        <x:v>8</x:v>
      </x:c>
      <x:c r="E400" t="s">
        <x:v>114</x:v>
      </x:c>
      <x:c r="F400" t="s">
        <x:v>90</x:v>
      </x:c>
      <x:c r="G400">
        <x:v>44832</x:v>
      </x:c>
      <x:c r="H400" t="s">
        <x:v>1978</x:v>
      </x:c>
      <x:c r="I400" t="s">
        <x:v>1979</x:v>
      </x:c>
      <x:c r="J400" t="s">
        <x:v>1980</x:v>
      </x:c>
    </x:row>
    <x:row r="401">
      <x:c r="A401" t="s">
        <x:v>1981</x:v>
      </x:c>
      <x:c r="B401" t="s">
        <x:v>1981</x:v>
      </x:c>
      <x:c r="C401" t="s">
        <x:v>1982</x:v>
      </x:c>
      <x:c r="D401">
        <x:v>17</x:v>
      </x:c>
      <x:c r="E401" t="s">
        <x:v>96</x:v>
      </x:c>
      <x:c r="F401" t="s">
        <x:v>97</x:v>
      </x:c>
      <x:c r="G401">
        <x:v>45494</x:v>
      </x:c>
      <x:c r="H401" t="s">
        <x:v>1983</x:v>
      </x:c>
      <x:c r="I401" t="s">
        <x:v>1984</x:v>
      </x:c>
      <x:c r="J401" t="s">
        <x:v>1985</x:v>
      </x:c>
    </x:row>
    <x:row r="402">
      <x:c r="A402" t="s">
        <x:v>1986</x:v>
      </x:c>
      <x:c r="B402" t="s">
        <x:v>1986</x:v>
      </x:c>
      <x:c r="C402" t="s">
        <x:v>1942</x:v>
      </x:c>
      <x:c r="D402">
        <x:v>22</x:v>
      </x:c>
      <x:c r="E402" t="s">
        <x:v>198</x:v>
      </x:c>
      <x:c r="F402" t="s">
        <x:v>90</x:v>
      </x:c>
      <x:c r="G402">
        <x:v>44154</x:v>
      </x:c>
      <x:c r="H402" t="s">
        <x:v>1987</x:v>
      </x:c>
      <x:c r="I402" t="s">
        <x:v>1988</x:v>
      </x:c>
      <x:c r="J402" t="s">
        <x:v>1989</x:v>
      </x:c>
    </x:row>
    <x:row r="403">
      <x:c r="A403" t="s">
        <x:v>1990</x:v>
      </x:c>
      <x:c r="B403" t="s">
        <x:v>1990</x:v>
      </x:c>
      <x:c r="C403" t="s">
        <x:v>341</x:v>
      </x:c>
      <x:c r="D403">
        <x:v>0</x:v>
      </x:c>
      <x:c r="E403" t="s">
        <x:v>96</x:v>
      </x:c>
      <x:c r="F403" t="s">
        <x:v>97</x:v>
      </x:c>
      <x:c r="G403">
        <x:v>44635</x:v>
      </x:c>
      <x:c r="H403" t="s">
        <x:v>1991</x:v>
      </x:c>
      <x:c r="I403" t="s">
        <x:v>1992</x:v>
      </x:c>
      <x:c r="J403" t="s">
        <x:v>1993</x:v>
      </x:c>
    </x:row>
    <x:row r="404">
      <x:c r="A404" t="s">
        <x:v>1994</x:v>
      </x:c>
      <x:c r="B404" t="s">
        <x:v>1994</x:v>
      </x:c>
      <x:c r="C404" t="s">
        <x:v>1995</x:v>
      </x:c>
      <x:c r="D404">
        <x:v>0</x:v>
      </x:c>
      <x:c r="E404" t="s">
        <x:v>114</x:v>
      </x:c>
      <x:c r="F404" t="s">
        <x:v>90</x:v>
      </x:c>
      <x:c r="G404">
        <x:v>44480</x:v>
      </x:c>
      <x:c r="H404" t="s">
        <x:v>1996</x:v>
      </x:c>
      <x:c r="I404" t="s">
        <x:v>1997</x:v>
      </x:c>
      <x:c r="J404" t="s">
        <x:v>1998</x:v>
      </x:c>
    </x:row>
    <x:row r="405">
      <x:c r="A405" t="s">
        <x:v>1999</x:v>
      </x:c>
      <x:c r="B405" t="s">
        <x:v>1999</x:v>
      </x:c>
      <x:c r="C405" t="s">
        <x:v>1516</x:v>
      </x:c>
      <x:c r="D405">
        <x:v>8</x:v>
      </x:c>
      <x:c r="E405" t="s">
        <x:v>198</x:v>
      </x:c>
      <x:c r="F405" t="s">
        <x:v>90</x:v>
      </x:c>
      <x:c r="G405">
        <x:v>45781</x:v>
      </x:c>
      <x:c r="H405" t="s">
        <x:v>2000</x:v>
      </x:c>
      <x:c r="I405" t="s">
        <x:v>2001</x:v>
      </x:c>
      <x:c r="J405" t="s">
        <x:v>2002</x:v>
      </x:c>
    </x:row>
    <x:row r="406">
      <x:c r="A406" t="s">
        <x:v>2003</x:v>
      </x:c>
      <x:c r="B406" t="s">
        <x:v>2003</x:v>
      </x:c>
      <x:c r="C406" t="s">
        <x:v>2004</x:v>
      </x:c>
      <x:c r="D406">
        <x:v>18</x:v>
      </x:c>
      <x:c r="E406" t="s">
        <x:v>114</x:v>
      </x:c>
      <x:c r="F406" t="s">
        <x:v>90</x:v>
      </x:c>
      <x:c r="G406">
        <x:v>43849</x:v>
      </x:c>
      <x:c r="H406" t="s">
        <x:v>2005</x:v>
      </x:c>
      <x:c r="I406" t="s">
        <x:v>2006</x:v>
      </x:c>
      <x:c r="J406" t="s">
        <x:v>2007</x:v>
      </x:c>
    </x:row>
    <x:row r="407">
      <x:c r="A407" t="s">
        <x:v>2008</x:v>
      </x:c>
      <x:c r="B407" t="s">
        <x:v>2008</x:v>
      </x:c>
      <x:c r="C407" t="s">
        <x:v>491</x:v>
      </x:c>
      <x:c r="D407">
        <x:v>1</x:v>
      </x:c>
      <x:c r="E407" t="s">
        <x:v>96</x:v>
      </x:c>
      <x:c r="F407" t="s">
        <x:v>90</x:v>
      </x:c>
      <x:c r="G407">
        <x:v>44885</x:v>
      </x:c>
      <x:c r="H407" t="s">
        <x:v>2009</x:v>
      </x:c>
      <x:c r="I407" t="s">
        <x:v>2010</x:v>
      </x:c>
      <x:c r="J407" t="s">
        <x:v>2011</x:v>
      </x:c>
    </x:row>
    <x:row r="408">
      <x:c r="A408" t="s">
        <x:v>2012</x:v>
      </x:c>
      <x:c r="B408" t="s">
        <x:v>2012</x:v>
      </x:c>
      <x:c r="C408" t="s">
        <x:v>2013</x:v>
      </x:c>
      <x:c r="D408">
        <x:v>12</x:v>
      </x:c>
      <x:c r="E408" t="s">
        <x:v>198</x:v>
      </x:c>
      <x:c r="F408" t="s">
        <x:v>90</x:v>
      </x:c>
      <x:c r="G408">
        <x:v>45021</x:v>
      </x:c>
      <x:c r="H408" t="s">
        <x:v>2014</x:v>
      </x:c>
      <x:c r="I408" t="s">
        <x:v>2015</x:v>
      </x:c>
      <x:c r="J408" t="s">
        <x:v>2016</x:v>
      </x:c>
    </x:row>
    <x:row r="409">
      <x:c r="A409" t="s">
        <x:v>2017</x:v>
      </x:c>
      <x:c r="B409" t="s">
        <x:v>2017</x:v>
      </x:c>
      <x:c r="C409" t="s">
        <x:v>2018</x:v>
      </x:c>
      <x:c r="D409">
        <x:v>10</x:v>
      </x:c>
      <x:c r="E409" t="s">
        <x:v>198</x:v>
      </x:c>
      <x:c r="F409" t="s">
        <x:v>90</x:v>
      </x:c>
      <x:c r="G409">
        <x:v>44561</x:v>
      </x:c>
      <x:c r="H409" t="s">
        <x:v>2019</x:v>
      </x:c>
      <x:c r="I409" t="s">
        <x:v>2020</x:v>
      </x:c>
      <x:c r="J409" t="s">
        <x:v>2021</x:v>
      </x:c>
    </x:row>
    <x:row r="410">
      <x:c r="A410" t="s">
        <x:v>2022</x:v>
      </x:c>
      <x:c r="B410" t="s">
        <x:v>2022</x:v>
      </x:c>
      <x:c r="C410" t="s">
        <x:v>2023</x:v>
      </x:c>
      <x:c r="D410">
        <x:v>4</x:v>
      </x:c>
      <x:c r="E410" t="s">
        <x:v>103</x:v>
      </x:c>
      <x:c r="F410" t="s">
        <x:v>97</x:v>
      </x:c>
      <x:c r="G410">
        <x:v>44007</x:v>
      </x:c>
      <x:c r="H410" t="s">
        <x:v>2024</x:v>
      </x:c>
      <x:c r="I410" t="s">
        <x:v>2025</x:v>
      </x:c>
      <x:c r="J410" t="s">
        <x:v>2026</x:v>
      </x:c>
    </x:row>
    <x:row r="411">
      <x:c r="A411" t="s">
        <x:v>2027</x:v>
      </x:c>
      <x:c r="B411" t="s">
        <x:v>2027</x:v>
      </x:c>
      <x:c r="C411" t="s">
        <x:v>2028</x:v>
      </x:c>
      <x:c r="D411">
        <x:v>89</x:v>
      </x:c>
      <x:c r="E411" t="s">
        <x:v>103</x:v>
      </x:c>
      <x:c r="F411" t="s">
        <x:v>97</x:v>
      </x:c>
      <x:c r="G411">
        <x:v>45638</x:v>
      </x:c>
      <x:c r="H411" t="s">
        <x:v>2029</x:v>
      </x:c>
      <x:c r="I411" t="s">
        <x:v>2030</x:v>
      </x:c>
      <x:c r="J411" t="s">
        <x:v>2031</x:v>
      </x:c>
    </x:row>
    <x:row r="412">
      <x:c r="A412" t="s">
        <x:v>2032</x:v>
      </x:c>
      <x:c r="B412" t="s">
        <x:v>2032</x:v>
      </x:c>
      <x:c r="C412" t="s">
        <x:v>2033</x:v>
      </x:c>
      <x:c r="D412">
        <x:v>18</x:v>
      </x:c>
      <x:c r="E412" t="s">
        <x:v>96</x:v>
      </x:c>
      <x:c r="F412" t="s">
        <x:v>97</x:v>
      </x:c>
      <x:c r="G412">
        <x:v>42615</x:v>
      </x:c>
      <x:c r="H412" t="s">
        <x:v>2034</x:v>
      </x:c>
      <x:c r="I412" t="s">
        <x:v>2035</x:v>
      </x:c>
      <x:c r="J412" t="s">
        <x:v>2036</x:v>
      </x:c>
    </x:row>
    <x:row r="413">
      <x:c r="A413" t="s">
        <x:v>2037</x:v>
      </x:c>
      <x:c r="B413" t="s">
        <x:v>2037</x:v>
      </x:c>
      <x:c r="C413" t="s">
        <x:v>2038</x:v>
      </x:c>
      <x:c r="D413">
        <x:v>7</x:v>
      </x:c>
      <x:c r="E413" t="s">
        <x:v>103</x:v>
      </x:c>
      <x:c r="F413" t="s">
        <x:v>97</x:v>
      </x:c>
      <x:c r="G413">
        <x:v>42134</x:v>
      </x:c>
      <x:c r="H413" t="s">
        <x:v>2039</x:v>
      </x:c>
      <x:c r="I413" t="s">
        <x:v>2040</x:v>
      </x:c>
      <x:c r="J413" t="s">
        <x:v>2041</x:v>
      </x:c>
    </x:row>
    <x:row r="414">
      <x:c r="A414" t="s">
        <x:v>2042</x:v>
      </x:c>
      <x:c r="B414" t="s">
        <x:v>2042</x:v>
      </x:c>
      <x:c r="C414" t="s">
        <x:v>2043</x:v>
      </x:c>
      <x:c r="D414">
        <x:v>0</x:v>
      </x:c>
      <x:c r="E414" t="s">
        <x:v>114</x:v>
      </x:c>
      <x:c r="F414" t="s">
        <x:v>90</x:v>
      </x:c>
      <x:c r="G414">
        <x:v>46072</x:v>
      </x:c>
      <x:c r="H414" t="s">
        <x:v>2044</x:v>
      </x:c>
      <x:c r="I414" t="s">
        <x:v>2045</x:v>
      </x:c>
      <x:c r="J414" t="s">
        <x:v>2046</x:v>
      </x:c>
    </x:row>
    <x:row r="415">
      <x:c r="A415" t="s">
        <x:v>2047</x:v>
      </x:c>
      <x:c r="B415" t="s">
        <x:v>2047</x:v>
      </x:c>
      <x:c r="C415" t="s">
        <x:v>2048</x:v>
      </x:c>
      <x:c r="D415">
        <x:v>23</x:v>
      </x:c>
      <x:c r="E415" t="s">
        <x:v>198</x:v>
      </x:c>
      <x:c r="F415" t="s">
        <x:v>90</x:v>
      </x:c>
      <x:c r="G415">
        <x:v>44349</x:v>
      </x:c>
      <x:c r="H415" t="s">
        <x:v>2049</x:v>
      </x:c>
      <x:c r="I415" t="s">
        <x:v>2050</x:v>
      </x:c>
      <x:c r="J415" t="s">
        <x:v>2051</x:v>
      </x:c>
    </x:row>
    <x:row r="416">
      <x:c r="A416" t="s">
        <x:v>2052</x:v>
      </x:c>
      <x:c r="B416" t="s">
        <x:v>2052</x:v>
      </x:c>
      <x:c r="C416" t="s">
        <x:v>2053</x:v>
      </x:c>
      <x:c r="D416">
        <x:v>11</x:v>
      </x:c>
      <x:c r="E416" t="s">
        <x:v>89</x:v>
      </x:c>
      <x:c r="F416" t="s">
        <x:v>610</x:v>
      </x:c>
      <x:c r="G416">
        <x:v>42873</x:v>
      </x:c>
      <x:c r="H416" t="s">
        <x:v>2054</x:v>
      </x:c>
      <x:c r="I416" t="s">
        <x:v>2055</x:v>
      </x:c>
      <x:c r="J416" t="s">
        <x:v>2056</x:v>
      </x:c>
    </x:row>
    <x:row r="417">
      <x:c r="A417" t="s">
        <x:v>2057</x:v>
      </x:c>
      <x:c r="B417" t="s">
        <x:v>2057</x:v>
      </x:c>
      <x:c r="C417" t="s">
        <x:v>2058</x:v>
      </x:c>
      <x:c r="D417">
        <x:v>1</x:v>
      </x:c>
      <x:c r="E417" t="s">
        <x:v>198</x:v>
      </x:c>
      <x:c r="F417" t="s">
        <x:v>90</x:v>
      </x:c>
      <x:c r="G417">
        <x:v>45595</x:v>
      </x:c>
      <x:c r="H417" t="s">
        <x:v>2059</x:v>
      </x:c>
      <x:c r="I417" t="s">
        <x:v>2060</x:v>
      </x:c>
      <x:c r="J417" t="s">
        <x:v>2061</x:v>
      </x:c>
    </x:row>
    <x:row r="418">
      <x:c r="A418" t="s">
        <x:v>2062</x:v>
      </x:c>
      <x:c r="B418" t="s">
        <x:v>2062</x:v>
      </x:c>
      <x:c r="C418" t="s">
        <x:v>1467</x:v>
      </x:c>
      <x:c r="D418">
        <x:v>20</x:v>
      </x:c>
      <x:c r="E418" t="s">
        <x:v>198</x:v>
      </x:c>
      <x:c r="F418" t="s">
        <x:v>90</x:v>
      </x:c>
      <x:c r="G418">
        <x:v>44033</x:v>
      </x:c>
      <x:c r="H418" t="s">
        <x:v>2063</x:v>
      </x:c>
      <x:c r="I418" t="s">
        <x:v>2064</x:v>
      </x:c>
      <x:c r="J418" t="s">
        <x:v>2065</x:v>
      </x:c>
    </x:row>
    <x:row r="419">
      <x:c r="A419" t="s">
        <x:v>2066</x:v>
      </x:c>
      <x:c r="B419" t="s">
        <x:v>2066</x:v>
      </x:c>
      <x:c r="C419" t="s">
        <x:v>2067</x:v>
      </x:c>
      <x:c r="D419">
        <x:v>7</x:v>
      </x:c>
      <x:c r="E419" t="s">
        <x:v>96</x:v>
      </x:c>
      <x:c r="F419" t="s">
        <x:v>97</x:v>
      </x:c>
      <x:c r="G419">
        <x:v>44779</x:v>
      </x:c>
      <x:c r="H419" t="s">
        <x:v>2068</x:v>
      </x:c>
      <x:c r="I419" t="s">
        <x:v>2069</x:v>
      </x:c>
      <x:c r="J419" t="s">
        <x:v>2070</x:v>
      </x:c>
    </x:row>
    <x:row r="420">
      <x:c r="A420" t="s">
        <x:v>2071</x:v>
      </x:c>
      <x:c r="B420" t="s">
        <x:v>2071</x:v>
      </x:c>
      <x:c r="C420" t="s">
        <x:v>2072</x:v>
      </x:c>
      <x:c r="D420">
        <x:v>22</x:v>
      </x:c>
      <x:c r="E420" t="s">
        <x:v>89</x:v>
      </x:c>
      <x:c r="F420" t="s">
        <x:v>90</x:v>
      </x:c>
      <x:c r="G420">
        <x:v>43879</x:v>
      </x:c>
      <x:c r="H420" t="s">
        <x:v>2073</x:v>
      </x:c>
      <x:c r="I420" t="s">
        <x:v>2074</x:v>
      </x:c>
      <x:c r="J420" t="s">
        <x:v>2075</x:v>
      </x:c>
    </x:row>
    <x:row r="421">
      <x:c r="A421" t="s">
        <x:v>2076</x:v>
      </x:c>
      <x:c r="B421" t="s">
        <x:v>2076</x:v>
      </x:c>
      <x:c r="C421" t="s">
        <x:v>1427</x:v>
      </x:c>
      <x:c r="D421">
        <x:v>17</x:v>
      </x:c>
      <x:c r="E421" t="s">
        <x:v>198</x:v>
      </x:c>
      <x:c r="F421" t="s">
        <x:v>90</x:v>
      </x:c>
      <x:c r="G421">
        <x:v>45076</x:v>
      </x:c>
      <x:c r="H421" t="s">
        <x:v>2077</x:v>
      </x:c>
      <x:c r="I421" t="s">
        <x:v>2078</x:v>
      </x:c>
      <x:c r="J421" t="s">
        <x:v>2079</x:v>
      </x:c>
    </x:row>
    <x:row r="422">
      <x:c r="A422" t="s">
        <x:v>2080</x:v>
      </x:c>
      <x:c r="B422" t="s">
        <x:v>2080</x:v>
      </x:c>
      <x:c r="C422" t="s">
        <x:v>2081</x:v>
      </x:c>
      <x:c r="D422">
        <x:v>10</x:v>
      </x:c>
      <x:c r="E422" t="s">
        <x:v>198</x:v>
      </x:c>
      <x:c r="F422" t="s">
        <x:v>90</x:v>
      </x:c>
      <x:c r="G422">
        <x:v>44817</x:v>
      </x:c>
      <x:c r="H422" t="s">
        <x:v>2082</x:v>
      </x:c>
      <x:c r="I422" t="s">
        <x:v>2083</x:v>
      </x:c>
      <x:c r="J422" t="s">
        <x:v>2084</x:v>
      </x:c>
    </x:row>
    <x:row r="423">
      <x:c r="A423" t="s">
        <x:v>2085</x:v>
      </x:c>
      <x:c r="B423" t="s">
        <x:v>2085</x:v>
      </x:c>
      <x:c r="C423" t="s">
        <x:v>680</x:v>
      </x:c>
      <x:c r="D423">
        <x:v>5</x:v>
      </x:c>
      <x:c r="E423" t="s">
        <x:v>114</x:v>
      </x:c>
      <x:c r="F423" t="s">
        <x:v>90</x:v>
      </x:c>
      <x:c r="G423">
        <x:v>44304</x:v>
      </x:c>
      <x:c r="H423" t="s">
        <x:v>2086</x:v>
      </x:c>
      <x:c r="I423" t="s">
        <x:v>2087</x:v>
      </x:c>
      <x:c r="J423" t="s">
        <x:v>2088</x:v>
      </x:c>
    </x:row>
    <x:row r="424">
      <x:c r="A424" t="s">
        <x:v>2089</x:v>
      </x:c>
      <x:c r="B424" t="s">
        <x:v>2089</x:v>
      </x:c>
      <x:c r="C424" t="s">
        <x:v>1674</x:v>
      </x:c>
      <x:c r="D424">
        <x:v>9</x:v>
      </x:c>
      <x:c r="E424" t="s">
        <x:v>198</x:v>
      </x:c>
      <x:c r="F424" t="s">
        <x:v>90</x:v>
      </x:c>
      <x:c r="G424">
        <x:v>46081</x:v>
      </x:c>
      <x:c r="H424" t="s">
        <x:v>2090</x:v>
      </x:c>
      <x:c r="I424" t="s">
        <x:v>2091</x:v>
      </x:c>
      <x:c r="J424" t="s">
        <x:v>2092</x:v>
      </x:c>
    </x:row>
    <x:row r="425">
      <x:c r="A425" t="s">
        <x:v>2093</x:v>
      </x:c>
      <x:c r="B425" t="s">
        <x:v>2093</x:v>
      </x:c>
      <x:c r="C425" t="s">
        <x:v>2094</x:v>
      </x:c>
      <x:c r="D425">
        <x:v>1</x:v>
      </x:c>
      <x:c r="E425" t="s">
        <x:v>96</x:v>
      </x:c>
      <x:c r="F425" t="s">
        <x:v>97</x:v>
      </x:c>
      <x:c r="G425">
        <x:v>42161</x:v>
      </x:c>
      <x:c r="H425" t="s">
        <x:v>2095</x:v>
      </x:c>
      <x:c r="I425" t="s">
        <x:v>2096</x:v>
      </x:c>
      <x:c r="J425" t="s">
        <x:v>2097</x:v>
      </x:c>
    </x:row>
    <x:row r="426">
      <x:c r="A426" t="s">
        <x:v>2098</x:v>
      </x:c>
      <x:c r="B426" t="s">
        <x:v>2098</x:v>
      </x:c>
      <x:c r="C426" t="s">
        <x:v>2099</x:v>
      </x:c>
      <x:c r="D426">
        <x:v>10</x:v>
      </x:c>
      <x:c r="E426" t="s">
        <x:v>198</x:v>
      </x:c>
      <x:c r="F426" t="s">
        <x:v>152</x:v>
      </x:c>
      <x:c r="G426">
        <x:v>43817</x:v>
      </x:c>
      <x:c r="H426" t="s">
        <x:v>2100</x:v>
      </x:c>
      <x:c r="I426" t="s">
        <x:v>2101</x:v>
      </x:c>
      <x:c r="J426" t="s">
        <x:v>2102</x:v>
      </x:c>
    </x:row>
    <x:row r="427">
      <x:c r="A427" t="s">
        <x:v>2103</x:v>
      </x:c>
      <x:c r="B427" t="s">
        <x:v>2103</x:v>
      </x:c>
      <x:c r="C427" t="s">
        <x:v>2104</x:v>
      </x:c>
      <x:c r="D427">
        <x:v>1</x:v>
      </x:c>
      <x:c r="E427" t="s">
        <x:v>257</x:v>
      </x:c>
      <x:c r="F427" t="s">
        <x:v>97</x:v>
      </x:c>
      <x:c r="G427">
        <x:v>42339</x:v>
      </x:c>
      <x:c r="H427" t="s">
        <x:v>2105</x:v>
      </x:c>
      <x:c r="I427" t="s">
        <x:v>2106</x:v>
      </x:c>
      <x:c r="J427" t="s">
        <x:v>2107</x:v>
      </x:c>
    </x:row>
    <x:row r="428">
      <x:c r="A428" t="s">
        <x:v>2108</x:v>
      </x:c>
      <x:c r="B428" t="s">
        <x:v>2108</x:v>
      </x:c>
      <x:c r="C428" t="s">
        <x:v>2109</x:v>
      </x:c>
      <x:c r="D428">
        <x:v>2</x:v>
      </x:c>
      <x:c r="E428" t="s">
        <x:v>96</x:v>
      </x:c>
      <x:c r="F428" t="s">
        <x:v>97</x:v>
      </x:c>
      <x:c r="G428">
        <x:v>45957</x:v>
      </x:c>
      <x:c r="H428" t="s">
        <x:v>2110</x:v>
      </x:c>
      <x:c r="I428" t="s">
        <x:v>2111</x:v>
      </x:c>
      <x:c r="J428" t="s">
        <x:v>2112</x:v>
      </x:c>
    </x:row>
    <x:row r="429">
      <x:c r="A429" t="s">
        <x:v>2113</x:v>
      </x:c>
      <x:c r="B429" t="s">
        <x:v>2113</x:v>
      </x:c>
      <x:c r="C429" t="s">
        <x:v>1427</x:v>
      </x:c>
      <x:c r="D429">
        <x:v>20</x:v>
      </x:c>
      <x:c r="E429" t="s">
        <x:v>198</x:v>
      </x:c>
      <x:c r="F429" t="s">
        <x:v>90</x:v>
      </x:c>
      <x:c r="G429">
        <x:v>45463</x:v>
      </x:c>
      <x:c r="H429" t="s">
        <x:v>2114</x:v>
      </x:c>
      <x:c r="I429" t="s">
        <x:v>2115</x:v>
      </x:c>
      <x:c r="J429" t="s">
        <x:v>2116</x:v>
      </x:c>
    </x:row>
    <x:row r="430">
      <x:c r="A430" t="s">
        <x:v>2117</x:v>
      </x:c>
      <x:c r="B430" t="s">
        <x:v>2117</x:v>
      </x:c>
      <x:c r="C430" t="s">
        <x:v>2118</x:v>
      </x:c>
      <x:c r="D430">
        <x:v>15</x:v>
      </x:c>
      <x:c r="E430" t="s">
        <x:v>89</x:v>
      </x:c>
      <x:c r="F430" t="s">
        <x:v>90</x:v>
      </x:c>
      <x:c r="G430">
        <x:v>45635</x:v>
      </x:c>
      <x:c r="H430" t="s">
        <x:v>2119</x:v>
      </x:c>
      <x:c r="I430" t="s">
        <x:v>2120</x:v>
      </x:c>
      <x:c r="J430" t="s">
        <x:v>2121</x:v>
      </x:c>
    </x:row>
    <x:row r="431">
      <x:c r="A431" t="s">
        <x:v>2122</x:v>
      </x:c>
      <x:c r="B431" t="s">
        <x:v>2122</x:v>
      </x:c>
      <x:c r="C431" t="s">
        <x:v>2123</x:v>
      </x:c>
      <x:c r="D431">
        <x:v>5</x:v>
      </x:c>
      <x:c r="E431" t="s">
        <x:v>198</x:v>
      </x:c>
      <x:c r="F431" t="s">
        <x:v>90</x:v>
      </x:c>
      <x:c r="G431">
        <x:v>44536</x:v>
      </x:c>
      <x:c r="H431" t="s">
        <x:v>2124</x:v>
      </x:c>
      <x:c r="I431" t="s">
        <x:v>2125</x:v>
      </x:c>
      <x:c r="J431" t="s">
        <x:v>2126</x:v>
      </x:c>
    </x:row>
    <x:row r="432">
      <x:c r="A432" t="s">
        <x:v>2127</x:v>
      </x:c>
      <x:c r="B432" t="s">
        <x:v>2127</x:v>
      </x:c>
      <x:c r="C432" t="s">
        <x:v>119</x:v>
      </x:c>
      <x:c r="D432">
        <x:v>3</x:v>
      </x:c>
      <x:c r="E432" t="s">
        <x:v>103</x:v>
      </x:c>
      <x:c r="F432" t="s">
        <x:v>97</x:v>
      </x:c>
      <x:c r="G432">
        <x:v>42270</x:v>
      </x:c>
      <x:c r="H432" t="s">
        <x:v>2128</x:v>
      </x:c>
      <x:c r="I432" t="s">
        <x:v>2129</x:v>
      </x:c>
      <x:c r="J432" t="s">
        <x:v>2130</x:v>
      </x:c>
    </x:row>
    <x:row r="433">
      <x:c r="A433" t="s">
        <x:v>2131</x:v>
      </x:c>
      <x:c r="B433" t="s">
        <x:v>2131</x:v>
      </x:c>
      <x:c r="C433" t="s">
        <x:v>2132</x:v>
      </x:c>
      <x:c r="D433">
        <x:v>9</x:v>
      </x:c>
      <x:c r="E433" t="s">
        <x:v>198</x:v>
      </x:c>
      <x:c r="F433" t="s">
        <x:v>90</x:v>
      </x:c>
      <x:c r="G433">
        <x:v>43860</x:v>
      </x:c>
      <x:c r="H433" t="s">
        <x:v>2133</x:v>
      </x:c>
      <x:c r="I433" t="s">
        <x:v>2134</x:v>
      </x:c>
      <x:c r="J433" t="s">
        <x:v>2135</x:v>
      </x:c>
    </x:row>
    <x:row r="434">
      <x:c r="A434" t="s">
        <x:v>2136</x:v>
      </x:c>
      <x:c r="B434" t="s">
        <x:v>2136</x:v>
      </x:c>
      <x:c r="C434" t="s">
        <x:v>2137</x:v>
      </x:c>
      <x:c r="D434">
        <x:v>20</x:v>
      </x:c>
      <x:c r="E434" t="s">
        <x:v>103</x:v>
      </x:c>
      <x:c r="F434" t="s">
        <x:v>97</x:v>
      </x:c>
      <x:c r="G434">
        <x:v>42276</x:v>
      </x:c>
      <x:c r="H434" t="s">
        <x:v>2138</x:v>
      </x:c>
      <x:c r="I434" t="s">
        <x:v>2139</x:v>
      </x:c>
      <x:c r="J434" t="s">
        <x:v>2140</x:v>
      </x:c>
    </x:row>
    <x:row r="435">
      <x:c r="A435" t="s">
        <x:v>2141</x:v>
      </x:c>
      <x:c r="B435" t="s">
        <x:v>2141</x:v>
      </x:c>
      <x:c r="C435" t="s">
        <x:v>102</x:v>
      </x:c>
      <x:c r="D435">
        <x:v>12</x:v>
      </x:c>
      <x:c r="E435" t="s">
        <x:v>89</x:v>
      </x:c>
      <x:c r="F435" t="s">
        <x:v>97</x:v>
      </x:c>
      <x:c r="G435">
        <x:v>44317</x:v>
      </x:c>
      <x:c r="H435" t="s">
        <x:v>2142</x:v>
      </x:c>
      <x:c r="I435" t="s">
        <x:v>2143</x:v>
      </x:c>
      <x:c r="J435" t="s">
        <x:v>2144</x:v>
      </x:c>
    </x:row>
    <x:row r="436">
      <x:c r="A436" t="s">
        <x:v>2145</x:v>
      </x:c>
      <x:c r="B436" t="s">
        <x:v>2145</x:v>
      </x:c>
      <x:c r="C436" t="s">
        <x:v>2146</x:v>
      </x:c>
      <x:c r="D436">
        <x:v>8</x:v>
      </x:c>
      <x:c r="E436" t="s">
        <x:v>96</x:v>
      </x:c>
      <x:c r="F436" t="s">
        <x:v>97</x:v>
      </x:c>
      <x:c r="G436">
        <x:v>42694</x:v>
      </x:c>
      <x:c r="H436" t="s">
        <x:v>2147</x:v>
      </x:c>
      <x:c r="I436" t="s">
        <x:v>2148</x:v>
      </x:c>
      <x:c r="J436" t="s">
        <x:v>2149</x:v>
      </x:c>
    </x:row>
    <x:row r="437">
      <x:c r="A437" t="s">
        <x:v>2150</x:v>
      </x:c>
      <x:c r="B437" t="s">
        <x:v>2150</x:v>
      </x:c>
      <x:c r="C437" t="s">
        <x:v>2151</x:v>
      </x:c>
      <x:c r="D437">
        <x:v>8</x:v>
      </x:c>
      <x:c r="E437" t="s">
        <x:v>103</x:v>
      </x:c>
      <x:c r="F437" t="s">
        <x:v>97</x:v>
      </x:c>
      <x:c r="G437">
        <x:v>43827</x:v>
      </x:c>
      <x:c r="H437" t="s">
        <x:v>2152</x:v>
      </x:c>
      <x:c r="I437" t="s">
        <x:v>2153</x:v>
      </x:c>
      <x:c r="J437" t="s">
        <x:v>2154</x:v>
      </x:c>
    </x:row>
    <x:row r="438">
      <x:c r="A438" t="s">
        <x:v>2155</x:v>
      </x:c>
      <x:c r="B438" t="s">
        <x:v>2155</x:v>
      </x:c>
      <x:c r="C438" t="s">
        <x:v>2156</x:v>
      </x:c>
      <x:c r="D438">
        <x:v>30</x:v>
      </x:c>
      <x:c r="E438" t="s">
        <x:v>96</x:v>
      </x:c>
      <x:c r="F438" t="s">
        <x:v>97</x:v>
      </x:c>
      <x:c r="G438">
        <x:v>44617</x:v>
      </x:c>
      <x:c r="H438" t="s">
        <x:v>2157</x:v>
      </x:c>
      <x:c r="I438" t="s">
        <x:v>2158</x:v>
      </x:c>
      <x:c r="J438" t="s">
        <x:v>2159</x:v>
      </x:c>
    </x:row>
    <x:row r="439">
      <x:c r="A439" t="s">
        <x:v>2160</x:v>
      </x:c>
      <x:c r="B439" t="s">
        <x:v>2160</x:v>
      </x:c>
      <x:c r="C439" t="s">
        <x:v>2156</x:v>
      </x:c>
      <x:c r="D439">
        <x:v>21</x:v>
      </x:c>
      <x:c r="E439" t="s">
        <x:v>96</x:v>
      </x:c>
      <x:c r="F439" t="s">
        <x:v>97</x:v>
      </x:c>
      <x:c r="G439">
        <x:v>43949</x:v>
      </x:c>
      <x:c r="H439" t="s">
        <x:v>2161</x:v>
      </x:c>
      <x:c r="I439" t="s">
        <x:v>2162</x:v>
      </x:c>
      <x:c r="J439" t="s">
        <x:v>2163</x:v>
      </x:c>
    </x:row>
    <x:row r="440">
      <x:c r="A440" t="s">
        <x:v>2164</x:v>
      </x:c>
      <x:c r="B440" t="s">
        <x:v>2164</x:v>
      </x:c>
      <x:c r="C440" t="s">
        <x:v>2165</x:v>
      </x:c>
      <x:c r="D440">
        <x:v>12</x:v>
      </x:c>
      <x:c r="E440" t="s">
        <x:v>96</x:v>
      </x:c>
      <x:c r="F440" t="s">
        <x:v>97</x:v>
      </x:c>
      <x:c r="G440">
        <x:v>44414</x:v>
      </x:c>
      <x:c r="H440" t="s">
        <x:v>2166</x:v>
      </x:c>
      <x:c r="I440" t="s">
        <x:v>2167</x:v>
      </x:c>
      <x:c r="J440" t="s">
        <x:v>2168</x:v>
      </x:c>
    </x:row>
    <x:row r="441">
      <x:c r="A441" t="s">
        <x:v>2169</x:v>
      </x:c>
      <x:c r="B441" t="s">
        <x:v>2169</x:v>
      </x:c>
      <x:c r="C441" t="s">
        <x:v>2170</x:v>
      </x:c>
      <x:c r="D441">
        <x:v>2</x:v>
      </x:c>
      <x:c r="E441" t="s">
        <x:v>96</x:v>
      </x:c>
      <x:c r="F441" t="s">
        <x:v>152</x:v>
      </x:c>
      <x:c r="G441">
        <x:v>45174</x:v>
      </x:c>
      <x:c r="H441" t="s">
        <x:v>2171</x:v>
      </x:c>
      <x:c r="I441" t="s">
        <x:v>2172</x:v>
      </x:c>
      <x:c r="J441" t="s">
        <x:v>2173</x:v>
      </x:c>
    </x:row>
    <x:row r="442">
      <x:c r="A442" t="s">
        <x:v>2174</x:v>
      </x:c>
      <x:c r="B442" t="s">
        <x:v>2174</x:v>
      </x:c>
      <x:c r="C442" t="s">
        <x:v>624</x:v>
      </x:c>
      <x:c r="D442">
        <x:v>11</x:v>
      </x:c>
      <x:c r="E442" t="s">
        <x:v>198</x:v>
      </x:c>
      <x:c r="F442" t="s">
        <x:v>90</x:v>
      </x:c>
      <x:c r="G442">
        <x:v>44252</x:v>
      </x:c>
      <x:c r="H442" t="s">
        <x:v>2175</x:v>
      </x:c>
      <x:c r="I442" t="s">
        <x:v>2176</x:v>
      </x:c>
      <x:c r="J442" t="s">
        <x:v>2177</x:v>
      </x:c>
    </x:row>
    <x:row r="443">
      <x:c r="A443" t="s">
        <x:v>2178</x:v>
      </x:c>
      <x:c r="B443" t="s">
        <x:v>2178</x:v>
      </x:c>
      <x:c r="C443" t="s">
        <x:v>2179</x:v>
      </x:c>
      <x:c r="D443">
        <x:v>8</x:v>
      </x:c>
      <x:c r="E443" t="s">
        <x:v>114</x:v>
      </x:c>
      <x:c r="F443" t="s">
        <x:v>90</x:v>
      </x:c>
      <x:c r="G443">
        <x:v>44420</x:v>
      </x:c>
      <x:c r="H443" t="s">
        <x:v>2180</x:v>
      </x:c>
      <x:c r="I443" t="s">
        <x:v>2181</x:v>
      </x:c>
      <x:c r="J443" t="s">
        <x:v>2182</x:v>
      </x:c>
    </x:row>
    <x:row r="444">
      <x:c r="A444" t="s">
        <x:v>2183</x:v>
      </x:c>
      <x:c r="B444" t="s">
        <x:v>2183</x:v>
      </x:c>
      <x:c r="C444" t="s">
        <x:v>2184</x:v>
      </x:c>
      <x:c r="D444">
        <x:v>5</x:v>
      </x:c>
      <x:c r="E444" t="s">
        <x:v>257</x:v>
      </x:c>
      <x:c r="F444" t="s">
        <x:v>97</x:v>
      </x:c>
      <x:c r="G444">
        <x:v>41462</x:v>
      </x:c>
      <x:c r="H444" t="s">
        <x:v>2185</x:v>
      </x:c>
      <x:c r="I444" t="s">
        <x:v>2186</x:v>
      </x:c>
      <x:c r="J444" t="s">
        <x:v>2187</x:v>
      </x:c>
    </x:row>
    <x:row r="445">
      <x:c r="A445" t="s">
        <x:v>2188</x:v>
      </x:c>
      <x:c r="B445" t="s">
        <x:v>2188</x:v>
      </x:c>
      <x:c r="C445" t="s">
        <x:v>2189</x:v>
      </x:c>
      <x:c r="D445">
        <x:v>4</x:v>
      </x:c>
      <x:c r="E445" t="s">
        <x:v>96</x:v>
      </x:c>
      <x:c r="F445" t="s">
        <x:v>97</x:v>
      </x:c>
      <x:c r="G445">
        <x:v>42933</x:v>
      </x:c>
      <x:c r="H445" t="s">
        <x:v>2190</x:v>
      </x:c>
      <x:c r="I445" t="s">
        <x:v>2191</x:v>
      </x:c>
      <x:c r="J445" t="s">
        <x:v>2192</x:v>
      </x:c>
    </x:row>
    <x:row r="446">
      <x:c r="A446" t="s">
        <x:v>2193</x:v>
      </x:c>
      <x:c r="B446" t="s">
        <x:v>2193</x:v>
      </x:c>
      <x:c r="C446" t="s">
        <x:v>2189</x:v>
      </x:c>
      <x:c r="D446">
        <x:v>4</x:v>
      </x:c>
      <x:c r="E446" t="s">
        <x:v>96</x:v>
      </x:c>
      <x:c r="F446" t="s">
        <x:v>97</x:v>
      </x:c>
      <x:c r="G446">
        <x:v>43305</x:v>
      </x:c>
      <x:c r="H446" t="s">
        <x:v>2194</x:v>
      </x:c>
      <x:c r="I446" t="s">
        <x:v>2195</x:v>
      </x:c>
      <x:c r="J446" t="s">
        <x:v>2196</x:v>
      </x:c>
    </x:row>
    <x:row r="447">
      <x:c r="A447" t="s">
        <x:v>2197</x:v>
      </x:c>
      <x:c r="B447" t="s">
        <x:v>2197</x:v>
      </x:c>
      <x:c r="C447" t="s">
        <x:v>2189</x:v>
      </x:c>
      <x:c r="D447">
        <x:v>4</x:v>
      </x:c>
      <x:c r="E447" t="s">
        <x:v>96</x:v>
      </x:c>
      <x:c r="F447" t="s">
        <x:v>97</x:v>
      </x:c>
      <x:c r="G447">
        <x:v>45710</x:v>
      </x:c>
      <x:c r="H447" t="s">
        <x:v>2198</x:v>
      </x:c>
      <x:c r="I447" t="s">
        <x:v>2199</x:v>
      </x:c>
      <x:c r="J447" t="s">
        <x:v>2200</x:v>
      </x:c>
    </x:row>
    <x:row r="448">
      <x:c r="A448" t="s">
        <x:v>2201</x:v>
      </x:c>
      <x:c r="B448" t="s">
        <x:v>2201</x:v>
      </x:c>
      <x:c r="C448" t="s">
        <x:v>2202</x:v>
      </x:c>
      <x:c r="D448">
        <x:v>1</x:v>
      </x:c>
      <x:c r="E448" t="s">
        <x:v>96</x:v>
      </x:c>
      <x:c r="F448" t="s">
        <x:v>97</x:v>
      </x:c>
      <x:c r="G448">
        <x:v>44362</x:v>
      </x:c>
      <x:c r="H448" t="s">
        <x:v>2203</x:v>
      </x:c>
      <x:c r="I448" t="s">
        <x:v>2204</x:v>
      </x:c>
      <x:c r="J448" t="s">
        <x:v>2205</x:v>
      </x:c>
    </x:row>
    <x:row r="449">
      <x:c r="A449" t="s">
        <x:v>2206</x:v>
      </x:c>
      <x:c r="B449" t="s">
        <x:v>2206</x:v>
      </x:c>
      <x:c r="C449" t="s">
        <x:v>292</x:v>
      </x:c>
      <x:c r="D449">
        <x:v>19</x:v>
      </x:c>
      <x:c r="E449" t="s">
        <x:v>198</x:v>
      </x:c>
      <x:c r="F449" t="s">
        <x:v>90</x:v>
      </x:c>
      <x:c r="G449">
        <x:v>46046</x:v>
      </x:c>
      <x:c r="H449" t="s">
        <x:v>2207</x:v>
      </x:c>
      <x:c r="I449" t="s">
        <x:v>2208</x:v>
      </x:c>
      <x:c r="J449" t="s">
        <x:v>2209</x:v>
      </x:c>
    </x:row>
    <x:row r="450">
      <x:c r="A450" t="s">
        <x:v>2210</x:v>
      </x:c>
      <x:c r="B450" t="s">
        <x:v>2210</x:v>
      </x:c>
      <x:c r="C450" t="s">
        <x:v>2211</x:v>
      </x:c>
      <x:c r="D450">
        <x:v>21</x:v>
      </x:c>
      <x:c r="E450" t="s">
        <x:v>89</x:v>
      </x:c>
      <x:c r="F450" t="s">
        <x:v>90</x:v>
      </x:c>
      <x:c r="G450">
        <x:v>43658</x:v>
      </x:c>
      <x:c r="H450" t="s">
        <x:v>2212</x:v>
      </x:c>
      <x:c r="I450" t="s">
        <x:v>2213</x:v>
      </x:c>
      <x:c r="J450" t="s">
        <x:v>2214</x:v>
      </x:c>
    </x:row>
    <x:row r="451">
      <x:c r="A451" t="s">
        <x:v>2215</x:v>
      </x:c>
      <x:c r="B451" t="s">
        <x:v>2215</x:v>
      </x:c>
      <x:c r="C451" t="s">
        <x:v>2216</x:v>
      </x:c>
      <x:c r="D451">
        <x:v>4</x:v>
      </x:c>
      <x:c r="E451" t="s">
        <x:v>103</x:v>
      </x:c>
      <x:c r="F451" t="s">
        <x:v>97</x:v>
      </x:c>
      <x:c r="G451">
        <x:v>42108</x:v>
      </x:c>
      <x:c r="H451" t="s">
        <x:v>2217</x:v>
      </x:c>
      <x:c r="I451" t="s">
        <x:v>2218</x:v>
      </x:c>
      <x:c r="J451" t="s">
        <x:v>2219</x:v>
      </x:c>
    </x:row>
    <x:row r="452">
      <x:c r="A452" t="s">
        <x:v>2220</x:v>
      </x:c>
      <x:c r="B452" t="s">
        <x:v>2220</x:v>
      </x:c>
      <x:c r="C452" t="s">
        <x:v>1102</x:v>
      </x:c>
      <x:c r="D452">
        <x:v>17</x:v>
      </x:c>
      <x:c r="E452" t="s">
        <x:v>96</x:v>
      </x:c>
      <x:c r="F452" t="s">
        <x:v>90</x:v>
      </x:c>
      <x:c r="G452">
        <x:v>45349</x:v>
      </x:c>
      <x:c r="H452" t="s">
        <x:v>2221</x:v>
      </x:c>
      <x:c r="I452" t="s">
        <x:v>2222</x:v>
      </x:c>
      <x:c r="J452" t="s">
        <x:v>2223</x:v>
      </x:c>
    </x:row>
    <x:row r="453">
      <x:c r="A453" t="s">
        <x:v>2224</x:v>
      </x:c>
      <x:c r="B453" t="s">
        <x:v>2224</x:v>
      </x:c>
      <x:c r="C453" t="s">
        <x:v>2225</x:v>
      </x:c>
      <x:c r="D453">
        <x:v>20</x:v>
      </x:c>
      <x:c r="E453" t="s">
        <x:v>198</x:v>
      </x:c>
      <x:c r="F453" t="s">
        <x:v>90</x:v>
      </x:c>
      <x:c r="G453">
        <x:v>44937</x:v>
      </x:c>
      <x:c r="H453" t="s">
        <x:v>2226</x:v>
      </x:c>
      <x:c r="I453" t="s">
        <x:v>2227</x:v>
      </x:c>
      <x:c r="J453" t="s">
        <x:v>2228</x:v>
      </x:c>
    </x:row>
    <x:row r="454">
      <x:c r="A454" t="s">
        <x:v>2229</x:v>
      </x:c>
      <x:c r="B454" t="s">
        <x:v>2229</x:v>
      </x:c>
      <x:c r="C454" t="s">
        <x:v>2179</x:v>
      </x:c>
      <x:c r="D454">
        <x:v>16</x:v>
      </x:c>
      <x:c r="E454" t="s">
        <x:v>114</x:v>
      </x:c>
      <x:c r="F454" t="s">
        <x:v>90</x:v>
      </x:c>
      <x:c r="G454">
        <x:v>44218</x:v>
      </x:c>
      <x:c r="H454" t="s">
        <x:v>2230</x:v>
      </x:c>
      <x:c r="I454" t="s">
        <x:v>2231</x:v>
      </x:c>
      <x:c r="J454" t="s">
        <x:v>2232</x:v>
      </x:c>
    </x:row>
    <x:row r="455">
      <x:c r="A455" t="s">
        <x:v>2233</x:v>
      </x:c>
      <x:c r="B455" t="s">
        <x:v>2233</x:v>
      </x:c>
      <x:c r="C455" t="s">
        <x:v>2234</x:v>
      </x:c>
      <x:c r="D455">
        <x:v>60</x:v>
      </x:c>
      <x:c r="E455" t="s">
        <x:v>103</x:v>
      </x:c>
      <x:c r="F455" t="s">
        <x:v>97</x:v>
      </x:c>
      <x:c r="G455">
        <x:v>41673</x:v>
      </x:c>
      <x:c r="H455" t="s">
        <x:v>2235</x:v>
      </x:c>
      <x:c r="I455" t="s">
        <x:v>2236</x:v>
      </x:c>
      <x:c r="J455" t="s">
        <x:v>2237</x:v>
      </x:c>
    </x:row>
    <x:row r="456">
      <x:c r="A456" t="s">
        <x:v>2238</x:v>
      </x:c>
      <x:c r="B456" t="s">
        <x:v>2238</x:v>
      </x:c>
      <x:c r="C456" t="s">
        <x:v>2058</x:v>
      </x:c>
      <x:c r="D456">
        <x:v>5</x:v>
      </x:c>
      <x:c r="E456" t="s">
        <x:v>114</x:v>
      </x:c>
      <x:c r="F456" t="s">
        <x:v>90</x:v>
      </x:c>
      <x:c r="G456">
        <x:v>45613</x:v>
      </x:c>
      <x:c r="H456" t="s">
        <x:v>2239</x:v>
      </x:c>
      <x:c r="I456" t="s">
        <x:v>2240</x:v>
      </x:c>
      <x:c r="J456" t="s">
        <x:v>2241</x:v>
      </x:c>
    </x:row>
    <x:row r="457">
      <x:c r="A457" t="s">
        <x:v>2242</x:v>
      </x:c>
      <x:c r="B457" t="s">
        <x:v>2242</x:v>
      </x:c>
      <x:c r="C457" t="s">
        <x:v>292</x:v>
      </x:c>
      <x:c r="D457">
        <x:v>0</x:v>
      </x:c>
      <x:c r="E457" t="s">
        <x:v>198</x:v>
      </x:c>
      <x:c r="F457" t="s">
        <x:v>90</x:v>
      </x:c>
      <x:c r="G457">
        <x:v>44963</x:v>
      </x:c>
      <x:c r="H457" t="s">
        <x:v>2243</x:v>
      </x:c>
      <x:c r="I457" t="s">
        <x:v>2244</x:v>
      </x:c>
      <x:c r="J457" t="s">
        <x:v>2245</x:v>
      </x:c>
    </x:row>
    <x:row r="458">
      <x:c r="A458" t="s">
        <x:v>2246</x:v>
      </x:c>
      <x:c r="B458" t="s">
        <x:v>2246</x:v>
      </x:c>
      <x:c r="C458" t="s">
        <x:v>2247</x:v>
      </x:c>
      <x:c r="D458">
        <x:v>11</x:v>
      </x:c>
      <x:c r="E458" t="s">
        <x:v>198</x:v>
      </x:c>
      <x:c r="F458" t="s">
        <x:v>90</x:v>
      </x:c>
      <x:c r="G458">
        <x:v>46105</x:v>
      </x:c>
      <x:c r="H458" t="s">
        <x:v>2248</x:v>
      </x:c>
      <x:c r="I458" t="s">
        <x:v>2249</x:v>
      </x:c>
      <x:c r="J458" t="s">
        <x:v>2250</x:v>
      </x:c>
    </x:row>
    <x:row r="459">
      <x:c r="A459" t="s">
        <x:v>2251</x:v>
      </x:c>
      <x:c r="B459" t="s">
        <x:v>2251</x:v>
      </x:c>
      <x:c r="C459" t="s">
        <x:v>2252</x:v>
      </x:c>
      <x:c r="D459">
        <x:v>15</x:v>
      </x:c>
      <x:c r="E459" t="s">
        <x:v>89</x:v>
      </x:c>
      <x:c r="F459" t="s">
        <x:v>90</x:v>
      </x:c>
      <x:c r="G459">
        <x:v>44522</x:v>
      </x:c>
      <x:c r="H459" t="s">
        <x:v>2253</x:v>
      </x:c>
      <x:c r="I459" t="s">
        <x:v>2254</x:v>
      </x:c>
      <x:c r="J459" t="s">
        <x:v>2255</x:v>
      </x:c>
    </x:row>
    <x:row r="460">
      <x:c r="A460" t="s">
        <x:v>2256</x:v>
      </x:c>
      <x:c r="B460" t="s">
        <x:v>2256</x:v>
      </x:c>
      <x:c r="C460" t="s">
        <x:v>2257</x:v>
      </x:c>
      <x:c r="D460">
        <x:v>5</x:v>
      </x:c>
      <x:c r="E460" t="s">
        <x:v>198</x:v>
      </x:c>
      <x:c r="F460" t="s">
        <x:v>90</x:v>
      </x:c>
      <x:c r="G460">
        <x:v>45931</x:v>
      </x:c>
      <x:c r="H460" t="s">
        <x:v>2258</x:v>
      </x:c>
      <x:c r="I460" t="s">
        <x:v>2259</x:v>
      </x:c>
      <x:c r="J460" t="s">
        <x:v>2260</x:v>
      </x:c>
    </x:row>
    <x:row r="461">
      <x:c r="A461" t="s">
        <x:v>2261</x:v>
      </x:c>
      <x:c r="B461" t="s">
        <x:v>2261</x:v>
      </x:c>
      <x:c r="C461" t="s">
        <x:v>2262</x:v>
      </x:c>
      <x:c r="D461">
        <x:v>2</x:v>
      </x:c>
      <x:c r="E461" t="s">
        <x:v>96</x:v>
      </x:c>
      <x:c r="F461" t="s">
        <x:v>97</x:v>
      </x:c>
      <x:c r="G461">
        <x:v>42003</x:v>
      </x:c>
      <x:c r="H461" t="s">
        <x:v>2263</x:v>
      </x:c>
      <x:c r="I461" t="s">
        <x:v>2264</x:v>
      </x:c>
      <x:c r="J461" t="s">
        <x:v>2265</x:v>
      </x:c>
    </x:row>
    <x:row r="462">
      <x:c r="A462" t="s">
        <x:v>2266</x:v>
      </x:c>
      <x:c r="B462" t="s">
        <x:v>2266</x:v>
      </x:c>
      <x:c r="C462" t="s">
        <x:v>2267</x:v>
      </x:c>
      <x:c r="D462">
        <x:v>25</x:v>
      </x:c>
      <x:c r="E462" t="s">
        <x:v>89</x:v>
      </x:c>
      <x:c r="F462" t="s">
        <x:v>90</x:v>
      </x:c>
      <x:c r="G462">
        <x:v>44417</x:v>
      </x:c>
      <x:c r="H462" t="s">
        <x:v>2268</x:v>
      </x:c>
      <x:c r="I462" t="s">
        <x:v>2269</x:v>
      </x:c>
      <x:c r="J462" t="s">
        <x:v>2270</x:v>
      </x:c>
    </x:row>
    <x:row r="463">
      <x:c r="A463" t="s">
        <x:v>2271</x:v>
      </x:c>
      <x:c r="B463" t="s">
        <x:v>2271</x:v>
      </x:c>
      <x:c r="C463" t="s">
        <x:v>2272</x:v>
      </x:c>
      <x:c r="D463">
        <x:v>4</x:v>
      </x:c>
      <x:c r="E463" t="s">
        <x:v>89</x:v>
      </x:c>
      <x:c r="F463" t="s">
        <x:v>90</x:v>
      </x:c>
      <x:c r="G463">
        <x:v>43534</x:v>
      </x:c>
      <x:c r="H463" t="s">
        <x:v>2273</x:v>
      </x:c>
      <x:c r="I463" t="s">
        <x:v>2274</x:v>
      </x:c>
      <x:c r="J463" t="s">
        <x:v>2275</x:v>
      </x:c>
    </x:row>
    <x:row r="464">
      <x:c r="A464" t="s">
        <x:v>2276</x:v>
      </x:c>
      <x:c r="B464" t="s">
        <x:v>2276</x:v>
      </x:c>
      <x:c r="C464" t="s">
        <x:v>2277</x:v>
      </x:c>
      <x:c r="D464">
        <x:v>11</x:v>
      </x:c>
      <x:c r="E464" t="s">
        <x:v>114</x:v>
      </x:c>
      <x:c r="F464" t="s">
        <x:v>90</x:v>
      </x:c>
      <x:c r="G464">
        <x:v>42124</x:v>
      </x:c>
      <x:c r="H464" t="s">
        <x:v>2278</x:v>
      </x:c>
      <x:c r="I464" t="s">
        <x:v>2279</x:v>
      </x:c>
      <x:c r="J464" t="s">
        <x:v>2280</x:v>
      </x:c>
    </x:row>
    <x:row r="465">
      <x:c r="A465" t="s">
        <x:v>2281</x:v>
      </x:c>
      <x:c r="B465" t="s">
        <x:v>2281</x:v>
      </x:c>
      <x:c r="C465" t="s">
        <x:v>2282</x:v>
      </x:c>
      <x:c r="D465">
        <x:v>38</x:v>
      </x:c>
      <x:c r="E465" t="s">
        <x:v>89</x:v>
      </x:c>
      <x:c r="F465" t="s">
        <x:v>97</x:v>
      </x:c>
      <x:c r="G465">
        <x:v>43892</x:v>
      </x:c>
      <x:c r="H465" t="s">
        <x:v>2283</x:v>
      </x:c>
      <x:c r="I465" t="s">
        <x:v>2284</x:v>
      </x:c>
      <x:c r="J465" t="s">
        <x:v>2285</x:v>
      </x:c>
    </x:row>
    <x:row r="466">
      <x:c r="A466" t="s">
        <x:v>2286</x:v>
      </x:c>
      <x:c r="B466" t="s">
        <x:v>2286</x:v>
      </x:c>
      <x:c r="C466" t="s">
        <x:v>2287</x:v>
      </x:c>
      <x:c r="D466">
        <x:v>10</x:v>
      </x:c>
      <x:c r="E466" t="s">
        <x:v>114</x:v>
      </x:c>
      <x:c r="F466" t="s">
        <x:v>90</x:v>
      </x:c>
      <x:c r="G466">
        <x:v>45967</x:v>
      </x:c>
      <x:c r="H466" t="s">
        <x:v>2288</x:v>
      </x:c>
      <x:c r="I466" t="s">
        <x:v>2289</x:v>
      </x:c>
      <x:c r="J466" t="s">
        <x:v>2290</x:v>
      </x:c>
    </x:row>
    <x:row r="467">
      <x:c r="A467" t="s">
        <x:v>2291</x:v>
      </x:c>
      <x:c r="B467" t="s">
        <x:v>2291</x:v>
      </x:c>
      <x:c r="C467" t="s">
        <x:v>2292</x:v>
      </x:c>
      <x:c r="D467">
        <x:v>10</x:v>
      </x:c>
      <x:c r="E467" t="s">
        <x:v>89</x:v>
      </x:c>
      <x:c r="F467" t="s">
        <x:v>90</x:v>
      </x:c>
      <x:c r="G467">
        <x:v>44677</x:v>
      </x:c>
      <x:c r="H467" t="s">
        <x:v>2293</x:v>
      </x:c>
      <x:c r="I467" t="s">
        <x:v>2294</x:v>
      </x:c>
      <x:c r="J467" t="s">
        <x:v>2295</x:v>
      </x:c>
    </x:row>
    <x:row r="468">
      <x:c r="A468" t="s">
        <x:v>2296</x:v>
      </x:c>
      <x:c r="B468" t="s">
        <x:v>2296</x:v>
      </x:c>
      <x:c r="C468" t="s">
        <x:v>2297</x:v>
      </x:c>
      <x:c r="D468">
        <x:v>4</x:v>
      </x:c>
      <x:c r="E468" t="s">
        <x:v>103</x:v>
      </x:c>
      <x:c r="F468" t="s">
        <x:v>97</x:v>
      </x:c>
      <x:c r="G468">
        <x:v>44493</x:v>
      </x:c>
      <x:c r="H468" t="s">
        <x:v>2298</x:v>
      </x:c>
      <x:c r="I468" t="s">
        <x:v>2299</x:v>
      </x:c>
      <x:c r="J468" t="s">
        <x:v>2300</x:v>
      </x:c>
    </x:row>
    <x:row r="469">
      <x:c r="A469" t="s">
        <x:v>2301</x:v>
      </x:c>
      <x:c r="B469" t="s">
        <x:v>2301</x:v>
      </x:c>
      <x:c r="C469" t="s">
        <x:v>466</x:v>
      </x:c>
      <x:c r="D469">
        <x:v>7</x:v>
      </x:c>
      <x:c r="E469" t="s">
        <x:v>198</x:v>
      </x:c>
      <x:c r="F469" t="s">
        <x:v>90</x:v>
      </x:c>
      <x:c r="G469">
        <x:v>45144</x:v>
      </x:c>
      <x:c r="H469" t="s">
        <x:v>2302</x:v>
      </x:c>
      <x:c r="I469" t="s">
        <x:v>2303</x:v>
      </x:c>
      <x:c r="J469" t="s">
        <x:v>2304</x:v>
      </x:c>
    </x:row>
    <x:row r="470">
      <x:c r="A470" t="s">
        <x:v>2305</x:v>
      </x:c>
      <x:c r="B470" t="s">
        <x:v>2305</x:v>
      </x:c>
      <x:c r="C470" t="s">
        <x:v>2306</x:v>
      </x:c>
      <x:c r="D470">
        <x:v>1</x:v>
      </x:c>
      <x:c r="E470" t="s">
        <x:v>114</x:v>
      </x:c>
      <x:c r="F470" t="s">
        <x:v>126</x:v>
      </x:c>
      <x:c r="G470">
        <x:v>44087</x:v>
      </x:c>
      <x:c r="H470" t="s">
        <x:v>2307</x:v>
      </x:c>
      <x:c r="I470" t="s">
        <x:v>2308</x:v>
      </x:c>
      <x:c r="J470" t="s">
        <x:v>2309</x:v>
      </x:c>
    </x:row>
    <x:row r="471">
      <x:c r="A471" t="s">
        <x:v>2310</x:v>
      </x:c>
      <x:c r="B471" t="s">
        <x:v>2310</x:v>
      </x:c>
      <x:c r="C471" t="s">
        <x:v>2306</x:v>
      </x:c>
      <x:c r="D471">
        <x:v>3</x:v>
      </x:c>
      <x:c r="E471" t="s">
        <x:v>125</x:v>
      </x:c>
      <x:c r="F471" t="s">
        <x:v>126</x:v>
      </x:c>
      <x:c r="G471">
        <x:v>45816</x:v>
      </x:c>
      <x:c r="H471" t="s">
        <x:v>2311</x:v>
      </x:c>
      <x:c r="I471" t="s">
        <x:v>2312</x:v>
      </x:c>
      <x:c r="J471" t="s">
        <x:v>2313</x:v>
      </x:c>
    </x:row>
    <x:row r="472">
      <x:c r="A472" t="s">
        <x:v>2314</x:v>
      </x:c>
      <x:c r="B472" t="s">
        <x:v>2314</x:v>
      </x:c>
      <x:c r="C472" t="s">
        <x:v>629</x:v>
      </x:c>
      <x:c r="D472">
        <x:v>14</x:v>
      </x:c>
      <x:c r="E472" t="s">
        <x:v>96</x:v>
      </x:c>
      <x:c r="F472" t="s">
        <x:v>90</x:v>
      </x:c>
      <x:c r="G472">
        <x:v>45386</x:v>
      </x:c>
      <x:c r="H472" t="s">
        <x:v>2315</x:v>
      </x:c>
      <x:c r="I472" t="s">
        <x:v>2316</x:v>
      </x:c>
      <x:c r="J472" t="s">
        <x:v>2317</x:v>
      </x:c>
    </x:row>
    <x:row r="473">
      <x:c r="A473" t="s">
        <x:v>2318</x:v>
      </x:c>
      <x:c r="B473" t="s">
        <x:v>2318</x:v>
      </x:c>
      <x:c r="C473" t="s">
        <x:v>629</x:v>
      </x:c>
      <x:c r="D473">
        <x:v>16</x:v>
      </x:c>
      <x:c r="E473" t="s">
        <x:v>96</x:v>
      </x:c>
      <x:c r="F473" t="s">
        <x:v>90</x:v>
      </x:c>
      <x:c r="G473">
        <x:v>45572</x:v>
      </x:c>
      <x:c r="H473" t="s">
        <x:v>2319</x:v>
      </x:c>
      <x:c r="I473" t="s">
        <x:v>2320</x:v>
      </x:c>
      <x:c r="J473" t="s">
        <x:v>2321</x:v>
      </x:c>
    </x:row>
    <x:row r="474">
      <x:c r="A474" t="s">
        <x:v>2322</x:v>
      </x:c>
      <x:c r="B474" t="s">
        <x:v>2322</x:v>
      </x:c>
      <x:c r="C474" t="s">
        <x:v>629</x:v>
      </x:c>
      <x:c r="D474">
        <x:v>19</x:v>
      </x:c>
      <x:c r="E474" t="s">
        <x:v>89</x:v>
      </x:c>
      <x:c r="F474" t="s">
        <x:v>90</x:v>
      </x:c>
      <x:c r="G474">
        <x:v>45996</x:v>
      </x:c>
      <x:c r="H474" t="s">
        <x:v>2323</x:v>
      </x:c>
      <x:c r="I474" t="s">
        <x:v>2324</x:v>
      </x:c>
      <x:c r="J474" t="s">
        <x:v>2325</x:v>
      </x:c>
    </x:row>
    <x:row r="475">
      <x:c r="A475" t="s">
        <x:v>2326</x:v>
      </x:c>
      <x:c r="B475" t="s">
        <x:v>2326</x:v>
      </x:c>
      <x:c r="C475" t="s">
        <x:v>2327</x:v>
      </x:c>
      <x:c r="D475">
        <x:v>0</x:v>
      </x:c>
      <x:c r="E475" t="s">
        <x:v>96</x:v>
      </x:c>
      <x:c r="F475" t="s">
        <x:v>90</x:v>
      </x:c>
      <x:c r="G475">
        <x:v>46093</x:v>
      </x:c>
      <x:c r="H475" t="s">
        <x:v>2328</x:v>
      </x:c>
      <x:c r="I475" t="s">
        <x:v>2329</x:v>
      </x:c>
      <x:c r="J475" t="s">
        <x:v>2330</x:v>
      </x:c>
    </x:row>
    <x:row r="476">
      <x:c r="A476" t="s">
        <x:v>2331</x:v>
      </x:c>
      <x:c r="B476" t="s">
        <x:v>2331</x:v>
      </x:c>
      <x:c r="C476" t="s">
        <x:v>1427</x:v>
      </x:c>
      <x:c r="D476">
        <x:v>12</x:v>
      </x:c>
      <x:c r="E476" t="s">
        <x:v>96</x:v>
      </x:c>
      <x:c r="F476" t="s">
        <x:v>90</x:v>
      </x:c>
      <x:c r="G476">
        <x:v>45394</x:v>
      </x:c>
      <x:c r="H476" t="s">
        <x:v>2332</x:v>
      </x:c>
      <x:c r="I476" t="s">
        <x:v>2333</x:v>
      </x:c>
      <x:c r="J476" t="s">
        <x:v>2334</x:v>
      </x:c>
    </x:row>
    <x:row r="477">
      <x:c r="A477" t="s">
        <x:v>2335</x:v>
      </x:c>
      <x:c r="B477" t="s">
        <x:v>2335</x:v>
      </x:c>
      <x:c r="C477" t="s">
        <x:v>2336</x:v>
      </x:c>
      <x:c r="D477">
        <x:v>6</x:v>
      </x:c>
      <x:c r="E477" t="s">
        <x:v>257</x:v>
      </x:c>
      <x:c r="F477" t="s">
        <x:v>97</x:v>
      </x:c>
      <x:c r="G477">
        <x:v>42093</x:v>
      </x:c>
      <x:c r="H477" t="s">
        <x:v>2337</x:v>
      </x:c>
      <x:c r="I477" t="s">
        <x:v>2338</x:v>
      </x:c>
      <x:c r="J477" t="s">
        <x:v>2339</x:v>
      </x:c>
    </x:row>
    <x:row r="478">
      <x:c r="A478" t="s">
        <x:v>2340</x:v>
      </x:c>
      <x:c r="B478" t="s">
        <x:v>2340</x:v>
      </x:c>
      <x:c r="C478" t="s">
        <x:v>2341</x:v>
      </x:c>
      <x:c r="D478">
        <x:v>57</x:v>
      </x:c>
      <x:c r="E478" t="s">
        <x:v>198</x:v>
      </x:c>
      <x:c r="F478" t="s">
        <x:v>97</x:v>
      </x:c>
      <x:c r="G478">
        <x:v>45151</x:v>
      </x:c>
      <x:c r="H478" t="s">
        <x:v>2342</x:v>
      </x:c>
      <x:c r="I478" t="s">
        <x:v>2343</x:v>
      </x:c>
      <x:c r="J478" t="s">
        <x:v>2344</x:v>
      </x:c>
    </x:row>
    <x:row r="479">
      <x:c r="A479" t="s">
        <x:v>2345</x:v>
      </x:c>
      <x:c r="B479" t="s">
        <x:v>2345</x:v>
      </x:c>
      <x:c r="C479" t="s">
        <x:v>2346</x:v>
      </x:c>
      <x:c r="D479">
        <x:v>10</x:v>
      </x:c>
      <x:c r="E479" t="s">
        <x:v>89</x:v>
      </x:c>
      <x:c r="F479" t="s">
        <x:v>90</x:v>
      </x:c>
      <x:c r="G479">
        <x:v>45534</x:v>
      </x:c>
      <x:c r="H479" t="s">
        <x:v>2347</x:v>
      </x:c>
      <x:c r="I479" t="s">
        <x:v>2348</x:v>
      </x:c>
      <x:c r="J479" t="s">
        <x:v>2349</x:v>
      </x:c>
    </x:row>
    <x:row r="480">
      <x:c r="A480" t="s">
        <x:v>2350</x:v>
      </x:c>
      <x:c r="B480" t="s">
        <x:v>2350</x:v>
      </x:c>
      <x:c r="C480" t="s">
        <x:v>1841</x:v>
      </x:c>
      <x:c r="D480">
        <x:v>8</x:v>
      </x:c>
      <x:c r="E480" t="s">
        <x:v>198</x:v>
      </x:c>
      <x:c r="F480" t="s">
        <x:v>90</x:v>
      </x:c>
      <x:c r="G480">
        <x:v>45883</x:v>
      </x:c>
      <x:c r="H480" t="s">
        <x:v>2351</x:v>
      </x:c>
      <x:c r="I480" t="s">
        <x:v>2352</x:v>
      </x:c>
      <x:c r="J480" t="s">
        <x:v>2353</x:v>
      </x:c>
    </x:row>
    <x:row r="481">
      <x:c r="A481" t="s">
        <x:v>2354</x:v>
      </x:c>
      <x:c r="B481" t="s">
        <x:v>2354</x:v>
      </x:c>
      <x:c r="C481" t="s">
        <x:v>680</x:v>
      </x:c>
      <x:c r="D481">
        <x:v>50</x:v>
      </x:c>
      <x:c r="E481" t="s">
        <x:v>114</x:v>
      </x:c>
      <x:c r="F481" t="s">
        <x:v>152</x:v>
      </x:c>
      <x:c r="G481">
        <x:v>45457</x:v>
      </x:c>
      <x:c r="H481" t="s">
        <x:v>2355</x:v>
      </x:c>
      <x:c r="I481" t="s">
        <x:v>2356</x:v>
      </x:c>
      <x:c r="J481" t="s">
        <x:v>2357</x:v>
      </x:c>
    </x:row>
    <x:row r="482">
      <x:c r="A482" t="s">
        <x:v>2358</x:v>
      </x:c>
      <x:c r="B482" t="s">
        <x:v>2358</x:v>
      </x:c>
      <x:c r="C482" t="s">
        <x:v>1613</x:v>
      </x:c>
      <x:c r="D482">
        <x:v>19</x:v>
      </x:c>
      <x:c r="E482" t="s">
        <x:v>198</x:v>
      </x:c>
      <x:c r="F482" t="s">
        <x:v>90</x:v>
      </x:c>
      <x:c r="G482">
        <x:v>44940</x:v>
      </x:c>
      <x:c r="H482" t="s">
        <x:v>2359</x:v>
      </x:c>
      <x:c r="I482" t="s">
        <x:v>2360</x:v>
      </x:c>
      <x:c r="J482" t="s">
        <x:v>2361</x:v>
      </x:c>
    </x:row>
    <x:row r="483">
      <x:c r="A483" t="s">
        <x:v>2362</x:v>
      </x:c>
      <x:c r="B483" t="s">
        <x:v>2362</x:v>
      </x:c>
      <x:c r="C483" t="s">
        <x:v>2363</x:v>
      </x:c>
      <x:c r="D483">
        <x:v>10</x:v>
      </x:c>
      <x:c r="E483" t="s">
        <x:v>198</x:v>
      </x:c>
      <x:c r="F483" t="s">
        <x:v>90</x:v>
      </x:c>
      <x:c r="G483">
        <x:v>44291</x:v>
      </x:c>
      <x:c r="H483" t="s">
        <x:v>2364</x:v>
      </x:c>
      <x:c r="I483" t="s">
        <x:v>2365</x:v>
      </x:c>
      <x:c r="J483" t="s">
        <x:v>2366</x:v>
      </x:c>
    </x:row>
    <x:row r="484">
      <x:c r="A484" t="s">
        <x:v>2367</x:v>
      </x:c>
      <x:c r="B484" t="s">
        <x:v>2367</x:v>
      </x:c>
      <x:c r="C484" t="s">
        <x:v>2368</x:v>
      </x:c>
      <x:c r="D484">
        <x:v>8</x:v>
      </x:c>
      <x:c r="E484" t="s">
        <x:v>103</x:v>
      </x:c>
      <x:c r="F484" t="s">
        <x:v>97</x:v>
      </x:c>
      <x:c r="G484">
        <x:v>41856</x:v>
      </x:c>
      <x:c r="H484" t="s">
        <x:v>2369</x:v>
      </x:c>
      <x:c r="I484" t="s">
        <x:v>2370</x:v>
      </x:c>
      <x:c r="J484" t="s">
        <x:v>2371</x:v>
      </x:c>
    </x:row>
    <x:row r="485">
      <x:c r="A485" t="s">
        <x:v>2372</x:v>
      </x:c>
      <x:c r="B485" t="s">
        <x:v>2372</x:v>
      </x:c>
      <x:c r="C485" t="s">
        <x:v>2179</x:v>
      </x:c>
      <x:c r="D485">
        <x:v>13</x:v>
      </x:c>
      <x:c r="E485" t="s">
        <x:v>114</x:v>
      </x:c>
      <x:c r="F485" t="s">
        <x:v>90</x:v>
      </x:c>
      <x:c r="G485">
        <x:v>43538</x:v>
      </x:c>
      <x:c r="H485" t="s">
        <x:v>2373</x:v>
      </x:c>
      <x:c r="I485" t="s">
        <x:v>2374</x:v>
      </x:c>
      <x:c r="J485" t="s">
        <x:v>2375</x:v>
      </x:c>
    </x:row>
    <x:row r="486">
      <x:c r="A486" t="s">
        <x:v>2376</x:v>
      </x:c>
      <x:c r="B486" t="s">
        <x:v>2376</x:v>
      </x:c>
      <x:c r="C486" t="s">
        <x:v>2377</x:v>
      </x:c>
      <x:c r="D486">
        <x:v>11</x:v>
      </x:c>
      <x:c r="E486" t="s">
        <x:v>198</x:v>
      </x:c>
      <x:c r="F486" t="s">
        <x:v>90</x:v>
      </x:c>
      <x:c r="G486">
        <x:v>44694</x:v>
      </x:c>
      <x:c r="H486" t="s">
        <x:v>2378</x:v>
      </x:c>
      <x:c r="I486" t="s">
        <x:v>2379</x:v>
      </x:c>
      <x:c r="J486" t="s">
        <x:v>2380</x:v>
      </x:c>
    </x:row>
    <x:row r="487">
      <x:c r="A487" t="s">
        <x:v>2381</x:v>
      </x:c>
      <x:c r="B487" t="s">
        <x:v>2381</x:v>
      </x:c>
      <x:c r="C487" t="s">
        <x:v>2382</x:v>
      </x:c>
      <x:c r="D487">
        <x:v>12</x:v>
      </x:c>
      <x:c r="E487" t="s">
        <x:v>198</x:v>
      </x:c>
      <x:c r="F487" t="s">
        <x:v>90</x:v>
      </x:c>
      <x:c r="G487">
        <x:v>44462</x:v>
      </x:c>
      <x:c r="H487" t="s">
        <x:v>2383</x:v>
      </x:c>
      <x:c r="I487" t="s">
        <x:v>2384</x:v>
      </x:c>
      <x:c r="J487" t="s">
        <x:v>2385</x:v>
      </x:c>
    </x:row>
    <x:row r="488">
      <x:c r="A488" t="s">
        <x:v>2386</x:v>
      </x:c>
      <x:c r="B488" t="s">
        <x:v>2386</x:v>
      </x:c>
      <x:c r="C488" t="s">
        <x:v>379</x:v>
      </x:c>
      <x:c r="D488">
        <x:v>12</x:v>
      </x:c>
      <x:c r="E488" t="s">
        <x:v>198</x:v>
      </x:c>
      <x:c r="F488" t="s">
        <x:v>90</x:v>
      </x:c>
      <x:c r="G488">
        <x:v>44913</x:v>
      </x:c>
      <x:c r="H488" t="s">
        <x:v>2387</x:v>
      </x:c>
      <x:c r="I488" t="s">
        <x:v>2388</x:v>
      </x:c>
      <x:c r="J488" t="s">
        <x:v>2389</x:v>
      </x:c>
    </x:row>
    <x:row r="489">
      <x:c r="A489" t="s">
        <x:v>2390</x:v>
      </x:c>
      <x:c r="B489" t="s">
        <x:v>2390</x:v>
      </x:c>
      <x:c r="C489" t="s">
        <x:v>2391</x:v>
      </x:c>
      <x:c r="D489">
        <x:v>9</x:v>
      </x:c>
      <x:c r="E489" t="s">
        <x:v>198</x:v>
      </x:c>
      <x:c r="F489" t="s">
        <x:v>90</x:v>
      </x:c>
      <x:c r="G489">
        <x:v>45337</x:v>
      </x:c>
      <x:c r="H489" t="s">
        <x:v>2392</x:v>
      </x:c>
      <x:c r="I489" t="s">
        <x:v>2393</x:v>
      </x:c>
      <x:c r="J489" t="s">
        <x:v>2394</x:v>
      </x:c>
    </x:row>
    <x:row r="490">
      <x:c r="A490" t="s">
        <x:v>2395</x:v>
      </x:c>
      <x:c r="B490" t="s">
        <x:v>2395</x:v>
      </x:c>
      <x:c r="C490" t="s">
        <x:v>2396</x:v>
      </x:c>
      <x:c r="D490">
        <x:v>10</x:v>
      </x:c>
      <x:c r="E490" t="s">
        <x:v>198</x:v>
      </x:c>
      <x:c r="F490" t="s">
        <x:v>90</x:v>
      </x:c>
      <x:c r="G490">
        <x:v>44602</x:v>
      </x:c>
      <x:c r="H490" t="s">
        <x:v>2397</x:v>
      </x:c>
      <x:c r="I490" t="s">
        <x:v>2398</x:v>
      </x:c>
      <x:c r="J490" t="s">
        <x:v>2399</x:v>
      </x:c>
    </x:row>
    <x:row r="491">
      <x:c r="A491" t="s">
        <x:v>2400</x:v>
      </x:c>
      <x:c r="B491" t="s">
        <x:v>2400</x:v>
      </x:c>
      <x:c r="C491" t="s">
        <x:v>761</x:v>
      </x:c>
      <x:c r="D491">
        <x:v>16</x:v>
      </x:c>
      <x:c r="E491" t="s">
        <x:v>198</x:v>
      </x:c>
      <x:c r="F491" t="s">
        <x:v>90</x:v>
      </x:c>
      <x:c r="G491">
        <x:v>45143</x:v>
      </x:c>
      <x:c r="H491" t="s">
        <x:v>2401</x:v>
      </x:c>
      <x:c r="I491" t="s">
        <x:v>2402</x:v>
      </x:c>
      <x:c r="J491" t="s">
        <x:v>2403</x:v>
      </x:c>
    </x:row>
    <x:row r="492">
      <x:c r="A492" t="s">
        <x:v>2404</x:v>
      </x:c>
      <x:c r="B492" t="s">
        <x:v>2404</x:v>
      </x:c>
      <x:c r="C492" t="s">
        <x:v>2405</x:v>
      </x:c>
      <x:c r="D492">
        <x:v>7</x:v>
      </x:c>
      <x:c r="E492" t="s">
        <x:v>103</x:v>
      </x:c>
      <x:c r="F492" t="s">
        <x:v>97</x:v>
      </x:c>
      <x:c r="G492">
        <x:v>41667</x:v>
      </x:c>
      <x:c r="H492" t="s">
        <x:v>2406</x:v>
      </x:c>
      <x:c r="I492" t="s">
        <x:v>2407</x:v>
      </x:c>
      <x:c r="J492" t="s">
        <x:v>2408</x:v>
      </x:c>
    </x:row>
    <x:row r="493">
      <x:c r="A493" t="s">
        <x:v>2409</x:v>
      </x:c>
      <x:c r="B493" t="s">
        <x:v>2409</x:v>
      </x:c>
      <x:c r="C493" t="s">
        <x:v>2410</x:v>
      </x:c>
      <x:c r="D493">
        <x:v>8</x:v>
      </x:c>
      <x:c r="E493" t="s">
        <x:v>198</x:v>
      </x:c>
      <x:c r="F493" t="s">
        <x:v>90</x:v>
      </x:c>
      <x:c r="G493">
        <x:v>43999</x:v>
      </x:c>
      <x:c r="H493" t="s">
        <x:v>2411</x:v>
      </x:c>
      <x:c r="I493" t="s">
        <x:v>2412</x:v>
      </x:c>
      <x:c r="J493" t="s">
        <x:v>2413</x:v>
      </x:c>
    </x:row>
    <x:row r="494">
      <x:c r="A494" t="s">
        <x:v>56</x:v>
      </x:c>
      <x:c r="B494" t="s">
        <x:v>56</x:v>
      </x:c>
      <x:c r="C494" t="s">
        <x:v>2396</x:v>
      </x:c>
      <x:c r="D494">
        <x:v>21</x:v>
      </x:c>
      <x:c r="E494" t="s">
        <x:v>198</x:v>
      </x:c>
      <x:c r="F494" t="s">
        <x:v>90</x:v>
      </x:c>
      <x:c r="G494">
        <x:v>45654</x:v>
      </x:c>
      <x:c r="H494" t="s">
        <x:v>2414</x:v>
      </x:c>
      <x:c r="I494" t="s">
        <x:v>2415</x:v>
      </x:c>
      <x:c r="J494" t="s">
        <x:v>2416</x:v>
      </x:c>
    </x:row>
    <x:row r="495">
      <x:c r="A495" t="s">
        <x:v>2417</x:v>
      </x:c>
      <x:c r="B495" t="s">
        <x:v>2417</x:v>
      </x:c>
      <x:c r="C495" t="s">
        <x:v>2418</x:v>
      </x:c>
      <x:c r="D495">
        <x:v>8</x:v>
      </x:c>
      <x:c r="E495" t="s">
        <x:v>198</x:v>
      </x:c>
      <x:c r="F495" t="s">
        <x:v>90</x:v>
      </x:c>
      <x:c r="G495">
        <x:v>43789</x:v>
      </x:c>
      <x:c r="H495" t="s">
        <x:v>2419</x:v>
      </x:c>
      <x:c r="I495" t="s">
        <x:v>2420</x:v>
      </x:c>
      <x:c r="J495" t="s">
        <x:v>2421</x:v>
      </x:c>
    </x:row>
    <x:row r="496">
      <x:c r="A496" t="s">
        <x:v>2422</x:v>
      </x:c>
      <x:c r="B496" t="s">
        <x:v>2422</x:v>
      </x:c>
      <x:c r="C496" t="s">
        <x:v>1087</x:v>
      </x:c>
      <x:c r="D496">
        <x:v>13</x:v>
      </x:c>
      <x:c r="E496" t="s">
        <x:v>89</x:v>
      </x:c>
      <x:c r="F496" t="s">
        <x:v>90</x:v>
      </x:c>
      <x:c r="G496">
        <x:v>45126</x:v>
      </x:c>
      <x:c r="H496" t="s">
        <x:v>2423</x:v>
      </x:c>
      <x:c r="I496" t="s">
        <x:v>2424</x:v>
      </x:c>
      <x:c r="J496" t="s">
        <x:v>2425</x:v>
      </x:c>
    </x:row>
    <x:row r="497">
      <x:c r="A497" t="s">
        <x:v>2426</x:v>
      </x:c>
      <x:c r="B497" t="s">
        <x:v>2426</x:v>
      </x:c>
      <x:c r="C497" t="s">
        <x:v>2427</x:v>
      </x:c>
      <x:c r="D497">
        <x:v>9</x:v>
      </x:c>
      <x:c r="E497" t="s">
        <x:v>89</x:v>
      </x:c>
      <x:c r="F497" t="s">
        <x:v>90</x:v>
      </x:c>
      <x:c r="G497">
        <x:v>46071</x:v>
      </x:c>
      <x:c r="H497" t="s">
        <x:v>2428</x:v>
      </x:c>
      <x:c r="I497" t="s">
        <x:v>2429</x:v>
      </x:c>
      <x:c r="J497" t="s">
        <x:v>2430</x:v>
      </x:c>
    </x:row>
    <x:row r="498">
      <x:c r="A498" t="s">
        <x:v>2431</x:v>
      </x:c>
      <x:c r="B498" t="s">
        <x:v>2431</x:v>
      </x:c>
      <x:c r="C498" t="s">
        <x:v>2432</x:v>
      </x:c>
      <x:c r="D498">
        <x:v>4</x:v>
      </x:c>
      <x:c r="E498" t="s">
        <x:v>198</x:v>
      </x:c>
      <x:c r="F498" t="s">
        <x:v>90</x:v>
      </x:c>
      <x:c r="G498">
        <x:v>42950</x:v>
      </x:c>
      <x:c r="H498" t="s">
        <x:v>2433</x:v>
      </x:c>
      <x:c r="I498" t="s">
        <x:v>2434</x:v>
      </x:c>
      <x:c r="J498" t="s">
        <x:v>2435</x:v>
      </x:c>
    </x:row>
    <x:row r="499">
      <x:c r="A499" t="s">
        <x:v>2436</x:v>
      </x:c>
      <x:c r="B499" t="s">
        <x:v>2436</x:v>
      </x:c>
      <x:c r="C499" t="s">
        <x:v>2437</x:v>
      </x:c>
      <x:c r="D499">
        <x:v>5</x:v>
      </x:c>
      <x:c r="E499" t="s">
        <x:v>103</x:v>
      </x:c>
      <x:c r="F499" t="s">
        <x:v>97</x:v>
      </x:c>
      <x:c r="G499">
        <x:v>42657</x:v>
      </x:c>
      <x:c r="H499" t="s">
        <x:v>2438</x:v>
      </x:c>
      <x:c r="I499" t="s">
        <x:v>2439</x:v>
      </x:c>
      <x:c r="J499" t="s">
        <x:v>2440</x:v>
      </x:c>
    </x:row>
    <x:row r="500">
      <x:c r="A500" t="s">
        <x:v>2441</x:v>
      </x:c>
      <x:c r="B500" t="s">
        <x:v>2441</x:v>
      </x:c>
      <x:c r="C500" t="s">
        <x:v>1003</x:v>
      </x:c>
      <x:c r="D500">
        <x:v>10</x:v>
      </x:c>
      <x:c r="E500" t="s">
        <x:v>198</x:v>
      </x:c>
      <x:c r="F500" t="s">
        <x:v>90</x:v>
      </x:c>
      <x:c r="G500">
        <x:v>44755</x:v>
      </x:c>
      <x:c r="H500" t="s">
        <x:v>2442</x:v>
      </x:c>
      <x:c r="I500" t="s">
        <x:v>2443</x:v>
      </x:c>
      <x:c r="J500" t="s">
        <x:v>2444</x:v>
      </x:c>
    </x:row>
    <x:row r="501">
      <x:c r="A501" t="s">
        <x:v>2445</x:v>
      </x:c>
      <x:c r="B501" t="s">
        <x:v>2445</x:v>
      </x:c>
      <x:c r="C501" t="s">
        <x:v>2446</x:v>
      </x:c>
      <x:c r="D501">
        <x:v>12</x:v>
      </x:c>
      <x:c r="E501" t="s">
        <x:v>103</x:v>
      </x:c>
      <x:c r="F501" t="s">
        <x:v>97</x:v>
      </x:c>
      <x:c r="G501">
        <x:v>41535</x:v>
      </x:c>
      <x:c r="H501" t="s">
        <x:v>2447</x:v>
      </x:c>
      <x:c r="I501" t="s">
        <x:v>2448</x:v>
      </x:c>
      <x:c r="J501" t="s">
        <x:v>2449</x:v>
      </x:c>
    </x:row>
    <x:row r="502">
      <x:c r="A502" t="s">
        <x:v>2450</x:v>
      </x:c>
      <x:c r="B502" t="s">
        <x:v>2450</x:v>
      </x:c>
      <x:c r="C502" t="s">
        <x:v>2451</x:v>
      </x:c>
      <x:c r="D502">
        <x:v>7</x:v>
      </x:c>
      <x:c r="E502" t="s">
        <x:v>103</x:v>
      </x:c>
      <x:c r="F502" t="s">
        <x:v>97</x:v>
      </x:c>
      <x:c r="G502">
        <x:v>42058</x:v>
      </x:c>
      <x:c r="H502" t="s">
        <x:v>2452</x:v>
      </x:c>
      <x:c r="I502" t="s">
        <x:v>2453</x:v>
      </x:c>
      <x:c r="J502" t="s">
        <x:v>2454</x:v>
      </x:c>
    </x:row>
    <x:row r="503">
      <x:c r="A503" t="s">
        <x:v>2455</x:v>
      </x:c>
      <x:c r="B503" t="s">
        <x:v>2455</x:v>
      </x:c>
      <x:c r="C503" t="s">
        <x:v>1334</x:v>
      </x:c>
      <x:c r="D503">
        <x:v>10</x:v>
      </x:c>
      <x:c r="E503" t="s">
        <x:v>103</x:v>
      </x:c>
      <x:c r="F503" t="s">
        <x:v>97</x:v>
      </x:c>
      <x:c r="G503">
        <x:v>41885</x:v>
      </x:c>
      <x:c r="H503" t="s">
        <x:v>2456</x:v>
      </x:c>
      <x:c r="I503" t="s">
        <x:v>2457</x:v>
      </x:c>
      <x:c r="J503" t="s">
        <x:v>2458</x:v>
      </x:c>
    </x:row>
    <x:row r="504">
      <x:c r="A504" t="s">
        <x:v>2459</x:v>
      </x:c>
      <x:c r="B504" t="s">
        <x:v>2459</x:v>
      </x:c>
      <x:c r="C504" t="s">
        <x:v>282</x:v>
      </x:c>
      <x:c r="D504">
        <x:v>9</x:v>
      </x:c>
      <x:c r="E504" t="s">
        <x:v>96</x:v>
      </x:c>
      <x:c r="F504" t="s">
        <x:v>97</x:v>
      </x:c>
      <x:c r="G504">
        <x:v>45004</x:v>
      </x:c>
      <x:c r="H504" t="s">
        <x:v>2460</x:v>
      </x:c>
      <x:c r="I504" t="s">
        <x:v>2461</x:v>
      </x:c>
      <x:c r="J504" t="s">
        <x:v>2462</x:v>
      </x:c>
    </x:row>
    <x:row r="505">
      <x:c r="A505" t="s">
        <x:v>2463</x:v>
      </x:c>
      <x:c r="B505" t="s">
        <x:v>2463</x:v>
      </x:c>
      <x:c r="C505" t="s">
        <x:v>2451</x:v>
      </x:c>
      <x:c r="D505">
        <x:v>9</x:v>
      </x:c>
      <x:c r="E505" t="s">
        <x:v>103</x:v>
      </x:c>
      <x:c r="F505" t="s">
        <x:v>97</x:v>
      </x:c>
      <x:c r="G505">
        <x:v>42233</x:v>
      </x:c>
      <x:c r="H505" t="s">
        <x:v>2464</x:v>
      </x:c>
      <x:c r="I505" t="s">
        <x:v>2465</x:v>
      </x:c>
      <x:c r="J505" t="s">
        <x:v>2466</x:v>
      </x:c>
    </x:row>
    <x:row r="506">
      <x:c r="A506" t="s">
        <x:v>2467</x:v>
      </x:c>
      <x:c r="B506" t="s">
        <x:v>2467</x:v>
      </x:c>
      <x:c r="C506" t="s">
        <x:v>2468</x:v>
      </x:c>
      <x:c r="D506">
        <x:v>3</x:v>
      </x:c>
      <x:c r="E506" t="s">
        <x:v>103</x:v>
      </x:c>
      <x:c r="F506" t="s">
        <x:v>2469</x:v>
      </x:c>
      <x:c r="G506">
        <x:v>45958</x:v>
      </x:c>
      <x:c r="H506" t="s">
        <x:v>2470</x:v>
      </x:c>
      <x:c r="I506" t="s">
        <x:v>2471</x:v>
      </x:c>
      <x:c r="J506" t="s">
        <x:v>2472</x:v>
      </x:c>
    </x:row>
    <x:row r="507">
      <x:c r="A507" t="s">
        <x:v>2473</x:v>
      </x:c>
      <x:c r="B507" t="s">
        <x:v>2473</x:v>
      </x:c>
      <x:c r="C507" t="s">
        <x:v>1613</x:v>
      </x:c>
      <x:c r="D507">
        <x:v>11</x:v>
      </x:c>
      <x:c r="E507" t="s">
        <x:v>89</x:v>
      </x:c>
      <x:c r="F507" t="s">
        <x:v>90</x:v>
      </x:c>
      <x:c r="G507">
        <x:v>44763</x:v>
      </x:c>
      <x:c r="H507" t="s">
        <x:v>2474</x:v>
      </x:c>
      <x:c r="I507" t="s">
        <x:v>2475</x:v>
      </x:c>
      <x:c r="J507" t="s">
        <x:v>2476</x:v>
      </x:c>
    </x:row>
    <x:row r="508">
      <x:c r="A508" t="s">
        <x:v>2477</x:v>
      </x:c>
      <x:c r="B508" t="s">
        <x:v>2477</x:v>
      </x:c>
      <x:c r="C508" t="s">
        <x:v>2478</x:v>
      </x:c>
      <x:c r="D508">
        <x:v>63</x:v>
      </x:c>
      <x:c r="E508" t="s">
        <x:v>198</x:v>
      </x:c>
      <x:c r="F508" t="s">
        <x:v>97</x:v>
      </x:c>
      <x:c r="G508">
        <x:v>42230</x:v>
      </x:c>
      <x:c r="H508" t="s">
        <x:v>2479</x:v>
      </x:c>
      <x:c r="I508" t="s">
        <x:v>2480</x:v>
      </x:c>
      <x:c r="J508" t="s">
        <x:v>2481</x:v>
      </x:c>
    </x:row>
    <x:row r="509">
      <x:c r="A509" t="s">
        <x:v>2482</x:v>
      </x:c>
      <x:c r="B509" t="s">
        <x:v>2482</x:v>
      </x:c>
      <x:c r="C509" t="s">
        <x:v>2483</x:v>
      </x:c>
      <x:c r="D509">
        <x:v>6</x:v>
      </x:c>
      <x:c r="E509" t="s">
        <x:v>198</x:v>
      </x:c>
      <x:c r="F509" t="s">
        <x:v>90</x:v>
      </x:c>
      <x:c r="G509">
        <x:v>44861</x:v>
      </x:c>
      <x:c r="H509" t="s">
        <x:v>2484</x:v>
      </x:c>
      <x:c r="I509" t="s">
        <x:v>2485</x:v>
      </x:c>
      <x:c r="J509" t="s">
        <x:v>2486</x:v>
      </x:c>
    </x:row>
    <x:row r="510">
      <x:c r="A510" t="s">
        <x:v>2487</x:v>
      </x:c>
      <x:c r="B510" t="s">
        <x:v>2487</x:v>
      </x:c>
      <x:c r="C510" t="s">
        <x:v>2483</x:v>
      </x:c>
      <x:c r="D510">
        <x:v>7</x:v>
      </x:c>
      <x:c r="E510" t="s">
        <x:v>114</x:v>
      </x:c>
      <x:c r="F510" t="s">
        <x:v>90</x:v>
      </x:c>
      <x:c r="G510">
        <x:v>45389</x:v>
      </x:c>
      <x:c r="H510" t="s">
        <x:v>2488</x:v>
      </x:c>
      <x:c r="I510" t="s">
        <x:v>2489</x:v>
      </x:c>
      <x:c r="J510" t="s">
        <x:v>2490</x:v>
      </x:c>
    </x:row>
    <x:row r="511">
      <x:c r="A511" t="s">
        <x:v>2491</x:v>
      </x:c>
      <x:c r="B511" t="s">
        <x:v>2491</x:v>
      </x:c>
      <x:c r="C511" t="s">
        <x:v>533</x:v>
      </x:c>
      <x:c r="D511">
        <x:v>3</x:v>
      </x:c>
      <x:c r="E511" t="s">
        <x:v>89</x:v>
      </x:c>
      <x:c r="F511" t="s">
        <x:v>152</x:v>
      </x:c>
      <x:c r="G511">
        <x:v>45915</x:v>
      </x:c>
      <x:c r="H511" t="s">
        <x:v>2492</x:v>
      </x:c>
      <x:c r="I511" t="s">
        <x:v>2493</x:v>
      </x:c>
      <x:c r="J511" t="s">
        <x:v>2494</x:v>
      </x:c>
    </x:row>
    <x:row r="512">
      <x:c r="A512" t="s">
        <x:v>2495</x:v>
      </x:c>
      <x:c r="B512" t="s">
        <x:v>2495</x:v>
      </x:c>
      <x:c r="C512" t="s">
        <x:v>2496</x:v>
      </x:c>
      <x:c r="D512">
        <x:v>15</x:v>
      </x:c>
      <x:c r="E512" t="s">
        <x:v>96</x:v>
      </x:c>
      <x:c r="F512" t="s">
        <x:v>97</x:v>
      </x:c>
      <x:c r="G512">
        <x:v>42225</x:v>
      </x:c>
      <x:c r="H512" t="s">
        <x:v>2497</x:v>
      </x:c>
      <x:c r="I512" t="s">
        <x:v>2498</x:v>
      </x:c>
      <x:c r="J512" t="s">
        <x:v>2499</x:v>
      </x:c>
    </x:row>
    <x:row r="513">
      <x:c r="A513" t="s">
        <x:v>2500</x:v>
      </x:c>
      <x:c r="B513" t="s">
        <x:v>2500</x:v>
      </x:c>
      <x:c r="C513" t="s">
        <x:v>2501</x:v>
      </x:c>
      <x:c r="D513">
        <x:v>21</x:v>
      </x:c>
      <x:c r="E513" t="s">
        <x:v>198</x:v>
      </x:c>
      <x:c r="F513" t="s">
        <x:v>90</x:v>
      </x:c>
      <x:c r="G513">
        <x:v>43830</x:v>
      </x:c>
      <x:c r="H513" t="s">
        <x:v>2502</x:v>
      </x:c>
      <x:c r="I513" t="s">
        <x:v>2503</x:v>
      </x:c>
      <x:c r="J513" t="s">
        <x:v>2504</x:v>
      </x:c>
    </x:row>
    <x:row r="514">
      <x:c r="A514" t="s">
        <x:v>2505</x:v>
      </x:c>
      <x:c r="B514" t="s">
        <x:v>2505</x:v>
      </x:c>
      <x:c r="C514" t="s">
        <x:v>1102</x:v>
      </x:c>
      <x:c r="D514">
        <x:v>9</x:v>
      </x:c>
      <x:c r="E514" t="s">
        <x:v>198</x:v>
      </x:c>
      <x:c r="F514" t="s">
        <x:v>90</x:v>
      </x:c>
      <x:c r="G514">
        <x:v>46014</x:v>
      </x:c>
      <x:c r="H514" t="s">
        <x:v>2506</x:v>
      </x:c>
      <x:c r="I514" t="s">
        <x:v>2507</x:v>
      </x:c>
      <x:c r="J514" t="s">
        <x:v>2508</x:v>
      </x:c>
    </x:row>
    <x:row r="515">
      <x:c r="A515" t="s">
        <x:v>2509</x:v>
      </x:c>
      <x:c r="B515" t="s">
        <x:v>2509</x:v>
      </x:c>
      <x:c r="C515" t="s">
        <x:v>394</x:v>
      </x:c>
      <x:c r="D515">
        <x:v>24</x:v>
      </x:c>
      <x:c r="E515" t="s">
        <x:v>198</x:v>
      </x:c>
      <x:c r="F515" t="s">
        <x:v>90</x:v>
      </x:c>
      <x:c r="G515">
        <x:v>45713</x:v>
      </x:c>
      <x:c r="H515" t="s">
        <x:v>2510</x:v>
      </x:c>
      <x:c r="I515" t="s">
        <x:v>2511</x:v>
      </x:c>
      <x:c r="J515" t="s">
        <x:v>2512</x:v>
      </x:c>
    </x:row>
    <x:row r="516">
      <x:c r="A516" t="s">
        <x:v>2513</x:v>
      </x:c>
      <x:c r="B516" t="s">
        <x:v>2513</x:v>
      </x:c>
      <x:c r="C516" t="s">
        <x:v>2514</x:v>
      </x:c>
      <x:c r="D516">
        <x:v>10</x:v>
      </x:c>
      <x:c r="E516" t="s">
        <x:v>89</x:v>
      </x:c>
      <x:c r="F516" t="s">
        <x:v>90</x:v>
      </x:c>
      <x:c r="G516">
        <x:v>44439</x:v>
      </x:c>
      <x:c r="H516" t="s">
        <x:v>2515</x:v>
      </x:c>
      <x:c r="I516" t="s">
        <x:v>2516</x:v>
      </x:c>
      <x:c r="J516" t="s">
        <x:v>2517</x:v>
      </x:c>
    </x:row>
    <x:row r="517">
      <x:c r="A517" t="s">
        <x:v>2518</x:v>
      </x:c>
      <x:c r="B517" t="s">
        <x:v>2518</x:v>
      </x:c>
      <x:c r="C517" t="s">
        <x:v>2519</x:v>
      </x:c>
      <x:c r="D517">
        <x:v>1</x:v>
      </x:c>
      <x:c r="E517" t="s">
        <x:v>89</x:v>
      </x:c>
      <x:c r="F517" t="s">
        <x:v>610</x:v>
      </x:c>
      <x:c r="G517">
        <x:v>43290</x:v>
      </x:c>
      <x:c r="H517" t="s">
        <x:v>2520</x:v>
      </x:c>
      <x:c r="I517" t="s">
        <x:v>2521</x:v>
      </x:c>
      <x:c r="J517" t="s">
        <x:v>2522</x:v>
      </x:c>
    </x:row>
    <x:row r="518">
      <x:c r="A518" t="s">
        <x:v>2523</x:v>
      </x:c>
      <x:c r="B518" t="s">
        <x:v>2523</x:v>
      </x:c>
      <x:c r="C518" t="s">
        <x:v>2524</x:v>
      </x:c>
      <x:c r="D518">
        <x:v>29</x:v>
      </x:c>
      <x:c r="E518" t="s">
        <x:v>89</x:v>
      </x:c>
      <x:c r="F518" t="s">
        <x:v>90</x:v>
      </x:c>
      <x:c r="G518">
        <x:v>44016</x:v>
      </x:c>
      <x:c r="H518" t="s">
        <x:v>2525</x:v>
      </x:c>
      <x:c r="I518" t="s">
        <x:v>2526</x:v>
      </x:c>
      <x:c r="J518" t="s">
        <x:v>2527</x:v>
      </x:c>
    </x:row>
    <x:row r="519">
      <x:c r="A519" t="s">
        <x:v>2528</x:v>
      </x:c>
      <x:c r="B519" t="s">
        <x:v>2528</x:v>
      </x:c>
      <x:c r="C519" t="s">
        <x:v>2529</x:v>
      </x:c>
      <x:c r="D519">
        <x:v>5</x:v>
      </x:c>
      <x:c r="E519" t="s">
        <x:v>103</x:v>
      </x:c>
      <x:c r="F519" t="s">
        <x:v>97</x:v>
      </x:c>
      <x:c r="G519">
        <x:v>42658</x:v>
      </x:c>
      <x:c r="H519" t="s">
        <x:v>2530</x:v>
      </x:c>
      <x:c r="I519" t="s">
        <x:v>2531</x:v>
      </x:c>
      <x:c r="J519" t="s">
        <x:v>2532</x:v>
      </x:c>
    </x:row>
    <x:row r="520">
      <x:c r="A520" t="s">
        <x:v>2533</x:v>
      </x:c>
      <x:c r="B520" t="s">
        <x:v>2533</x:v>
      </x:c>
      <x:c r="C520" t="s">
        <x:v>213</x:v>
      </x:c>
      <x:c r="D520">
        <x:v>15</x:v>
      </x:c>
      <x:c r="E520" t="s">
        <x:v>96</x:v>
      </x:c>
      <x:c r="F520" t="s">
        <x:v>90</x:v>
      </x:c>
      <x:c r="G520">
        <x:v>44510</x:v>
      </x:c>
      <x:c r="H520" t="s">
        <x:v>2534</x:v>
      </x:c>
      <x:c r="I520" t="s">
        <x:v>2535</x:v>
      </x:c>
      <x:c r="J520" t="s">
        <x:v>2536</x:v>
      </x:c>
    </x:row>
    <x:row r="521">
      <x:c r="A521" t="s">
        <x:v>2537</x:v>
      </x:c>
      <x:c r="B521" t="s">
        <x:v>2537</x:v>
      </x:c>
      <x:c r="C521" t="s">
        <x:v>2538</x:v>
      </x:c>
      <x:c r="D521">
        <x:v>12</x:v>
      </x:c>
      <x:c r="E521" t="s">
        <x:v>96</x:v>
      </x:c>
      <x:c r="F521" t="s">
        <x:v>97</x:v>
      </x:c>
      <x:c r="G521">
        <x:v>42104</x:v>
      </x:c>
      <x:c r="H521" t="s">
        <x:v>2539</x:v>
      </x:c>
      <x:c r="I521" t="s">
        <x:v>2540</x:v>
      </x:c>
      <x:c r="J521" t="s">
        <x:v>2541</x:v>
      </x:c>
    </x:row>
    <x:row r="522">
      <x:c r="A522" t="s">
        <x:v>2542</x:v>
      </x:c>
      <x:c r="B522" t="s">
        <x:v>2542</x:v>
      </x:c>
      <x:c r="C522" t="s">
        <x:v>2543</x:v>
      </x:c>
      <x:c r="D522">
        <x:v>9</x:v>
      </x:c>
      <x:c r="E522" t="s">
        <x:v>89</x:v>
      </x:c>
      <x:c r="F522" t="s">
        <x:v>610</x:v>
      </x:c>
      <x:c r="G522">
        <x:v>43514</x:v>
      </x:c>
      <x:c r="H522" t="s">
        <x:v>2544</x:v>
      </x:c>
      <x:c r="I522" t="s">
        <x:v>2545</x:v>
      </x:c>
      <x:c r="J522" t="s">
        <x:v>2546</x:v>
      </x:c>
    </x:row>
    <x:row r="523">
      <x:c r="A523" t="s">
        <x:v>2547</x:v>
      </x:c>
      <x:c r="B523" t="s">
        <x:v>2547</x:v>
      </x:c>
      <x:c r="C523" t="s">
        <x:v>2548</x:v>
      </x:c>
      <x:c r="D523">
        <x:v>27</x:v>
      </x:c>
      <x:c r="E523" t="s">
        <x:v>114</x:v>
      </x:c>
      <x:c r="F523" t="s">
        <x:v>90</x:v>
      </x:c>
      <x:c r="G523">
        <x:v>44916</x:v>
      </x:c>
      <x:c r="H523" t="s">
        <x:v>2549</x:v>
      </x:c>
      <x:c r="I523" t="s">
        <x:v>2550</x:v>
      </x:c>
      <x:c r="J523" t="s">
        <x:v>2551</x:v>
      </x:c>
    </x:row>
    <x:row r="524">
      <x:c r="A524" t="s">
        <x:v>2552</x:v>
      </x:c>
      <x:c r="B524" t="s">
        <x:v>2552</x:v>
      </x:c>
      <x:c r="C524" t="s">
        <x:v>2156</x:v>
      </x:c>
      <x:c r="D524">
        <x:v>19</x:v>
      </x:c>
      <x:c r="E524" t="s">
        <x:v>96</x:v>
      </x:c>
      <x:c r="F524" t="s">
        <x:v>97</x:v>
      </x:c>
      <x:c r="G524">
        <x:v>44120</x:v>
      </x:c>
      <x:c r="H524" t="s">
        <x:v>2553</x:v>
      </x:c>
      <x:c r="I524" t="s">
        <x:v>2554</x:v>
      </x:c>
      <x:c r="J524" t="s">
        <x:v>2555</x:v>
      </x:c>
    </x:row>
    <x:row r="525">
      <x:c r="A525" t="s">
        <x:v>2556</x:v>
      </x:c>
      <x:c r="B525" t="s">
        <x:v>2556</x:v>
      </x:c>
      <x:c r="C525" t="s">
        <x:v>2557</x:v>
      </x:c>
      <x:c r="D525">
        <x:v>21</x:v>
      </x:c>
      <x:c r="E525" t="s">
        <x:v>114</x:v>
      </x:c>
      <x:c r="F525" t="s">
        <x:v>90</x:v>
      </x:c>
      <x:c r="G525">
        <x:v>45447</x:v>
      </x:c>
      <x:c r="H525" t="s">
        <x:v>2558</x:v>
      </x:c>
      <x:c r="I525" t="s">
        <x:v>2559</x:v>
      </x:c>
      <x:c r="J525" t="s">
        <x:v>2560</x:v>
      </x:c>
    </x:row>
    <x:row r="526">
      <x:c r="A526" t="s">
        <x:v>2561</x:v>
      </x:c>
      <x:c r="B526" t="s">
        <x:v>2561</x:v>
      </x:c>
      <x:c r="C526" t="s">
        <x:v>2562</x:v>
      </x:c>
      <x:c r="D526">
        <x:v>10</x:v>
      </x:c>
      <x:c r="E526" t="s">
        <x:v>114</x:v>
      </x:c>
      <x:c r="F526" t="s">
        <x:v>90</x:v>
      </x:c>
      <x:c r="G526">
        <x:v>45071</x:v>
      </x:c>
      <x:c r="H526" t="s">
        <x:v>2563</x:v>
      </x:c>
      <x:c r="I526" t="s">
        <x:v>2564</x:v>
      </x:c>
      <x:c r="J526" t="s">
        <x:v>2565</x:v>
      </x:c>
    </x:row>
    <x:row r="527">
      <x:c r="A527" t="s">
        <x:v>2566</x:v>
      </x:c>
      <x:c r="B527" t="s">
        <x:v>2566</x:v>
      </x:c>
      <x:c r="C527" t="s">
        <x:v>2567</x:v>
      </x:c>
      <x:c r="D527">
        <x:v>5</x:v>
      </x:c>
      <x:c r="E527" t="s">
        <x:v>198</x:v>
      </x:c>
      <x:c r="F527" t="s">
        <x:v>90</x:v>
      </x:c>
      <x:c r="G527">
        <x:v>44398</x:v>
      </x:c>
      <x:c r="H527" t="s">
        <x:v>2568</x:v>
      </x:c>
      <x:c r="I527" t="s">
        <x:v>2569</x:v>
      </x:c>
      <x:c r="J527" t="s">
        <x:v>2570</x:v>
      </x:c>
    </x:row>
    <x:row r="528">
      <x:c r="A528" t="s">
        <x:v>2571</x:v>
      </x:c>
      <x:c r="B528" t="s">
        <x:v>2571</x:v>
      </x:c>
      <x:c r="C528" t="s">
        <x:v>1417</x:v>
      </x:c>
      <x:c r="D528">
        <x:v>24</x:v>
      </x:c>
      <x:c r="E528" t="s">
        <x:v>96</x:v>
      </x:c>
      <x:c r="F528" t="s">
        <x:v>90</x:v>
      </x:c>
      <x:c r="G528">
        <x:v>45664</x:v>
      </x:c>
      <x:c r="H528" t="s">
        <x:v>2572</x:v>
      </x:c>
      <x:c r="I528" t="s">
        <x:v>2573</x:v>
      </x:c>
      <x:c r="J528" t="s">
        <x:v>2574</x:v>
      </x:c>
    </x:row>
    <x:row r="529">
      <x:c r="A529" t="s">
        <x:v>2575</x:v>
      </x:c>
      <x:c r="B529" t="s">
        <x:v>2575</x:v>
      </x:c>
      <x:c r="C529" t="s">
        <x:v>609</x:v>
      </x:c>
      <x:c r="D529">
        <x:v>1</x:v>
      </x:c>
      <x:c r="E529" t="s">
        <x:v>198</x:v>
      </x:c>
      <x:c r="F529" t="s">
        <x:v>90</x:v>
      </x:c>
      <x:c r="G529">
        <x:v>44302</x:v>
      </x:c>
      <x:c r="H529" t="s">
        <x:v>2576</x:v>
      </x:c>
      <x:c r="I529" t="s">
        <x:v>2577</x:v>
      </x:c>
      <x:c r="J529" t="s">
        <x:v>2578</x:v>
      </x:c>
    </x:row>
    <x:row r="530">
      <x:c r="A530" t="s">
        <x:v>2579</x:v>
      </x:c>
      <x:c r="B530" t="s">
        <x:v>2579</x:v>
      </x:c>
      <x:c r="C530" t="s">
        <x:v>2580</x:v>
      </x:c>
      <x:c r="D530">
        <x:v>11</x:v>
      </x:c>
      <x:c r="E530" t="s">
        <x:v>89</x:v>
      </x:c>
      <x:c r="F530" t="s">
        <x:v>90</x:v>
      </x:c>
      <x:c r="G530">
        <x:v>45244</x:v>
      </x:c>
      <x:c r="H530" t="s">
        <x:v>2581</x:v>
      </x:c>
      <x:c r="I530" t="s">
        <x:v>2582</x:v>
      </x:c>
      <x:c r="J530" t="s">
        <x:v>2583</x:v>
      </x:c>
    </x:row>
    <x:row r="531">
      <x:c r="A531" t="s">
        <x:v>2584</x:v>
      </x:c>
      <x:c r="B531" t="s">
        <x:v>2584</x:v>
      </x:c>
      <x:c r="C531" t="s">
        <x:v>2585</x:v>
      </x:c>
      <x:c r="D531">
        <x:v>60</x:v>
      </x:c>
      <x:c r="E531" t="s">
        <x:v>103</x:v>
      </x:c>
      <x:c r="F531" t="s">
        <x:v>97</x:v>
      </x:c>
      <x:c r="G531">
        <x:v>42217</x:v>
      </x:c>
      <x:c r="H531" t="s">
        <x:v>2586</x:v>
      </x:c>
      <x:c r="I531" t="s">
        <x:v>2587</x:v>
      </x:c>
      <x:c r="J531" t="s">
        <x:v>2588</x:v>
      </x:c>
    </x:row>
    <x:row r="532">
      <x:c r="A532" t="s">
        <x:v>2589</x:v>
      </x:c>
      <x:c r="B532" t="s">
        <x:v>2589</x:v>
      </x:c>
      <x:c r="C532" t="s">
        <x:v>2590</x:v>
      </x:c>
      <x:c r="D532">
        <x:v>19</x:v>
      </x:c>
      <x:c r="E532" t="s">
        <x:v>114</x:v>
      </x:c>
      <x:c r="F532" t="s">
        <x:v>90</x:v>
      </x:c>
      <x:c r="G532">
        <x:v>44320</x:v>
      </x:c>
      <x:c r="H532" t="s">
        <x:v>2591</x:v>
      </x:c>
      <x:c r="I532" t="s">
        <x:v>2592</x:v>
      </x:c>
      <x:c r="J532" t="s">
        <x:v>2593</x:v>
      </x:c>
    </x:row>
    <x:row r="533">
      <x:c r="A533" t="s">
        <x:v>2594</x:v>
      </x:c>
      <x:c r="B533" t="s">
        <x:v>2594</x:v>
      </x:c>
      <x:c r="C533" t="s">
        <x:v>2595</x:v>
      </x:c>
      <x:c r="D533">
        <x:v>5</x:v>
      </x:c>
      <x:c r="E533" t="s">
        <x:v>103</x:v>
      </x:c>
      <x:c r="F533" t="s">
        <x:v>97</x:v>
      </x:c>
      <x:c r="G533">
        <x:v>43470</x:v>
      </x:c>
      <x:c r="H533" t="s">
        <x:v>2596</x:v>
      </x:c>
      <x:c r="I533" t="s">
        <x:v>2597</x:v>
      </x:c>
      <x:c r="J533" t="s">
        <x:v>2598</x:v>
      </x:c>
    </x:row>
    <x:row r="534">
      <x:c r="A534" t="s">
        <x:v>2599</x:v>
      </x:c>
      <x:c r="B534" t="s">
        <x:v>2599</x:v>
      </x:c>
      <x:c r="C534" t="s">
        <x:v>685</x:v>
      </x:c>
      <x:c r="D534">
        <x:v>11</x:v>
      </x:c>
      <x:c r="E534" t="s">
        <x:v>89</x:v>
      </x:c>
      <x:c r="F534" t="s">
        <x:v>90</x:v>
      </x:c>
      <x:c r="G534">
        <x:v>45603</x:v>
      </x:c>
      <x:c r="H534" t="s">
        <x:v>2600</x:v>
      </x:c>
      <x:c r="I534" t="s">
        <x:v>2601</x:v>
      </x:c>
      <x:c r="J534" t="s">
        <x:v>2602</x:v>
      </x:c>
    </x:row>
    <x:row r="535">
      <x:c r="A535" t="s">
        <x:v>2603</x:v>
      </x:c>
      <x:c r="B535" t="s">
        <x:v>2603</x:v>
      </x:c>
      <x:c r="C535" t="s">
        <x:v>2604</x:v>
      </x:c>
      <x:c r="D535">
        <x:v>14</x:v>
      </x:c>
      <x:c r="E535" t="s">
        <x:v>103</x:v>
      </x:c>
      <x:c r="F535" t="s">
        <x:v>97</x:v>
      </x:c>
      <x:c r="G535">
        <x:v>42914</x:v>
      </x:c>
      <x:c r="H535" t="s">
        <x:v>2605</x:v>
      </x:c>
      <x:c r="I535" t="s">
        <x:v>2606</x:v>
      </x:c>
      <x:c r="J535" t="s">
        <x:v>2607</x:v>
      </x:c>
    </x:row>
    <x:row r="536">
      <x:c r="A536" t="s">
        <x:v>2608</x:v>
      </x:c>
      <x:c r="B536" t="s">
        <x:v>2608</x:v>
      </x:c>
      <x:c r="C536" t="s">
        <x:v>2609</x:v>
      </x:c>
      <x:c r="D536">
        <x:v>7</x:v>
      </x:c>
      <x:c r="E536" t="s">
        <x:v>114</x:v>
      </x:c>
      <x:c r="F536" t="s">
        <x:v>90</x:v>
      </x:c>
      <x:c r="G536">
        <x:v>44460</x:v>
      </x:c>
      <x:c r="H536" t="s">
        <x:v>2610</x:v>
      </x:c>
      <x:c r="I536" t="s">
        <x:v>2611</x:v>
      </x:c>
      <x:c r="J536" t="s">
        <x:v>2612</x:v>
      </x:c>
    </x:row>
    <x:row r="537">
      <x:c r="A537" t="s">
        <x:v>2613</x:v>
      </x:c>
      <x:c r="B537" t="s">
        <x:v>2613</x:v>
      </x:c>
      <x:c r="C537" t="s">
        <x:v>2614</x:v>
      </x:c>
      <x:c r="D537">
        <x:v>2</x:v>
      </x:c>
      <x:c r="E537" t="s">
        <x:v>89</x:v>
      </x:c>
      <x:c r="F537" t="s">
        <x:v>97</x:v>
      </x:c>
      <x:c r="G537">
        <x:v>42519</x:v>
      </x:c>
      <x:c r="H537" t="s">
        <x:v>2615</x:v>
      </x:c>
      <x:c r="I537" t="s">
        <x:v>2616</x:v>
      </x:c>
      <x:c r="J537" t="s">
        <x:v>2617</x:v>
      </x:c>
    </x:row>
    <x:row r="538">
      <x:c r="A538" t="s">
        <x:v>2618</x:v>
      </x:c>
      <x:c r="B538" t="s">
        <x:v>2618</x:v>
      </x:c>
      <x:c r="C538" t="s">
        <x:v>2619</x:v>
      </x:c>
      <x:c r="D538">
        <x:v>11</x:v>
      </x:c>
      <x:c r="E538" t="s">
        <x:v>89</x:v>
      </x:c>
      <x:c r="F538" t="s">
        <x:v>90</x:v>
      </x:c>
      <x:c r="G538">
        <x:v>45153</x:v>
      </x:c>
      <x:c r="H538" t="s">
        <x:v>2620</x:v>
      </x:c>
      <x:c r="I538" t="s">
        <x:v>2621</x:v>
      </x:c>
      <x:c r="J538" t="s">
        <x:v>2622</x:v>
      </x:c>
    </x:row>
    <x:row r="539">
      <x:c r="A539" t="s">
        <x:v>2623</x:v>
      </x:c>
      <x:c r="B539" t="s">
        <x:v>2623</x:v>
      </x:c>
      <x:c r="C539" t="s">
        <x:v>2624</x:v>
      </x:c>
      <x:c r="D539">
        <x:v>6</x:v>
      </x:c>
      <x:c r="E539" t="s">
        <x:v>114</x:v>
      </x:c>
      <x:c r="F539" t="s">
        <x:v>90</x:v>
      </x:c>
      <x:c r="G539">
        <x:v>43468</x:v>
      </x:c>
      <x:c r="H539" t="s">
        <x:v>2625</x:v>
      </x:c>
      <x:c r="I539" t="s">
        <x:v>2626</x:v>
      </x:c>
      <x:c r="J539" t="s">
        <x:v>2627</x:v>
      </x:c>
    </x:row>
    <x:row r="540">
      <x:c r="A540" t="s">
        <x:v>2628</x:v>
      </x:c>
      <x:c r="B540" t="s">
        <x:v>2628</x:v>
      </x:c>
      <x:c r="C540" t="s">
        <x:v>2629</x:v>
      </x:c>
      <x:c r="D540">
        <x:v>7</x:v>
      </x:c>
      <x:c r="E540" t="s">
        <x:v>114</x:v>
      </x:c>
      <x:c r="F540" t="s">
        <x:v>90</x:v>
      </x:c>
      <x:c r="G540">
        <x:v>44587</x:v>
      </x:c>
      <x:c r="H540" t="s">
        <x:v>2630</x:v>
      </x:c>
      <x:c r="I540" t="s">
        <x:v>2631</x:v>
      </x:c>
      <x:c r="J540" t="s">
        <x:v>2632</x:v>
      </x:c>
    </x:row>
    <x:row r="541">
      <x:c r="A541" t="s">
        <x:v>2633</x:v>
      </x:c>
      <x:c r="B541" t="s">
        <x:v>2633</x:v>
      </x:c>
      <x:c r="C541" t="s">
        <x:v>2634</x:v>
      </x:c>
      <x:c r="D541">
        <x:v>25</x:v>
      </x:c>
      <x:c r="E541" t="s">
        <x:v>89</x:v>
      </x:c>
      <x:c r="F541" t="s">
        <x:v>90</x:v>
      </x:c>
      <x:c r="G541">
        <x:v>44687</x:v>
      </x:c>
      <x:c r="H541" t="s">
        <x:v>2635</x:v>
      </x:c>
      <x:c r="I541" t="s">
        <x:v>2636</x:v>
      </x:c>
      <x:c r="J541" t="s">
        <x:v>2637</x:v>
      </x:c>
    </x:row>
    <x:row r="542">
      <x:c r="A542" t="s">
        <x:v>2638</x:v>
      </x:c>
      <x:c r="B542" t="s">
        <x:v>2638</x:v>
      </x:c>
      <x:c r="C542" t="s">
        <x:v>2282</x:v>
      </x:c>
      <x:c r="D542">
        <x:v>13</x:v>
      </x:c>
      <x:c r="E542" t="s">
        <x:v>198</x:v>
      </x:c>
      <x:c r="F542" t="s">
        <x:v>90</x:v>
      </x:c>
      <x:c r="G542">
        <x:v>45166</x:v>
      </x:c>
      <x:c r="H542" t="s">
        <x:v>2639</x:v>
      </x:c>
      <x:c r="I542" t="s">
        <x:v>2640</x:v>
      </x:c>
      <x:c r="J542" t="s">
        <x:v>2641</x:v>
      </x:c>
    </x:row>
    <x:row r="543">
      <x:c r="A543" t="s">
        <x:v>2642</x:v>
      </x:c>
      <x:c r="B543" t="s">
        <x:v>2642</x:v>
      </x:c>
      <x:c r="C543" t="s">
        <x:v>680</x:v>
      </x:c>
      <x:c r="D543">
        <x:v>0</x:v>
      </x:c>
      <x:c r="E543" t="s">
        <x:v>114</x:v>
      </x:c>
      <x:c r="F543" t="s">
        <x:v>90</x:v>
      </x:c>
      <x:c r="G543">
        <x:v>44581</x:v>
      </x:c>
      <x:c r="H543" t="s">
        <x:v>2643</x:v>
      </x:c>
      <x:c r="I543" t="s">
        <x:v>2644</x:v>
      </x:c>
      <x:c r="J543" t="s">
        <x:v>2645</x:v>
      </x:c>
    </x:row>
    <x:row r="544">
      <x:c r="A544" t="s">
        <x:v>2646</x:v>
      </x:c>
      <x:c r="B544" t="s">
        <x:v>2646</x:v>
      </x:c>
      <x:c r="C544" t="s">
        <x:v>491</x:v>
      </x:c>
      <x:c r="D544">
        <x:v>11</x:v>
      </x:c>
      <x:c r="E544" t="s">
        <x:v>89</x:v>
      </x:c>
      <x:c r="F544" t="s">
        <x:v>90</x:v>
      </x:c>
      <x:c r="G544">
        <x:v>44921</x:v>
      </x:c>
      <x:c r="H544" t="s">
        <x:v>2647</x:v>
      </x:c>
      <x:c r="I544" t="s">
        <x:v>2648</x:v>
      </x:c>
      <x:c r="J544" t="s">
        <x:v>2649</x:v>
      </x:c>
    </x:row>
    <x:row r="545">
      <x:c r="A545" t="s">
        <x:v>2650</x:v>
      </x:c>
      <x:c r="B545" t="s">
        <x:v>2650</x:v>
      </x:c>
      <x:c r="C545" t="s">
        <x:v>2651</x:v>
      </x:c>
      <x:c r="D545">
        <x:v>9</x:v>
      </x:c>
      <x:c r="E545" t="s">
        <x:v>96</x:v>
      </x:c>
      <x:c r="F545" t="s">
        <x:v>97</x:v>
      </x:c>
      <x:c r="G545">
        <x:v>44436</x:v>
      </x:c>
      <x:c r="H545" t="s">
        <x:v>2652</x:v>
      </x:c>
      <x:c r="I545" t="s">
        <x:v>2653</x:v>
      </x:c>
      <x:c r="J545" t="s">
        <x:v>2654</x:v>
      </x:c>
    </x:row>
    <x:row r="546">
      <x:c r="A546" t="s">
        <x:v>2655</x:v>
      </x:c>
      <x:c r="B546" t="s">
        <x:v>2655</x:v>
      </x:c>
      <x:c r="C546" t="s">
        <x:v>2656</x:v>
      </x:c>
      <x:c r="D546">
        <x:v>10</x:v>
      </x:c>
      <x:c r="E546" t="s">
        <x:v>89</x:v>
      </x:c>
      <x:c r="F546" t="s">
        <x:v>90</x:v>
      </x:c>
      <x:c r="G546">
        <x:v>43950</x:v>
      </x:c>
      <x:c r="H546" t="s">
        <x:v>2657</x:v>
      </x:c>
      <x:c r="I546" t="s">
        <x:v>2658</x:v>
      </x:c>
      <x:c r="J546" t="s">
        <x:v>2659</x:v>
      </x:c>
    </x:row>
    <x:row r="547">
      <x:c r="A547" t="s">
        <x:v>2660</x:v>
      </x:c>
      <x:c r="B547" t="s">
        <x:v>2660</x:v>
      </x:c>
      <x:c r="C547" t="s">
        <x:v>2661</x:v>
      </x:c>
      <x:c r="D547">
        <x:v>17</x:v>
      </x:c>
      <x:c r="E547" t="s">
        <x:v>89</x:v>
      </x:c>
      <x:c r="F547" t="s">
        <x:v>90</x:v>
      </x:c>
      <x:c r="G547">
        <x:v>45531</x:v>
      </x:c>
      <x:c r="H547" t="s">
        <x:v>2662</x:v>
      </x:c>
      <x:c r="I547" t="s">
        <x:v>2663</x:v>
      </x:c>
      <x:c r="J547" t="s">
        <x:v>2664</x:v>
      </x:c>
    </x:row>
    <x:row r="548">
      <x:c r="A548" t="s">
        <x:v>2665</x:v>
      </x:c>
      <x:c r="B548" t="s">
        <x:v>2665</x:v>
      </x:c>
      <x:c r="C548" t="s">
        <x:v>2661</x:v>
      </x:c>
      <x:c r="D548">
        <x:v>17</x:v>
      </x:c>
      <x:c r="E548" t="s">
        <x:v>96</x:v>
      </x:c>
      <x:c r="F548" t="s">
        <x:v>90</x:v>
      </x:c>
      <x:c r="G548">
        <x:v>45531</x:v>
      </x:c>
      <x:c r="H548" t="s">
        <x:v>2666</x:v>
      </x:c>
      <x:c r="I548" t="s">
        <x:v>2667</x:v>
      </x:c>
      <x:c r="J548" t="s">
        <x:v>2668</x:v>
      </x:c>
    </x:row>
    <x:row r="549">
      <x:c r="A549" t="s">
        <x:v>2669</x:v>
      </x:c>
      <x:c r="B549" t="s">
        <x:v>2669</x:v>
      </x:c>
      <x:c r="C549" t="s">
        <x:v>119</x:v>
      </x:c>
      <x:c r="D549">
        <x:v>15</x:v>
      </x:c>
      <x:c r="E549" t="s">
        <x:v>89</x:v>
      </x:c>
      <x:c r="F549" t="s">
        <x:v>90</x:v>
      </x:c>
      <x:c r="G549">
        <x:v>45716</x:v>
      </x:c>
      <x:c r="H549" t="s">
        <x:v>2670</x:v>
      </x:c>
      <x:c r="I549" t="s">
        <x:v>2671</x:v>
      </x:c>
      <x:c r="J549" t="s">
        <x:v>2672</x:v>
      </x:c>
    </x:row>
    <x:row r="550">
      <x:c r="A550" t="s">
        <x:v>2673</x:v>
      </x:c>
      <x:c r="B550" t="s">
        <x:v>2673</x:v>
      </x:c>
      <x:c r="C550" t="s">
        <x:v>2202</x:v>
      </x:c>
      <x:c r="D550">
        <x:v>92</x:v>
      </x:c>
      <x:c r="E550" t="s">
        <x:v>89</x:v>
      </x:c>
      <x:c r="F550" t="s">
        <x:v>97</x:v>
      </x:c>
      <x:c r="G550">
        <x:v>46104</x:v>
      </x:c>
      <x:c r="H550" t="s">
        <x:v>2674</x:v>
      </x:c>
      <x:c r="I550" t="s">
        <x:v>2675</x:v>
      </x:c>
      <x:c r="J550" t="s">
        <x:v>2676</x:v>
      </x:c>
    </x:row>
    <x:row r="551">
      <x:c r="A551" t="s">
        <x:v>2677</x:v>
      </x:c>
      <x:c r="B551" t="s">
        <x:v>2677</x:v>
      </x:c>
      <x:c r="C551" t="s">
        <x:v>533</x:v>
      </x:c>
      <x:c r="D551">
        <x:v>9</x:v>
      </x:c>
      <x:c r="E551" t="s">
        <x:v>96</x:v>
      </x:c>
      <x:c r="F551" t="s">
        <x:v>152</x:v>
      </x:c>
      <x:c r="G551">
        <x:v>45780</x:v>
      </x:c>
      <x:c r="H551" t="s">
        <x:v>2678</x:v>
      </x:c>
      <x:c r="I551" t="s">
        <x:v>2679</x:v>
      </x:c>
      <x:c r="J551" t="s">
        <x:v>2680</x:v>
      </x:c>
    </x:row>
    <x:row r="552">
      <x:c r="A552" t="s">
        <x:v>2681</x:v>
      </x:c>
      <x:c r="B552" t="s">
        <x:v>2681</x:v>
      </x:c>
      <x:c r="C552" t="s">
        <x:v>2682</x:v>
      </x:c>
      <x:c r="D552">
        <x:v>1</x:v>
      </x:c>
      <x:c r="E552" t="s">
        <x:v>114</x:v>
      </x:c>
      <x:c r="F552" t="s">
        <x:v>90</x:v>
      </x:c>
      <x:c r="G552">
        <x:v>45299</x:v>
      </x:c>
      <x:c r="H552" t="s">
        <x:v>2683</x:v>
      </x:c>
      <x:c r="I552" t="s">
        <x:v>2684</x:v>
      </x:c>
      <x:c r="J552" t="s">
        <x:v>2685</x:v>
      </x:c>
    </x:row>
    <x:row r="553">
      <x:c r="A553" t="s">
        <x:v>2686</x:v>
      </x:c>
      <x:c r="B553" t="s">
        <x:v>2686</x:v>
      </x:c>
      <x:c r="C553" t="s">
        <x:v>146</x:v>
      </x:c>
      <x:c r="D553">
        <x:v>15</x:v>
      </x:c>
      <x:c r="E553" t="s">
        <x:v>198</x:v>
      </x:c>
      <x:c r="F553" t="s">
        <x:v>90</x:v>
      </x:c>
      <x:c r="G553">
        <x:v>44795</x:v>
      </x:c>
      <x:c r="H553" t="s">
        <x:v>2687</x:v>
      </x:c>
      <x:c r="I553" t="s">
        <x:v>2688</x:v>
      </x:c>
      <x:c r="J553" t="s">
        <x:v>2689</x:v>
      </x:c>
    </x:row>
    <x:row r="554">
      <x:c r="A554" t="s">
        <x:v>2690</x:v>
      </x:c>
      <x:c r="B554" t="s">
        <x:v>2690</x:v>
      </x:c>
      <x:c r="C554" t="s">
        <x:v>2691</x:v>
      </x:c>
      <x:c r="D554">
        <x:v>11</x:v>
      </x:c>
      <x:c r="E554" t="s">
        <x:v>103</x:v>
      </x:c>
      <x:c r="F554" t="s">
        <x:v>97</x:v>
      </x:c>
      <x:c r="G554">
        <x:v>42093</x:v>
      </x:c>
      <x:c r="H554" t="s">
        <x:v>2692</x:v>
      </x:c>
      <x:c r="I554" t="s">
        <x:v>2693</x:v>
      </x:c>
      <x:c r="J554" t="s">
        <x:v>2694</x:v>
      </x:c>
    </x:row>
    <x:row r="555">
      <x:c r="A555" t="s">
        <x:v>2695</x:v>
      </x:c>
      <x:c r="B555" t="s">
        <x:v>2695</x:v>
      </x:c>
      <x:c r="C555" t="s">
        <x:v>1660</x:v>
      </x:c>
      <x:c r="D555">
        <x:v>14</x:v>
      </x:c>
      <x:c r="E555" t="s">
        <x:v>89</x:v>
      </x:c>
      <x:c r="F555" t="s">
        <x:v>90</x:v>
      </x:c>
      <x:c r="G555">
        <x:v>45448</x:v>
      </x:c>
      <x:c r="H555" t="s">
        <x:v>2696</x:v>
      </x:c>
      <x:c r="I555" t="s">
        <x:v>2697</x:v>
      </x:c>
      <x:c r="J555" t="s">
        <x:v>2698</x:v>
      </x:c>
    </x:row>
    <x:row r="556">
      <x:c r="A556" t="s">
        <x:v>2699</x:v>
      </x:c>
      <x:c r="B556" t="s">
        <x:v>2699</x:v>
      </x:c>
      <x:c r="C556" t="s">
        <x:v>1660</x:v>
      </x:c>
      <x:c r="D556">
        <x:v>36</x:v>
      </x:c>
      <x:c r="E556" t="s">
        <x:v>198</x:v>
      </x:c>
      <x:c r="F556" t="s">
        <x:v>90</x:v>
      </x:c>
      <x:c r="G556">
        <x:v>46050</x:v>
      </x:c>
      <x:c r="H556" t="s">
        <x:v>2700</x:v>
      </x:c>
      <x:c r="I556" t="s">
        <x:v>2701</x:v>
      </x:c>
      <x:c r="J556" t="s">
        <x:v>2702</x:v>
      </x:c>
    </x:row>
    <x:row r="557">
      <x:c r="A557" t="s">
        <x:v>2703</x:v>
      </x:c>
      <x:c r="B557" t="s">
        <x:v>2703</x:v>
      </x:c>
      <x:c r="C557" t="s">
        <x:v>2704</x:v>
      </x:c>
      <x:c r="D557">
        <x:v>11</x:v>
      </x:c>
      <x:c r="E557" t="s">
        <x:v>198</x:v>
      </x:c>
      <x:c r="F557" t="s">
        <x:v>90</x:v>
      </x:c>
      <x:c r="G557">
        <x:v>43892</x:v>
      </x:c>
      <x:c r="H557" t="s">
        <x:v>2705</x:v>
      </x:c>
      <x:c r="I557" t="s">
        <x:v>2706</x:v>
      </x:c>
      <x:c r="J557" t="s">
        <x:v>2707</x:v>
      </x:c>
    </x:row>
    <x:row r="558">
      <x:c r="A558" t="s">
        <x:v>2708</x:v>
      </x:c>
      <x:c r="B558" t="s">
        <x:v>2708</x:v>
      </x:c>
      <x:c r="C558" t="s">
        <x:v>2709</x:v>
      </x:c>
      <x:c r="D558">
        <x:v>14</x:v>
      </x:c>
      <x:c r="E558" t="s">
        <x:v>198</x:v>
      </x:c>
      <x:c r="F558" t="s">
        <x:v>90</x:v>
      </x:c>
      <x:c r="G558">
        <x:v>45898</x:v>
      </x:c>
      <x:c r="H558" t="s">
        <x:v>2710</x:v>
      </x:c>
      <x:c r="I558" t="s">
        <x:v>2711</x:v>
      </x:c>
      <x:c r="J558" t="s">
        <x:v>2712</x:v>
      </x:c>
    </x:row>
    <x:row r="559">
      <x:c r="A559" t="s">
        <x:v>2713</x:v>
      </x:c>
      <x:c r="B559" t="s">
        <x:v>2713</x:v>
      </x:c>
      <x:c r="C559" t="s">
        <x:v>2714</x:v>
      </x:c>
      <x:c r="D559">
        <x:v>5</x:v>
      </x:c>
      <x:c r="E559" t="s">
        <x:v>103</x:v>
      </x:c>
      <x:c r="F559" t="s">
        <x:v>97</x:v>
      </x:c>
      <x:c r="G559">
        <x:v>42441</x:v>
      </x:c>
      <x:c r="H559" t="s">
        <x:v>2715</x:v>
      </x:c>
      <x:c r="I559" t="s">
        <x:v>2716</x:v>
      </x:c>
      <x:c r="J559" t="s">
        <x:v>2717</x:v>
      </x:c>
    </x:row>
    <x:row r="560">
      <x:c r="A560" t="s">
        <x:v>2718</x:v>
      </x:c>
      <x:c r="B560" t="s">
        <x:v>2718</x:v>
      </x:c>
      <x:c r="C560" t="s">
        <x:v>246</x:v>
      </x:c>
      <x:c r="D560">
        <x:v>22</x:v>
      </x:c>
      <x:c r="E560" t="s">
        <x:v>198</x:v>
      </x:c>
      <x:c r="F560" t="s">
        <x:v>90</x:v>
      </x:c>
      <x:c r="G560">
        <x:v>45450</x:v>
      </x:c>
      <x:c r="H560" t="s">
        <x:v>2719</x:v>
      </x:c>
      <x:c r="I560" t="s">
        <x:v>2720</x:v>
      </x:c>
      <x:c r="J560" t="s">
        <x:v>2721</x:v>
      </x:c>
    </x:row>
    <x:row r="561">
      <x:c r="A561" t="s">
        <x:v>2722</x:v>
      </x:c>
      <x:c r="B561" t="s">
        <x:v>2722</x:v>
      </x:c>
      <x:c r="C561" t="s">
        <x:v>2723</x:v>
      </x:c>
      <x:c r="D561">
        <x:v>13</x:v>
      </x:c>
      <x:c r="E561" t="s">
        <x:v>89</x:v>
      </x:c>
      <x:c r="F561" t="s">
        <x:v>90</x:v>
      </x:c>
      <x:c r="G561">
        <x:v>44388</x:v>
      </x:c>
      <x:c r="H561" t="s">
        <x:v>2724</x:v>
      </x:c>
      <x:c r="I561" t="s">
        <x:v>2725</x:v>
      </x:c>
      <x:c r="J561" t="s">
        <x:v>2726</x:v>
      </x:c>
    </x:row>
    <x:row r="562">
      <x:c r="A562" t="s">
        <x:v>2727</x:v>
      </x:c>
      <x:c r="B562" t="s">
        <x:v>2727</x:v>
      </x:c>
      <x:c r="C562" t="s">
        <x:v>2728</x:v>
      </x:c>
      <x:c r="D562">
        <x:v>19</x:v>
      </x:c>
      <x:c r="E562" t="s">
        <x:v>198</x:v>
      </x:c>
      <x:c r="F562" t="s">
        <x:v>90</x:v>
      </x:c>
      <x:c r="G562">
        <x:v>45539</x:v>
      </x:c>
      <x:c r="H562" t="s">
        <x:v>2729</x:v>
      </x:c>
      <x:c r="I562" t="s">
        <x:v>2730</x:v>
      </x:c>
      <x:c r="J562" t="s">
        <x:v>2731</x:v>
      </x:c>
    </x:row>
    <x:row r="563">
      <x:c r="A563" t="s">
        <x:v>2732</x:v>
      </x:c>
      <x:c r="B563" t="s">
        <x:v>2732</x:v>
      </x:c>
      <x:c r="C563" t="s">
        <x:v>1209</x:v>
      </x:c>
      <x:c r="D563">
        <x:v>7</x:v>
      </x:c>
      <x:c r="E563" t="s">
        <x:v>198</x:v>
      </x:c>
      <x:c r="F563" t="s">
        <x:v>90</x:v>
      </x:c>
      <x:c r="G563">
        <x:v>44363</x:v>
      </x:c>
      <x:c r="H563" t="s">
        <x:v>2733</x:v>
      </x:c>
      <x:c r="I563" t="s">
        <x:v>2734</x:v>
      </x:c>
      <x:c r="J563" t="s">
        <x:v>2735</x:v>
      </x:c>
    </x:row>
    <x:row r="564">
      <x:c r="A564" t="s">
        <x:v>2736</x:v>
      </x:c>
      <x:c r="B564" t="s">
        <x:v>2736</x:v>
      </x:c>
      <x:c r="C564" t="s">
        <x:v>2737</x:v>
      </x:c>
      <x:c r="D564">
        <x:v>30</x:v>
      </x:c>
      <x:c r="E564" t="s">
        <x:v>198</x:v>
      </x:c>
      <x:c r="F564" t="s">
        <x:v>90</x:v>
      </x:c>
      <x:c r="G564">
        <x:v>45984</x:v>
      </x:c>
      <x:c r="H564" t="s">
        <x:v>2738</x:v>
      </x:c>
      <x:c r="I564" t="s">
        <x:v>2739</x:v>
      </x:c>
      <x:c r="J564" t="s">
        <x:v>2740</x:v>
      </x:c>
    </x:row>
    <x:row r="565">
      <x:c r="A565" t="s">
        <x:v>2741</x:v>
      </x:c>
      <x:c r="B565" t="s">
        <x:v>2741</x:v>
      </x:c>
      <x:c r="C565" t="s">
        <x:v>2742</x:v>
      </x:c>
      <x:c r="D565">
        <x:v>23</x:v>
      </x:c>
      <x:c r="E565" t="s">
        <x:v>89</x:v>
      </x:c>
      <x:c r="F565" t="s">
        <x:v>90</x:v>
      </x:c>
      <x:c r="G565">
        <x:v>44133</x:v>
      </x:c>
      <x:c r="H565" t="s">
        <x:v>2743</x:v>
      </x:c>
      <x:c r="I565" t="s">
        <x:v>2744</x:v>
      </x:c>
      <x:c r="J565" t="s">
        <x:v>2745</x:v>
      </x:c>
    </x:row>
    <x:row r="566">
      <x:c r="A566" t="s">
        <x:v>2746</x:v>
      </x:c>
      <x:c r="B566" t="s">
        <x:v>2746</x:v>
      </x:c>
      <x:c r="C566" t="s">
        <x:v>2179</x:v>
      </x:c>
      <x:c r="D566">
        <x:v>8</x:v>
      </x:c>
      <x:c r="E566" t="s">
        <x:v>114</x:v>
      </x:c>
      <x:c r="F566" t="s">
        <x:v>90</x:v>
      </x:c>
      <x:c r="G566">
        <x:v>43348</x:v>
      </x:c>
      <x:c r="H566" t="s">
        <x:v>2747</x:v>
      </x:c>
      <x:c r="I566" t="s">
        <x:v>2748</x:v>
      </x:c>
      <x:c r="J566" t="s">
        <x:v>2749</x:v>
      </x:c>
    </x:row>
    <x:row r="567">
      <x:c r="A567" t="s">
        <x:v>2750</x:v>
      </x:c>
      <x:c r="B567" t="s">
        <x:v>2750</x:v>
      </x:c>
      <x:c r="C567" t="s">
        <x:v>2751</x:v>
      </x:c>
      <x:c r="D567">
        <x:v>21</x:v>
      </x:c>
      <x:c r="E567" t="s">
        <x:v>198</x:v>
      </x:c>
      <x:c r="F567" t="s">
        <x:v>90</x:v>
      </x:c>
      <x:c r="G567">
        <x:v>44923</x:v>
      </x:c>
      <x:c r="H567" t="s">
        <x:v>2752</x:v>
      </x:c>
      <x:c r="I567" t="s">
        <x:v>2753</x:v>
      </x:c>
      <x:c r="J567" t="s">
        <x:v>2754</x:v>
      </x:c>
    </x:row>
    <x:row r="568">
      <x:c r="A568" t="s">
        <x:v>2755</x:v>
      </x:c>
      <x:c r="B568" t="s">
        <x:v>2755</x:v>
      </x:c>
      <x:c r="C568" t="s">
        <x:v>2756</x:v>
      </x:c>
      <x:c r="D568">
        <x:v>11</x:v>
      </x:c>
      <x:c r="E568" t="s">
        <x:v>89</x:v>
      </x:c>
      <x:c r="F568" t="s">
        <x:v>90</x:v>
      </x:c>
      <x:c r="G568">
        <x:v>44964</x:v>
      </x:c>
      <x:c r="H568" t="s">
        <x:v>2757</x:v>
      </x:c>
      <x:c r="I568" t="s">
        <x:v>2758</x:v>
      </x:c>
      <x:c r="J568" t="s">
        <x:v>2759</x:v>
      </x:c>
    </x:row>
    <x:row r="569">
      <x:c r="A569" t="s">
        <x:v>28</x:v>
      </x:c>
      <x:c r="B569" t="s">
        <x:v>28</x:v>
      </x:c>
      <x:c r="C569" t="s">
        <x:v>2756</x:v>
      </x:c>
      <x:c r="D569">
        <x:v>18</x:v>
      </x:c>
      <x:c r="E569" t="s">
        <x:v>198</x:v>
      </x:c>
      <x:c r="F569" t="s">
        <x:v>90</x:v>
      </x:c>
      <x:c r="G569">
        <x:v>45398</x:v>
      </x:c>
      <x:c r="H569" t="s">
        <x:v>2760</x:v>
      </x:c>
      <x:c r="I569" t="s">
        <x:v>2761</x:v>
      </x:c>
      <x:c r="J569" t="s">
        <x:v>2762</x:v>
      </x:c>
    </x:row>
    <x:row r="570">
      <x:c r="A570" t="s">
        <x:v>2763</x:v>
      </x:c>
      <x:c r="B570" t="s">
        <x:v>2763</x:v>
      </x:c>
      <x:c r="C570" t="s">
        <x:v>95</x:v>
      </x:c>
      <x:c r="D570">
        <x:v>0</x:v>
      </x:c>
      <x:c r="E570" t="s">
        <x:v>89</x:v>
      </x:c>
      <x:c r="F570" t="s">
        <x:v>97</x:v>
      </x:c>
      <x:c r="G570">
        <x:v>42686</x:v>
      </x:c>
      <x:c r="H570" t="s">
        <x:v>2764</x:v>
      </x:c>
      <x:c r="I570" t="s">
        <x:v>2765</x:v>
      </x:c>
      <x:c r="J570" t="s">
        <x:v>2766</x:v>
      </x:c>
    </x:row>
    <x:row r="571">
      <x:c r="A571" t="s">
        <x:v>2767</x:v>
      </x:c>
      <x:c r="B571" t="s">
        <x:v>2767</x:v>
      </x:c>
      <x:c r="C571" t="s">
        <x:v>2768</x:v>
      </x:c>
      <x:c r="D571">
        <x:v>7</x:v>
      </x:c>
      <x:c r="E571" t="s">
        <x:v>96</x:v>
      </x:c>
      <x:c r="F571" t="s">
        <x:v>97</x:v>
      </x:c>
      <x:c r="G571">
        <x:v>42426</x:v>
      </x:c>
      <x:c r="H571" t="s">
        <x:v>2769</x:v>
      </x:c>
      <x:c r="I571" t="s">
        <x:v>2770</x:v>
      </x:c>
      <x:c r="J571" t="s">
        <x:v>2771</x:v>
      </x:c>
    </x:row>
    <x:row r="572">
      <x:c r="A572" t="s">
        <x:v>2772</x:v>
      </x:c>
      <x:c r="B572" t="s">
        <x:v>2772</x:v>
      </x:c>
      <x:c r="C572" t="s">
        <x:v>2773</x:v>
      </x:c>
      <x:c r="D572">
        <x:v>0</x:v>
      </x:c>
      <x:c r="E572" t="s">
        <x:v>198</x:v>
      </x:c>
      <x:c r="F572" t="s">
        <x:v>90</x:v>
      </x:c>
      <x:c r="G572">
        <x:v>45161</x:v>
      </x:c>
      <x:c r="H572" t="s">
        <x:v>2774</x:v>
      </x:c>
      <x:c r="I572" t="s">
        <x:v>2775</x:v>
      </x:c>
      <x:c r="J572" t="s">
        <x:v>2776</x:v>
      </x:c>
    </x:row>
    <x:row r="573">
      <x:c r="A573" t="s">
        <x:v>2777</x:v>
      </x:c>
      <x:c r="B573" t="s">
        <x:v>2777</x:v>
      </x:c>
      <x:c r="C573" t="s">
        <x:v>2432</x:v>
      </x:c>
      <x:c r="D573">
        <x:v>12</x:v>
      </x:c>
      <x:c r="E573" t="s">
        <x:v>114</x:v>
      </x:c>
      <x:c r="F573" t="s">
        <x:v>90</x:v>
      </x:c>
      <x:c r="G573">
        <x:v>44013</x:v>
      </x:c>
      <x:c r="H573" t="s">
        <x:v>2778</x:v>
      </x:c>
      <x:c r="I573" t="s">
        <x:v>2779</x:v>
      </x:c>
      <x:c r="J573" t="s">
        <x:v>2780</x:v>
      </x:c>
    </x:row>
    <x:row r="574">
      <x:c r="A574" t="s">
        <x:v>2781</x:v>
      </x:c>
      <x:c r="B574" t="s">
        <x:v>2781</x:v>
      </x:c>
      <x:c r="C574" t="s">
        <x:v>1427</x:v>
      </x:c>
      <x:c r="D574">
        <x:v>0</x:v>
      </x:c>
      <x:c r="E574" t="s">
        <x:v>89</x:v>
      </x:c>
      <x:c r="F574" t="s">
        <x:v>90</x:v>
      </x:c>
      <x:c r="G574">
        <x:v>45662</x:v>
      </x:c>
      <x:c r="H574" t="s">
        <x:v>2782</x:v>
      </x:c>
      <x:c r="I574" t="s">
        <x:v>2783</x:v>
      </x:c>
      <x:c r="J574" t="s">
        <x:v>2784</x:v>
      </x:c>
    </x:row>
    <x:row r="575">
      <x:c r="A575" t="s">
        <x:v>2785</x:v>
      </x:c>
      <x:c r="B575" t="s">
        <x:v>2785</x:v>
      </x:c>
      <x:c r="C575" t="s">
        <x:v>1344</x:v>
      </x:c>
      <x:c r="D575">
        <x:v>7</x:v>
      </x:c>
      <x:c r="E575" t="s">
        <x:v>96</x:v>
      </x:c>
      <x:c r="F575" t="s">
        <x:v>97</x:v>
      </x:c>
      <x:c r="G575">
        <x:v>45020</x:v>
      </x:c>
      <x:c r="H575" t="s">
        <x:v>2786</x:v>
      </x:c>
      <x:c r="I575" t="s">
        <x:v>2787</x:v>
      </x:c>
      <x:c r="J575" t="s">
        <x:v>2788</x:v>
      </x:c>
    </x:row>
    <x:row r="576">
      <x:c r="A576" t="s">
        <x:v>2789</x:v>
      </x:c>
      <x:c r="B576" t="s">
        <x:v>2789</x:v>
      </x:c>
      <x:c r="C576" t="s">
        <x:v>1344</x:v>
      </x:c>
      <x:c r="D576">
        <x:v>7</x:v>
      </x:c>
      <x:c r="E576" t="s">
        <x:v>96</x:v>
      </x:c>
      <x:c r="F576" t="s">
        <x:v>97</x:v>
      </x:c>
      <x:c r="G576">
        <x:v>45076</x:v>
      </x:c>
      <x:c r="H576" t="s">
        <x:v>2790</x:v>
      </x:c>
      <x:c r="I576" t="s">
        <x:v>2791</x:v>
      </x:c>
      <x:c r="J576" t="s">
        <x:v>2792</x:v>
      </x:c>
    </x:row>
    <x:row r="577">
      <x:c r="A577" t="s">
        <x:v>2793</x:v>
      </x:c>
      <x:c r="B577" t="s">
        <x:v>2793</x:v>
      </x:c>
      <x:c r="C577" t="s">
        <x:v>2682</x:v>
      </x:c>
      <x:c r="D577">
        <x:v>2</x:v>
      </x:c>
      <x:c r="E577" t="s">
        <x:v>125</x:v>
      </x:c>
      <x:c r="F577" t="s">
        <x:v>90</x:v>
      </x:c>
      <x:c r="G577">
        <x:v>45637</x:v>
      </x:c>
      <x:c r="H577" t="s">
        <x:v>2794</x:v>
      </x:c>
      <x:c r="I577" t="s">
        <x:v>2795</x:v>
      </x:c>
      <x:c r="J577" t="s">
        <x:v>2796</x:v>
      </x:c>
    </x:row>
    <x:row r="578">
      <x:c r="A578" t="s">
        <x:v>2797</x:v>
      </x:c>
      <x:c r="B578" t="s">
        <x:v>2797</x:v>
      </x:c>
      <x:c r="C578" t="s">
        <x:v>2798</x:v>
      </x:c>
      <x:c r="D578">
        <x:v>12</x:v>
      </x:c>
      <x:c r="E578" t="s">
        <x:v>198</x:v>
      </x:c>
      <x:c r="F578" t="s">
        <x:v>90</x:v>
      </x:c>
      <x:c r="G578">
        <x:v>44721</x:v>
      </x:c>
      <x:c r="H578" t="s">
        <x:v>2799</x:v>
      </x:c>
      <x:c r="I578" t="s">
        <x:v>2800</x:v>
      </x:c>
      <x:c r="J578" t="s">
        <x:v>2801</x:v>
      </x:c>
    </x:row>
    <x:row r="579">
      <x:c r="A579" t="s">
        <x:v>2802</x:v>
      </x:c>
      <x:c r="B579" t="s">
        <x:v>2802</x:v>
      </x:c>
      <x:c r="C579" t="s">
        <x:v>1660</x:v>
      </x:c>
      <x:c r="D579">
        <x:v>19</x:v>
      </x:c>
      <x:c r="E579" t="s">
        <x:v>198</x:v>
      </x:c>
      <x:c r="F579" t="s">
        <x:v>90</x:v>
      </x:c>
      <x:c r="G579">
        <x:v>44942</x:v>
      </x:c>
      <x:c r="H579" t="s">
        <x:v>2803</x:v>
      </x:c>
      <x:c r="I579" t="s">
        <x:v>2804</x:v>
      </x:c>
      <x:c r="J579" t="s">
        <x:v>2805</x:v>
      </x:c>
    </x:row>
    <x:row r="580">
      <x:c r="A580" t="s">
        <x:v>2806</x:v>
      </x:c>
      <x:c r="B580" t="s">
        <x:v>2806</x:v>
      </x:c>
      <x:c r="C580" t="s">
        <x:v>2807</x:v>
      </x:c>
      <x:c r="D580">
        <x:v>32</x:v>
      </x:c>
      <x:c r="E580" t="s">
        <x:v>89</x:v>
      </x:c>
      <x:c r="F580" t="s">
        <x:v>152</x:v>
      </x:c>
      <x:c r="G580">
        <x:v>45797</x:v>
      </x:c>
      <x:c r="H580" t="s">
        <x:v>2808</x:v>
      </x:c>
      <x:c r="I580" t="s">
        <x:v>2809</x:v>
      </x:c>
      <x:c r="J580" t="s">
        <x:v>2810</x:v>
      </x:c>
    </x:row>
    <x:row r="581">
      <x:c r="A581" t="s">
        <x:v>2811</x:v>
      </x:c>
      <x:c r="B581" t="s">
        <x:v>2811</x:v>
      </x:c>
      <x:c r="C581" t="s">
        <x:v>2812</x:v>
      </x:c>
      <x:c r="D581">
        <x:v>27</x:v>
      </x:c>
      <x:c r="E581" t="s">
        <x:v>96</x:v>
      </x:c>
      <x:c r="F581" t="s">
        <x:v>97</x:v>
      </x:c>
      <x:c r="G581">
        <x:v>42807</x:v>
      </x:c>
      <x:c r="H581" t="s">
        <x:v>2813</x:v>
      </x:c>
      <x:c r="I581" t="s">
        <x:v>2814</x:v>
      </x:c>
      <x:c r="J581" t="s">
        <x:v>2815</x:v>
      </x:c>
    </x:row>
    <x:row r="582">
      <x:c r="A582" t="s">
        <x:v>2816</x:v>
      </x:c>
      <x:c r="B582" t="s">
        <x:v>2816</x:v>
      </x:c>
      <x:c r="C582" t="s">
        <x:v>2817</x:v>
      </x:c>
      <x:c r="D582">
        <x:v>28</x:v>
      </x:c>
      <x:c r="E582" t="s">
        <x:v>89</x:v>
      </x:c>
      <x:c r="F582" t="s">
        <x:v>97</x:v>
      </x:c>
      <x:c r="G582">
        <x:v>45895</x:v>
      </x:c>
      <x:c r="H582" t="s">
        <x:v>2818</x:v>
      </x:c>
      <x:c r="I582" t="s">
        <x:v>2819</x:v>
      </x:c>
      <x:c r="J582" t="s">
        <x:v>2820</x:v>
      </x:c>
    </x:row>
    <x:row r="583">
      <x:c r="A583" t="s">
        <x:v>2821</x:v>
      </x:c>
      <x:c r="B583" t="s">
        <x:v>2821</x:v>
      </x:c>
      <x:c r="C583" t="s">
        <x:v>1608</x:v>
      </x:c>
      <x:c r="D583">
        <x:v>11</x:v>
      </x:c>
      <x:c r="E583" t="s">
        <x:v>198</x:v>
      </x:c>
      <x:c r="F583" t="s">
        <x:v>90</x:v>
      </x:c>
      <x:c r="G583">
        <x:v>44198</x:v>
      </x:c>
      <x:c r="H583" t="s">
        <x:v>2822</x:v>
      </x:c>
      <x:c r="I583" t="s">
        <x:v>2823</x:v>
      </x:c>
      <x:c r="J583" t="s">
        <x:v>2824</x:v>
      </x:c>
    </x:row>
    <x:row r="584">
      <x:c r="A584" t="s">
        <x:v>2825</x:v>
      </x:c>
      <x:c r="B584" t="s">
        <x:v>2825</x:v>
      </x:c>
      <x:c r="C584" t="s">
        <x:v>973</x:v>
      </x:c>
      <x:c r="D584">
        <x:v>20</x:v>
      </x:c>
      <x:c r="E584" t="s">
        <x:v>198</x:v>
      </x:c>
      <x:c r="F584" t="s">
        <x:v>90</x:v>
      </x:c>
      <x:c r="G584">
        <x:v>44311</x:v>
      </x:c>
      <x:c r="H584" t="s">
        <x:v>2826</x:v>
      </x:c>
      <x:c r="I584" t="s">
        <x:v>2827</x:v>
      </x:c>
      <x:c r="J584" t="s">
        <x:v>2828</x:v>
      </x:c>
    </x:row>
    <x:row r="585">
      <x:c r="A585" t="s">
        <x:v>2829</x:v>
      </x:c>
      <x:c r="B585" t="s">
        <x:v>2829</x:v>
      </x:c>
      <x:c r="C585" t="s">
        <x:v>2590</x:v>
      </x:c>
      <x:c r="D585">
        <x:v>14</x:v>
      </x:c>
      <x:c r="E585" t="s">
        <x:v>125</x:v>
      </x:c>
      <x:c r="F585" t="s">
        <x:v>90</x:v>
      </x:c>
      <x:c r="G585">
        <x:v>45723</x:v>
      </x:c>
      <x:c r="H585" t="s">
        <x:v>2830</x:v>
      </x:c>
      <x:c r="I585" t="s">
        <x:v>2831</x:v>
      </x:c>
      <x:c r="J585" t="s">
        <x:v>2832</x:v>
      </x:c>
    </x:row>
    <x:row r="586">
      <x:c r="A586" t="s">
        <x:v>2833</x:v>
      </x:c>
      <x:c r="B586" t="s">
        <x:v>2833</x:v>
      </x:c>
      <x:c r="C586" t="s">
        <x:v>2282</x:v>
      </x:c>
      <x:c r="D586">
        <x:v>10</x:v>
      </x:c>
      <x:c r="E586" t="s">
        <x:v>89</x:v>
      </x:c>
      <x:c r="F586" t="s">
        <x:v>97</x:v>
      </x:c>
      <x:c r="G586">
        <x:v>44831</x:v>
      </x:c>
      <x:c r="H586" t="s">
        <x:v>2834</x:v>
      </x:c>
      <x:c r="I586" t="s">
        <x:v>2835</x:v>
      </x:c>
      <x:c r="J586" t="s">
        <x:v>2836</x:v>
      </x:c>
    </x:row>
    <x:row r="587">
      <x:c r="A587" t="s">
        <x:v>2837</x:v>
      </x:c>
      <x:c r="B587" t="s">
        <x:v>2837</x:v>
      </x:c>
      <x:c r="C587" t="s">
        <x:v>2282</x:v>
      </x:c>
      <x:c r="D587">
        <x:v>9</x:v>
      </x:c>
      <x:c r="E587" t="s">
        <x:v>89</x:v>
      </x:c>
      <x:c r="F587" t="s">
        <x:v>97</x:v>
      </x:c>
      <x:c r="G587">
        <x:v>44982</x:v>
      </x:c>
      <x:c r="H587" t="s">
        <x:v>2838</x:v>
      </x:c>
      <x:c r="I587" t="s">
        <x:v>2839</x:v>
      </x:c>
      <x:c r="J587" t="s">
        <x:v>2840</x:v>
      </x:c>
    </x:row>
    <x:row r="588">
      <x:c r="A588" t="s">
        <x:v>2841</x:v>
      </x:c>
      <x:c r="B588" t="s">
        <x:v>2841</x:v>
      </x:c>
      <x:c r="C588" t="s">
        <x:v>2282</x:v>
      </x:c>
      <x:c r="D588">
        <x:v>19</x:v>
      </x:c>
      <x:c r="E588" t="s">
        <x:v>198</x:v>
      </x:c>
      <x:c r="F588" t="s">
        <x:v>152</x:v>
      </x:c>
      <x:c r="G588">
        <x:v>45141</x:v>
      </x:c>
      <x:c r="H588" t="s">
        <x:v>2842</x:v>
      </x:c>
      <x:c r="I588" t="s">
        <x:v>2843</x:v>
      </x:c>
      <x:c r="J588" t="s">
        <x:v>2844</x:v>
      </x:c>
    </x:row>
    <x:row r="589">
      <x:c r="A589" t="s">
        <x:v>2845</x:v>
      </x:c>
      <x:c r="B589" t="s">
        <x:v>2845</x:v>
      </x:c>
      <x:c r="C589" t="s">
        <x:v>2282</x:v>
      </x:c>
      <x:c r="D589">
        <x:v>42</x:v>
      </x:c>
      <x:c r="E589" t="s">
        <x:v>198</x:v>
      </x:c>
      <x:c r="F589" t="s">
        <x:v>152</x:v>
      </x:c>
      <x:c r="G589">
        <x:v>45607</x:v>
      </x:c>
      <x:c r="H589" t="s">
        <x:v>2846</x:v>
      </x:c>
      <x:c r="I589" t="s">
        <x:v>2847</x:v>
      </x:c>
      <x:c r="J589" t="s">
        <x:v>2848</x:v>
      </x:c>
    </x:row>
    <x:row r="590">
      <x:c r="A590" t="s">
        <x:v>2849</x:v>
      </x:c>
      <x:c r="B590" t="s">
        <x:v>2849</x:v>
      </x:c>
      <x:c r="C590" t="s">
        <x:v>2282</x:v>
      </x:c>
      <x:c r="D590">
        <x:v>18</x:v>
      </x:c>
      <x:c r="E590" t="s">
        <x:v>89</x:v>
      </x:c>
      <x:c r="F590" t="s">
        <x:v>97</x:v>
      </x:c>
      <x:c r="G590">
        <x:v>45939</x:v>
      </x:c>
      <x:c r="H590" t="s">
        <x:v>2850</x:v>
      </x:c>
      <x:c r="I590" t="s">
        <x:v>2851</x:v>
      </x:c>
      <x:c r="J590" t="s">
        <x:v>2852</x:v>
      </x:c>
    </x:row>
    <x:row r="591">
      <x:c r="A591" t="s">
        <x:v>2853</x:v>
      </x:c>
      <x:c r="B591" t="s">
        <x:v>2853</x:v>
      </x:c>
      <x:c r="C591" t="s">
        <x:v>361</x:v>
      </x:c>
      <x:c r="D591">
        <x:v>6</x:v>
      </x:c>
      <x:c r="E591" t="s">
        <x:v>96</x:v>
      </x:c>
      <x:c r="F591" t="s">
        <x:v>97</x:v>
      </x:c>
      <x:c r="G591">
        <x:v>41781</x:v>
      </x:c>
      <x:c r="H591" t="s">
        <x:v>2854</x:v>
      </x:c>
      <x:c r="I591" t="s">
        <x:v>2855</x:v>
      </x:c>
      <x:c r="J591" t="s">
        <x:v>2856</x:v>
      </x:c>
    </x:row>
    <x:row r="592">
      <x:c r="A592" t="s">
        <x:v>2857</x:v>
      </x:c>
      <x:c r="B592" t="s">
        <x:v>2857</x:v>
      </x:c>
      <x:c r="C592" t="s">
        <x:v>2858</x:v>
      </x:c>
      <x:c r="D592">
        <x:v>8</x:v>
      </x:c>
      <x:c r="E592" t="s">
        <x:v>257</x:v>
      </x:c>
      <x:c r="F592" t="s">
        <x:v>97</x:v>
      </x:c>
      <x:c r="G592">
        <x:v>41479</x:v>
      </x:c>
      <x:c r="H592" t="s">
        <x:v>2859</x:v>
      </x:c>
      <x:c r="I592" t="s">
        <x:v>2860</x:v>
      </x:c>
      <x:c r="J592" t="s">
        <x:v>2861</x:v>
      </x:c>
    </x:row>
    <x:row r="593">
      <x:c r="A593" t="s">
        <x:v>2862</x:v>
      </x:c>
      <x:c r="B593" t="s">
        <x:v>2862</x:v>
      </x:c>
      <x:c r="C593" t="s">
        <x:v>2863</x:v>
      </x:c>
      <x:c r="D593">
        <x:v>1</x:v>
      </x:c>
      <x:c r="E593" t="s">
        <x:v>96</x:v>
      </x:c>
      <x:c r="F593" t="s">
        <x:v>610</x:v>
      </x:c>
      <x:c r="G593">
        <x:v>43054</x:v>
      </x:c>
      <x:c r="H593" t="s">
        <x:v>2864</x:v>
      </x:c>
      <x:c r="I593" t="s">
        <x:v>2865</x:v>
      </x:c>
      <x:c r="J593" t="s">
        <x:v>2866</x:v>
      </x:c>
    </x:row>
    <x:row r="594">
      <x:c r="A594" t="s">
        <x:v>69</x:v>
      </x:c>
      <x:c r="B594" t="s">
        <x:v>69</x:v>
      </x:c>
      <x:c r="C594" t="s">
        <x:v>2867</x:v>
      </x:c>
      <x:c r="D594">
        <x:v>21</x:v>
      </x:c>
      <x:c r="E594" t="s">
        <x:v>114</x:v>
      </x:c>
      <x:c r="F594" t="s">
        <x:v>90</x:v>
      </x:c>
      <x:c r="G594">
        <x:v>43198</x:v>
      </x:c>
      <x:c r="H594" t="s">
        <x:v>2868</x:v>
      </x:c>
      <x:c r="I594" t="s">
        <x:v>2869</x:v>
      </x:c>
      <x:c r="J594" t="s">
        <x:v>2870</x:v>
      </x:c>
    </x:row>
    <x:row r="595">
      <x:c r="A595" t="s">
        <x:v>44</x:v>
      </x:c>
      <x:c r="B595" t="s">
        <x:v>44</x:v>
      </x:c>
      <x:c r="C595" t="s">
        <x:v>2867</x:v>
      </x:c>
      <x:c r="D595">
        <x:v>23</x:v>
      </x:c>
      <x:c r="E595" t="s">
        <x:v>114</x:v>
      </x:c>
      <x:c r="F595" t="s">
        <x:v>90</x:v>
      </x:c>
      <x:c r="G595">
        <x:v>43559</x:v>
      </x:c>
      <x:c r="H595" t="s">
        <x:v>2871</x:v>
      </x:c>
      <x:c r="I595" t="s">
        <x:v>2872</x:v>
      </x:c>
      <x:c r="J595" t="s">
        <x:v>2873</x:v>
      </x:c>
    </x:row>
    <x:row r="596">
      <x:c r="A596" t="s">
        <x:v>66</x:v>
      </x:c>
      <x:c r="B596" t="s">
        <x:v>66</x:v>
      </x:c>
      <x:c r="C596" t="s">
        <x:v>2867</x:v>
      </x:c>
      <x:c r="D596">
        <x:v>41</x:v>
      </x:c>
      <x:c r="E596" t="s">
        <x:v>2874</x:v>
      </x:c>
      <x:c r="F596" t="s">
        <x:v>90</x:v>
      </x:c>
      <x:c r="G596">
        <x:v>45247</x:v>
      </x:c>
      <x:c r="H596" t="s">
        <x:v>2875</x:v>
      </x:c>
      <x:c r="I596" t="s">
        <x:v>2876</x:v>
      </x:c>
      <x:c r="J596" t="s">
        <x:v>2877</x:v>
      </x:c>
    </x:row>
    <x:row r="597">
      <x:c r="A597" t="s">
        <x:v>2878</x:v>
      </x:c>
      <x:c r="B597" t="s">
        <x:v>2878</x:v>
      </x:c>
      <x:c r="C597" t="s">
        <x:v>2879</x:v>
      </x:c>
      <x:c r="D597">
        <x:v>6</x:v>
      </x:c>
      <x:c r="E597" t="s">
        <x:v>96</x:v>
      </x:c>
      <x:c r="F597" t="s">
        <x:v>90</x:v>
      </x:c>
      <x:c r="G597">
        <x:v>44044</x:v>
      </x:c>
      <x:c r="H597" t="s">
        <x:v>2880</x:v>
      </x:c>
      <x:c r="I597" t="s">
        <x:v>2881</x:v>
      </x:c>
      <x:c r="J597" t="s">
        <x:v>2882</x:v>
      </x:c>
    </x:row>
    <x:row r="598">
      <x:c r="A598" t="s">
        <x:v>2883</x:v>
      </x:c>
      <x:c r="B598" t="s">
        <x:v>2883</x:v>
      </x:c>
      <x:c r="C598" t="s">
        <x:v>2884</x:v>
      </x:c>
      <x:c r="D598">
        <x:v>13</x:v>
      </x:c>
      <x:c r="E598" t="s">
        <x:v>257</x:v>
      </x:c>
      <x:c r="F598" t="s">
        <x:v>97</x:v>
      </x:c>
      <x:c r="G598">
        <x:v>41626</x:v>
      </x:c>
      <x:c r="H598" t="s">
        <x:v>2885</x:v>
      </x:c>
      <x:c r="I598" t="s">
        <x:v>2886</x:v>
      </x:c>
      <x:c r="J598" t="s">
        <x:v>2887</x:v>
      </x:c>
    </x:row>
    <x:row r="599">
      <x:c r="A599" t="s">
        <x:v>2888</x:v>
      </x:c>
      <x:c r="B599" t="s">
        <x:v>2888</x:v>
      </x:c>
      <x:c r="C599" t="s">
        <x:v>2889</x:v>
      </x:c>
      <x:c r="D599">
        <x:v>16</x:v>
      </x:c>
      <x:c r="E599" t="s">
        <x:v>198</x:v>
      </x:c>
      <x:c r="F599" t="s">
        <x:v>90</x:v>
      </x:c>
      <x:c r="G599">
        <x:v>45741</x:v>
      </x:c>
      <x:c r="H599" t="s">
        <x:v>2890</x:v>
      </x:c>
      <x:c r="I599" t="s">
        <x:v>2891</x:v>
      </x:c>
      <x:c r="J599" t="s">
        <x:v>2892</x:v>
      </x:c>
    </x:row>
    <x:row r="600">
      <x:c r="A600" t="s">
        <x:v>2893</x:v>
      </x:c>
      <x:c r="B600" t="s">
        <x:v>2893</x:v>
      </x:c>
      <x:c r="C600" t="s">
        <x:v>1135</x:v>
      </x:c>
      <x:c r="D600">
        <x:v>3</x:v>
      </x:c>
      <x:c r="E600" t="s">
        <x:v>125</x:v>
      </x:c>
      <x:c r="F600" t="s">
        <x:v>610</x:v>
      </x:c>
      <x:c r="G600">
        <x:v>45386</x:v>
      </x:c>
      <x:c r="H600" t="s">
        <x:v>2894</x:v>
      </x:c>
      <x:c r="I600" t="s">
        <x:v>2895</x:v>
      </x:c>
      <x:c r="J600" t="s">
        <x:v>2896</x:v>
      </x:c>
    </x:row>
    <x:row r="601">
      <x:c r="A601" t="s">
        <x:v>2897</x:v>
      </x:c>
      <x:c r="B601" t="s">
        <x:v>2897</x:v>
      </x:c>
      <x:c r="C601" t="s">
        <x:v>2898</x:v>
      </x:c>
      <x:c r="D601">
        <x:v>15</x:v>
      </x:c>
      <x:c r="E601" t="s">
        <x:v>103</x:v>
      </x:c>
      <x:c r="F601" t="s">
        <x:v>97</x:v>
      </x:c>
      <x:c r="G601">
        <x:v>42010</x:v>
      </x:c>
      <x:c r="H601" t="s">
        <x:v>2899</x:v>
      </x:c>
      <x:c r="I601" t="s">
        <x:v>2900</x:v>
      </x:c>
      <x:c r="J601" t="s">
        <x:v>2901</x:v>
      </x:c>
    </x:row>
    <x:row r="602">
      <x:c r="A602" t="s">
        <x:v>2902</x:v>
      </x:c>
      <x:c r="B602" t="s">
        <x:v>2902</x:v>
      </x:c>
      <x:c r="C602" t="s">
        <x:v>2327</x:v>
      </x:c>
      <x:c r="D602">
        <x:v>21</x:v>
      </x:c>
      <x:c r="E602" t="s">
        <x:v>89</x:v>
      </x:c>
      <x:c r="F602" t="s">
        <x:v>90</x:v>
      </x:c>
      <x:c r="G602">
        <x:v>46035</x:v>
      </x:c>
      <x:c r="H602" t="s">
        <x:v>2903</x:v>
      </x:c>
      <x:c r="I602" t="s">
        <x:v>2904</x:v>
      </x:c>
      <x:c r="J602" t="s">
        <x:v>2905</x:v>
      </x:c>
    </x:row>
    <x:row r="603">
      <x:c r="A603" t="s">
        <x:v>2906</x:v>
      </x:c>
      <x:c r="B603" t="s">
        <x:v>2906</x:v>
      </x:c>
      <x:c r="C603" t="s">
        <x:v>2907</x:v>
      </x:c>
      <x:c r="D603">
        <x:v>34</x:v>
      </x:c>
      <x:c r="E603" t="s">
        <x:v>89</x:v>
      </x:c>
      <x:c r="F603" t="s">
        <x:v>97</x:v>
      </x:c>
      <x:c r="G603">
        <x:v>44082</x:v>
      </x:c>
      <x:c r="H603" t="s">
        <x:v>2908</x:v>
      </x:c>
      <x:c r="I603" t="s">
        <x:v>2909</x:v>
      </x:c>
      <x:c r="J603" t="s">
        <x:v>2910</x:v>
      </x:c>
    </x:row>
    <x:row r="604">
      <x:c r="A604" t="s">
        <x:v>2911</x:v>
      </x:c>
      <x:c r="B604" t="s">
        <x:v>2911</x:v>
      </x:c>
      <x:c r="C604" t="s">
        <x:v>2912</x:v>
      </x:c>
      <x:c r="D604">
        <x:v>15</x:v>
      </x:c>
      <x:c r="E604" t="s">
        <x:v>198</x:v>
      </x:c>
      <x:c r="F604" t="s">
        <x:v>90</x:v>
      </x:c>
      <x:c r="G604">
        <x:v>45117</x:v>
      </x:c>
      <x:c r="H604" t="s">
        <x:v>2913</x:v>
      </x:c>
      <x:c r="I604" t="s">
        <x:v>2914</x:v>
      </x:c>
      <x:c r="J604" t="s">
        <x:v>2915</x:v>
      </x:c>
    </x:row>
    <x:row r="605">
      <x:c r="A605" t="s">
        <x:v>2916</x:v>
      </x:c>
      <x:c r="B605" t="s">
        <x:v>2916</x:v>
      </x:c>
      <x:c r="C605" t="s">
        <x:v>1107</x:v>
      </x:c>
      <x:c r="D605">
        <x:v>10</x:v>
      </x:c>
      <x:c r="E605" t="s">
        <x:v>89</x:v>
      </x:c>
      <x:c r="F605" t="s">
        <x:v>90</x:v>
      </x:c>
      <x:c r="G605">
        <x:v>44843</x:v>
      </x:c>
      <x:c r="H605" t="s">
        <x:v>2917</x:v>
      </x:c>
      <x:c r="I605" t="s">
        <x:v>2918</x:v>
      </x:c>
      <x:c r="J605" t="s">
        <x:v>2919</x:v>
      </x:c>
    </x:row>
    <x:row r="606">
      <x:c r="A606" t="s">
        <x:v>2920</x:v>
      </x:c>
      <x:c r="B606" t="s">
        <x:v>2920</x:v>
      </x:c>
      <x:c r="C606" t="s">
        <x:v>2921</x:v>
      </x:c>
      <x:c r="D606">
        <x:v>19</x:v>
      </x:c>
      <x:c r="E606" t="s">
        <x:v>198</x:v>
      </x:c>
      <x:c r="F606" t="s">
        <x:v>90</x:v>
      </x:c>
      <x:c r="G606">
        <x:v>44711</x:v>
      </x:c>
      <x:c r="H606" t="s">
        <x:v>2922</x:v>
      </x:c>
      <x:c r="I606" t="s">
        <x:v>2923</x:v>
      </x:c>
      <x:c r="J606" t="s">
        <x:v>2924</x:v>
      </x:c>
    </x:row>
    <x:row r="607">
      <x:c r="A607" t="s">
        <x:v>2925</x:v>
      </x:c>
      <x:c r="B607" t="s">
        <x:v>2925</x:v>
      </x:c>
      <x:c r="C607" t="s">
        <x:v>491</x:v>
      </x:c>
      <x:c r="D607">
        <x:v>1</x:v>
      </x:c>
      <x:c r="E607" t="s">
        <x:v>89</x:v>
      </x:c>
      <x:c r="F607" t="s">
        <x:v>90</x:v>
      </x:c>
      <x:c r="G607">
        <x:v>44543</x:v>
      </x:c>
      <x:c r="H607" t="s">
        <x:v>2926</x:v>
      </x:c>
      <x:c r="I607" t="s">
        <x:v>2927</x:v>
      </x:c>
      <x:c r="J607" t="s">
        <x:v>2928</x:v>
      </x:c>
    </x:row>
    <x:row r="608">
      <x:c r="A608" t="s">
        <x:v>2929</x:v>
      </x:c>
      <x:c r="B608" t="s">
        <x:v>2929</x:v>
      </x:c>
      <x:c r="C608" t="s">
        <x:v>119</x:v>
      </x:c>
      <x:c r="D608">
        <x:v>16</x:v>
      </x:c>
      <x:c r="E608" t="s">
        <x:v>89</x:v>
      </x:c>
      <x:c r="F608" t="s">
        <x:v>90</x:v>
      </x:c>
      <x:c r="G608">
        <x:v>45791</x:v>
      </x:c>
      <x:c r="H608" t="s">
        <x:v>2930</x:v>
      </x:c>
      <x:c r="I608" t="s">
        <x:v>2931</x:v>
      </x:c>
      <x:c r="J608" t="s">
        <x:v>2932</x:v>
      </x:c>
    </x:row>
    <x:row r="609">
      <x:c r="A609" t="s">
        <x:v>2933</x:v>
      </x:c>
      <x:c r="B609" t="s">
        <x:v>2933</x:v>
      </x:c>
      <x:c r="C609" t="s">
        <x:v>2934</x:v>
      </x:c>
      <x:c r="D609">
        <x:v>43</x:v>
      </x:c>
      <x:c r="E609" t="s">
        <x:v>96</x:v>
      </x:c>
      <x:c r="F609" t="s">
        <x:v>97</x:v>
      </x:c>
      <x:c r="G609">
        <x:v>42297</x:v>
      </x:c>
      <x:c r="H609" t="s">
        <x:v>2935</x:v>
      </x:c>
      <x:c r="I609" t="s">
        <x:v>2936</x:v>
      </x:c>
      <x:c r="J609" t="s">
        <x:v>2937</x:v>
      </x:c>
    </x:row>
    <x:row r="610">
      <x:c r="A610" t="s">
        <x:v>2938</x:v>
      </x:c>
      <x:c r="B610" t="s">
        <x:v>2938</x:v>
      </x:c>
      <x:c r="C610" t="s">
        <x:v>2939</x:v>
      </x:c>
      <x:c r="D610">
        <x:v>53</x:v>
      </x:c>
      <x:c r="E610" t="s">
        <x:v>96</x:v>
      </x:c>
      <x:c r="F610" t="s">
        <x:v>97</x:v>
      </x:c>
      <x:c r="G610">
        <x:v>42291</x:v>
      </x:c>
      <x:c r="H610" t="s">
        <x:v>2940</x:v>
      </x:c>
      <x:c r="I610" t="s">
        <x:v>2941</x:v>
      </x:c>
      <x:c r="J610" t="s">
        <x:v>2942</x:v>
      </x:c>
    </x:row>
    <x:row r="611">
      <x:c r="A611" t="s">
        <x:v>2943</x:v>
      </x:c>
      <x:c r="B611" t="s">
        <x:v>2943</x:v>
      </x:c>
      <x:c r="C611" t="s">
        <x:v>1167</x:v>
      </x:c>
      <x:c r="D611">
        <x:v>9</x:v>
      </x:c>
      <x:c r="E611" t="s">
        <x:v>103</x:v>
      </x:c>
      <x:c r="F611" t="s">
        <x:v>97</x:v>
      </x:c>
      <x:c r="G611">
        <x:v>41539</x:v>
      </x:c>
      <x:c r="H611" t="s">
        <x:v>2944</x:v>
      </x:c>
      <x:c r="I611" t="s">
        <x:v>2945</x:v>
      </x:c>
      <x:c r="J611" t="s">
        <x:v>2946</x:v>
      </x:c>
    </x:row>
    <x:row r="612">
      <x:c r="A612" t="s">
        <x:v>2947</x:v>
      </x:c>
      <x:c r="B612" t="s">
        <x:v>2947</x:v>
      </x:c>
      <x:c r="C612" t="s">
        <x:v>1167</x:v>
      </x:c>
      <x:c r="D612">
        <x:v>9</x:v>
      </x:c>
      <x:c r="E612" t="s">
        <x:v>96</x:v>
      </x:c>
      <x:c r="F612" t="s">
        <x:v>97</x:v>
      </x:c>
      <x:c r="G612">
        <x:v>44215</x:v>
      </x:c>
      <x:c r="H612" t="s">
        <x:v>2948</x:v>
      </x:c>
      <x:c r="I612" t="s">
        <x:v>2949</x:v>
      </x:c>
      <x:c r="J612" t="s">
        <x:v>2950</x:v>
      </x:c>
    </x:row>
    <x:row r="613">
      <x:c r="A613" t="s">
        <x:v>2951</x:v>
      </x:c>
      <x:c r="B613" t="s">
        <x:v>2951</x:v>
      </x:c>
      <x:c r="C613" t="s">
        <x:v>1167</x:v>
      </x:c>
      <x:c r="D613">
        <x:v>7</x:v>
      </x:c>
      <x:c r="E613" t="s">
        <x:v>103</x:v>
      </x:c>
      <x:c r="F613" t="s">
        <x:v>97</x:v>
      </x:c>
      <x:c r="G613">
        <x:v>45295</x:v>
      </x:c>
      <x:c r="H613" t="s">
        <x:v>2952</x:v>
      </x:c>
      <x:c r="I613" t="s">
        <x:v>2953</x:v>
      </x:c>
      <x:c r="J613" t="s">
        <x:v>2954</x:v>
      </x:c>
    </x:row>
    <x:row r="614">
      <x:c r="A614" t="s">
        <x:v>2955</x:v>
      </x:c>
      <x:c r="B614" t="s">
        <x:v>2955</x:v>
      </x:c>
      <x:c r="C614" t="s">
        <x:v>1167</x:v>
      </x:c>
      <x:c r="D614">
        <x:v>7</x:v>
      </x:c>
      <x:c r="E614" t="s">
        <x:v>89</x:v>
      </x:c>
      <x:c r="F614" t="s">
        <x:v>97</x:v>
      </x:c>
      <x:c r="G614">
        <x:v>44148</x:v>
      </x:c>
      <x:c r="H614" t="s">
        <x:v>2956</x:v>
      </x:c>
      <x:c r="I614" t="s">
        <x:v>2957</x:v>
      </x:c>
      <x:c r="J614" t="s">
        <x:v>2958</x:v>
      </x:c>
    </x:row>
    <x:row r="615">
      <x:c r="A615" t="s">
        <x:v>2959</x:v>
      </x:c>
      <x:c r="B615" t="s">
        <x:v>2959</x:v>
      </x:c>
      <x:c r="C615" t="s">
        <x:v>1167</x:v>
      </x:c>
      <x:c r="D615">
        <x:v>5</x:v>
      </x:c>
      <x:c r="E615" t="s">
        <x:v>96</x:v>
      </x:c>
      <x:c r="F615" t="s">
        <x:v>97</x:v>
      </x:c>
      <x:c r="G615">
        <x:v>45608</x:v>
      </x:c>
      <x:c r="H615" t="s">
        <x:v>2960</x:v>
      </x:c>
      <x:c r="I615" t="s">
        <x:v>2961</x:v>
      </x:c>
      <x:c r="J615" t="s">
        <x:v>2962</x:v>
      </x:c>
    </x:row>
    <x:row r="616">
      <x:c r="A616" t="s">
        <x:v>2963</x:v>
      </x:c>
      <x:c r="B616" t="s">
        <x:v>2963</x:v>
      </x:c>
      <x:c r="C616" t="s">
        <x:v>1167</x:v>
      </x:c>
      <x:c r="D616">
        <x:v>12</x:v>
      </x:c>
      <x:c r="E616" t="s">
        <x:v>96</x:v>
      </x:c>
      <x:c r="F616" t="s">
        <x:v>97</x:v>
      </x:c>
      <x:c r="G616">
        <x:v>45834</x:v>
      </x:c>
      <x:c r="H616" t="s">
        <x:v>2964</x:v>
      </x:c>
      <x:c r="I616" t="s">
        <x:v>2965</x:v>
      </x:c>
      <x:c r="J616" t="s">
        <x:v>2966</x:v>
      </x:c>
    </x:row>
    <x:row r="617">
      <x:c r="A617" t="s">
        <x:v>2967</x:v>
      </x:c>
      <x:c r="B617" t="s">
        <x:v>2967</x:v>
      </x:c>
      <x:c r="C617" t="s">
        <x:v>1167</x:v>
      </x:c>
      <x:c r="D617">
        <x:v>10</x:v>
      </x:c>
      <x:c r="E617" t="s">
        <x:v>96</x:v>
      </x:c>
      <x:c r="F617" t="s">
        <x:v>97</x:v>
      </x:c>
      <x:c r="G617">
        <x:v>44185</x:v>
      </x:c>
      <x:c r="H617" t="s">
        <x:v>2968</x:v>
      </x:c>
      <x:c r="I617" t="s">
        <x:v>2969</x:v>
      </x:c>
      <x:c r="J617" t="s">
        <x:v>2970</x:v>
      </x:c>
    </x:row>
    <x:row r="618">
      <x:c r="A618" t="s">
        <x:v>2971</x:v>
      </x:c>
      <x:c r="B618" t="s">
        <x:v>2971</x:v>
      </x:c>
      <x:c r="C618" t="s">
        <x:v>1167</x:v>
      </x:c>
      <x:c r="D618">
        <x:v>10</x:v>
      </x:c>
      <x:c r="E618" t="s">
        <x:v>96</x:v>
      </x:c>
      <x:c r="F618" t="s">
        <x:v>97</x:v>
      </x:c>
      <x:c r="G618">
        <x:v>44169</x:v>
      </x:c>
      <x:c r="H618" t="s">
        <x:v>2972</x:v>
      </x:c>
      <x:c r="I618" t="s">
        <x:v>2973</x:v>
      </x:c>
      <x:c r="J618" t="s">
        <x:v>2974</x:v>
      </x:c>
    </x:row>
    <x:row r="619">
      <x:c r="A619" t="s">
        <x:v>2975</x:v>
      </x:c>
      <x:c r="B619" t="s">
        <x:v>2975</x:v>
      </x:c>
      <x:c r="C619" t="s">
        <x:v>1167</x:v>
      </x:c>
      <x:c r="D619">
        <x:v>10</x:v>
      </x:c>
      <x:c r="E619" t="s">
        <x:v>96</x:v>
      </x:c>
      <x:c r="F619" t="s">
        <x:v>97</x:v>
      </x:c>
      <x:c r="G619">
        <x:v>44279</x:v>
      </x:c>
      <x:c r="H619" t="s">
        <x:v>2976</x:v>
      </x:c>
      <x:c r="I619" t="s">
        <x:v>2977</x:v>
      </x:c>
      <x:c r="J619" t="s">
        <x:v>2978</x:v>
      </x:c>
    </x:row>
    <x:row r="620">
      <x:c r="A620" t="s">
        <x:v>2979</x:v>
      </x:c>
      <x:c r="B620" t="s">
        <x:v>2979</x:v>
      </x:c>
      <x:c r="C620" t="s">
        <x:v>1167</x:v>
      </x:c>
      <x:c r="D620">
        <x:v>20</x:v>
      </x:c>
      <x:c r="E620" t="s">
        <x:v>96</x:v>
      </x:c>
      <x:c r="F620" t="s">
        <x:v>97</x:v>
      </x:c>
      <x:c r="G620">
        <x:v>41627</x:v>
      </x:c>
      <x:c r="H620" t="s">
        <x:v>2980</x:v>
      </x:c>
      <x:c r="I620" t="s">
        <x:v>2981</x:v>
      </x:c>
      <x:c r="J620" t="s">
        <x:v>2982</x:v>
      </x:c>
    </x:row>
    <x:row r="621">
      <x:c r="A621" t="s">
        <x:v>2983</x:v>
      </x:c>
      <x:c r="B621" t="s">
        <x:v>2983</x:v>
      </x:c>
      <x:c r="C621" t="s">
        <x:v>1167</x:v>
      </x:c>
      <x:c r="D621">
        <x:v>6</x:v>
      </x:c>
      <x:c r="E621" t="s">
        <x:v>96</x:v>
      </x:c>
      <x:c r="F621" t="s">
        <x:v>97</x:v>
      </x:c>
      <x:c r="G621">
        <x:v>46143</x:v>
      </x:c>
      <x:c r="H621" t="s">
        <x:v>2984</x:v>
      </x:c>
      <x:c r="I621" t="s">
        <x:v>2985</x:v>
      </x:c>
      <x:c r="J621" t="s">
        <x:v>2986</x:v>
      </x:c>
    </x:row>
    <x:row r="622">
      <x:c r="A622" t="s">
        <x:v>2987</x:v>
      </x:c>
      <x:c r="B622" t="s">
        <x:v>2987</x:v>
      </x:c>
      <x:c r="C622" t="s">
        <x:v>1167</x:v>
      </x:c>
      <x:c r="D622">
        <x:v>15</x:v>
      </x:c>
      <x:c r="E622" t="s">
        <x:v>103</x:v>
      </x:c>
      <x:c r="F622" t="s">
        <x:v>97</x:v>
      </x:c>
      <x:c r="G622">
        <x:v>42178</x:v>
      </x:c>
      <x:c r="H622" t="s">
        <x:v>2988</x:v>
      </x:c>
      <x:c r="I622" t="s">
        <x:v>2989</x:v>
      </x:c>
      <x:c r="J622" t="s">
        <x:v>2990</x:v>
      </x:c>
    </x:row>
    <x:row r="623">
      <x:c r="A623" t="s">
        <x:v>2991</x:v>
      </x:c>
      <x:c r="B623" t="s">
        <x:v>2991</x:v>
      </x:c>
      <x:c r="C623" t="s">
        <x:v>1167</x:v>
      </x:c>
      <x:c r="D623">
        <x:v>11</x:v>
      </x:c>
      <x:c r="E623" t="s">
        <x:v>103</x:v>
      </x:c>
      <x:c r="F623" t="s">
        <x:v>97</x:v>
      </x:c>
      <x:c r="G623">
        <x:v>42952</x:v>
      </x:c>
      <x:c r="H623" t="s">
        <x:v>2992</x:v>
      </x:c>
      <x:c r="I623" t="s">
        <x:v>2993</x:v>
      </x:c>
      <x:c r="J623" t="s">
        <x:v>2994</x:v>
      </x:c>
    </x:row>
    <x:row r="624">
      <x:c r="A624" t="s">
        <x:v>2995</x:v>
      </x:c>
      <x:c r="B624" t="s">
        <x:v>2995</x:v>
      </x:c>
      <x:c r="C624" t="s">
        <x:v>1167</x:v>
      </x:c>
      <x:c r="D624">
        <x:v>14</x:v>
      </x:c>
      <x:c r="E624" t="s">
        <x:v>103</x:v>
      </x:c>
      <x:c r="F624" t="s">
        <x:v>97</x:v>
      </x:c>
      <x:c r="G624">
        <x:v>43561</x:v>
      </x:c>
      <x:c r="H624" t="s">
        <x:v>2996</x:v>
      </x:c>
      <x:c r="I624" t="s">
        <x:v>2997</x:v>
      </x:c>
      <x:c r="J624" t="s">
        <x:v>2998</x:v>
      </x:c>
    </x:row>
    <x:row r="625">
      <x:c r="A625" t="s">
        <x:v>2999</x:v>
      </x:c>
      <x:c r="B625" t="s">
        <x:v>2999</x:v>
      </x:c>
      <x:c r="C625" t="s">
        <x:v>1167</x:v>
      </x:c>
      <x:c r="D625">
        <x:v>11</x:v>
      </x:c>
      <x:c r="E625" t="s">
        <x:v>96</x:v>
      </x:c>
      <x:c r="F625" t="s">
        <x:v>97</x:v>
      </x:c>
      <x:c r="G625">
        <x:v>44170</x:v>
      </x:c>
      <x:c r="H625" t="s">
        <x:v>3000</x:v>
      </x:c>
      <x:c r="I625" t="s">
        <x:v>3001</x:v>
      </x:c>
      <x:c r="J625" t="s">
        <x:v>3002</x:v>
      </x:c>
    </x:row>
    <x:row r="626">
      <x:c r="A626" t="s">
        <x:v>3003</x:v>
      </x:c>
      <x:c r="B626" t="s">
        <x:v>3003</x:v>
      </x:c>
      <x:c r="C626" t="s">
        <x:v>1167</x:v>
      </x:c>
      <x:c r="D626">
        <x:v>10</x:v>
      </x:c>
      <x:c r="E626" t="s">
        <x:v>96</x:v>
      </x:c>
      <x:c r="F626" t="s">
        <x:v>97</x:v>
      </x:c>
      <x:c r="G626">
        <x:v>45386</x:v>
      </x:c>
      <x:c r="H626" t="s">
        <x:v>3004</x:v>
      </x:c>
      <x:c r="I626" t="s">
        <x:v>3005</x:v>
      </x:c>
      <x:c r="J626" t="s">
        <x:v>3006</x:v>
      </x:c>
    </x:row>
    <x:row r="627">
      <x:c r="A627" t="s">
        <x:v>3007</x:v>
      </x:c>
      <x:c r="B627" t="s">
        <x:v>3007</x:v>
      </x:c>
      <x:c r="C627" t="s">
        <x:v>1167</x:v>
      </x:c>
      <x:c r="D627">
        <x:v>10</x:v>
      </x:c>
      <x:c r="E627" t="s">
        <x:v>96</x:v>
      </x:c>
      <x:c r="F627" t="s">
        <x:v>97</x:v>
      </x:c>
      <x:c r="G627">
        <x:v>45917</x:v>
      </x:c>
      <x:c r="H627" t="s">
        <x:v>3008</x:v>
      </x:c>
      <x:c r="I627" t="s">
        <x:v>3009</x:v>
      </x:c>
      <x:c r="J627" t="s">
        <x:v>3010</x:v>
      </x:c>
    </x:row>
    <x:row r="628">
      <x:c r="A628" t="s">
        <x:v>3011</x:v>
      </x:c>
      <x:c r="B628" t="s">
        <x:v>3011</x:v>
      </x:c>
      <x:c r="C628" t="s">
        <x:v>3012</x:v>
      </x:c>
      <x:c r="D628">
        <x:v>7</x:v>
      </x:c>
      <x:c r="E628" t="s">
        <x:v>114</x:v>
      </x:c>
      <x:c r="F628" t="s">
        <x:v>90</x:v>
      </x:c>
      <x:c r="G628">
        <x:v>44187</x:v>
      </x:c>
      <x:c r="H628" t="s">
        <x:v>3013</x:v>
      </x:c>
      <x:c r="I628" t="s">
        <x:v>3014</x:v>
      </x:c>
      <x:c r="J628" t="s">
        <x:v>3015</x:v>
      </x:c>
    </x:row>
    <x:row r="629">
      <x:c r="A629" t="s">
        <x:v>3016</x:v>
      </x:c>
      <x:c r="B629" t="s">
        <x:v>3016</x:v>
      </x:c>
      <x:c r="C629" t="s">
        <x:v>1167</x:v>
      </x:c>
      <x:c r="D629">
        <x:v>27</x:v>
      </x:c>
      <x:c r="E629" t="s">
        <x:v>96</x:v>
      </x:c>
      <x:c r="F629" t="s">
        <x:v>152</x:v>
      </x:c>
      <x:c r="G629">
        <x:v>45732</x:v>
      </x:c>
      <x:c r="H629" t="s">
        <x:v>3017</x:v>
      </x:c>
      <x:c r="I629" t="s">
        <x:v>3018</x:v>
      </x:c>
      <x:c r="J629" t="s">
        <x:v>3019</x:v>
      </x:c>
    </x:row>
    <x:row r="630">
      <x:c r="A630" t="s">
        <x:v>3020</x:v>
      </x:c>
      <x:c r="B630" t="s">
        <x:v>3020</x:v>
      </x:c>
      <x:c r="C630" t="s">
        <x:v>1167</x:v>
      </x:c>
      <x:c r="D630">
        <x:v>20</x:v>
      </x:c>
      <x:c r="E630" t="s">
        <x:v>96</x:v>
      </x:c>
      <x:c r="F630" t="s">
        <x:v>90</x:v>
      </x:c>
      <x:c r="G630">
        <x:v>45739</x:v>
      </x:c>
      <x:c r="H630" t="s">
        <x:v>3021</x:v>
      </x:c>
      <x:c r="I630" t="s">
        <x:v>3022</x:v>
      </x:c>
      <x:c r="J630" t="s">
        <x:v>3023</x:v>
      </x:c>
    </x:row>
    <x:row r="631">
      <x:c r="A631" t="s">
        <x:v>3024</x:v>
      </x:c>
      <x:c r="B631" t="s">
        <x:v>3024</x:v>
      </x:c>
      <x:c r="C631" t="s">
        <x:v>3025</x:v>
      </x:c>
      <x:c r="D631">
        <x:v>1</x:v>
      </x:c>
      <x:c r="E631" t="s">
        <x:v>114</x:v>
      </x:c>
      <x:c r="F631" t="s">
        <x:v>90</x:v>
      </x:c>
      <x:c r="G631">
        <x:v>42938</x:v>
      </x:c>
      <x:c r="H631" t="s">
        <x:v>3026</x:v>
      </x:c>
      <x:c r="I631" t="s">
        <x:v>3027</x:v>
      </x:c>
      <x:c r="J631" t="s">
        <x:v>3028</x:v>
      </x:c>
    </x:row>
    <x:row r="632">
      <x:c r="A632" t="s">
        <x:v>3029</x:v>
      </x:c>
      <x:c r="B632" t="s">
        <x:v>3029</x:v>
      </x:c>
      <x:c r="C632" t="s">
        <x:v>3025</x:v>
      </x:c>
      <x:c r="D632">
        <x:v>1</x:v>
      </x:c>
      <x:c r="E632" t="s">
        <x:v>114</x:v>
      </x:c>
      <x:c r="F632" t="s">
        <x:v>90</x:v>
      </x:c>
      <x:c r="G632">
        <x:v>43287</x:v>
      </x:c>
      <x:c r="H632" t="s">
        <x:v>3030</x:v>
      </x:c>
      <x:c r="I632" t="s">
        <x:v>3031</x:v>
      </x:c>
      <x:c r="J632" t="s">
        <x:v>3032</x:v>
      </x:c>
    </x:row>
    <x:row r="633">
      <x:c r="A633" t="s">
        <x:v>3033</x:v>
      </x:c>
      <x:c r="B633" t="s">
        <x:v>3033</x:v>
      </x:c>
      <x:c r="C633" t="s">
        <x:v>850</x:v>
      </x:c>
      <x:c r="D633">
        <x:v>13</x:v>
      </x:c>
      <x:c r="E633" t="s">
        <x:v>198</x:v>
      </x:c>
      <x:c r="F633" t="s">
        <x:v>90</x:v>
      </x:c>
      <x:c r="G633">
        <x:v>45760</x:v>
      </x:c>
      <x:c r="H633" t="s">
        <x:v>3034</x:v>
      </x:c>
      <x:c r="I633" t="s">
        <x:v>3035</x:v>
      </x:c>
      <x:c r="J633" t="s">
        <x:v>3036</x:v>
      </x:c>
    </x:row>
    <x:row r="634">
      <x:c r="A634" t="s">
        <x:v>3037</x:v>
      </x:c>
      <x:c r="B634" t="s">
        <x:v>3037</x:v>
      </x:c>
      <x:c r="C634" t="s">
        <x:v>850</x:v>
      </x:c>
      <x:c r="D634">
        <x:v>23</x:v>
      </x:c>
      <x:c r="E634" t="s">
        <x:v>198</x:v>
      </x:c>
      <x:c r="F634" t="s">
        <x:v>90</x:v>
      </x:c>
      <x:c r="G634">
        <x:v>46087</x:v>
      </x:c>
      <x:c r="H634" t="s">
        <x:v>3038</x:v>
      </x:c>
      <x:c r="I634" t="s">
        <x:v>3039</x:v>
      </x:c>
      <x:c r="J634" t="s">
        <x:v>3040</x:v>
      </x:c>
    </x:row>
    <x:row r="635">
      <x:c r="A635" t="s">
        <x:v>3041</x:v>
      </x:c>
      <x:c r="B635" t="s">
        <x:v>3041</x:v>
      </x:c>
      <x:c r="C635" t="s">
        <x:v>3042</x:v>
      </x:c>
      <x:c r="D635">
        <x:v>5</x:v>
      </x:c>
      <x:c r="E635" t="s">
        <x:v>103</x:v>
      </x:c>
      <x:c r="F635" t="s">
        <x:v>97</x:v>
      </x:c>
      <x:c r="G635">
        <x:v>42213</x:v>
      </x:c>
      <x:c r="H635" t="s">
        <x:v>3043</x:v>
      </x:c>
      <x:c r="I635" t="s">
        <x:v>3044</x:v>
      </x:c>
      <x:c r="J635" t="s">
        <x:v>3045</x:v>
      </x:c>
    </x:row>
    <x:row r="636">
      <x:c r="A636" t="s">
        <x:v>3046</x:v>
      </x:c>
      <x:c r="B636" t="s">
        <x:v>3046</x:v>
      </x:c>
      <x:c r="C636" t="s">
        <x:v>3047</x:v>
      </x:c>
      <x:c r="D636">
        <x:v>14</x:v>
      </x:c>
      <x:c r="E636" t="s">
        <x:v>198</x:v>
      </x:c>
      <x:c r="F636" t="s">
        <x:v>90</x:v>
      </x:c>
      <x:c r="G636">
        <x:v>44606</x:v>
      </x:c>
      <x:c r="H636" t="s">
        <x:v>3048</x:v>
      </x:c>
      <x:c r="I636" t="s">
        <x:v>3049</x:v>
      </x:c>
      <x:c r="J636" t="s">
        <x:v>3050</x:v>
      </x:c>
    </x:row>
    <x:row r="637">
      <x:c r="A637" t="s">
        <x:v>3051</x:v>
      </x:c>
      <x:c r="B637" t="s">
        <x:v>3051</x:v>
      </x:c>
      <x:c r="C637" t="s">
        <x:v>1167</x:v>
      </x:c>
      <x:c r="D637">
        <x:v>7</x:v>
      </x:c>
      <x:c r="E637" t="s">
        <x:v>96</x:v>
      </x:c>
      <x:c r="F637" t="s">
        <x:v>97</x:v>
      </x:c>
      <x:c r="G637">
        <x:v>45825</x:v>
      </x:c>
      <x:c r="H637" t="s">
        <x:v>3052</x:v>
      </x:c>
      <x:c r="I637" t="s">
        <x:v>3053</x:v>
      </x:c>
      <x:c r="J637" t="s">
        <x:v>3054</x:v>
      </x:c>
    </x:row>
    <x:row r="638">
      <x:c r="A638" t="s">
        <x:v>3055</x:v>
      </x:c>
      <x:c r="B638" t="s">
        <x:v>3055</x:v>
      </x:c>
      <x:c r="C638" t="s">
        <x:v>3056</x:v>
      </x:c>
      <x:c r="D638">
        <x:v>3</x:v>
      </x:c>
      <x:c r="E638" t="s">
        <x:v>103</x:v>
      </x:c>
      <x:c r="F638" t="s">
        <x:v>97</x:v>
      </x:c>
      <x:c r="G638">
        <x:v>43871</x:v>
      </x:c>
      <x:c r="H638" t="s">
        <x:v>3057</x:v>
      </x:c>
      <x:c r="I638" t="s">
        <x:v>3058</x:v>
      </x:c>
      <x:c r="J638" t="s">
        <x:v>3059</x:v>
      </x:c>
    </x:row>
    <x:row r="639">
      <x:c r="A639" t="s">
        <x:v>3060</x:v>
      </x:c>
      <x:c r="B639" t="s">
        <x:v>3060</x:v>
      </x:c>
      <x:c r="C639" t="s">
        <x:v>3061</x:v>
      </x:c>
      <x:c r="D639">
        <x:v>8</x:v>
      </x:c>
      <x:c r="E639" t="s">
        <x:v>96</x:v>
      </x:c>
      <x:c r="F639" t="s">
        <x:v>90</x:v>
      </x:c>
      <x:c r="G639">
        <x:v>44489</x:v>
      </x:c>
      <x:c r="H639" t="s">
        <x:v>3062</x:v>
      </x:c>
      <x:c r="I639" t="s">
        <x:v>3063</x:v>
      </x:c>
      <x:c r="J639" t="s">
        <x:v>3064</x:v>
      </x:c>
    </x:row>
    <x:row r="640">
      <x:c r="A640" t="s">
        <x:v>3065</x:v>
      </x:c>
      <x:c r="B640" t="s">
        <x:v>3065</x:v>
      </x:c>
      <x:c r="C640" t="s">
        <x:v>282</x:v>
      </x:c>
      <x:c r="D640">
        <x:v>5</x:v>
      </x:c>
      <x:c r="E640" t="s">
        <x:v>89</x:v>
      </x:c>
      <x:c r="F640" t="s">
        <x:v>90</x:v>
      </x:c>
      <x:c r="G640">
        <x:v>46173</x:v>
      </x:c>
      <x:c r="H640" t="s">
        <x:v>3066</x:v>
      </x:c>
      <x:c r="I640" t="s">
        <x:v>3067</x:v>
      </x:c>
      <x:c r="J640" t="s">
        <x:v>3068</x:v>
      </x:c>
    </x:row>
    <x:row r="641">
      <x:c r="A641" t="s">
        <x:v>3069</x:v>
      </x:c>
      <x:c r="B641" t="s">
        <x:v>3069</x:v>
      </x:c>
      <x:c r="C641" t="s">
        <x:v>685</x:v>
      </x:c>
      <x:c r="D641">
        <x:v>23</x:v>
      </x:c>
      <x:c r="E641" t="s">
        <x:v>198</x:v>
      </x:c>
      <x:c r="F641" t="s">
        <x:v>90</x:v>
      </x:c>
      <x:c r="G641">
        <x:v>46062</x:v>
      </x:c>
      <x:c r="H641" t="s">
        <x:v>3070</x:v>
      </x:c>
      <x:c r="I641" t="s">
        <x:v>3071</x:v>
      </x:c>
      <x:c r="J641" t="s">
        <x:v>3072</x:v>
      </x:c>
    </x:row>
    <x:row r="642">
      <x:c r="A642" t="s">
        <x:v>3073</x:v>
      </x:c>
      <x:c r="B642" t="s">
        <x:v>3073</x:v>
      </x:c>
      <x:c r="C642" t="s">
        <x:v>685</x:v>
      </x:c>
      <x:c r="D642">
        <x:v>12</x:v>
      </x:c>
      <x:c r="E642" t="s">
        <x:v>198</x:v>
      </x:c>
      <x:c r="F642" t="s">
        <x:v>90</x:v>
      </x:c>
      <x:c r="G642">
        <x:v>44832</x:v>
      </x:c>
      <x:c r="H642" t="s">
        <x:v>3074</x:v>
      </x:c>
      <x:c r="I642" t="s">
        <x:v>3075</x:v>
      </x:c>
      <x:c r="J642" t="s">
        <x:v>3076</x:v>
      </x:c>
    </x:row>
    <x:row r="643">
      <x:c r="A643" t="s">
        <x:v>3077</x:v>
      </x:c>
      <x:c r="B643" t="s">
        <x:v>3077</x:v>
      </x:c>
      <x:c r="C643" t="s">
        <x:v>685</x:v>
      </x:c>
      <x:c r="D643">
        <x:v>11</x:v>
      </x:c>
      <x:c r="E643" t="s">
        <x:v>198</x:v>
      </x:c>
      <x:c r="F643" t="s">
        <x:v>90</x:v>
      </x:c>
      <x:c r="G643">
        <x:v>44916</x:v>
      </x:c>
      <x:c r="H643" t="s">
        <x:v>3078</x:v>
      </x:c>
      <x:c r="I643" t="s">
        <x:v>3079</x:v>
      </x:c>
      <x:c r="J643" t="s">
        <x:v>3080</x:v>
      </x:c>
    </x:row>
    <x:row r="644">
      <x:c r="A644" t="s">
        <x:v>3081</x:v>
      </x:c>
      <x:c r="B644" t="s">
        <x:v>3081</x:v>
      </x:c>
      <x:c r="C644" t="s">
        <x:v>3082</x:v>
      </x:c>
      <x:c r="D644">
        <x:v>23</x:v>
      </x:c>
      <x:c r="E644" t="s">
        <x:v>89</x:v>
      </x:c>
      <x:c r="F644" t="s">
        <x:v>90</x:v>
      </x:c>
      <x:c r="G644">
        <x:v>44942</x:v>
      </x:c>
      <x:c r="H644" t="s">
        <x:v>3083</x:v>
      </x:c>
      <x:c r="I644" t="s">
        <x:v>3084</x:v>
      </x:c>
      <x:c r="J644" t="s">
        <x:v>3085</x:v>
      </x:c>
    </x:row>
    <x:row r="645">
      <x:c r="A645" t="s">
        <x:v>3086</x:v>
      </x:c>
      <x:c r="B645" t="s">
        <x:v>3086</x:v>
      </x:c>
      <x:c r="C645" t="s">
        <x:v>3087</x:v>
      </x:c>
      <x:c r="D645">
        <x:v>10</x:v>
      </x:c>
      <x:c r="E645" t="s">
        <x:v>89</x:v>
      </x:c>
      <x:c r="F645" t="s">
        <x:v>90</x:v>
      </x:c>
      <x:c r="G645">
        <x:v>44092</x:v>
      </x:c>
      <x:c r="H645" t="s">
        <x:v>3088</x:v>
      </x:c>
      <x:c r="I645" t="s">
        <x:v>3089</x:v>
      </x:c>
      <x:c r="J645" t="s">
        <x:v>3090</x:v>
      </x:c>
    </x:row>
    <x:row r="646">
      <x:c r="A646" t="s">
        <x:v>3091</x:v>
      </x:c>
      <x:c r="B646" t="s">
        <x:v>3091</x:v>
      </x:c>
      <x:c r="C646" t="s">
        <x:v>3087</x:v>
      </x:c>
      <x:c r="D646">
        <x:v>9</x:v>
      </x:c>
      <x:c r="E646" t="s">
        <x:v>89</x:v>
      </x:c>
      <x:c r="F646" t="s">
        <x:v>90</x:v>
      </x:c>
      <x:c r="G646">
        <x:v>44757</x:v>
      </x:c>
      <x:c r="H646" t="s">
        <x:v>3092</x:v>
      </x:c>
      <x:c r="I646" t="s">
        <x:v>3093</x:v>
      </x:c>
      <x:c r="J646" t="s">
        <x:v>3094</x:v>
      </x:c>
    </x:row>
    <x:row r="647">
      <x:c r="A647" t="s">
        <x:v>3095</x:v>
      </x:c>
      <x:c r="B647" t="s">
        <x:v>3095</x:v>
      </x:c>
      <x:c r="C647" t="s">
        <x:v>1969</x:v>
      </x:c>
      <x:c r="D647">
        <x:v>5</x:v>
      </x:c>
      <x:c r="E647" t="s">
        <x:v>125</x:v>
      </x:c>
      <x:c r="F647" t="s">
        <x:v>90</x:v>
      </x:c>
      <x:c r="G647">
        <x:v>44904</x:v>
      </x:c>
      <x:c r="H647" t="s">
        <x:v>3096</x:v>
      </x:c>
      <x:c r="I647" t="s">
        <x:v>3097</x:v>
      </x:c>
      <x:c r="J647" t="s">
        <x:v>3098</x:v>
      </x:c>
    </x:row>
    <x:row r="648">
      <x:c r="A648" t="s">
        <x:v>3099</x:v>
      </x:c>
      <x:c r="B648" t="s">
        <x:v>3099</x:v>
      </x:c>
      <x:c r="C648" t="s">
        <x:v>3100</x:v>
      </x:c>
      <x:c r="D648">
        <x:v>17</x:v>
      </x:c>
      <x:c r="E648" t="s">
        <x:v>114</x:v>
      </x:c>
      <x:c r="F648" t="s">
        <x:v>90</x:v>
      </x:c>
      <x:c r="G648">
        <x:v>45012</x:v>
      </x:c>
      <x:c r="H648" t="s">
        <x:v>3101</x:v>
      </x:c>
      <x:c r="I648" t="s">
        <x:v>3102</x:v>
      </x:c>
      <x:c r="J648" t="s">
        <x:v>3103</x:v>
      </x:c>
    </x:row>
    <x:row r="649">
      <x:c r="A649" t="s">
        <x:v>3104</x:v>
      </x:c>
      <x:c r="B649" t="s">
        <x:v>3104</x:v>
      </x:c>
      <x:c r="C649" t="s">
        <x:v>3105</x:v>
      </x:c>
      <x:c r="D649">
        <x:v>5</x:v>
      </x:c>
      <x:c r="E649" t="s">
        <x:v>89</x:v>
      </x:c>
      <x:c r="F649" t="s">
        <x:v>90</x:v>
      </x:c>
      <x:c r="G649">
        <x:v>43950</x:v>
      </x:c>
      <x:c r="H649" t="s">
        <x:v>3106</x:v>
      </x:c>
      <x:c r="I649" t="s">
        <x:v>3107</x:v>
      </x:c>
      <x:c r="J649" t="s">
        <x:v>3108</x:v>
      </x:c>
    </x:row>
    <x:row r="650">
      <x:c r="A650" t="s">
        <x:v>3109</x:v>
      </x:c>
      <x:c r="B650" t="s">
        <x:v>3109</x:v>
      </x:c>
      <x:c r="C650" t="s">
        <x:v>3110</x:v>
      </x:c>
      <x:c r="D650">
        <x:v>19</x:v>
      </x:c>
      <x:c r="E650" t="s">
        <x:v>89</x:v>
      </x:c>
      <x:c r="F650" t="s">
        <x:v>90</x:v>
      </x:c>
      <x:c r="G650">
        <x:v>46029</x:v>
      </x:c>
      <x:c r="H650" t="s">
        <x:v>3111</x:v>
      </x:c>
      <x:c r="I650" t="s">
        <x:v>3112</x:v>
      </x:c>
      <x:c r="J650" t="s">
        <x:v>3113</x:v>
      </x:c>
    </x:row>
    <x:row r="651">
      <x:c r="A651" t="s">
        <x:v>3114</x:v>
      </x:c>
      <x:c r="B651" t="s">
        <x:v>3114</x:v>
      </x:c>
      <x:c r="C651" t="s">
        <x:v>491</x:v>
      </x:c>
      <x:c r="D651">
        <x:v>0</x:v>
      </x:c>
      <x:c r="E651" t="s">
        <x:v>89</x:v>
      </x:c>
      <x:c r="F651" t="s">
        <x:v>90</x:v>
      </x:c>
      <x:c r="G651">
        <x:v>44409</x:v>
      </x:c>
      <x:c r="H651" t="s">
        <x:v>3115</x:v>
      </x:c>
      <x:c r="I651" t="s">
        <x:v>3116</x:v>
      </x:c>
      <x:c r="J651" t="s">
        <x:v>3117</x:v>
      </x:c>
    </x:row>
    <x:row r="652">
      <x:c r="A652" t="s">
        <x:v>3118</x:v>
      </x:c>
      <x:c r="B652" t="s">
        <x:v>3118</x:v>
      </x:c>
      <x:c r="C652" t="s">
        <x:v>491</x:v>
      </x:c>
      <x:c r="D652">
        <x:v>0</x:v>
      </x:c>
      <x:c r="E652" t="s">
        <x:v>89</x:v>
      </x:c>
      <x:c r="F652" t="s">
        <x:v>90</x:v>
      </x:c>
      <x:c r="G652">
        <x:v>44460</x:v>
      </x:c>
      <x:c r="H652" t="s">
        <x:v>3119</x:v>
      </x:c>
      <x:c r="I652" t="s">
        <x:v>3120</x:v>
      </x:c>
      <x:c r="J652" t="s">
        <x:v>3121</x:v>
      </x:c>
    </x:row>
    <x:row r="653">
      <x:c r="A653" t="s">
        <x:v>3122</x:v>
      </x:c>
      <x:c r="B653" t="s">
        <x:v>3122</x:v>
      </x:c>
      <x:c r="C653" t="s">
        <x:v>491</x:v>
      </x:c>
      <x:c r="D653">
        <x:v>0</x:v>
      </x:c>
      <x:c r="E653" t="s">
        <x:v>89</x:v>
      </x:c>
      <x:c r="F653" t="s">
        <x:v>90</x:v>
      </x:c>
      <x:c r="G653">
        <x:v>44463</x:v>
      </x:c>
      <x:c r="H653" t="s">
        <x:v>3123</x:v>
      </x:c>
      <x:c r="I653" t="s">
        <x:v>3124</x:v>
      </x:c>
      <x:c r="J653" t="s">
        <x:v>3125</x:v>
      </x:c>
    </x:row>
    <x:row r="654">
      <x:c r="A654" t="s">
        <x:v>3126</x:v>
      </x:c>
      <x:c r="B654" t="s">
        <x:v>3126</x:v>
      </x:c>
      <x:c r="C654" t="s">
        <x:v>3127</x:v>
      </x:c>
      <x:c r="D654">
        <x:v>13</x:v>
      </x:c>
      <x:c r="E654" t="s">
        <x:v>89</x:v>
      </x:c>
      <x:c r="F654" t="s">
        <x:v>97</x:v>
      </x:c>
      <x:c r="G654">
        <x:v>45944</x:v>
      </x:c>
      <x:c r="H654" t="s">
        <x:v>3128</x:v>
      </x:c>
      <x:c r="I654" t="s">
        <x:v>3129</x:v>
      </x:c>
      <x:c r="J654" t="s">
        <x:v>3130</x:v>
      </x:c>
    </x:row>
    <x:row r="655">
      <x:c r="A655" t="s">
        <x:v>3131</x:v>
      </x:c>
      <x:c r="B655" t="s">
        <x:v>3131</x:v>
      </x:c>
      <x:c r="C655" t="s">
        <x:v>680</x:v>
      </x:c>
      <x:c r="D655">
        <x:v>16</x:v>
      </x:c>
      <x:c r="E655" t="s">
        <x:v>198</x:v>
      </x:c>
      <x:c r="F655" t="s">
        <x:v>90</x:v>
      </x:c>
      <x:c r="G655">
        <x:v>44110</x:v>
      </x:c>
      <x:c r="H655" t="s">
        <x:v>3132</x:v>
      </x:c>
      <x:c r="I655" t="s">
        <x:v>3133</x:v>
      </x:c>
      <x:c r="J655" t="s">
        <x:v>3134</x:v>
      </x:c>
    </x:row>
    <x:row r="656">
      <x:c r="A656" t="s">
        <x:v>3135</x:v>
      </x:c>
      <x:c r="B656" t="s">
        <x:v>3135</x:v>
      </x:c>
      <x:c r="C656" t="s">
        <x:v>1821</x:v>
      </x:c>
      <x:c r="D656">
        <x:v>16</x:v>
      </x:c>
      <x:c r="E656" t="s">
        <x:v>96</x:v>
      </x:c>
      <x:c r="F656" t="s">
        <x:v>610</x:v>
      </x:c>
      <x:c r="G656">
        <x:v>41724</x:v>
      </x:c>
      <x:c r="H656" t="s">
        <x:v>3136</x:v>
      </x:c>
      <x:c r="I656" t="s">
        <x:v>3137</x:v>
      </x:c>
      <x:c r="J656" t="s">
        <x:v>3138</x:v>
      </x:c>
    </x:row>
    <x:row r="657">
      <x:c r="A657" t="s">
        <x:v>3139</x:v>
      </x:c>
      <x:c r="B657" t="s">
        <x:v>3139</x:v>
      </x:c>
      <x:c r="C657" t="s">
        <x:v>3140</x:v>
      </x:c>
      <x:c r="D657">
        <x:v>14</x:v>
      </x:c>
      <x:c r="E657" t="s">
        <x:v>114</x:v>
      </x:c>
      <x:c r="F657" t="s">
        <x:v>90</x:v>
      </x:c>
      <x:c r="G657">
        <x:v>45970</x:v>
      </x:c>
      <x:c r="H657" t="s">
        <x:v>3141</x:v>
      </x:c>
      <x:c r="I657" t="s">
        <x:v>3142</x:v>
      </x:c>
      <x:c r="J657" t="s">
        <x:v>3143</x:v>
      </x:c>
    </x:row>
    <x:row r="658">
      <x:c r="A658" t="s">
        <x:v>3144</x:v>
      </x:c>
      <x:c r="B658" t="s">
        <x:v>3144</x:v>
      </x:c>
      <x:c r="C658" t="s">
        <x:v>394</x:v>
      </x:c>
      <x:c r="D658">
        <x:v>12</x:v>
      </x:c>
      <x:c r="E658" t="s">
        <x:v>198</x:v>
      </x:c>
      <x:c r="F658" t="s">
        <x:v>90</x:v>
      </x:c>
      <x:c r="G658">
        <x:v>46130</x:v>
      </x:c>
      <x:c r="H658" t="s">
        <x:v>3145</x:v>
      </x:c>
      <x:c r="I658" t="s">
        <x:v>3146</x:v>
      </x:c>
      <x:c r="J658" t="s">
        <x:v>3147</x:v>
      </x:c>
    </x:row>
    <x:row r="659">
      <x:c r="A659" t="s">
        <x:v>3148</x:v>
      </x:c>
      <x:c r="B659" t="s">
        <x:v>3148</x:v>
      </x:c>
      <x:c r="C659" t="s">
        <x:v>491</x:v>
      </x:c>
      <x:c r="D659">
        <x:v>6</x:v>
      </x:c>
      <x:c r="E659" t="s">
        <x:v>198</x:v>
      </x:c>
      <x:c r="F659" t="s">
        <x:v>90</x:v>
      </x:c>
      <x:c r="G659">
        <x:v>45634</x:v>
      </x:c>
      <x:c r="H659" t="s">
        <x:v>3149</x:v>
      </x:c>
      <x:c r="I659" t="s">
        <x:v>3150</x:v>
      </x:c>
      <x:c r="J659" t="s">
        <x:v>3151</x:v>
      </x:c>
    </x:row>
    <x:row r="660">
      <x:c r="A660" t="s">
        <x:v>3152</x:v>
      </x:c>
      <x:c r="B660" t="s">
        <x:v>3152</x:v>
      </x:c>
      <x:c r="C660" t="s">
        <x:v>2501</x:v>
      </x:c>
      <x:c r="D660">
        <x:v>13</x:v>
      </x:c>
      <x:c r="E660" t="s">
        <x:v>89</x:v>
      </x:c>
      <x:c r="F660" t="s">
        <x:v>90</x:v>
      </x:c>
      <x:c r="G660">
        <x:v>43876</x:v>
      </x:c>
      <x:c r="H660" t="s">
        <x:v>3153</x:v>
      </x:c>
      <x:c r="I660" t="s">
        <x:v>3154</x:v>
      </x:c>
      <x:c r="J660" t="s">
        <x:v>3155</x:v>
      </x:c>
    </x:row>
    <x:row r="661">
      <x:c r="A661" t="s">
        <x:v>3156</x:v>
      </x:c>
      <x:c r="B661" t="s">
        <x:v>3156</x:v>
      </x:c>
      <x:c r="C661" t="s">
        <x:v>562</x:v>
      </x:c>
      <x:c r="D661">
        <x:v>11</x:v>
      </x:c>
      <x:c r="E661" t="s">
        <x:v>114</x:v>
      </x:c>
      <x:c r="F661" t="s">
        <x:v>90</x:v>
      </x:c>
      <x:c r="G661">
        <x:v>44663</x:v>
      </x:c>
      <x:c r="H661" t="s">
        <x:v>3157</x:v>
      </x:c>
      <x:c r="I661" t="s">
        <x:v>3158</x:v>
      </x:c>
      <x:c r="J661" t="s">
        <x:v>3159</x:v>
      </x:c>
    </x:row>
    <x:row r="662">
      <x:c r="A662" t="s">
        <x:v>3160</x:v>
      </x:c>
      <x:c r="B662" t="s">
        <x:v>3160</x:v>
      </x:c>
      <x:c r="C662" t="s">
        <x:v>394</x:v>
      </x:c>
      <x:c r="D662">
        <x:v>20</x:v>
      </x:c>
      <x:c r="E662" t="s">
        <x:v>96</x:v>
      </x:c>
      <x:c r="F662" t="s">
        <x:v>610</x:v>
      </x:c>
      <x:c r="G662">
        <x:v>41956</x:v>
      </x:c>
      <x:c r="H662" t="s">
        <x:v>3161</x:v>
      </x:c>
      <x:c r="I662" t="s">
        <x:v>3162</x:v>
      </x:c>
      <x:c r="J662" t="s">
        <x:v>3163</x:v>
      </x:c>
    </x:row>
    <x:row r="663">
      <x:c r="A663" t="s">
        <x:v>3164</x:v>
      </x:c>
      <x:c r="B663" t="s">
        <x:v>3164</x:v>
      </x:c>
      <x:c r="C663" t="s">
        <x:v>3165</x:v>
      </x:c>
      <x:c r="D663">
        <x:v>7</x:v>
      </x:c>
      <x:c r="E663" t="s">
        <x:v>89</x:v>
      </x:c>
      <x:c r="F663" t="s">
        <x:v>90</x:v>
      </x:c>
      <x:c r="G663">
        <x:v>43551</x:v>
      </x:c>
      <x:c r="H663" t="s">
        <x:v>3166</x:v>
      </x:c>
      <x:c r="I663" t="s">
        <x:v>3167</x:v>
      </x:c>
      <x:c r="J663" t="s">
        <x:v>3168</x:v>
      </x:c>
    </x:row>
    <x:row r="664">
      <x:c r="A664" t="s">
        <x:v>3169</x:v>
      </x:c>
      <x:c r="B664" t="s">
        <x:v>3169</x:v>
      </x:c>
      <x:c r="C664" t="s">
        <x:v>3170</x:v>
      </x:c>
      <x:c r="D664">
        <x:v>13</x:v>
      </x:c>
      <x:c r="E664" t="s">
        <x:v>114</x:v>
      </x:c>
      <x:c r="F664" t="s">
        <x:v>3171</x:v>
      </x:c>
      <x:c r="G664">
        <x:v>44484</x:v>
      </x:c>
      <x:c r="H664" t="s">
        <x:v>3172</x:v>
      </x:c>
      <x:c r="I664" t="s">
        <x:v>3173</x:v>
      </x:c>
      <x:c r="J664" t="s">
        <x:v>3174</x:v>
      </x:c>
    </x:row>
    <x:row r="665">
      <x:c r="A665" t="s">
        <x:v>3175</x:v>
      </x:c>
      <x:c r="B665" t="s">
        <x:v>3175</x:v>
      </x:c>
      <x:c r="C665" t="s">
        <x:v>3176</x:v>
      </x:c>
      <x:c r="D665">
        <x:v>1</x:v>
      </x:c>
      <x:c r="E665" t="s">
        <x:v>198</x:v>
      </x:c>
      <x:c r="F665" t="s">
        <x:v>90</x:v>
      </x:c>
      <x:c r="G665">
        <x:v>44503</x:v>
      </x:c>
      <x:c r="H665" t="s">
        <x:v>3177</x:v>
      </x:c>
      <x:c r="I665" t="s">
        <x:v>3178</x:v>
      </x:c>
      <x:c r="J665" t="s">
        <x:v>3179</x:v>
      </x:c>
    </x:row>
    <x:row r="666">
      <x:c r="A666" t="s">
        <x:v>3180</x:v>
      </x:c>
      <x:c r="B666" t="s">
        <x:v>3180</x:v>
      </x:c>
      <x:c r="C666" t="s">
        <x:v>1544</x:v>
      </x:c>
      <x:c r="D666">
        <x:v>5</x:v>
      </x:c>
      <x:c r="E666" t="s">
        <x:v>103</x:v>
      </x:c>
      <x:c r="F666" t="s">
        <x:v>97</x:v>
      </x:c>
      <x:c r="G666">
        <x:v>42218</x:v>
      </x:c>
      <x:c r="H666" t="s">
        <x:v>3181</x:v>
      </x:c>
      <x:c r="I666" t="s">
        <x:v>3182</x:v>
      </x:c>
      <x:c r="J666" t="s">
        <x:v>3183</x:v>
      </x:c>
    </x:row>
    <x:row r="667">
      <x:c r="A667" t="s">
        <x:v>3184</x:v>
      </x:c>
      <x:c r="B667" t="s">
        <x:v>3184</x:v>
      </x:c>
      <x:c r="C667" t="s">
        <x:v>3185</x:v>
      </x:c>
      <x:c r="D667">
        <x:v>0</x:v>
      </x:c>
      <x:c r="E667" t="s">
        <x:v>89</x:v>
      </x:c>
      <x:c r="F667" t="s">
        <x:v>90</x:v>
      </x:c>
      <x:c r="G667">
        <x:v>45426</x:v>
      </x:c>
      <x:c r="H667" t="s">
        <x:v>3186</x:v>
      </x:c>
      <x:c r="I667" t="s">
        <x:v>3187</x:v>
      </x:c>
      <x:c r="J667" t="s">
        <x:v>3188</x:v>
      </x:c>
    </x:row>
    <x:row r="668">
      <x:c r="A668" t="s">
        <x:v>3189</x:v>
      </x:c>
      <x:c r="B668" t="s">
        <x:v>3189</x:v>
      </x:c>
      <x:c r="C668" t="s">
        <x:v>3190</x:v>
      </x:c>
      <x:c r="D668">
        <x:v>8</x:v>
      </x:c>
      <x:c r="E668" t="s">
        <x:v>96</x:v>
      </x:c>
      <x:c r="F668" t="s">
        <x:v>610</x:v>
      </x:c>
      <x:c r="G668">
        <x:v>43833</x:v>
      </x:c>
      <x:c r="H668" t="s">
        <x:v>3191</x:v>
      </x:c>
      <x:c r="I668" t="s">
        <x:v>3192</x:v>
      </x:c>
      <x:c r="J668" t="s">
        <x:v>3193</x:v>
      </x:c>
    </x:row>
    <x:row r="669">
      <x:c r="A669" t="s">
        <x:v>3194</x:v>
      </x:c>
      <x:c r="B669" t="s">
        <x:v>3194</x:v>
      </x:c>
      <x:c r="C669" t="s">
        <x:v>3195</x:v>
      </x:c>
      <x:c r="D669">
        <x:v>28</x:v>
      </x:c>
      <x:c r="E669" t="s">
        <x:v>103</x:v>
      </x:c>
      <x:c r="F669" t="s">
        <x:v>97</x:v>
      </x:c>
      <x:c r="G669">
        <x:v>44836</x:v>
      </x:c>
      <x:c r="H669" t="s">
        <x:v>3196</x:v>
      </x:c>
      <x:c r="I669" t="s">
        <x:v>3197</x:v>
      </x:c>
      <x:c r="J669" t="s">
        <x:v>3198</x:v>
      </x:c>
    </x:row>
    <x:row r="670">
      <x:c r="A670" t="s">
        <x:v>3199</x:v>
      </x:c>
      <x:c r="B670" t="s">
        <x:v>3199</x:v>
      </x:c>
      <x:c r="C670" t="s">
        <x:v>2939</x:v>
      </x:c>
      <x:c r="D670">
        <x:v>62</x:v>
      </x:c>
      <x:c r="E670" t="s">
        <x:v>96</x:v>
      </x:c>
      <x:c r="F670" t="s">
        <x:v>97</x:v>
      </x:c>
      <x:c r="G670">
        <x:v>42245</x:v>
      </x:c>
      <x:c r="H670" t="s">
        <x:v>3200</x:v>
      </x:c>
      <x:c r="I670" t="s">
        <x:v>3201</x:v>
      </x:c>
      <x:c r="J670" t="s">
        <x:v>3202</x:v>
      </x:c>
    </x:row>
    <x:row r="671">
      <x:c r="A671" t="s">
        <x:v>3203</x:v>
      </x:c>
      <x:c r="B671" t="s">
        <x:v>3203</x:v>
      </x:c>
      <x:c r="C671" t="s">
        <x:v>2934</x:v>
      </x:c>
      <x:c r="D671">
        <x:v>27</x:v>
      </x:c>
      <x:c r="E671" t="s">
        <x:v>96</x:v>
      </x:c>
      <x:c r="F671" t="s">
        <x:v>97</x:v>
      </x:c>
      <x:c r="G671">
        <x:v>42618</x:v>
      </x:c>
      <x:c r="H671" t="s">
        <x:v>3204</x:v>
      </x:c>
      <x:c r="I671" t="s">
        <x:v>3205</x:v>
      </x:c>
      <x:c r="J671" t="s">
        <x:v>3206</x:v>
      </x:c>
    </x:row>
    <x:row r="672">
      <x:c r="A672" t="s">
        <x:v>3207</x:v>
      </x:c>
      <x:c r="B672" t="s">
        <x:v>3207</x:v>
      </x:c>
      <x:c r="C672" t="s">
        <x:v>2742</x:v>
      </x:c>
      <x:c r="D672">
        <x:v>17</x:v>
      </x:c>
      <x:c r="E672" t="s">
        <x:v>198</x:v>
      </x:c>
      <x:c r="F672" t="s">
        <x:v>90</x:v>
      </x:c>
      <x:c r="G672">
        <x:v>44445</x:v>
      </x:c>
      <x:c r="H672" t="s">
        <x:v>3208</x:v>
      </x:c>
      <x:c r="I672" t="s">
        <x:v>3209</x:v>
      </x:c>
      <x:c r="J672" t="s">
        <x:v>3210</x:v>
      </x:c>
    </x:row>
    <x:row r="673">
      <x:c r="A673" t="s">
        <x:v>3211</x:v>
      </x:c>
      <x:c r="B673" t="s">
        <x:v>3211</x:v>
      </x:c>
      <x:c r="C673" t="s">
        <x:v>3212</x:v>
      </x:c>
      <x:c r="D673">
        <x:v>7</x:v>
      </x:c>
      <x:c r="E673" t="s">
        <x:v>103</x:v>
      </x:c>
      <x:c r="F673" t="s">
        <x:v>97</x:v>
      </x:c>
      <x:c r="G673">
        <x:v>42215</x:v>
      </x:c>
      <x:c r="H673" t="s">
        <x:v>3213</x:v>
      </x:c>
      <x:c r="I673" t="s">
        <x:v>3214</x:v>
      </x:c>
      <x:c r="J673" t="s">
        <x:v>3215</x:v>
      </x:c>
    </x:row>
    <x:row r="674">
      <x:c r="A674" t="s">
        <x:v>3216</x:v>
      </x:c>
      <x:c r="B674" t="s">
        <x:v>3216</x:v>
      </x:c>
      <x:c r="C674" t="s">
        <x:v>609</x:v>
      </x:c>
      <x:c r="D674">
        <x:v>1</x:v>
      </x:c>
      <x:c r="E674" t="s">
        <x:v>114</x:v>
      </x:c>
      <x:c r="F674" t="s">
        <x:v>90</x:v>
      </x:c>
      <x:c r="G674">
        <x:v>41976</x:v>
      </x:c>
      <x:c r="H674" t="s">
        <x:v>3217</x:v>
      </x:c>
      <x:c r="I674" t="s">
        <x:v>3218</x:v>
      </x:c>
      <x:c r="J674" t="s">
        <x:v>3219</x:v>
      </x:c>
    </x:row>
    <x:row r="675">
      <x:c r="A675" t="s">
        <x:v>3220</x:v>
      </x:c>
      <x:c r="B675" t="s">
        <x:v>3220</x:v>
      </x:c>
      <x:c r="C675" t="s">
        <x:v>3221</x:v>
      </x:c>
      <x:c r="D675">
        <x:v>28</x:v>
      </x:c>
      <x:c r="E675" t="s">
        <x:v>89</x:v>
      </x:c>
      <x:c r="F675" t="s">
        <x:v>90</x:v>
      </x:c>
      <x:c r="G675">
        <x:v>44642</x:v>
      </x:c>
      <x:c r="H675" t="s">
        <x:v>3222</x:v>
      </x:c>
      <x:c r="I675" t="s">
        <x:v>3223</x:v>
      </x:c>
      <x:c r="J675" t="s">
        <x:v>3224</x:v>
      </x:c>
    </x:row>
    <x:row r="676">
      <x:c r="A676" t="s">
        <x:v>3225</x:v>
      </x:c>
      <x:c r="B676" t="s">
        <x:v>3225</x:v>
      </x:c>
      <x:c r="C676" t="s">
        <x:v>1782</x:v>
      </x:c>
      <x:c r="D676">
        <x:v>3</x:v>
      </x:c>
      <x:c r="E676" t="s">
        <x:v>114</x:v>
      </x:c>
      <x:c r="F676" t="s">
        <x:v>90</x:v>
      </x:c>
      <x:c r="G676">
        <x:v>45671</x:v>
      </x:c>
      <x:c r="H676" t="s">
        <x:v>3226</x:v>
      </x:c>
      <x:c r="I676" t="s">
        <x:v>3227</x:v>
      </x:c>
      <x:c r="J676" t="s">
        <x:v>3228</x:v>
      </x:c>
    </x:row>
    <x:row r="677">
      <x:c r="A677" t="s">
        <x:v>3229</x:v>
      </x:c>
      <x:c r="B677" t="s">
        <x:v>3229</x:v>
      </x:c>
      <x:c r="C677" t="s">
        <x:v>2912</x:v>
      </x:c>
      <x:c r="D677">
        <x:v>14</x:v>
      </x:c>
      <x:c r="E677" t="s">
        <x:v>89</x:v>
      </x:c>
      <x:c r="F677" t="s">
        <x:v>90</x:v>
      </x:c>
      <x:c r="G677">
        <x:v>45246</x:v>
      </x:c>
      <x:c r="H677" t="s">
        <x:v>3230</x:v>
      </x:c>
      <x:c r="I677" t="s">
        <x:v>3231</x:v>
      </x:c>
      <x:c r="J677" t="s">
        <x:v>3232</x:v>
      </x:c>
    </x:row>
    <x:row r="678">
      <x:c r="A678" t="s">
        <x:v>3233</x:v>
      </x:c>
      <x:c r="B678" t="s">
        <x:v>3233</x:v>
      </x:c>
      <x:c r="C678" t="s">
        <x:v>3234</x:v>
      </x:c>
      <x:c r="D678">
        <x:v>28</x:v>
      </x:c>
      <x:c r="E678" t="s">
        <x:v>96</x:v>
      </x:c>
      <x:c r="F678" t="s">
        <x:v>97</x:v>
      </x:c>
      <x:c r="G678">
        <x:v>45334</x:v>
      </x:c>
      <x:c r="H678" t="s">
        <x:v>3235</x:v>
      </x:c>
      <x:c r="I678" t="s">
        <x:v>3236</x:v>
      </x:c>
      <x:c r="J678" t="s">
        <x:v>3237</x:v>
      </x:c>
    </x:row>
    <x:row r="679">
      <x:c r="A679" t="s">
        <x:v>3238</x:v>
      </x:c>
      <x:c r="B679" t="s">
        <x:v>3238</x:v>
      </x:c>
      <x:c r="C679" t="s">
        <x:v>102</x:v>
      </x:c>
      <x:c r="D679">
        <x:v>22</x:v>
      </x:c>
      <x:c r="E679" t="s">
        <x:v>103</x:v>
      </x:c>
      <x:c r="F679" t="s">
        <x:v>97</x:v>
      </x:c>
      <x:c r="G679">
        <x:v>42384</x:v>
      </x:c>
      <x:c r="H679" t="s">
        <x:v>3239</x:v>
      </x:c>
      <x:c r="I679" t="s">
        <x:v>3240</x:v>
      </x:c>
      <x:c r="J679" t="s">
        <x:v>3241</x:v>
      </x:c>
    </x:row>
    <x:row r="680">
      <x:c r="A680" t="s">
        <x:v>3242</x:v>
      </x:c>
      <x:c r="B680" t="s">
        <x:v>3242</x:v>
      </x:c>
      <x:c r="C680" t="s">
        <x:v>3243</x:v>
      </x:c>
      <x:c r="D680">
        <x:v>2</x:v>
      </x:c>
      <x:c r="E680" t="s">
        <x:v>257</x:v>
      </x:c>
      <x:c r="F680" t="s">
        <x:v>97</x:v>
      </x:c>
      <x:c r="G680">
        <x:v>42560</x:v>
      </x:c>
      <x:c r="H680" t="s">
        <x:v>3244</x:v>
      </x:c>
      <x:c r="I680" t="s">
        <x:v>3245</x:v>
      </x:c>
      <x:c r="J680" t="s">
        <x:v>3246</x:v>
      </x:c>
    </x:row>
    <x:row r="681">
      <x:c r="A681" t="s">
        <x:v>3247</x:v>
      </x:c>
      <x:c r="B681" t="s">
        <x:v>3247</x:v>
      </x:c>
      <x:c r="C681" t="s">
        <x:v>586</x:v>
      </x:c>
      <x:c r="D681">
        <x:v>1</x:v>
      </x:c>
      <x:c r="E681" t="s">
        <x:v>89</x:v>
      </x:c>
      <x:c r="F681" t="s">
        <x:v>152</x:v>
      </x:c>
      <x:c r="G681">
        <x:v>45544</x:v>
      </x:c>
      <x:c r="H681" t="s">
        <x:v>3248</x:v>
      </x:c>
      <x:c r="I681" t="s">
        <x:v>3249</x:v>
      </x:c>
      <x:c r="J681" t="s">
        <x:v>3250</x:v>
      </x:c>
    </x:row>
    <x:row r="682">
      <x:c r="A682" t="s">
        <x:v>3251</x:v>
      </x:c>
      <x:c r="B682" t="s">
        <x:v>3251</x:v>
      </x:c>
      <x:c r="C682" t="s">
        <x:v>3252</x:v>
      </x:c>
      <x:c r="D682">
        <x:v>8</x:v>
      </x:c>
      <x:c r="E682" t="s">
        <x:v>198</x:v>
      </x:c>
      <x:c r="F682" t="s">
        <x:v>90</x:v>
      </x:c>
      <x:c r="G682">
        <x:v>45446</x:v>
      </x:c>
      <x:c r="H682" t="s">
        <x:v>3253</x:v>
      </x:c>
      <x:c r="I682" t="s">
        <x:v>3254</x:v>
      </x:c>
      <x:c r="J682" t="s">
        <x:v>3255</x:v>
      </x:c>
    </x:row>
    <x:row r="683">
      <x:c r="A683" t="s">
        <x:v>3256</x:v>
      </x:c>
      <x:c r="B683" t="s">
        <x:v>3256</x:v>
      </x:c>
      <x:c r="C683" t="s">
        <x:v>1036</x:v>
      </x:c>
      <x:c r="D683">
        <x:v>20</x:v>
      </x:c>
      <x:c r="E683" t="s">
        <x:v>198</x:v>
      </x:c>
      <x:c r="F683" t="s">
        <x:v>90</x:v>
      </x:c>
      <x:c r="G683">
        <x:v>44317</x:v>
      </x:c>
      <x:c r="H683" t="s">
        <x:v>3257</x:v>
      </x:c>
      <x:c r="I683" t="s">
        <x:v>3258</x:v>
      </x:c>
      <x:c r="J683" t="s">
        <x:v>3259</x:v>
      </x:c>
    </x:row>
    <x:row r="684">
      <x:c r="A684" t="s">
        <x:v>3260</x:v>
      </x:c>
      <x:c r="B684" t="s">
        <x:v>3260</x:v>
      </x:c>
      <x:c r="C684" t="s">
        <x:v>1036</x:v>
      </x:c>
      <x:c r="D684">
        <x:v>21</x:v>
      </x:c>
      <x:c r="E684" t="s">
        <x:v>198</x:v>
      </x:c>
      <x:c r="F684" t="s">
        <x:v>90</x:v>
      </x:c>
      <x:c r="G684">
        <x:v>46114</x:v>
      </x:c>
      <x:c r="H684" t="s">
        <x:v>3261</x:v>
      </x:c>
      <x:c r="I684" t="s">
        <x:v>3262</x:v>
      </x:c>
      <x:c r="J684" t="s">
        <x:v>3263</x:v>
      </x:c>
    </x:row>
    <x:row r="685">
      <x:c r="A685" t="s">
        <x:v>3264</x:v>
      </x:c>
      <x:c r="B685" t="s">
        <x:v>3264</x:v>
      </x:c>
      <x:c r="C685" t="s">
        <x:v>3265</x:v>
      </x:c>
      <x:c r="D685">
        <x:v>9</x:v>
      </x:c>
      <x:c r="E685" t="s">
        <x:v>103</x:v>
      </x:c>
      <x:c r="F685" t="s">
        <x:v>97</x:v>
      </x:c>
      <x:c r="G685">
        <x:v>41452</x:v>
      </x:c>
      <x:c r="H685" t="s">
        <x:v>3266</x:v>
      </x:c>
      <x:c r="I685" t="s">
        <x:v>3267</x:v>
      </x:c>
      <x:c r="J685" t="s">
        <x:v>3268</x:v>
      </x:c>
    </x:row>
    <x:row r="686">
      <x:c r="A686" t="s">
        <x:v>3269</x:v>
      </x:c>
      <x:c r="B686" t="s">
        <x:v>3269</x:v>
      </x:c>
      <x:c r="C686" t="s">
        <x:v>3270</x:v>
      </x:c>
      <x:c r="D686">
        <x:v>6</x:v>
      </x:c>
      <x:c r="E686" t="s">
        <x:v>257</x:v>
      </x:c>
      <x:c r="F686" t="s">
        <x:v>97</x:v>
      </x:c>
      <x:c r="G686">
        <x:v>42228</x:v>
      </x:c>
      <x:c r="H686" t="s">
        <x:v>3271</x:v>
      </x:c>
      <x:c r="I686" t="s">
        <x:v>3272</x:v>
      </x:c>
      <x:c r="J686" t="s">
        <x:v>3273</x:v>
      </x:c>
    </x:row>
    <x:row r="687">
      <x:c r="A687" t="s">
        <x:v>3274</x:v>
      </x:c>
      <x:c r="B687" t="s">
        <x:v>3274</x:v>
      </x:c>
      <x:c r="C687" t="s">
        <x:v>3275</x:v>
      </x:c>
      <x:c r="D687">
        <x:v>1</x:v>
      </x:c>
      <x:c r="E687" t="s">
        <x:v>103</x:v>
      </x:c>
      <x:c r="F687" t="s">
        <x:v>97</x:v>
      </x:c>
      <x:c r="G687">
        <x:v>43409</x:v>
      </x:c>
      <x:c r="H687" t="s">
        <x:v>3276</x:v>
      </x:c>
      <x:c r="I687" t="s">
        <x:v>3277</x:v>
      </x:c>
      <x:c r="J687" t="s">
        <x:v>3278</x:v>
      </x:c>
    </x:row>
    <x:row r="688">
      <x:c r="A688" t="s">
        <x:v>3279</x:v>
      </x:c>
      <x:c r="B688" t="s">
        <x:v>3279</x:v>
      </x:c>
      <x:c r="C688" t="s">
        <x:v>3280</x:v>
      </x:c>
      <x:c r="D688">
        <x:v>6</x:v>
      </x:c>
      <x:c r="E688" t="s">
        <x:v>198</x:v>
      </x:c>
      <x:c r="F688" t="s">
        <x:v>90</x:v>
      </x:c>
      <x:c r="G688">
        <x:v>45747</x:v>
      </x:c>
      <x:c r="H688" t="s">
        <x:v>3281</x:v>
      </x:c>
      <x:c r="I688" t="s">
        <x:v>3282</x:v>
      </x:c>
      <x:c r="J688" t="s">
        <x:v>3283</x:v>
      </x:c>
    </x:row>
    <x:row r="689">
      <x:c r="A689" t="s">
        <x:v>3284</x:v>
      </x:c>
      <x:c r="B689" t="s">
        <x:v>3284</x:v>
      </x:c>
      <x:c r="C689" t="s">
        <x:v>3285</x:v>
      </x:c>
      <x:c r="D689">
        <x:v>1</x:v>
      </x:c>
      <x:c r="E689" t="s">
        <x:v>103</x:v>
      </x:c>
      <x:c r="F689" t="s">
        <x:v>97</x:v>
      </x:c>
      <x:c r="G689">
        <x:v>42166</x:v>
      </x:c>
      <x:c r="H689" t="s">
        <x:v>3286</x:v>
      </x:c>
      <x:c r="I689" t="s">
        <x:v>3287</x:v>
      </x:c>
      <x:c r="J689" t="s">
        <x:v>3288</x:v>
      </x:c>
    </x:row>
    <x:row r="690">
      <x:c r="A690" t="s">
        <x:v>3289</x:v>
      </x:c>
      <x:c r="B690" t="s">
        <x:v>3289</x:v>
      </x:c>
      <x:c r="C690" t="s">
        <x:v>3290</x:v>
      </x:c>
      <x:c r="D690">
        <x:v>6</x:v>
      </x:c>
      <x:c r="E690" t="s">
        <x:v>198</x:v>
      </x:c>
      <x:c r="F690" t="s">
        <x:v>90</x:v>
      </x:c>
      <x:c r="G690">
        <x:v>44664</x:v>
      </x:c>
      <x:c r="H690" t="s">
        <x:v>3291</x:v>
      </x:c>
      <x:c r="I690" t="s">
        <x:v>3292</x:v>
      </x:c>
      <x:c r="J690" t="s">
        <x:v>3293</x:v>
      </x:c>
    </x:row>
    <x:row r="691">
      <x:c r="A691" t="s">
        <x:v>3294</x:v>
      </x:c>
      <x:c r="B691" t="s">
        <x:v>3294</x:v>
      </x:c>
      <x:c r="C691" t="s">
        <x:v>3295</x:v>
      </x:c>
      <x:c r="D691">
        <x:v>6</x:v>
      </x:c>
      <x:c r="E691" t="s">
        <x:v>103</x:v>
      </x:c>
      <x:c r="F691" t="s">
        <x:v>97</x:v>
      </x:c>
      <x:c r="G691">
        <x:v>44554</x:v>
      </x:c>
      <x:c r="H691" t="s">
        <x:v>3296</x:v>
      </x:c>
      <x:c r="I691" t="s">
        <x:v>3297</x:v>
      </x:c>
      <x:c r="J691" t="s">
        <x:v>3298</x:v>
      </x:c>
    </x:row>
    <x:row r="692">
      <x:c r="A692" t="s">
        <x:v>3299</x:v>
      </x:c>
      <x:c r="B692" t="s">
        <x:v>3299</x:v>
      </x:c>
      <x:c r="C692" t="s">
        <x:v>379</x:v>
      </x:c>
      <x:c r="D692">
        <x:v>1</x:v>
      </x:c>
      <x:c r="E692" t="s">
        <x:v>125</x:v>
      </x:c>
      <x:c r="F692" t="s">
        <x:v>90</x:v>
      </x:c>
      <x:c r="G692">
        <x:v>45679</x:v>
      </x:c>
      <x:c r="H692" t="s">
        <x:v>3300</x:v>
      </x:c>
      <x:c r="I692" t="s">
        <x:v>3301</x:v>
      </x:c>
      <x:c r="J692" t="s">
        <x:v>3302</x:v>
      </x:c>
    </x:row>
    <x:row r="693">
      <x:c r="A693" t="s">
        <x:v>3303</x:v>
      </x:c>
      <x:c r="B693" t="s">
        <x:v>3303</x:v>
      </x:c>
      <x:c r="C693" t="s">
        <x:v>978</x:v>
      </x:c>
      <x:c r="D693">
        <x:v>11</x:v>
      </x:c>
      <x:c r="E693" t="s">
        <x:v>103</x:v>
      </x:c>
      <x:c r="F693" t="s">
        <x:v>97</x:v>
      </x:c>
      <x:c r="G693">
        <x:v>42221</x:v>
      </x:c>
      <x:c r="H693" t="s">
        <x:v>3304</x:v>
      </x:c>
      <x:c r="I693" t="s">
        <x:v>3305</x:v>
      </x:c>
      <x:c r="J693" t="s">
        <x:v>3306</x:v>
      </x:c>
    </x:row>
    <x:row r="694">
      <x:c r="A694" t="s">
        <x:v>3307</x:v>
      </x:c>
      <x:c r="B694" t="s">
        <x:v>3307</x:v>
      </x:c>
      <x:c r="C694" t="s">
        <x:v>3308</x:v>
      </x:c>
      <x:c r="D694">
        <x:v>25</x:v>
      </x:c>
      <x:c r="E694" t="s">
        <x:v>198</x:v>
      </x:c>
      <x:c r="F694" t="s">
        <x:v>90</x:v>
      </x:c>
      <x:c r="G694">
        <x:v>45147</x:v>
      </x:c>
      <x:c r="H694" t="s">
        <x:v>3309</x:v>
      </x:c>
      <x:c r="I694" t="s">
        <x:v>3310</x:v>
      </x:c>
      <x:c r="J694" t="s">
        <x:v>3311</x:v>
      </x:c>
    </x:row>
    <x:row r="695">
      <x:c r="A695" t="s">
        <x:v>3312</x:v>
      </x:c>
      <x:c r="B695" t="s">
        <x:v>3312</x:v>
      </x:c>
      <x:c r="C695" t="s">
        <x:v>3313</x:v>
      </x:c>
      <x:c r="D695">
        <x:v>10</x:v>
      </x:c>
      <x:c r="E695" t="s">
        <x:v>198</x:v>
      </x:c>
      <x:c r="F695" t="s">
        <x:v>90</x:v>
      </x:c>
      <x:c r="G695">
        <x:v>45785</x:v>
      </x:c>
      <x:c r="H695" t="s">
        <x:v>3314</x:v>
      </x:c>
      <x:c r="I695" t="s">
        <x:v>3315</x:v>
      </x:c>
      <x:c r="J695" t="s">
        <x:v>3316</x:v>
      </x:c>
    </x:row>
    <x:row r="696">
      <x:c r="A696" t="s">
        <x:v>3317</x:v>
      </x:c>
      <x:c r="B696" t="s">
        <x:v>3317</x:v>
      </x:c>
      <x:c r="C696" t="s">
        <x:v>680</x:v>
      </x:c>
      <x:c r="D696">
        <x:v>19</x:v>
      </x:c>
      <x:c r="E696" t="s">
        <x:v>114</x:v>
      </x:c>
      <x:c r="F696" t="s">
        <x:v>90</x:v>
      </x:c>
      <x:c r="G696">
        <x:v>44252</x:v>
      </x:c>
      <x:c r="H696" t="s">
        <x:v>3318</x:v>
      </x:c>
      <x:c r="I696" t="s">
        <x:v>3319</x:v>
      </x:c>
      <x:c r="J696" t="s">
        <x:v>3320</x:v>
      </x:c>
    </x:row>
    <x:row r="697">
      <x:c r="A697" t="s">
        <x:v>3321</x:v>
      </x:c>
      <x:c r="B697" t="s">
        <x:v>3321</x:v>
      </x:c>
      <x:c r="C697" t="s">
        <x:v>3322</x:v>
      </x:c>
      <x:c r="D697">
        <x:v>12</x:v>
      </x:c>
      <x:c r="E697" t="s">
        <x:v>103</x:v>
      </x:c>
      <x:c r="F697" t="s">
        <x:v>97</x:v>
      </x:c>
      <x:c r="G697">
        <x:v>42308</x:v>
      </x:c>
      <x:c r="H697" t="s">
        <x:v>3323</x:v>
      </x:c>
      <x:c r="I697" t="s">
        <x:v>3324</x:v>
      </x:c>
      <x:c r="J697" t="s">
        <x:v>3325</x:v>
      </x:c>
    </x:row>
    <x:row r="698">
      <x:c r="A698" t="s">
        <x:v>3326</x:v>
      </x:c>
      <x:c r="B698" t="s">
        <x:v>3326</x:v>
      </x:c>
      <x:c r="C698" t="s">
        <x:v>3327</x:v>
      </x:c>
      <x:c r="D698">
        <x:v>17</x:v>
      </x:c>
      <x:c r="E698" t="s">
        <x:v>114</x:v>
      </x:c>
      <x:c r="F698" t="s">
        <x:v>90</x:v>
      </x:c>
      <x:c r="G698">
        <x:v>44588</x:v>
      </x:c>
      <x:c r="H698" t="s">
        <x:v>3328</x:v>
      </x:c>
      <x:c r="I698" t="s">
        <x:v>3329</x:v>
      </x:c>
      <x:c r="J698" t="s">
        <x:v>3330</x:v>
      </x:c>
    </x:row>
    <x:row r="699">
      <x:c r="A699" t="s">
        <x:v>3331</x:v>
      </x:c>
      <x:c r="B699" t="s">
        <x:v>3331</x:v>
      </x:c>
      <x:c r="C699" t="s">
        <x:v>3327</x:v>
      </x:c>
      <x:c r="D699">
        <x:v>20</x:v>
      </x:c>
      <x:c r="E699" t="s">
        <x:v>114</x:v>
      </x:c>
      <x:c r="F699" t="s">
        <x:v>90</x:v>
      </x:c>
      <x:c r="G699">
        <x:v>45384</x:v>
      </x:c>
      <x:c r="H699" t="s">
        <x:v>3332</x:v>
      </x:c>
      <x:c r="I699" t="s">
        <x:v>3333</x:v>
      </x:c>
      <x:c r="J699" t="s">
        <x:v>3334</x:v>
      </x:c>
    </x:row>
    <x:row r="700">
      <x:c r="A700" t="s">
        <x:v>3335</x:v>
      </x:c>
      <x:c r="B700" t="s">
        <x:v>3335</x:v>
      </x:c>
      <x:c r="C700" t="s">
        <x:v>703</x:v>
      </x:c>
      <x:c r="D700">
        <x:v>15</x:v>
      </x:c>
      <x:c r="E700" t="s">
        <x:v>114</x:v>
      </x:c>
      <x:c r="F700" t="s">
        <x:v>90</x:v>
      </x:c>
      <x:c r="G700">
        <x:v>45240</x:v>
      </x:c>
      <x:c r="H700" t="s">
        <x:v>3336</x:v>
      </x:c>
      <x:c r="I700" t="s">
        <x:v>3337</x:v>
      </x:c>
      <x:c r="J700" t="s">
        <x:v>3338</x:v>
      </x:c>
    </x:row>
    <x:row r="701">
      <x:c r="A701" t="s">
        <x:v>3339</x:v>
      </x:c>
      <x:c r="B701" t="s">
        <x:v>3339</x:v>
      </x:c>
      <x:c r="C701" t="s">
        <x:v>703</x:v>
      </x:c>
      <x:c r="D701">
        <x:v>12</x:v>
      </x:c>
      <x:c r="E701" t="s">
        <x:v>114</x:v>
      </x:c>
      <x:c r="F701" t="s">
        <x:v>90</x:v>
      </x:c>
      <x:c r="G701">
        <x:v>45938</x:v>
      </x:c>
      <x:c r="H701" t="s">
        <x:v>3340</x:v>
      </x:c>
      <x:c r="I701" t="s">
        <x:v>3341</x:v>
      </x:c>
      <x:c r="J701" t="s">
        <x:v>3342</x:v>
      </x:c>
    </x:row>
    <x:row r="702">
      <x:c r="A702" t="s">
        <x:v>3343</x:v>
      </x:c>
      <x:c r="B702" t="s">
        <x:v>3343</x:v>
      </x:c>
      <x:c r="C702" t="s">
        <x:v>761</x:v>
      </x:c>
      <x:c r="D702">
        <x:v>11</x:v>
      </x:c>
      <x:c r="E702" t="s">
        <x:v>198</x:v>
      </x:c>
      <x:c r="F702" t="s">
        <x:v>90</x:v>
      </x:c>
      <x:c r="G702">
        <x:v>45446</x:v>
      </x:c>
      <x:c r="H702" t="s">
        <x:v>3344</x:v>
      </x:c>
      <x:c r="I702" t="s">
        <x:v>3345</x:v>
      </x:c>
      <x:c r="J702" t="s">
        <x:v>3346</x:v>
      </x:c>
    </x:row>
    <x:row r="703">
      <x:c r="A703" t="s">
        <x:v>3347</x:v>
      </x:c>
      <x:c r="B703" t="s">
        <x:v>3347</x:v>
      </x:c>
      <x:c r="C703" t="s">
        <x:v>3348</x:v>
      </x:c>
      <x:c r="D703">
        <x:v>69</x:v>
      </x:c>
      <x:c r="E703" t="s">
        <x:v>198</x:v>
      </x:c>
      <x:c r="F703" t="s">
        <x:v>90</x:v>
      </x:c>
      <x:c r="G703">
        <x:v>45315</x:v>
      </x:c>
      <x:c r="H703" t="s">
        <x:v>3349</x:v>
      </x:c>
      <x:c r="I703" t="s">
        <x:v>3350</x:v>
      </x:c>
      <x:c r="J703" t="s">
        <x:v>3351</x:v>
      </x:c>
    </x:row>
    <x:row r="704">
      <x:c r="A704" t="s">
        <x:v>3352</x:v>
      </x:c>
      <x:c r="B704" t="s">
        <x:v>3352</x:v>
      </x:c>
      <x:c r="C704" t="s">
        <x:v>102</x:v>
      </x:c>
      <x:c r="D704">
        <x:v>32</x:v>
      </x:c>
      <x:c r="E704" t="s">
        <x:v>96</x:v>
      </x:c>
      <x:c r="F704" t="s">
        <x:v>97</x:v>
      </x:c>
      <x:c r="G704">
        <x:v>41700</x:v>
      </x:c>
      <x:c r="H704" t="s">
        <x:v>3353</x:v>
      </x:c>
      <x:c r="I704" t="s">
        <x:v>3354</x:v>
      </x:c>
      <x:c r="J704" t="s">
        <x:v>3355</x:v>
      </x:c>
    </x:row>
    <x:row r="705">
      <x:c r="A705" t="s">
        <x:v>3356</x:v>
      </x:c>
      <x:c r="B705" t="s">
        <x:v>3356</x:v>
      </x:c>
      <x:c r="C705" t="s">
        <x:v>3357</x:v>
      </x:c>
      <x:c r="D705">
        <x:v>15</x:v>
      </x:c>
      <x:c r="E705" t="s">
        <x:v>89</x:v>
      </x:c>
      <x:c r="F705" t="s">
        <x:v>90</x:v>
      </x:c>
      <x:c r="G705">
        <x:v>44684</x:v>
      </x:c>
      <x:c r="H705" t="s">
        <x:v>3358</x:v>
      </x:c>
      <x:c r="I705" t="s">
        <x:v>3359</x:v>
      </x:c>
      <x:c r="J705" t="s">
        <x:v>3360</x:v>
      </x:c>
    </x:row>
    <x:row r="706">
      <x:c r="A706" t="s">
        <x:v>3361</x:v>
      </x:c>
      <x:c r="B706" t="s">
        <x:v>3361</x:v>
      </x:c>
      <x:c r="C706" t="s">
        <x:v>3357</x:v>
      </x:c>
      <x:c r="D706">
        <x:v>27</x:v>
      </x:c>
      <x:c r="E706" t="s">
        <x:v>198</x:v>
      </x:c>
      <x:c r="F706" t="s">
        <x:v>90</x:v>
      </x:c>
      <x:c r="G706">
        <x:v>45527</x:v>
      </x:c>
      <x:c r="H706" t="s">
        <x:v>3362</x:v>
      </x:c>
      <x:c r="I706" t="s">
        <x:v>3363</x:v>
      </x:c>
      <x:c r="J706" t="s">
        <x:v>3364</x:v>
      </x:c>
    </x:row>
    <x:row r="707">
      <x:c r="A707" t="s">
        <x:v>3365</x:v>
      </x:c>
      <x:c r="B707" t="s">
        <x:v>3365</x:v>
      </x:c>
      <x:c r="C707" t="s">
        <x:v>3366</x:v>
      </x:c>
      <x:c r="D707">
        <x:v>1</x:v>
      </x:c>
      <x:c r="E707" t="s">
        <x:v>103</x:v>
      </x:c>
      <x:c r="F707" t="s">
        <x:v>97</x:v>
      </x:c>
      <x:c r="G707">
        <x:v>44212</x:v>
      </x:c>
      <x:c r="H707" t="s">
        <x:v>3367</x:v>
      </x:c>
      <x:c r="I707" t="s">
        <x:v>3368</x:v>
      </x:c>
      <x:c r="J707" t="s">
        <x:v>3369</x:v>
      </x:c>
    </x:row>
    <x:row r="708">
      <x:c r="A708" t="s">
        <x:v>3370</x:v>
      </x:c>
      <x:c r="B708" t="s">
        <x:v>3370</x:v>
      </x:c>
      <x:c r="C708" t="s">
        <x:v>3327</x:v>
      </x:c>
      <x:c r="D708">
        <x:v>17</x:v>
      </x:c>
      <x:c r="E708" t="s">
        <x:v>198</x:v>
      </x:c>
      <x:c r="F708" t="s">
        <x:v>90</x:v>
      </x:c>
      <x:c r="G708">
        <x:v>44273</x:v>
      </x:c>
      <x:c r="H708" t="s">
        <x:v>3371</x:v>
      </x:c>
      <x:c r="I708" t="s">
        <x:v>3372</x:v>
      </x:c>
      <x:c r="J708" t="s">
        <x:v>3373</x:v>
      </x:c>
    </x:row>
    <x:row r="709">
      <x:c r="A709" t="s">
        <x:v>3374</x:v>
      </x:c>
      <x:c r="B709" t="s">
        <x:v>3374</x:v>
      </x:c>
      <x:c r="C709" t="s">
        <x:v>2567</x:v>
      </x:c>
      <x:c r="D709">
        <x:v>8</x:v>
      </x:c>
      <x:c r="E709" t="s">
        <x:v>114</x:v>
      </x:c>
      <x:c r="F709" t="s">
        <x:v>90</x:v>
      </x:c>
      <x:c r="G709">
        <x:v>44802</x:v>
      </x:c>
      <x:c r="H709" t="s">
        <x:v>3375</x:v>
      </x:c>
      <x:c r="I709" t="s">
        <x:v>3376</x:v>
      </x:c>
      <x:c r="J709" t="s">
        <x:v>3377</x:v>
      </x:c>
    </x:row>
    <x:row r="710">
      <x:c r="A710" t="s">
        <x:v>3378</x:v>
      </x:c>
      <x:c r="B710" t="s">
        <x:v>3378</x:v>
      </x:c>
      <x:c r="C710" t="s">
        <x:v>3379</x:v>
      </x:c>
      <x:c r="D710">
        <x:v>22</x:v>
      </x:c>
      <x:c r="E710" t="s">
        <x:v>198</x:v>
      </x:c>
      <x:c r="F710" t="s">
        <x:v>90</x:v>
      </x:c>
      <x:c r="G710">
        <x:v>43970</x:v>
      </x:c>
      <x:c r="H710" t="s">
        <x:v>3380</x:v>
      </x:c>
      <x:c r="I710" t="s">
        <x:v>3381</x:v>
      </x:c>
      <x:c r="J710" t="s">
        <x:v>3382</x:v>
      </x:c>
    </x:row>
    <x:row r="711">
      <x:c r="A711" t="s">
        <x:v>40</x:v>
      </x:c>
      <x:c r="B711" t="s">
        <x:v>40</x:v>
      </x:c>
      <x:c r="C711" t="s">
        <x:v>3383</x:v>
      </x:c>
      <x:c r="D711">
        <x:v>15</x:v>
      </x:c>
      <x:c r="E711" t="s">
        <x:v>198</x:v>
      </x:c>
      <x:c r="F711" t="s">
        <x:v>90</x:v>
      </x:c>
      <x:c r="G711">
        <x:v>44438</x:v>
      </x:c>
      <x:c r="H711" t="s">
        <x:v>3384</x:v>
      </x:c>
      <x:c r="I711" t="s">
        <x:v>3385</x:v>
      </x:c>
      <x:c r="J711" t="s">
        <x:v>3386</x:v>
      </x:c>
    </x:row>
    <x:row r="712">
      <x:c r="A712" t="s">
        <x:v>3387</x:v>
      </x:c>
      <x:c r="B712" t="s">
        <x:v>3387</x:v>
      </x:c>
      <x:c r="C712" t="s">
        <x:v>3388</x:v>
      </x:c>
      <x:c r="D712">
        <x:v>5</x:v>
      </x:c>
      <x:c r="E712" t="s">
        <x:v>89</x:v>
      </x:c>
      <x:c r="F712" t="s">
        <x:v>90</x:v>
      </x:c>
      <x:c r="G712">
        <x:v>44329</x:v>
      </x:c>
      <x:c r="H712" t="s">
        <x:v>3389</x:v>
      </x:c>
      <x:c r="I712" t="s">
        <x:v>3390</x:v>
      </x:c>
      <x:c r="J712" t="s">
        <x:v>3391</x:v>
      </x:c>
    </x:row>
    <x:row r="713">
      <x:c r="A713" t="s">
        <x:v>25</x:v>
      </x:c>
      <x:c r="B713" t="s">
        <x:v>25</x:v>
      </x:c>
      <x:c r="C713" t="s">
        <x:v>1549</x:v>
      </x:c>
      <x:c r="D713">
        <x:v>22</x:v>
      </x:c>
      <x:c r="E713" t="s">
        <x:v>198</x:v>
      </x:c>
      <x:c r="F713" t="s">
        <x:v>90</x:v>
      </x:c>
      <x:c r="G713">
        <x:v>43376</x:v>
      </x:c>
      <x:c r="H713" t="s">
        <x:v>3392</x:v>
      </x:c>
      <x:c r="I713" t="s">
        <x:v>3393</x:v>
      </x:c>
      <x:c r="J713" t="s">
        <x:v>3394</x:v>
      </x:c>
    </x:row>
    <x:row r="714">
      <x:c r="A714" t="s">
        <x:v>3395</x:v>
      </x:c>
      <x:c r="B714" t="s">
        <x:v>3395</x:v>
      </x:c>
      <x:c r="C714" t="s">
        <x:v>2737</x:v>
      </x:c>
      <x:c r="D714">
        <x:v>17</x:v>
      </x:c>
      <x:c r="E714" t="s">
        <x:v>198</x:v>
      </x:c>
      <x:c r="F714" t="s">
        <x:v>90</x:v>
      </x:c>
      <x:c r="G714">
        <x:v>46153</x:v>
      </x:c>
      <x:c r="H714" t="s">
        <x:v>3396</x:v>
      </x:c>
      <x:c r="I714" t="s">
        <x:v>3397</x:v>
      </x:c>
      <x:c r="J714" t="s">
        <x:v>3398</x:v>
      </x:c>
    </x:row>
    <x:row r="715">
      <x:c r="A715" t="s">
        <x:v>3399</x:v>
      </x:c>
      <x:c r="B715" t="s">
        <x:v>3399</x:v>
      </x:c>
      <x:c r="C715" t="s">
        <x:v>642</x:v>
      </x:c>
      <x:c r="D715">
        <x:v>41</x:v>
      </x:c>
      <x:c r="E715" t="s">
        <x:v>103</x:v>
      </x:c>
      <x:c r="F715" t="s">
        <x:v>97</x:v>
      </x:c>
      <x:c r="G715">
        <x:v>45806</x:v>
      </x:c>
      <x:c r="H715" t="s">
        <x:v>3400</x:v>
      </x:c>
      <x:c r="I715" t="s">
        <x:v>3401</x:v>
      </x:c>
      <x:c r="J715" t="s">
        <x:v>3402</x:v>
      </x:c>
    </x:row>
    <x:row r="716">
      <x:c r="A716" t="s">
        <x:v>3403</x:v>
      </x:c>
      <x:c r="B716" t="s">
        <x:v>3403</x:v>
      </x:c>
      <x:c r="C716" t="s">
        <x:v>3404</x:v>
      </x:c>
      <x:c r="D716">
        <x:v>1</x:v>
      </x:c>
      <x:c r="E716" t="s">
        <x:v>198</x:v>
      </x:c>
      <x:c r="F716" t="s">
        <x:v>126</x:v>
      </x:c>
      <x:c r="G716">
        <x:v>42141</x:v>
      </x:c>
      <x:c r="H716" t="s">
        <x:v>3405</x:v>
      </x:c>
      <x:c r="I716" t="s">
        <x:v>3406</x:v>
      </x:c>
      <x:c r="J716" t="s">
        <x:v>3407</x:v>
      </x:c>
    </x:row>
    <x:row r="717">
      <x:c r="A717" t="s">
        <x:v>3408</x:v>
      </x:c>
      <x:c r="B717" t="s">
        <x:v>3408</x:v>
      </x:c>
      <x:c r="C717" t="s">
        <x:v>3404</x:v>
      </x:c>
      <x:c r="D717">
        <x:v>1</x:v>
      </x:c>
      <x:c r="E717" t="s">
        <x:v>125</x:v>
      </x:c>
      <x:c r="F717" t="s">
        <x:v>126</x:v>
      </x:c>
      <x:c r="G717">
        <x:v>42080</x:v>
      </x:c>
      <x:c r="H717" t="s">
        <x:v>3409</x:v>
      </x:c>
      <x:c r="I717" t="s">
        <x:v>3410</x:v>
      </x:c>
      <x:c r="J717" t="s">
        <x:v>3411</x:v>
      </x:c>
    </x:row>
    <x:row r="718">
      <x:c r="A718" t="s">
        <x:v>3412</x:v>
      </x:c>
      <x:c r="B718" t="s">
        <x:v>3412</x:v>
      </x:c>
      <x:c r="C718" t="s">
        <x:v>3379</x:v>
      </x:c>
      <x:c r="D718">
        <x:v>14</x:v>
      </x:c>
      <x:c r="E718" t="s">
        <x:v>198</x:v>
      </x:c>
      <x:c r="F718" t="s">
        <x:v>90</x:v>
      </x:c>
      <x:c r="G718">
        <x:v>44334</x:v>
      </x:c>
      <x:c r="H718" t="s">
        <x:v>3413</x:v>
      </x:c>
      <x:c r="I718" t="s">
        <x:v>3414</x:v>
      </x:c>
      <x:c r="J718" t="s">
        <x:v>3415</x:v>
      </x:c>
    </x:row>
    <x:row r="719">
      <x:c r="A719" t="s">
        <x:v>3416</x:v>
      </x:c>
      <x:c r="B719" t="s">
        <x:v>3416</x:v>
      </x:c>
      <x:c r="C719" t="s">
        <x:v>3348</x:v>
      </x:c>
      <x:c r="D719">
        <x:v>10</x:v>
      </x:c>
      <x:c r="E719" t="s">
        <x:v>89</x:v>
      </x:c>
      <x:c r="F719" t="s">
        <x:v>610</x:v>
      </x:c>
      <x:c r="G719">
        <x:v>42999</x:v>
      </x:c>
      <x:c r="H719" t="s">
        <x:v>3417</x:v>
      </x:c>
      <x:c r="I719" t="s">
        <x:v>3418</x:v>
      </x:c>
      <x:c r="J719" t="s">
        <x:v>3419</x:v>
      </x:c>
    </x:row>
    <x:row r="720">
      <x:c r="A720" t="s">
        <x:v>3420</x:v>
      </x:c>
      <x:c r="B720" t="s">
        <x:v>3420</x:v>
      </x:c>
      <x:c r="C720" t="s">
        <x:v>3421</x:v>
      </x:c>
      <x:c r="D720">
        <x:v>8</x:v>
      </x:c>
      <x:c r="E720" t="s">
        <x:v>198</x:v>
      </x:c>
      <x:c r="F720" t="s">
        <x:v>90</x:v>
      </x:c>
      <x:c r="G720">
        <x:v>45397</x:v>
      </x:c>
      <x:c r="H720" t="s">
        <x:v>3422</x:v>
      </x:c>
      <x:c r="I720" t="s">
        <x:v>3423</x:v>
      </x:c>
      <x:c r="J720" t="s">
        <x:v>3424</x:v>
      </x:c>
    </x:row>
    <x:row r="721">
      <x:c r="A721" t="s">
        <x:v>3425</x:v>
      </x:c>
      <x:c r="B721" t="s">
        <x:v>3425</x:v>
      </x:c>
      <x:c r="C721" t="s">
        <x:v>3426</x:v>
      </x:c>
      <x:c r="D721">
        <x:v>14</x:v>
      </x:c>
      <x:c r="E721" t="s">
        <x:v>114</x:v>
      </x:c>
      <x:c r="F721" t="s">
        <x:v>90</x:v>
      </x:c>
      <x:c r="G721">
        <x:v>46180</x:v>
      </x:c>
      <x:c r="H721" t="s">
        <x:v>3427</x:v>
      </x:c>
      <x:c r="I721" t="s">
        <x:v>3428</x:v>
      </x:c>
      <x:c r="J721" t="s">
        <x:v>3429</x:v>
      </x:c>
    </x:row>
    <x:row r="722">
      <x:c r="A722" t="s">
        <x:v>3430</x:v>
      </x:c>
      <x:c r="B722" t="s">
        <x:v>3430</x:v>
      </x:c>
      <x:c r="C722" t="s">
        <x:v>3431</x:v>
      </x:c>
      <x:c r="D722">
        <x:v>43</x:v>
      </x:c>
      <x:c r="E722" t="s">
        <x:v>96</x:v>
      </x:c>
      <x:c r="F722" t="s">
        <x:v>97</x:v>
      </x:c>
      <x:c r="G722">
        <x:v>42255</x:v>
      </x:c>
      <x:c r="H722" t="s">
        <x:v>3432</x:v>
      </x:c>
      <x:c r="I722" t="s">
        <x:v>3433</x:v>
      </x:c>
      <x:c r="J722" t="s">
        <x:v>3434</x:v>
      </x:c>
    </x:row>
    <x:row r="723">
      <x:c r="A723" t="s">
        <x:v>3435</x:v>
      </x:c>
      <x:c r="B723" t="s">
        <x:v>3435</x:v>
      </x:c>
      <x:c r="C723" t="s">
        <x:v>3436</x:v>
      </x:c>
      <x:c r="D723">
        <x:v>35</x:v>
      </x:c>
      <x:c r="E723" t="s">
        <x:v>103</x:v>
      </x:c>
      <x:c r="F723" t="s">
        <x:v>97</x:v>
      </x:c>
      <x:c r="G723">
        <x:v>45411</x:v>
      </x:c>
      <x:c r="H723" t="s">
        <x:v>3437</x:v>
      </x:c>
      <x:c r="I723" t="s">
        <x:v>3438</x:v>
      </x:c>
      <x:c r="J723" t="s">
        <x:v>3439</x:v>
      </x:c>
    </x:row>
    <x:row r="724">
      <x:c r="A724" t="s">
        <x:v>3440</x:v>
      </x:c>
      <x:c r="B724" t="s">
        <x:v>3440</x:v>
      </x:c>
      <x:c r="C724" t="s">
        <x:v>282</x:v>
      </x:c>
      <x:c r="D724">
        <x:v>7</x:v>
      </x:c>
      <x:c r="E724" t="s">
        <x:v>198</x:v>
      </x:c>
      <x:c r="F724" t="s">
        <x:v>90</x:v>
      </x:c>
      <x:c r="G724">
        <x:v>45258</x:v>
      </x:c>
      <x:c r="H724" t="s">
        <x:v>3441</x:v>
      </x:c>
      <x:c r="I724" t="s">
        <x:v>3442</x:v>
      </x:c>
      <x:c r="J724" t="s">
        <x:v>3443</x:v>
      </x:c>
    </x:row>
    <x:row r="725">
      <x:c r="A725" t="s">
        <x:v>3444</x:v>
      </x:c>
      <x:c r="B725" t="s">
        <x:v>3444</x:v>
      </x:c>
      <x:c r="C725" t="s">
        <x:v>3445</x:v>
      </x:c>
      <x:c r="D725">
        <x:v>18</x:v>
      </x:c>
      <x:c r="E725" t="s">
        <x:v>103</x:v>
      </x:c>
      <x:c r="F725" t="s">
        <x:v>97</x:v>
      </x:c>
      <x:c r="G725">
        <x:v>42281</x:v>
      </x:c>
      <x:c r="H725" t="s">
        <x:v>3446</x:v>
      </x:c>
      <x:c r="I725" t="s">
        <x:v>3447</x:v>
      </x:c>
      <x:c r="J725" t="s">
        <x:v>3448</x:v>
      </x:c>
    </x:row>
    <x:row r="726">
      <x:c r="A726" t="s">
        <x:v>3449</x:v>
      </x:c>
      <x:c r="B726" t="s">
        <x:v>3449</x:v>
      </x:c>
      <x:c r="C726" t="s">
        <x:v>968</x:v>
      </x:c>
      <x:c r="D726">
        <x:v>17</x:v>
      </x:c>
      <x:c r="E726" t="s">
        <x:v>114</x:v>
      </x:c>
      <x:c r="F726" t="s">
        <x:v>90</x:v>
      </x:c>
      <x:c r="G726">
        <x:v>44067</x:v>
      </x:c>
      <x:c r="H726" t="s">
        <x:v>3450</x:v>
      </x:c>
      <x:c r="I726" t="s">
        <x:v>3451</x:v>
      </x:c>
      <x:c r="J726" t="s">
        <x:v>3452</x:v>
      </x:c>
    </x:row>
    <x:row r="727">
      <x:c r="A727" t="s">
        <x:v>3453</x:v>
      </x:c>
      <x:c r="B727" t="s">
        <x:v>3453</x:v>
      </x:c>
      <x:c r="C727" t="s">
        <x:v>968</x:v>
      </x:c>
      <x:c r="D727">
        <x:v>25</x:v>
      </x:c>
      <x:c r="E727" t="s">
        <x:v>125</x:v>
      </x:c>
      <x:c r="F727" t="s">
        <x:v>90</x:v>
      </x:c>
      <x:c r="G727">
        <x:v>45653</x:v>
      </x:c>
      <x:c r="H727" t="s">
        <x:v>3454</x:v>
      </x:c>
      <x:c r="I727" t="s">
        <x:v>3455</x:v>
      </x:c>
      <x:c r="J727" t="s">
        <x:v>3456</x:v>
      </x:c>
    </x:row>
    <x:row r="728">
      <x:c r="A728" t="s">
        <x:v>3457</x:v>
      </x:c>
      <x:c r="B728" t="s">
        <x:v>3457</x:v>
      </x:c>
      <x:c r="C728" t="s">
        <x:v>968</x:v>
      </x:c>
      <x:c r="D728">
        <x:v>24</x:v>
      </x:c>
      <x:c r="E728" t="s">
        <x:v>198</x:v>
      </x:c>
      <x:c r="F728" t="s">
        <x:v>90</x:v>
      </x:c>
      <x:c r="G728">
        <x:v>43679</x:v>
      </x:c>
      <x:c r="H728" t="s">
        <x:v>3458</x:v>
      </x:c>
      <x:c r="I728" t="s">
        <x:v>3459</x:v>
      </x:c>
      <x:c r="J728" t="s">
        <x:v>3460</x:v>
      </x:c>
    </x:row>
    <x:row r="729">
      <x:c r="A729" t="s">
        <x:v>3461</x:v>
      </x:c>
      <x:c r="B729" t="s">
        <x:v>3461</x:v>
      </x:c>
      <x:c r="C729" t="s">
        <x:v>3462</x:v>
      </x:c>
      <x:c r="D729">
        <x:v>11</x:v>
      </x:c>
      <x:c r="E729" t="s">
        <x:v>103</x:v>
      </x:c>
      <x:c r="F729" t="s">
        <x:v>97</x:v>
      </x:c>
      <x:c r="G729">
        <x:v>41451</x:v>
      </x:c>
      <x:c r="H729" t="s">
        <x:v>3463</x:v>
      </x:c>
      <x:c r="I729" t="s">
        <x:v>3464</x:v>
      </x:c>
      <x:c r="J729" t="s">
        <x:v>3465</x:v>
      </x:c>
    </x:row>
    <x:row r="730">
      <x:c r="A730" t="s">
        <x:v>3466</x:v>
      </x:c>
      <x:c r="B730" t="s">
        <x:v>3466</x:v>
      </x:c>
      <x:c r="C730" t="s">
        <x:v>3467</x:v>
      </x:c>
      <x:c r="D730">
        <x:v>20</x:v>
      </x:c>
      <x:c r="E730" t="s">
        <x:v>89</x:v>
      </x:c>
      <x:c r="F730" t="s">
        <x:v>90</x:v>
      </x:c>
      <x:c r="G730">
        <x:v>45604</x:v>
      </x:c>
      <x:c r="H730" t="s">
        <x:v>3468</x:v>
      </x:c>
      <x:c r="I730" t="s">
        <x:v>3469</x:v>
      </x:c>
      <x:c r="J730" t="s">
        <x:v>3470</x:v>
      </x:c>
    </x:row>
    <x:row r="731">
      <x:c r="A731" t="s">
        <x:v>3471</x:v>
      </x:c>
      <x:c r="B731" t="s">
        <x:v>3471</x:v>
      </x:c>
      <x:c r="C731" t="s">
        <x:v>2737</x:v>
      </x:c>
      <x:c r="D731">
        <x:v>62</x:v>
      </x:c>
      <x:c r="E731" t="s">
        <x:v>96</x:v>
      </x:c>
      <x:c r="F731" t="s">
        <x:v>90</x:v>
      </x:c>
      <x:c r="G731">
        <x:v>45767</x:v>
      </x:c>
      <x:c r="H731" t="s">
        <x:v>3472</x:v>
      </x:c>
      <x:c r="I731" t="s">
        <x:v>3473</x:v>
      </x:c>
      <x:c r="J731" t="s">
        <x:v>3474</x:v>
      </x:c>
    </x:row>
    <x:row r="732">
      <x:c r="A732" t="s">
        <x:v>3475</x:v>
      </x:c>
      <x:c r="B732" t="s">
        <x:v>3475</x:v>
      </x:c>
      <x:c r="C732" t="s">
        <x:v>3476</x:v>
      </x:c>
      <x:c r="D732">
        <x:v>5</x:v>
      </x:c>
      <x:c r="E732" t="s">
        <x:v>89</x:v>
      </x:c>
      <x:c r="F732" t="s">
        <x:v>90</x:v>
      </x:c>
      <x:c r="G732">
        <x:v>45680</x:v>
      </x:c>
      <x:c r="H732" t="s">
        <x:v>3477</x:v>
      </x:c>
      <x:c r="I732" t="s">
        <x:v>3478</x:v>
      </x:c>
      <x:c r="J732" t="s">
        <x:v>3479</x:v>
      </x:c>
    </x:row>
    <x:row r="733">
      <x:c r="A733" t="s">
        <x:v>3480</x:v>
      </x:c>
      <x:c r="B733" t="s">
        <x:v>3480</x:v>
      </x:c>
      <x:c r="C733" t="s">
        <x:v>3481</x:v>
      </x:c>
      <x:c r="D733">
        <x:v>6</x:v>
      </x:c>
      <x:c r="E733" t="s">
        <x:v>103</x:v>
      </x:c>
      <x:c r="F733" t="s">
        <x:v>97</x:v>
      </x:c>
      <x:c r="G733">
        <x:v>45020</x:v>
      </x:c>
      <x:c r="H733" t="s">
        <x:v>3482</x:v>
      </x:c>
      <x:c r="I733" t="s">
        <x:v>3483</x:v>
      </x:c>
      <x:c r="J733" t="s">
        <x:v>3484</x:v>
      </x:c>
    </x:row>
    <x:row r="734">
      <x:c r="A734" t="s">
        <x:v>3485</x:v>
      </x:c>
      <x:c r="B734" t="s">
        <x:v>3485</x:v>
      </x:c>
      <x:c r="C734" t="s">
        <x:v>3486</x:v>
      </x:c>
      <x:c r="D734">
        <x:v>4</x:v>
      </x:c>
      <x:c r="E734" t="s">
        <x:v>96</x:v>
      </x:c>
      <x:c r="F734" t="s">
        <x:v>97</x:v>
      </x:c>
      <x:c r="G734">
        <x:v>45095</x:v>
      </x:c>
      <x:c r="H734" t="s">
        <x:v>3487</x:v>
      </x:c>
      <x:c r="I734" t="s">
        <x:v>3488</x:v>
      </x:c>
      <x:c r="J734" t="s">
        <x:v>3489</x:v>
      </x:c>
    </x:row>
    <x:row r="735">
      <x:c r="A735" t="s">
        <x:v>3490</x:v>
      </x:c>
      <x:c r="B735" t="s">
        <x:v>3490</x:v>
      </x:c>
      <x:c r="C735" t="s">
        <x:v>968</x:v>
      </x:c>
      <x:c r="D735">
        <x:v>15</x:v>
      </x:c>
      <x:c r="E735" t="s">
        <x:v>125</x:v>
      </x:c>
      <x:c r="F735" t="s">
        <x:v>90</x:v>
      </x:c>
      <x:c r="G735">
        <x:v>45998</x:v>
      </x:c>
      <x:c r="H735" t="s">
        <x:v>3491</x:v>
      </x:c>
      <x:c r="I735" t="s">
        <x:v>3492</x:v>
      </x:c>
      <x:c r="J735" t="s">
        <x:v>3493</x:v>
      </x:c>
    </x:row>
    <x:row r="736">
      <x:c r="A736" t="s">
        <x:v>3494</x:v>
      </x:c>
      <x:c r="B736" t="s">
        <x:v>3494</x:v>
      </x:c>
      <x:c r="C736" t="s">
        <x:v>3495</x:v>
      </x:c>
      <x:c r="D736">
        <x:v>4</x:v>
      </x:c>
      <x:c r="E736" t="s">
        <x:v>96</x:v>
      </x:c>
      <x:c r="F736" t="s">
        <x:v>97</x:v>
      </x:c>
      <x:c r="G736">
        <x:v>45616</x:v>
      </x:c>
      <x:c r="H736" t="s">
        <x:v>3496</x:v>
      </x:c>
      <x:c r="I736" t="s">
        <x:v>3497</x:v>
      </x:c>
      <x:c r="J736" t="s">
        <x:v>3498</x:v>
      </x:c>
    </x:row>
    <x:row r="737">
      <x:c r="A737" t="s">
        <x:v>3499</x:v>
      </x:c>
      <x:c r="B737" t="s">
        <x:v>3499</x:v>
      </x:c>
      <x:c r="C737" t="s">
        <x:v>1674</x:v>
      </x:c>
      <x:c r="D737">
        <x:v>7</x:v>
      </x:c>
      <x:c r="E737" t="s">
        <x:v>89</x:v>
      </x:c>
      <x:c r="F737" t="s">
        <x:v>90</x:v>
      </x:c>
      <x:c r="G737">
        <x:v>44655</x:v>
      </x:c>
      <x:c r="H737" t="s">
        <x:v>3500</x:v>
      </x:c>
      <x:c r="I737" t="s">
        <x:v>3501</x:v>
      </x:c>
      <x:c r="J737" t="s">
        <x:v>3502</x:v>
      </x:c>
    </x:row>
    <x:row r="738">
      <x:c r="A738" t="s">
        <x:v>3503</x:v>
      </x:c>
      <x:c r="B738" t="s">
        <x:v>3503</x:v>
      </x:c>
      <x:c r="C738" t="s">
        <x:v>3504</x:v>
      </x:c>
      <x:c r="D738">
        <x:v>8</x:v>
      </x:c>
      <x:c r="E738" t="s">
        <x:v>198</x:v>
      </x:c>
      <x:c r="F738" t="s">
        <x:v>90</x:v>
      </x:c>
      <x:c r="G738">
        <x:v>45587</x:v>
      </x:c>
      <x:c r="H738" t="s">
        <x:v>3505</x:v>
      </x:c>
      <x:c r="I738" t="s">
        <x:v>3506</x:v>
      </x:c>
      <x:c r="J738" t="s">
        <x:v>3507</x:v>
      </x:c>
    </x:row>
    <x:row r="739">
      <x:c r="A739" t="s">
        <x:v>3508</x:v>
      </x:c>
      <x:c r="B739" t="s">
        <x:v>3508</x:v>
      </x:c>
      <x:c r="C739" t="s">
        <x:v>3509</x:v>
      </x:c>
      <x:c r="D739">
        <x:v>35</x:v>
      </x:c>
      <x:c r="E739" t="s">
        <x:v>103</x:v>
      </x:c>
      <x:c r="F739" t="s">
        <x:v>97</x:v>
      </x:c>
      <x:c r="G739">
        <x:v>43675</x:v>
      </x:c>
      <x:c r="H739" t="s">
        <x:v>3510</x:v>
      </x:c>
      <x:c r="I739" t="s">
        <x:v>3511</x:v>
      </x:c>
      <x:c r="J739" t="s">
        <x:v>3512</x:v>
      </x:c>
    </x:row>
    <x:row r="740">
      <x:c r="A740" t="s">
        <x:v>3513</x:v>
      </x:c>
      <x:c r="B740" t="s">
        <x:v>3513</x:v>
      </x:c>
      <x:c r="C740" t="s">
        <x:v>3514</x:v>
      </x:c>
      <x:c r="D740">
        <x:v>125</x:v>
      </x:c>
      <x:c r="E740" t="s">
        <x:v>198</x:v>
      </x:c>
      <x:c r="F740" t="s">
        <x:v>97</x:v>
      </x:c>
      <x:c r="G740">
        <x:v>42684</x:v>
      </x:c>
      <x:c r="H740" t="s">
        <x:v>3515</x:v>
      </x:c>
      <x:c r="I740" t="s">
        <x:v>3516</x:v>
      </x:c>
      <x:c r="J740" t="s">
        <x:v>3517</x:v>
      </x:c>
    </x:row>
    <x:row r="741">
      <x:c r="A741" t="s">
        <x:v>3518</x:v>
      </x:c>
      <x:c r="B741" t="s">
        <x:v>3518</x:v>
      </x:c>
      <x:c r="C741" t="s">
        <x:v>2170</x:v>
      </x:c>
      <x:c r="D741">
        <x:v>3</x:v>
      </x:c>
      <x:c r="E741" t="s">
        <x:v>198</x:v>
      </x:c>
      <x:c r="F741" t="s">
        <x:v>90</x:v>
      </x:c>
      <x:c r="G741">
        <x:v>45618</x:v>
      </x:c>
      <x:c r="H741" t="s">
        <x:v>3519</x:v>
      </x:c>
      <x:c r="I741" t="s">
        <x:v>3520</x:v>
      </x:c>
      <x:c r="J741" t="s">
        <x:v>3521</x:v>
      </x:c>
    </x:row>
    <x:row r="742">
      <x:c r="A742" t="s">
        <x:v>3522</x:v>
      </x:c>
      <x:c r="B742" t="s">
        <x:v>3522</x:v>
      </x:c>
      <x:c r="C742" t="s">
        <x:v>2189</x:v>
      </x:c>
      <x:c r="D742">
        <x:v>4</x:v>
      </x:c>
      <x:c r="E742" t="s">
        <x:v>96</x:v>
      </x:c>
      <x:c r="F742" t="s">
        <x:v>97</x:v>
      </x:c>
      <x:c r="G742">
        <x:v>42530</x:v>
      </x:c>
      <x:c r="H742" t="s">
        <x:v>3523</x:v>
      </x:c>
      <x:c r="I742" t="s">
        <x:v>3524</x:v>
      </x:c>
      <x:c r="J742" t="s">
        <x:v>3525</x:v>
      </x:c>
    </x:row>
    <x:row r="743">
      <x:c r="A743" t="s">
        <x:v>3526</x:v>
      </x:c>
      <x:c r="B743" t="s">
        <x:v>3526</x:v>
      </x:c>
      <x:c r="C743" t="s">
        <x:v>246</x:v>
      </x:c>
      <x:c r="D743">
        <x:v>25</x:v>
      </x:c>
      <x:c r="E743" t="s">
        <x:v>114</x:v>
      </x:c>
      <x:c r="F743" t="s">
        <x:v>90</x:v>
      </x:c>
      <x:c r="G743">
        <x:v>46215</x:v>
      </x:c>
      <x:c r="H743" t="s">
        <x:v>3527</x:v>
      </x:c>
      <x:c r="I743" t="s">
        <x:v>3528</x:v>
      </x:c>
      <x:c r="J743" t="s">
        <x:v>3529</x:v>
      </x:c>
    </x:row>
    <x:row r="744">
      <x:c r="A744" t="s">
        <x:v>3530</x:v>
      </x:c>
      <x:c r="B744" t="s">
        <x:v>3530</x:v>
      </x:c>
      <x:c r="C744" t="s">
        <x:v>136</x:v>
      </x:c>
      <x:c r="D744">
        <x:v>12</x:v>
      </x:c>
      <x:c r="E744" t="s">
        <x:v>114</x:v>
      </x:c>
      <x:c r="F744" t="s">
        <x:v>90</x:v>
      </x:c>
      <x:c r="G744">
        <x:v>46222</x:v>
      </x:c>
      <x:c r="H744" t="s">
        <x:v>3531</x:v>
      </x:c>
      <x:c r="I744" t="s">
        <x:v>3532</x:v>
      </x:c>
      <x:c r="J744" t="s">
        <x:v>3533</x:v>
      </x:c>
    </x:row>
    <x:row r="745">
      <x:c r="A745" t="s">
        <x:v>3534</x:v>
      </x:c>
      <x:c r="B745" t="s">
        <x:v>3534</x:v>
      </x:c>
      <x:c r="C745" t="s">
        <x:v>3535</x:v>
      </x:c>
      <x:c r="D745">
        <x:v>130</x:v>
      </x:c>
      <x:c r="E745" t="s">
        <x:v>89</x:v>
      </x:c>
      <x:c r="F745" t="s">
        <x:v>97</x:v>
      </x:c>
      <x:c r="G745">
        <x:v>43578</x:v>
      </x:c>
      <x:c r="H745" t="s">
        <x:v>3536</x:v>
      </x:c>
      <x:c r="I745" t="s">
        <x:v>3537</x:v>
      </x:c>
      <x:c r="J745" t="s">
        <x:v>3538</x:v>
      </x:c>
    </x:row>
    <x:row r="746">
      <x:c r="A746" t="s">
        <x:v>3539</x:v>
      </x:c>
      <x:c r="B746" t="s">
        <x:v>3539</x:v>
      </x:c>
      <x:c r="C746" t="s">
        <x:v>307</x:v>
      </x:c>
      <x:c r="D746">
        <x:v>17</x:v>
      </x:c>
      <x:c r="E746" t="s">
        <x:v>96</x:v>
      </x:c>
      <x:c r="F746" t="s">
        <x:v>97</x:v>
      </x:c>
      <x:c r="G746">
        <x:v>44434</x:v>
      </x:c>
      <x:c r="H746" t="s">
        <x:v>3540</x:v>
      </x:c>
      <x:c r="I746" t="s">
        <x:v>3541</x:v>
      </x:c>
      <x:c r="J746" t="s">
        <x:v>3542</x:v>
      </x:c>
    </x:row>
    <x:row r="747">
      <x:c r="A747" t="s">
        <x:v>3543</x:v>
      </x:c>
      <x:c r="B747" t="s">
        <x:v>3543</x:v>
      </x:c>
      <x:c r="C747" t="s">
        <x:v>3544</x:v>
      </x:c>
      <x:c r="D747">
        <x:v>8</x:v>
      </x:c>
      <x:c r="E747" t="s">
        <x:v>103</x:v>
      </x:c>
      <x:c r="F747" t="s">
        <x:v>97</x:v>
      </x:c>
      <x:c r="G747">
        <x:v>42896</x:v>
      </x:c>
      <x:c r="H747" t="s">
        <x:v>3545</x:v>
      </x:c>
      <x:c r="I747" t="s">
        <x:v>3546</x:v>
      </x:c>
      <x:c r="J747" t="s">
        <x:v>3547</x:v>
      </x:c>
    </x:row>
    <x:row r="748">
      <x:c r="A748" t="s">
        <x:v>3548</x:v>
      </x:c>
      <x:c r="B748" t="s">
        <x:v>3548</x:v>
      </x:c>
      <x:c r="C748" t="s">
        <x:v>3549</x:v>
      </x:c>
      <x:c r="D748">
        <x:v>11</x:v>
      </x:c>
      <x:c r="E748" t="s">
        <x:v>114</x:v>
      </x:c>
      <x:c r="F748" t="s">
        <x:v>90</x:v>
      </x:c>
      <x:c r="G748">
        <x:v>44376</x:v>
      </x:c>
      <x:c r="H748" t="s">
        <x:v>3550</x:v>
      </x:c>
      <x:c r="I748" t="s">
        <x:v>3551</x:v>
      </x:c>
      <x:c r="J748" t="s">
        <x:v>3552</x:v>
      </x:c>
    </x:row>
    <x:row r="749">
      <x:c r="A749" t="s">
        <x:v>3553</x:v>
      </x:c>
      <x:c r="B749" t="s">
        <x:v>3553</x:v>
      </x:c>
      <x:c r="C749" t="s">
        <x:v>3554</x:v>
      </x:c>
      <x:c r="D749">
        <x:v>7</x:v>
      </x:c>
      <x:c r="E749" t="s">
        <x:v>96</x:v>
      </x:c>
      <x:c r="F749" t="s">
        <x:v>97</x:v>
      </x:c>
      <x:c r="G749">
        <x:v>42217</x:v>
      </x:c>
      <x:c r="H749" t="s">
        <x:v>3555</x:v>
      </x:c>
      <x:c r="I749" t="s">
        <x:v>3556</x:v>
      </x:c>
      <x:c r="J749" t="s">
        <x:v>3557</x:v>
      </x:c>
    </x:row>
    <x:row r="750">
      <x:c r="A750" t="s">
        <x:v>3558</x:v>
      </x:c>
      <x:c r="B750" t="s">
        <x:v>3558</x:v>
      </x:c>
      <x:c r="C750" t="s">
        <x:v>680</x:v>
      </x:c>
      <x:c r="D750">
        <x:v>10</x:v>
      </x:c>
      <x:c r="E750" t="s">
        <x:v>114</x:v>
      </x:c>
      <x:c r="F750" t="s">
        <x:v>90</x:v>
      </x:c>
      <x:c r="G750">
        <x:v>44768</x:v>
      </x:c>
      <x:c r="H750" t="s">
        <x:v>3559</x:v>
      </x:c>
      <x:c r="I750" t="s">
        <x:v>3560</x:v>
      </x:c>
      <x:c r="J750" t="s">
        <x:v>3561</x:v>
      </x:c>
    </x:row>
    <x:row r="751">
      <x:c r="A751" t="s">
        <x:v>3562</x:v>
      </x:c>
      <x:c r="B751" t="s">
        <x:v>3562</x:v>
      </x:c>
      <x:c r="C751" t="s">
        <x:v>3563</x:v>
      </x:c>
      <x:c r="D751">
        <x:v>11</x:v>
      </x:c>
      <x:c r="E751" t="s">
        <x:v>103</x:v>
      </x:c>
      <x:c r="F751" t="s">
        <x:v>97</x:v>
      </x:c>
      <x:c r="G751">
        <x:v>41645</x:v>
      </x:c>
      <x:c r="H751" t="s">
        <x:v>3564</x:v>
      </x:c>
      <x:c r="I751" t="s">
        <x:v>3565</x:v>
      </x:c>
      <x:c r="J751" t="s">
        <x:v>3566</x:v>
      </x:c>
    </x:row>
    <x:row r="752">
      <x:c r="A752" t="s">
        <x:v>3567</x:v>
      </x:c>
      <x:c r="B752" t="s">
        <x:v>3567</x:v>
      </x:c>
      <x:c r="C752" t="s">
        <x:v>3568</x:v>
      </x:c>
      <x:c r="D752">
        <x:v>6</x:v>
      </x:c>
      <x:c r="E752" t="s">
        <x:v>257</x:v>
      </x:c>
      <x:c r="F752" t="s">
        <x:v>97</x:v>
      </x:c>
      <x:c r="G752">
        <x:v>41525</x:v>
      </x:c>
      <x:c r="H752" t="s">
        <x:v>3569</x:v>
      </x:c>
      <x:c r="I752" t="s">
        <x:v>3570</x:v>
      </x:c>
      <x:c r="J752" t="s">
        <x:v>3571</x:v>
      </x:c>
    </x:row>
    <x:row r="753">
      <x:c r="A753" t="s">
        <x:v>3572</x:v>
      </x:c>
      <x:c r="B753" t="s">
        <x:v>3572</x:v>
      </x:c>
      <x:c r="C753" t="s">
        <x:v>3509</x:v>
      </x:c>
      <x:c r="D753">
        <x:v>12</x:v>
      </x:c>
      <x:c r="E753" t="s">
        <x:v>114</x:v>
      </x:c>
      <x:c r="F753" t="s">
        <x:v>152</x:v>
      </x:c>
      <x:c r="G753">
        <x:v>46074</x:v>
      </x:c>
      <x:c r="H753" t="s">
        <x:v>3573</x:v>
      </x:c>
      <x:c r="I753" t="s">
        <x:v>3574</x:v>
      </x:c>
      <x:c r="J753" t="s">
        <x:v>3575</x:v>
      </x:c>
    </x:row>
    <x:row r="754">
      <x:c r="A754" t="s">
        <x:v>3576</x:v>
      </x:c>
      <x:c r="B754" t="s">
        <x:v>3576</x:v>
      </x:c>
      <x:c r="C754" t="s">
        <x:v>409</x:v>
      </x:c>
      <x:c r="D754">
        <x:v>6</x:v>
      </x:c>
      <x:c r="E754" t="s">
        <x:v>89</x:v>
      </x:c>
      <x:c r="F754" t="s">
        <x:v>90</x:v>
      </x:c>
      <x:c r="G754">
        <x:v>45057</x:v>
      </x:c>
      <x:c r="H754" t="s">
        <x:v>3577</x:v>
      </x:c>
      <x:c r="I754" t="s">
        <x:v>3578</x:v>
      </x:c>
      <x:c r="J754" t="s">
        <x:v>3579</x:v>
      </x:c>
    </x:row>
    <x:row r="755">
      <x:c r="A755" t="s">
        <x:v>3580</x:v>
      </x:c>
      <x:c r="B755" t="s">
        <x:v>3580</x:v>
      </x:c>
      <x:c r="C755" t="s">
        <x:v>3581</x:v>
      </x:c>
      <x:c r="D755">
        <x:v>99</x:v>
      </x:c>
      <x:c r="E755" t="s">
        <x:v>96</x:v>
      </x:c>
      <x:c r="F755" t="s">
        <x:v>97</x:v>
      </x:c>
      <x:c r="G755">
        <x:v>44331</x:v>
      </x:c>
      <x:c r="H755" t="s">
        <x:v>3582</x:v>
      </x:c>
      <x:c r="I755" t="s">
        <x:v>3583</x:v>
      </x:c>
      <x:c r="J755" t="s">
        <x:v>3584</x:v>
      </x:c>
    </x:row>
    <x:row r="756">
      <x:c r="A756" t="s">
        <x:v>3585</x:v>
      </x:c>
      <x:c r="B756" t="s">
        <x:v>3585</x:v>
      </x:c>
      <x:c r="C756" t="s">
        <x:v>3586</x:v>
      </x:c>
      <x:c r="D756">
        <x:v>25</x:v>
      </x:c>
      <x:c r="E756" t="s">
        <x:v>96</x:v>
      </x:c>
      <x:c r="F756" t="s">
        <x:v>97</x:v>
      </x:c>
      <x:c r="G756">
        <x:v>42014</x:v>
      </x:c>
      <x:c r="H756" t="s">
        <x:v>3587</x:v>
      </x:c>
      <x:c r="I756" t="s">
        <x:v>3588</x:v>
      </x:c>
      <x:c r="J756" t="s">
        <x:v>3589</x:v>
      </x:c>
    </x:row>
    <x:row r="757">
      <x:c r="A757" t="s">
        <x:v>3590</x:v>
      </x:c>
      <x:c r="B757" t="s">
        <x:v>3590</x:v>
      </x:c>
      <x:c r="C757" t="s">
        <x:v>3591</x:v>
      </x:c>
      <x:c r="D757">
        <x:v>11</x:v>
      </x:c>
      <x:c r="E757" t="s">
        <x:v>103</x:v>
      </x:c>
      <x:c r="F757" t="s">
        <x:v>97</x:v>
      </x:c>
      <x:c r="G757">
        <x:v>42322</x:v>
      </x:c>
      <x:c r="H757" t="s">
        <x:v>3592</x:v>
      </x:c>
      <x:c r="I757" t="s">
        <x:v>3593</x:v>
      </x:c>
      <x:c r="J757" t="s">
        <x:v>3594</x:v>
      </x:c>
    </x:row>
    <x:row r="758">
      <x:c r="A758" t="s">
        <x:v>3595</x:v>
      </x:c>
      <x:c r="B758" t="s">
        <x:v>3595</x:v>
      </x:c>
      <x:c r="C758" t="s">
        <x:v>3596</x:v>
      </x:c>
      <x:c r="D758">
        <x:v>3</x:v>
      </x:c>
      <x:c r="E758" t="s">
        <x:v>96</x:v>
      </x:c>
      <x:c r="F758" t="s">
        <x:v>97</x:v>
      </x:c>
      <x:c r="G758">
        <x:v>44557</x:v>
      </x:c>
      <x:c r="H758" t="s">
        <x:v>3597</x:v>
      </x:c>
      <x:c r="I758" t="s">
        <x:v>3598</x:v>
      </x:c>
      <x:c r="J758" t="s">
        <x:v>3599</x:v>
      </x:c>
    </x:row>
    <x:row r="759">
      <x:c r="A759" t="s">
        <x:v>3600</x:v>
      </x:c>
      <x:c r="B759" t="s">
        <x:v>3600</x:v>
      </x:c>
      <x:c r="C759" t="s">
        <x:v>3601</x:v>
      </x:c>
      <x:c r="D759">
        <x:v>1</x:v>
      </x:c>
      <x:c r="E759" t="s">
        <x:v>198</x:v>
      </x:c>
      <x:c r="F759" t="s">
        <x:v>90</x:v>
      </x:c>
      <x:c r="G759">
        <x:v>41724</x:v>
      </x:c>
      <x:c r="H759" t="s">
        <x:v>3602</x:v>
      </x:c>
      <x:c r="I759" t="s">
        <x:v>3603</x:v>
      </x:c>
      <x:c r="J759" t="s">
        <x:v>3604</x:v>
      </x:c>
    </x:row>
    <x:row r="760">
      <x:c r="A760" t="s">
        <x:v>3605</x:v>
      </x:c>
      <x:c r="B760" t="s">
        <x:v>3605</x:v>
      </x:c>
      <x:c r="C760" t="s">
        <x:v>3606</x:v>
      </x:c>
      <x:c r="D760">
        <x:v>13</x:v>
      </x:c>
      <x:c r="E760" t="s">
        <x:v>96</x:v>
      </x:c>
      <x:c r="F760" t="s">
        <x:v>97</x:v>
      </x:c>
      <x:c r="G760">
        <x:v>42059</x:v>
      </x:c>
      <x:c r="H760" t="s">
        <x:v>3607</x:v>
      </x:c>
      <x:c r="I760" t="s">
        <x:v>3608</x:v>
      </x:c>
      <x:c r="J760" t="s">
        <x:v>3609</x:v>
      </x:c>
    </x:row>
    <x:row r="761">
      <x:c r="A761" t="s">
        <x:v>3610</x:v>
      </x:c>
      <x:c r="B761" t="s">
        <x:v>3610</x:v>
      </x:c>
      <x:c r="C761" t="s">
        <x:v>3611</x:v>
      </x:c>
      <x:c r="D761">
        <x:v>10</x:v>
      </x:c>
      <x:c r="E761" t="s">
        <x:v>198</x:v>
      </x:c>
      <x:c r="F761" t="s">
        <x:v>90</x:v>
      </x:c>
      <x:c r="G761">
        <x:v>45799</x:v>
      </x:c>
      <x:c r="H761" t="s">
        <x:v>3612</x:v>
      </x:c>
      <x:c r="I761" t="s">
        <x:v>3613</x:v>
      </x:c>
      <x:c r="J761" t="s">
        <x:v>3614</x:v>
      </x:c>
    </x:row>
    <x:row r="762">
      <x:c r="A762" t="s">
        <x:v>90</x:v>
      </x:c>
      <x:c r="B762" t="s">
        <x:v>90</x:v>
      </x:c>
      <x:c r="C762" t="s">
        <x:v>3012</x:v>
      </x:c>
      <x:c r="D762">
        <x:v>5</x:v>
      </x:c>
      <x:c r="E762" t="s">
        <x:v>114</x:v>
      </x:c>
      <x:c r="F762" t="s">
        <x:v>90</x:v>
      </x:c>
      <x:c r="G762">
        <x:v>45523</x:v>
      </x:c>
      <x:c r="H762" t="s">
        <x:v>3615</x:v>
      </x:c>
      <x:c r="I762" t="s">
        <x:v>3616</x:v>
      </x:c>
      <x:c r="J762" t="s">
        <x:v>3617</x:v>
      </x:c>
    </x:row>
    <x:row r="763">
      <x:c r="A763" t="s">
        <x:v>3618</x:v>
      </x:c>
      <x:c r="B763" t="s">
        <x:v>3618</x:v>
      </x:c>
      <x:c r="C763" t="s">
        <x:v>3012</x:v>
      </x:c>
      <x:c r="D763">
        <x:v>5</x:v>
      </x:c>
      <x:c r="E763" t="s">
        <x:v>114</x:v>
      </x:c>
      <x:c r="F763" t="s">
        <x:v>90</x:v>
      </x:c>
      <x:c r="G763">
        <x:v>45561</x:v>
      </x:c>
      <x:c r="H763" t="s">
        <x:v>3619</x:v>
      </x:c>
      <x:c r="I763" t="s">
        <x:v>3620</x:v>
      </x:c>
      <x:c r="J763" t="s">
        <x:v>3621</x:v>
      </x:c>
    </x:row>
    <x:row r="764">
      <x:c r="A764" t="s">
        <x:v>3622</x:v>
      </x:c>
      <x:c r="B764" t="s">
        <x:v>3622</x:v>
      </x:c>
      <x:c r="C764" t="s">
        <x:v>3623</x:v>
      </x:c>
      <x:c r="D764">
        <x:v>10</x:v>
      </x:c>
      <x:c r="E764" t="s">
        <x:v>114</x:v>
      </x:c>
      <x:c r="F764" t="s">
        <x:v>90</x:v>
      </x:c>
      <x:c r="G764">
        <x:v>44523</x:v>
      </x:c>
      <x:c r="H764" t="s">
        <x:v>3624</x:v>
      </x:c>
      <x:c r="I764" t="s">
        <x:v>3625</x:v>
      </x:c>
      <x:c r="J764" t="s">
        <x:v>3626</x:v>
      </x:c>
    </x:row>
    <x:row r="765">
      <x:c r="A765" t="s">
        <x:v>3627</x:v>
      </x:c>
      <x:c r="B765" t="s">
        <x:v>3627</x:v>
      </x:c>
      <x:c r="C765" t="s">
        <x:v>3628</x:v>
      </x:c>
      <x:c r="D765">
        <x:v>8</x:v>
      </x:c>
      <x:c r="E765" t="s">
        <x:v>198</x:v>
      </x:c>
      <x:c r="F765" t="s">
        <x:v>90</x:v>
      </x:c>
      <x:c r="G765">
        <x:v>45550</x:v>
      </x:c>
      <x:c r="H765" t="s">
        <x:v>3629</x:v>
      </x:c>
      <x:c r="I765" t="s">
        <x:v>3630</x:v>
      </x:c>
      <x:c r="J765" t="s">
        <x:v>3631</x:v>
      </x:c>
    </x:row>
    <x:row r="766">
      <x:c r="A766" t="s">
        <x:v>3632</x:v>
      </x:c>
      <x:c r="B766" t="s">
        <x:v>3632</x:v>
      </x:c>
      <x:c r="C766" t="s">
        <x:v>3633</x:v>
      </x:c>
      <x:c r="D766">
        <x:v>12</x:v>
      </x:c>
      <x:c r="E766" t="s">
        <x:v>103</x:v>
      </x:c>
      <x:c r="F766" t="s">
        <x:v>90</x:v>
      </x:c>
      <x:c r="G766">
        <x:v>46222</x:v>
      </x:c>
      <x:c r="H766" t="s">
        <x:v>3634</x:v>
      </x:c>
      <x:c r="I766" t="s">
        <x:v>3635</x:v>
      </x:c>
      <x:c r="J766" t="s">
        <x:v>3636</x:v>
      </x:c>
    </x:row>
    <x:row r="767">
      <x:c r="A767" t="s">
        <x:v>3637</x:v>
      </x:c>
      <x:c r="B767" t="s">
        <x:v>3637</x:v>
      </x:c>
      <x:c r="C767" t="s">
        <x:v>3638</x:v>
      </x:c>
      <x:c r="D767">
        <x:v>36</x:v>
      </x:c>
      <x:c r="E767" t="s">
        <x:v>96</x:v>
      </x:c>
      <x:c r="F767" t="s">
        <x:v>90</x:v>
      </x:c>
      <x:c r="G767">
        <x:v>45777</x:v>
      </x:c>
      <x:c r="H767" t="s">
        <x:v>3639</x:v>
      </x:c>
      <x:c r="I767" t="s">
        <x:v>3640</x:v>
      </x:c>
      <x:c r="J767" t="s">
        <x:v>3641</x:v>
      </x:c>
    </x:row>
    <x:row r="768">
      <x:c r="A768" t="s">
        <x:v>3642</x:v>
      </x:c>
      <x:c r="B768" t="s">
        <x:v>3642</x:v>
      </x:c>
      <x:c r="C768" t="s">
        <x:v>885</x:v>
      </x:c>
      <x:c r="D768">
        <x:v>5</x:v>
      </x:c>
      <x:c r="E768" t="s">
        <x:v>114</x:v>
      </x:c>
      <x:c r="F768" t="s">
        <x:v>90</x:v>
      </x:c>
      <x:c r="G768">
        <x:v>44777</x:v>
      </x:c>
      <x:c r="H768" t="s">
        <x:v>3643</x:v>
      </x:c>
      <x:c r="I768" t="s">
        <x:v>3644</x:v>
      </x:c>
      <x:c r="J768" t="s">
        <x:v>3645</x:v>
      </x:c>
    </x:row>
    <x:row r="769">
      <x:c r="A769" t="s">
        <x:v>3646</x:v>
      </x:c>
      <x:c r="B769" t="s">
        <x:v>3646</x:v>
      </x:c>
      <x:c r="C769" t="s">
        <x:v>885</x:v>
      </x:c>
      <x:c r="D769">
        <x:v>7</x:v>
      </x:c>
      <x:c r="E769" t="s">
        <x:v>198</x:v>
      </x:c>
      <x:c r="F769" t="s">
        <x:v>90</x:v>
      </x:c>
      <x:c r="G769">
        <x:v>45600</x:v>
      </x:c>
      <x:c r="H769" t="s">
        <x:v>3647</x:v>
      </x:c>
      <x:c r="I769" t="s">
        <x:v>3648</x:v>
      </x:c>
      <x:c r="J769" t="s">
        <x:v>3649</x:v>
      </x:c>
    </x:row>
    <x:row r="770">
      <x:c r="A770" t="s">
        <x:v>3650</x:v>
      </x:c>
      <x:c r="B770" t="s">
        <x:v>3650</x:v>
      </x:c>
      <x:c r="C770" t="s">
        <x:v>3651</x:v>
      </x:c>
      <x:c r="D770">
        <x:v>4</x:v>
      </x:c>
      <x:c r="E770" t="s">
        <x:v>198</x:v>
      </x:c>
      <x:c r="F770" t="s">
        <x:v>90</x:v>
      </x:c>
      <x:c r="G770">
        <x:v>44221</x:v>
      </x:c>
      <x:c r="H770" t="s">
        <x:v>3652</x:v>
      </x:c>
      <x:c r="I770" t="s">
        <x:v>3653</x:v>
      </x:c>
      <x:c r="J770" t="s">
        <x:v>3654</x:v>
      </x:c>
    </x:row>
    <x:row r="771">
      <x:c r="A771" t="s">
        <x:v>3655</x:v>
      </x:c>
      <x:c r="B771" t="s">
        <x:v>3655</x:v>
      </x:c>
      <x:c r="C771" t="s">
        <x:v>3656</x:v>
      </x:c>
      <x:c r="D771">
        <x:v>12</x:v>
      </x:c>
      <x:c r="E771" t="s">
        <x:v>198</x:v>
      </x:c>
      <x:c r="F771" t="s">
        <x:v>90</x:v>
      </x:c>
      <x:c r="G771">
        <x:v>43775</x:v>
      </x:c>
      <x:c r="H771" t="s">
        <x:v>3657</x:v>
      </x:c>
      <x:c r="I771" t="s">
        <x:v>3658</x:v>
      </x:c>
      <x:c r="J771" t="s">
        <x:v>3659</x:v>
      </x:c>
    </x:row>
    <x:row r="772">
      <x:c r="A772" t="s">
        <x:v>3660</x:v>
      </x:c>
      <x:c r="B772" t="s">
        <x:v>3660</x:v>
      </x:c>
      <x:c r="C772" t="s">
        <x:v>3661</x:v>
      </x:c>
      <x:c r="D772">
        <x:v>10</x:v>
      </x:c>
      <x:c r="E772" t="s">
        <x:v>96</x:v>
      </x:c>
      <x:c r="F772" t="s">
        <x:v>90</x:v>
      </x:c>
      <x:c r="G772">
        <x:v>44679</x:v>
      </x:c>
      <x:c r="H772" t="s">
        <x:v>3662</x:v>
      </x:c>
      <x:c r="I772" t="s">
        <x:v>3663</x:v>
      </x:c>
      <x:c r="J772" t="s">
        <x:v>3664</x:v>
      </x:c>
    </x:row>
    <x:row r="773">
      <x:c r="A773" t="s">
        <x:v>3665</x:v>
      </x:c>
      <x:c r="B773" t="s">
        <x:v>3665</x:v>
      </x:c>
      <x:c r="C773" t="s">
        <x:v>3666</x:v>
      </x:c>
      <x:c r="D773">
        <x:v>10</x:v>
      </x:c>
      <x:c r="E773" t="s">
        <x:v>96</x:v>
      </x:c>
      <x:c r="F773" t="s">
        <x:v>90</x:v>
      </x:c>
      <x:c r="G773">
        <x:v>44108</x:v>
      </x:c>
      <x:c r="H773" t="s">
        <x:v>3667</x:v>
      </x:c>
      <x:c r="I773" t="s">
        <x:v>3668</x:v>
      </x:c>
      <x:c r="J773" t="s">
        <x:v>3669</x:v>
      </x:c>
    </x:row>
    <x:row r="774">
      <x:c r="A774" t="s">
        <x:v>3670</x:v>
      </x:c>
      <x:c r="B774" t="s">
        <x:v>3670</x:v>
      </x:c>
      <x:c r="C774" t="s">
        <x:v>1861</x:v>
      </x:c>
      <x:c r="D774">
        <x:v>1</x:v>
      </x:c>
      <x:c r="E774" t="s">
        <x:v>198</x:v>
      </x:c>
      <x:c r="F774" t="s">
        <x:v>90</x:v>
      </x:c>
      <x:c r="G774">
        <x:v>44973</x:v>
      </x:c>
      <x:c r="H774" t="s">
        <x:v>3671</x:v>
      </x:c>
      <x:c r="I774" t="s">
        <x:v>3672</x:v>
      </x:c>
      <x:c r="J774" t="s">
        <x:v>3673</x:v>
      </x:c>
    </x:row>
    <x:row r="775">
      <x:c r="A775" t="s">
        <x:v>3674</x:v>
      </x:c>
      <x:c r="B775" t="s">
        <x:v>3674</x:v>
      </x:c>
      <x:c r="C775" t="s">
        <x:v>3675</x:v>
      </x:c>
      <x:c r="D775">
        <x:v>11</x:v>
      </x:c>
      <x:c r="E775" t="s">
        <x:v>198</x:v>
      </x:c>
      <x:c r="F775" t="s">
        <x:v>90</x:v>
      </x:c>
      <x:c r="G775">
        <x:v>42965</x:v>
      </x:c>
      <x:c r="H775" t="s">
        <x:v>3676</x:v>
      </x:c>
      <x:c r="I775" t="s">
        <x:v>3677</x:v>
      </x:c>
      <x:c r="J775" t="s">
        <x:v>3678</x:v>
      </x:c>
    </x:row>
    <x:row r="776">
      <x:c r="A776" t="s">
        <x:v>3679</x:v>
      </x:c>
      <x:c r="B776" t="s">
        <x:v>3679</x:v>
      </x:c>
      <x:c r="C776" t="s">
        <x:v>3675</x:v>
      </x:c>
      <x:c r="D776">
        <x:v>9</x:v>
      </x:c>
      <x:c r="E776" t="s">
        <x:v>114</x:v>
      </x:c>
      <x:c r="F776" t="s">
        <x:v>90</x:v>
      </x:c>
      <x:c r="G776">
        <x:v>42965</x:v>
      </x:c>
      <x:c r="H776" t="s">
        <x:v>3680</x:v>
      </x:c>
      <x:c r="I776" t="s">
        <x:v>3681</x:v>
      </x:c>
      <x:c r="J776" t="s">
        <x:v>3682</x:v>
      </x:c>
    </x:row>
    <x:row r="777">
      <x:c r="A777" t="s">
        <x:v>3683</x:v>
      </x:c>
      <x:c r="B777" t="s">
        <x:v>3683</x:v>
      </x:c>
      <x:c r="C777" t="s">
        <x:v>3675</x:v>
      </x:c>
      <x:c r="D777">
        <x:v>12</x:v>
      </x:c>
      <x:c r="E777" t="s">
        <x:v>125</x:v>
      </x:c>
      <x:c r="F777" t="s">
        <x:v>90</x:v>
      </x:c>
      <x:c r="G777">
        <x:v>42965</x:v>
      </x:c>
      <x:c r="H777" t="s">
        <x:v>3684</x:v>
      </x:c>
      <x:c r="I777" t="s">
        <x:v>3685</x:v>
      </x:c>
      <x:c r="J777" t="s">
        <x:v>3686</x:v>
      </x:c>
    </x:row>
    <x:row r="778">
      <x:c r="A778" t="s">
        <x:v>3687</x:v>
      </x:c>
      <x:c r="B778" t="s">
        <x:v>3687</x:v>
      </x:c>
      <x:c r="C778" t="s">
        <x:v>2562</x:v>
      </x:c>
      <x:c r="D778">
        <x:v>10</x:v>
      </x:c>
      <x:c r="E778" t="s">
        <x:v>114</x:v>
      </x:c>
      <x:c r="F778" t="s">
        <x:v>90</x:v>
      </x:c>
      <x:c r="G778">
        <x:v>46094</x:v>
      </x:c>
      <x:c r="H778" t="s">
        <x:v>3688</x:v>
      </x:c>
      <x:c r="I778" t="s">
        <x:v>3689</x:v>
      </x:c>
      <x:c r="J778" t="s">
        <x:v>3690</x:v>
      </x:c>
    </x:row>
    <x:row r="779">
      <x:c r="A779" t="s">
        <x:v>3691</x:v>
      </x:c>
      <x:c r="B779" t="s">
        <x:v>3691</x:v>
      </x:c>
      <x:c r="C779" t="s">
        <x:v>3692</x:v>
      </x:c>
      <x:c r="D779">
        <x:v>22</x:v>
      </x:c>
      <x:c r="E779" t="s">
        <x:v>198</x:v>
      </x:c>
      <x:c r="F779" t="s">
        <x:v>90</x:v>
      </x:c>
      <x:c r="G779">
        <x:v>43569</x:v>
      </x:c>
      <x:c r="H779" t="s">
        <x:v>3693</x:v>
      </x:c>
      <x:c r="I779" t="s">
        <x:v>3694</x:v>
      </x:c>
      <x:c r="J779" t="s">
        <x:v>3695</x:v>
      </x:c>
    </x:row>
    <x:row r="780">
      <x:c r="A780" t="s">
        <x:v>3696</x:v>
      </x:c>
      <x:c r="B780" t="s">
        <x:v>3696</x:v>
      </x:c>
      <x:c r="C780" t="s">
        <x:v>3697</x:v>
      </x:c>
      <x:c r="D780">
        <x:v>25</x:v>
      </x:c>
      <x:c r="E780" t="s">
        <x:v>103</x:v>
      </x:c>
      <x:c r="F780" t="s">
        <x:v>97</x:v>
      </x:c>
      <x:c r="G780">
        <x:v>42239</x:v>
      </x:c>
      <x:c r="H780" t="s">
        <x:v>3698</x:v>
      </x:c>
      <x:c r="I780" t="s">
        <x:v>3699</x:v>
      </x:c>
      <x:c r="J780" t="s">
        <x:v>3700</x:v>
      </x:c>
    </x:row>
    <x:row r="781">
      <x:c r="A781" t="s">
        <x:v>3701</x:v>
      </x:c>
      <x:c r="B781" t="s">
        <x:v>3701</x:v>
      </x:c>
      <x:c r="C781" t="s">
        <x:v>543</x:v>
      </x:c>
      <x:c r="D781">
        <x:v>82</x:v>
      </x:c>
      <x:c r="E781" t="s">
        <x:v>103</x:v>
      </x:c>
      <x:c r="F781" t="s">
        <x:v>97</x:v>
      </x:c>
      <x:c r="G781">
        <x:v>42284</x:v>
      </x:c>
      <x:c r="H781" t="s">
        <x:v>3702</x:v>
      </x:c>
      <x:c r="I781" t="s">
        <x:v>3703</x:v>
      </x:c>
      <x:c r="J781" t="s">
        <x:v>3704</x:v>
      </x:c>
    </x:row>
    <x:row r="782">
      <x:c r="A782" t="s">
        <x:v>3705</x:v>
      </x:c>
      <x:c r="B782" t="s">
        <x:v>3705</x:v>
      </x:c>
      <x:c r="C782" t="s">
        <x:v>3706</x:v>
      </x:c>
      <x:c r="D782">
        <x:v>10</x:v>
      </x:c>
      <x:c r="E782" t="s">
        <x:v>103</x:v>
      </x:c>
      <x:c r="F782" t="s">
        <x:v>97</x:v>
      </x:c>
      <x:c r="G782">
        <x:v>42349</x:v>
      </x:c>
      <x:c r="H782" t="s">
        <x:v>3707</x:v>
      </x:c>
      <x:c r="I782" t="s">
        <x:v>3708</x:v>
      </x:c>
      <x:c r="J782" t="s">
        <x:v>3709</x:v>
      </x:c>
    </x:row>
    <x:row r="783">
      <x:c r="A783" t="s">
        <x:v>3710</x:v>
      </x:c>
      <x:c r="B783" t="s">
        <x:v>3710</x:v>
      </x:c>
      <x:c r="C783" t="s">
        <x:v>3711</x:v>
      </x:c>
      <x:c r="D783">
        <x:v>28</x:v>
      </x:c>
      <x:c r="E783" t="s">
        <x:v>89</x:v>
      </x:c>
      <x:c r="F783" t="s">
        <x:v>90</x:v>
      </x:c>
      <x:c r="G783">
        <x:v>45233</x:v>
      </x:c>
      <x:c r="H783" t="s">
        <x:v>3712</x:v>
      </x:c>
      <x:c r="I783" t="s">
        <x:v>3713</x:v>
      </x:c>
      <x:c r="J783" t="s">
        <x:v>3714</x:v>
      </x:c>
    </x:row>
    <x:row r="784">
      <x:c r="A784" t="s">
        <x:v>3715</x:v>
      </x:c>
      <x:c r="B784" t="s">
        <x:v>3715</x:v>
      </x:c>
      <x:c r="C784" t="s">
        <x:v>3716</x:v>
      </x:c>
      <x:c r="D784">
        <x:v>42</x:v>
      </x:c>
      <x:c r="E784" t="s">
        <x:v>96</x:v>
      </x:c>
      <x:c r="F784" t="s">
        <x:v>97</x:v>
      </x:c>
      <x:c r="G784">
        <x:v>41517</x:v>
      </x:c>
      <x:c r="H784" t="s">
        <x:v>3717</x:v>
      </x:c>
      <x:c r="I784" t="s">
        <x:v>3718</x:v>
      </x:c>
      <x:c r="J784" t="s">
        <x:v>3719</x:v>
      </x:c>
    </x:row>
    <x:row r="785">
      <x:c r="A785" t="s">
        <x:v>3720</x:v>
      </x:c>
      <x:c r="B785" t="s">
        <x:v>3720</x:v>
      </x:c>
      <x:c r="C785" t="s">
        <x:v>2396</x:v>
      </x:c>
      <x:c r="D785">
        <x:v>13</x:v>
      </x:c>
      <x:c r="E785" t="s">
        <x:v>198</x:v>
      </x:c>
      <x:c r="F785" t="s">
        <x:v>90</x:v>
      </x:c>
      <x:c r="G785">
        <x:v>46123</x:v>
      </x:c>
      <x:c r="H785" t="s">
        <x:v>3721</x:v>
      </x:c>
      <x:c r="I785" t="s">
        <x:v>3722</x:v>
      </x:c>
      <x:c r="J785" t="s">
        <x:v>3723</x:v>
      </x:c>
    </x:row>
    <x:row r="786">
      <x:c r="A786" t="s">
        <x:v>3724</x:v>
      </x:c>
      <x:c r="B786" t="s">
        <x:v>3724</x:v>
      </x:c>
      <x:c r="C786" t="s">
        <x:v>2262</x:v>
      </x:c>
      <x:c r="D786">
        <x:v>35</x:v>
      </x:c>
      <x:c r="E786" t="s">
        <x:v>103</x:v>
      </x:c>
      <x:c r="F786" t="s">
        <x:v>97</x:v>
      </x:c>
      <x:c r="G786">
        <x:v>42057</x:v>
      </x:c>
      <x:c r="H786" t="s">
        <x:v>3725</x:v>
      </x:c>
      <x:c r="I786" t="s">
        <x:v>3726</x:v>
      </x:c>
      <x:c r="J786" t="s">
        <x:v>3727</x:v>
      </x:c>
    </x:row>
    <x:row r="787">
      <x:c r="A787" t="s">
        <x:v>3728</x:v>
      </x:c>
      <x:c r="B787" t="s">
        <x:v>3728</x:v>
      </x:c>
      <x:c r="C787" t="s">
        <x:v>3729</x:v>
      </x:c>
      <x:c r="D787">
        <x:v>13</x:v>
      </x:c>
      <x:c r="E787" t="s">
        <x:v>198</x:v>
      </x:c>
      <x:c r="F787" t="s">
        <x:v>90</x:v>
      </x:c>
      <x:c r="G787">
        <x:v>44022</x:v>
      </x:c>
      <x:c r="H787" t="s">
        <x:v>3730</x:v>
      </x:c>
      <x:c r="I787" t="s">
        <x:v>3731</x:v>
      </x:c>
      <x:c r="J787" t="s">
        <x:v>3732</x:v>
      </x:c>
    </x:row>
    <x:row r="788">
      <x:c r="A788" t="s">
        <x:v>3733</x:v>
      </x:c>
      <x:c r="B788" t="s">
        <x:v>3733</x:v>
      </x:c>
      <x:c r="C788" t="s">
        <x:v>629</x:v>
      </x:c>
      <x:c r="D788">
        <x:v>12</x:v>
      </x:c>
      <x:c r="E788" t="s">
        <x:v>89</x:v>
      </x:c>
      <x:c r="F788" t="s">
        <x:v>90</x:v>
      </x:c>
      <x:c r="G788">
        <x:v>44925</x:v>
      </x:c>
      <x:c r="H788" t="s">
        <x:v>3734</x:v>
      </x:c>
      <x:c r="I788" t="s">
        <x:v>3735</x:v>
      </x:c>
      <x:c r="J788" t="s">
        <x:v>3736</x:v>
      </x:c>
    </x:row>
    <x:row r="789">
      <x:c r="A789" t="s">
        <x:v>3737</x:v>
      </x:c>
      <x:c r="B789" t="s">
        <x:v>3737</x:v>
      </x:c>
      <x:c r="C789" t="s">
        <x:v>3738</x:v>
      </x:c>
      <x:c r="D789">
        <x:v>15</x:v>
      </x:c>
      <x:c r="E789" t="s">
        <x:v>198</x:v>
      </x:c>
      <x:c r="F789" t="s">
        <x:v>90</x:v>
      </x:c>
      <x:c r="G789">
        <x:v>45335</x:v>
      </x:c>
      <x:c r="H789" t="s">
        <x:v>3739</x:v>
      </x:c>
      <x:c r="I789" t="s">
        <x:v>3740</x:v>
      </x:c>
      <x:c r="J789" t="s">
        <x:v>3741</x:v>
      </x:c>
    </x:row>
    <x:row r="790">
      <x:c r="A790" t="s">
        <x:v>3742</x:v>
      </x:c>
      <x:c r="B790" t="s">
        <x:v>3742</x:v>
      </x:c>
      <x:c r="C790" t="s">
        <x:v>399</x:v>
      </x:c>
      <x:c r="D790">
        <x:v>5</x:v>
      </x:c>
      <x:c r="E790" t="s">
        <x:v>89</x:v>
      </x:c>
      <x:c r="F790" t="s">
        <x:v>97</x:v>
      </x:c>
      <x:c r="G790">
        <x:v>43800</x:v>
      </x:c>
      <x:c r="H790" t="s">
        <x:v>3743</x:v>
      </x:c>
      <x:c r="I790" t="s">
        <x:v>3744</x:v>
      </x:c>
      <x:c r="J790" t="s">
        <x:v>3745</x:v>
      </x:c>
    </x:row>
    <x:row r="791">
      <x:c r="A791" t="s">
        <x:v>3746</x:v>
      </x:c>
      <x:c r="B791" t="s">
        <x:v>3746</x:v>
      </x:c>
      <x:c r="C791" t="s">
        <x:v>3747</x:v>
      </x:c>
      <x:c r="D791">
        <x:v>4</x:v>
      </x:c>
      <x:c r="E791" t="s">
        <x:v>125</x:v>
      </x:c>
      <x:c r="F791" t="s">
        <x:v>90</x:v>
      </x:c>
      <x:c r="G791">
        <x:v>45551</x:v>
      </x:c>
      <x:c r="H791" t="s">
        <x:v>3748</x:v>
      </x:c>
      <x:c r="I791" t="s">
        <x:v>3749</x:v>
      </x:c>
      <x:c r="J791" t="s">
        <x:v>3750</x:v>
      </x:c>
    </x:row>
    <x:row r="792">
      <x:c r="A792" t="s">
        <x:v>3751</x:v>
      </x:c>
      <x:c r="B792" t="s">
        <x:v>3751</x:v>
      </x:c>
      <x:c r="C792" t="s">
        <x:v>3752</x:v>
      </x:c>
      <x:c r="D792">
        <x:v>1</x:v>
      </x:c>
      <x:c r="E792" t="s">
        <x:v>103</x:v>
      </x:c>
      <x:c r="F792" t="s">
        <x:v>97</x:v>
      </x:c>
      <x:c r="G792">
        <x:v>42003</x:v>
      </x:c>
      <x:c r="H792" t="s">
        <x:v>3753</x:v>
      </x:c>
      <x:c r="I792" t="s">
        <x:v>3754</x:v>
      </x:c>
      <x:c r="J792" t="s">
        <x:v>3755</x:v>
      </x:c>
    </x:row>
    <x:row r="793">
      <x:c r="A793" t="s">
        <x:v>3756</x:v>
      </x:c>
      <x:c r="B793" t="s">
        <x:v>3756</x:v>
      </x:c>
      <x:c r="C793" t="s">
        <x:v>3757</x:v>
      </x:c>
      <x:c r="D793">
        <x:v>11</x:v>
      </x:c>
      <x:c r="E793" t="s">
        <x:v>89</x:v>
      </x:c>
      <x:c r="F793" t="s">
        <x:v>90</x:v>
      </x:c>
      <x:c r="G793">
        <x:v>44214</x:v>
      </x:c>
      <x:c r="H793" t="s">
        <x:v>3758</x:v>
      </x:c>
      <x:c r="I793" t="s">
        <x:v>3759</x:v>
      </x:c>
      <x:c r="J793" t="s">
        <x:v>3760</x:v>
      </x:c>
    </x:row>
    <x:row r="794">
      <x:c r="A794" t="s">
        <x:v>3761</x:v>
      </x:c>
      <x:c r="B794" t="s">
        <x:v>3761</x:v>
      </x:c>
      <x:c r="C794" t="s">
        <x:v>718</x:v>
      </x:c>
      <x:c r="D794">
        <x:v>6</x:v>
      </x:c>
      <x:c r="E794" t="s">
        <x:v>96</x:v>
      </x:c>
      <x:c r="F794" t="s">
        <x:v>97</x:v>
      </x:c>
      <x:c r="G794">
        <x:v>42176</x:v>
      </x:c>
      <x:c r="H794" t="s">
        <x:v>3762</x:v>
      </x:c>
      <x:c r="I794" t="s">
        <x:v>3763</x:v>
      </x:c>
      <x:c r="J794" t="s">
        <x:v>3764</x:v>
      </x:c>
    </x:row>
    <x:row r="795">
      <x:c r="A795" t="s">
        <x:v>3765</x:v>
      </x:c>
      <x:c r="B795" t="s">
        <x:v>3765</x:v>
      </x:c>
      <x:c r="C795" t="s">
        <x:v>718</x:v>
      </x:c>
      <x:c r="D795">
        <x:v>6</x:v>
      </x:c>
      <x:c r="E795" t="s">
        <x:v>103</x:v>
      </x:c>
      <x:c r="F795" t="s">
        <x:v>97</x:v>
      </x:c>
      <x:c r="G795">
        <x:v>41566</x:v>
      </x:c>
      <x:c r="H795" t="s">
        <x:v>3766</x:v>
      </x:c>
      <x:c r="I795" t="s">
        <x:v>3767</x:v>
      </x:c>
      <x:c r="J795" t="s">
        <x:v>3768</x:v>
      </x:c>
    </x:row>
    <x:row r="796">
      <x:c r="A796" t="s">
        <x:v>3769</x:v>
      </x:c>
      <x:c r="B796" t="s">
        <x:v>3769</x:v>
      </x:c>
      <x:c r="C796" t="s">
        <x:v>718</x:v>
      </x:c>
      <x:c r="D796">
        <x:v>32</x:v>
      </x:c>
      <x:c r="E796" t="s">
        <x:v>103</x:v>
      </x:c>
      <x:c r="F796" t="s">
        <x:v>97</x:v>
      </x:c>
      <x:c r="G796">
        <x:v>42176</x:v>
      </x:c>
      <x:c r="H796" t="s">
        <x:v>3770</x:v>
      </x:c>
      <x:c r="I796" t="s">
        <x:v>3771</x:v>
      </x:c>
      <x:c r="J796" t="s">
        <x:v>3772</x:v>
      </x:c>
    </x:row>
    <x:row r="797">
      <x:c r="A797" t="s">
        <x:v>3773</x:v>
      </x:c>
      <x:c r="B797" t="s">
        <x:v>3773</x:v>
      </x:c>
      <x:c r="C797" t="s">
        <x:v>718</x:v>
      </x:c>
      <x:c r="D797">
        <x:v>13</x:v>
      </x:c>
      <x:c r="E797" t="s">
        <x:v>96</x:v>
      </x:c>
      <x:c r="F797" t="s">
        <x:v>97</x:v>
      </x:c>
      <x:c r="G797">
        <x:v>42176</x:v>
      </x:c>
      <x:c r="H797" t="s">
        <x:v>3774</x:v>
      </x:c>
      <x:c r="I797" t="s">
        <x:v>3775</x:v>
      </x:c>
      <x:c r="J797" t="s">
        <x:v>3776</x:v>
      </x:c>
    </x:row>
    <x:row r="798">
      <x:c r="A798" t="s">
        <x:v>3777</x:v>
      </x:c>
      <x:c r="B798" t="s">
        <x:v>3777</x:v>
      </x:c>
      <x:c r="C798" t="s">
        <x:v>718</x:v>
      </x:c>
      <x:c r="D798">
        <x:v>11</x:v>
      </x:c>
      <x:c r="E798" t="s">
        <x:v>257</x:v>
      </x:c>
      <x:c r="F798" t="s">
        <x:v>97</x:v>
      </x:c>
      <x:c r="G798">
        <x:v>41557</x:v>
      </x:c>
      <x:c r="H798" t="s">
        <x:v>3778</x:v>
      </x:c>
      <x:c r="I798" t="s">
        <x:v>3779</x:v>
      </x:c>
      <x:c r="J798" t="s">
        <x:v>3780</x:v>
      </x:c>
    </x:row>
    <x:row r="799">
      <x:c r="A799" t="s">
        <x:v>3781</x:v>
      </x:c>
      <x:c r="B799" t="s">
        <x:v>3781</x:v>
      </x:c>
      <x:c r="C799" t="s">
        <x:v>3782</x:v>
      </x:c>
      <x:c r="D799">
        <x:v>27</x:v>
      </x:c>
      <x:c r="E799" t="s">
        <x:v>198</x:v>
      </x:c>
      <x:c r="F799" t="s">
        <x:v>90</x:v>
      </x:c>
      <x:c r="G799">
        <x:v>44291</x:v>
      </x:c>
      <x:c r="H799" t="s">
        <x:v>3783</x:v>
      </x:c>
      <x:c r="I799" t="s">
        <x:v>3784</x:v>
      </x:c>
      <x:c r="J799" t="s">
        <x:v>3785</x:v>
      </x:c>
    </x:row>
    <x:row r="800">
      <x:c r="A800" t="s">
        <x:v>3786</x:v>
      </x:c>
      <x:c r="B800" t="s">
        <x:v>3786</x:v>
      </x:c>
      <x:c r="C800" t="s">
        <x:v>708</x:v>
      </x:c>
      <x:c r="D800">
        <x:v>25</x:v>
      </x:c>
      <x:c r="E800" t="s">
        <x:v>125</x:v>
      </x:c>
      <x:c r="F800" t="s">
        <x:v>90</x:v>
      </x:c>
      <x:c r="G800">
        <x:v>44956</x:v>
      </x:c>
      <x:c r="H800" t="s">
        <x:v>3787</x:v>
      </x:c>
      <x:c r="I800" t="s">
        <x:v>3788</x:v>
      </x:c>
      <x:c r="J800" t="s">
        <x:v>3789</x:v>
      </x:c>
    </x:row>
    <x:row r="801">
      <x:c r="A801" t="s">
        <x:v>3790</x:v>
      </x:c>
      <x:c r="B801" t="s">
        <x:v>3790</x:v>
      </x:c>
      <x:c r="C801" t="s">
        <x:v>3791</x:v>
      </x:c>
      <x:c r="D801">
        <x:v>10</x:v>
      </x:c>
      <x:c r="E801" t="s">
        <x:v>198</x:v>
      </x:c>
      <x:c r="F801" t="s">
        <x:v>90</x:v>
      </x:c>
      <x:c r="G801">
        <x:v>44361</x:v>
      </x:c>
      <x:c r="H801" t="s">
        <x:v>3792</x:v>
      </x:c>
      <x:c r="I801" t="s">
        <x:v>3793</x:v>
      </x:c>
      <x:c r="J801" t="s">
        <x:v>3794</x:v>
      </x:c>
    </x:row>
    <x:row r="802">
      <x:c r="A802" t="s">
        <x:v>3795</x:v>
      </x:c>
      <x:c r="B802" t="s">
        <x:v>3795</x:v>
      </x:c>
      <x:c r="C802" t="s">
        <x:v>983</x:v>
      </x:c>
      <x:c r="D802">
        <x:v>16</x:v>
      </x:c>
      <x:c r="E802" t="s">
        <x:v>89</x:v>
      </x:c>
      <x:c r="F802" t="s">
        <x:v>97</x:v>
      </x:c>
      <x:c r="G802">
        <x:v>45730</x:v>
      </x:c>
      <x:c r="H802" t="s">
        <x:v>3796</x:v>
      </x:c>
      <x:c r="I802" t="s">
        <x:v>3797</x:v>
      </x:c>
      <x:c r="J802" t="s">
        <x:v>3798</x:v>
      </x:c>
    </x:row>
    <x:row r="803">
      <x:c r="A803" t="s">
        <x:v>3799</x:v>
      </x:c>
      <x:c r="B803" t="s">
        <x:v>3799</x:v>
      </x:c>
      <x:c r="C803" t="s">
        <x:v>3800</x:v>
      </x:c>
      <x:c r="D803">
        <x:v>29</x:v>
      </x:c>
      <x:c r="E803" t="s">
        <x:v>198</x:v>
      </x:c>
      <x:c r="F803" t="s">
        <x:v>90</x:v>
      </x:c>
      <x:c r="G803">
        <x:v>43446</x:v>
      </x:c>
      <x:c r="H803" t="s">
        <x:v>3801</x:v>
      </x:c>
      <x:c r="I803" t="s">
        <x:v>3802</x:v>
      </x:c>
      <x:c r="J803" t="s">
        <x:v>3803</x:v>
      </x:c>
    </x:row>
    <x:row r="804">
      <x:c r="A804" t="s">
        <x:v>3804</x:v>
      </x:c>
      <x:c r="B804" t="s">
        <x:v>3804</x:v>
      </x:c>
      <x:c r="C804" t="s">
        <x:v>409</x:v>
      </x:c>
      <x:c r="D804">
        <x:v>9</x:v>
      </x:c>
      <x:c r="E804" t="s">
        <x:v>198</x:v>
      </x:c>
      <x:c r="F804" t="s">
        <x:v>90</x:v>
      </x:c>
      <x:c r="G804">
        <x:v>44007</x:v>
      </x:c>
      <x:c r="H804" t="s">
        <x:v>3805</x:v>
      </x:c>
      <x:c r="I804" t="s">
        <x:v>3806</x:v>
      </x:c>
      <x:c r="J804" t="s">
        <x:v>3807</x:v>
      </x:c>
    </x:row>
    <x:row r="805">
      <x:c r="A805" t="s">
        <x:v>3808</x:v>
      </x:c>
      <x:c r="B805" t="s">
        <x:v>3808</x:v>
      </x:c>
      <x:c r="C805" t="s">
        <x:v>3809</x:v>
      </x:c>
      <x:c r="D805">
        <x:v>19</x:v>
      </x:c>
      <x:c r="E805" t="s">
        <x:v>103</x:v>
      </x:c>
      <x:c r="F805" t="s">
        <x:v>97</x:v>
      </x:c>
      <x:c r="G805">
        <x:v>42238</x:v>
      </x:c>
      <x:c r="H805" t="s">
        <x:v>3810</x:v>
      </x:c>
      <x:c r="I805" t="s">
        <x:v>3811</x:v>
      </x:c>
      <x:c r="J805" t="s">
        <x:v>3812</x:v>
      </x:c>
    </x:row>
    <x:row r="806">
      <x:c r="A806" t="s">
        <x:v>3813</x:v>
      </x:c>
      <x:c r="B806" t="s">
        <x:v>3813</x:v>
      </x:c>
      <x:c r="C806" t="s">
        <x:v>3814</x:v>
      </x:c>
      <x:c r="D806">
        <x:v>13</x:v>
      </x:c>
      <x:c r="E806" t="s">
        <x:v>89</x:v>
      </x:c>
      <x:c r="F806" t="s">
        <x:v>90</x:v>
      </x:c>
      <x:c r="G806">
        <x:v>45849</x:v>
      </x:c>
      <x:c r="H806" t="s">
        <x:v>3815</x:v>
      </x:c>
      <x:c r="I806" t="s">
        <x:v>3816</x:v>
      </x:c>
      <x:c r="J806" t="s">
        <x:v>3817</x:v>
      </x:c>
    </x:row>
    <x:row r="807">
      <x:c r="A807" t="s">
        <x:v>3818</x:v>
      </x:c>
      <x:c r="B807" t="s">
        <x:v>3818</x:v>
      </x:c>
      <x:c r="C807" t="s">
        <x:v>3819</x:v>
      </x:c>
      <x:c r="D807">
        <x:v>17</x:v>
      </x:c>
      <x:c r="E807" t="s">
        <x:v>89</x:v>
      </x:c>
      <x:c r="F807" t="s">
        <x:v>90</x:v>
      </x:c>
      <x:c r="G807">
        <x:v>42784</x:v>
      </x:c>
      <x:c r="H807" t="s">
        <x:v>3820</x:v>
      </x:c>
      <x:c r="I807" t="s">
        <x:v>3821</x:v>
      </x:c>
      <x:c r="J807" t="s">
        <x:v>3822</x:v>
      </x:c>
    </x:row>
    <x:row r="808">
      <x:c r="A808" t="s">
        <x:v>3823</x:v>
      </x:c>
      <x:c r="B808" t="s">
        <x:v>3823</x:v>
      </x:c>
      <x:c r="C808" t="s">
        <x:v>3819</x:v>
      </x:c>
      <x:c r="D808">
        <x:v>21</x:v>
      </x:c>
      <x:c r="E808" t="s">
        <x:v>198</x:v>
      </x:c>
      <x:c r="F808" t="s">
        <x:v>90</x:v>
      </x:c>
      <x:c r="G808">
        <x:v>43368</x:v>
      </x:c>
      <x:c r="H808" t="s">
        <x:v>3824</x:v>
      </x:c>
      <x:c r="I808" t="s">
        <x:v>3825</x:v>
      </x:c>
      <x:c r="J808" t="s">
        <x:v>3826</x:v>
      </x:c>
    </x:row>
    <x:row r="809">
      <x:c r="A809" t="s">
        <x:v>3827</x:v>
      </x:c>
      <x:c r="B809" t="s">
        <x:v>3827</x:v>
      </x:c>
      <x:c r="C809" t="s">
        <x:v>3828</x:v>
      </x:c>
      <x:c r="D809">
        <x:v>9</x:v>
      </x:c>
      <x:c r="E809" t="s">
        <x:v>89</x:v>
      </x:c>
      <x:c r="F809" t="s">
        <x:v>90</x:v>
      </x:c>
      <x:c r="G809">
        <x:v>45031</x:v>
      </x:c>
      <x:c r="H809" t="s">
        <x:v>3829</x:v>
      </x:c>
      <x:c r="I809" t="s">
        <x:v>3830</x:v>
      </x:c>
      <x:c r="J809" t="s">
        <x:v>3831</x:v>
      </x:c>
    </x:row>
    <x:row r="810">
      <x:c r="A810" t="s">
        <x:v>3832</x:v>
      </x:c>
      <x:c r="B810" t="s">
        <x:v>3832</x:v>
      </x:c>
      <x:c r="C810" t="s">
        <x:v>2099</x:v>
      </x:c>
      <x:c r="D810">
        <x:v>6</x:v>
      </x:c>
      <x:c r="E810" t="s">
        <x:v>198</x:v>
      </x:c>
      <x:c r="F810" t="s">
        <x:v>90</x:v>
      </x:c>
      <x:c r="G810">
        <x:v>43797</x:v>
      </x:c>
      <x:c r="H810" t="s">
        <x:v>3833</x:v>
      </x:c>
      <x:c r="I810" t="s">
        <x:v>3834</x:v>
      </x:c>
      <x:c r="J810" t="s">
        <x:v>3835</x:v>
      </x:c>
    </x:row>
    <x:row r="811">
      <x:c r="A811" t="s">
        <x:v>3836</x:v>
      </x:c>
      <x:c r="B811" t="s">
        <x:v>3836</x:v>
      </x:c>
      <x:c r="C811" t="s">
        <x:v>131</x:v>
      </x:c>
      <x:c r="D811">
        <x:v>14</x:v>
      </x:c>
      <x:c r="E811" t="s">
        <x:v>96</x:v>
      </x:c>
      <x:c r="F811" t="s">
        <x:v>97</x:v>
      </x:c>
      <x:c r="G811">
        <x:v>43705</x:v>
      </x:c>
      <x:c r="H811" t="s">
        <x:v>3837</x:v>
      </x:c>
      <x:c r="I811" t="s">
        <x:v>3838</x:v>
      </x:c>
      <x:c r="J811" t="s">
        <x:v>3839</x:v>
      </x:c>
    </x:row>
    <x:row r="812">
      <x:c r="A812" t="s">
        <x:v>3840</x:v>
      </x:c>
      <x:c r="B812" t="s">
        <x:v>3840</x:v>
      </x:c>
      <x:c r="C812" t="s">
        <x:v>3841</x:v>
      </x:c>
      <x:c r="D812">
        <x:v>1</x:v>
      </x:c>
      <x:c r="E812" t="s">
        <x:v>89</x:v>
      </x:c>
      <x:c r="F812" t="s">
        <x:v>97</x:v>
      </x:c>
      <x:c r="G812">
        <x:v>44781</x:v>
      </x:c>
      <x:c r="H812" t="s">
        <x:v>3842</x:v>
      </x:c>
      <x:c r="I812" t="s">
        <x:v>3843</x:v>
      </x:c>
      <x:c r="J812" t="s">
        <x:v>3844</x:v>
      </x:c>
    </x:row>
    <x:row r="813">
      <x:c r="A813" t="s">
        <x:v>3845</x:v>
      </x:c>
      <x:c r="B813" t="s">
        <x:v>3845</x:v>
      </x:c>
      <x:c r="C813" t="s">
        <x:v>3846</x:v>
      </x:c>
      <x:c r="D813">
        <x:v>5</x:v>
      </x:c>
      <x:c r="E813" t="s">
        <x:v>198</x:v>
      </x:c>
      <x:c r="F813" t="s">
        <x:v>90</x:v>
      </x:c>
      <x:c r="G813">
        <x:v>45788</x:v>
      </x:c>
      <x:c r="H813" t="s">
        <x:v>3847</x:v>
      </x:c>
      <x:c r="I813" t="s">
        <x:v>3848</x:v>
      </x:c>
      <x:c r="J813" t="s">
        <x:v>3849</x:v>
      </x:c>
    </x:row>
    <x:row r="814">
      <x:c r="A814" t="s">
        <x:v>3850</x:v>
      </x:c>
      <x:c r="B814" t="s">
        <x:v>3850</x:v>
      </x:c>
      <x:c r="C814" t="s">
        <x:v>3851</x:v>
      </x:c>
      <x:c r="D814">
        <x:v>6</x:v>
      </x:c>
      <x:c r="E814" t="s">
        <x:v>257</x:v>
      </x:c>
      <x:c r="F814" t="s">
        <x:v>97</x:v>
      </x:c>
      <x:c r="G814">
        <x:v>42285</x:v>
      </x:c>
      <x:c r="H814" t="s">
        <x:v>3852</x:v>
      </x:c>
      <x:c r="I814" t="s">
        <x:v>3853</x:v>
      </x:c>
      <x:c r="J814" t="s">
        <x:v>3854</x:v>
      </x:c>
    </x:row>
    <x:row r="815">
      <x:c r="A815" t="s">
        <x:v>3855</x:v>
      </x:c>
      <x:c r="B815" t="s">
        <x:v>3855</x:v>
      </x:c>
      <x:c r="C815" t="s">
        <x:v>1594</x:v>
      </x:c>
      <x:c r="D815">
        <x:v>29</x:v>
      </x:c>
      <x:c r="E815" t="s">
        <x:v>198</x:v>
      </x:c>
      <x:c r="F815" t="s">
        <x:v>610</x:v>
      </x:c>
      <x:c r="G815">
        <x:v>42939</x:v>
      </x:c>
      <x:c r="H815" t="s">
        <x:v>3856</x:v>
      </x:c>
      <x:c r="I815" t="s">
        <x:v>3857</x:v>
      </x:c>
      <x:c r="J815" t="s">
        <x:v>3858</x:v>
      </x:c>
    </x:row>
    <x:row r="816">
      <x:c r="A816" t="s">
        <x:v>3859</x:v>
      </x:c>
      <x:c r="B816" t="s">
        <x:v>3859</x:v>
      </x:c>
      <x:c r="C816" t="s">
        <x:v>1594</x:v>
      </x:c>
      <x:c r="D816">
        <x:v>29</x:v>
      </x:c>
      <x:c r="E816" t="s">
        <x:v>114</x:v>
      </x:c>
      <x:c r="F816" t="s">
        <x:v>610</x:v>
      </x:c>
      <x:c r="G816">
        <x:v>44106</x:v>
      </x:c>
      <x:c r="H816" t="s">
        <x:v>3860</x:v>
      </x:c>
      <x:c r="I816" t="s">
        <x:v>3861</x:v>
      </x:c>
      <x:c r="J816" t="s">
        <x:v>3862</x:v>
      </x:c>
    </x:row>
    <x:row r="817">
      <x:c r="A817" t="s">
        <x:v>3863</x:v>
      </x:c>
      <x:c r="B817" t="s">
        <x:v>3863</x:v>
      </x:c>
      <x:c r="C817" t="s">
        <x:v>3864</x:v>
      </x:c>
      <x:c r="D817">
        <x:v>4</x:v>
      </x:c>
      <x:c r="E817" t="s">
        <x:v>257</x:v>
      </x:c>
      <x:c r="F817" t="s">
        <x:v>97</x:v>
      </x:c>
      <x:c r="G817">
        <x:v>41814</x:v>
      </x:c>
      <x:c r="H817" t="s">
        <x:v>3865</x:v>
      </x:c>
      <x:c r="I817" t="s">
        <x:v>3866</x:v>
      </x:c>
      <x:c r="J817" t="s">
        <x:v>3867</x:v>
      </x:c>
    </x:row>
    <x:row r="818">
      <x:c r="A818" t="s">
        <x:v>3868</x:v>
      </x:c>
      <x:c r="B818" t="s">
        <x:v>3868</x:v>
      </x:c>
      <x:c r="C818" t="s">
        <x:v>1544</x:v>
      </x:c>
      <x:c r="D818">
        <x:v>5</x:v>
      </x:c>
      <x:c r="E818" t="s">
        <x:v>103</x:v>
      </x:c>
      <x:c r="F818" t="s">
        <x:v>97</x:v>
      </x:c>
      <x:c r="G818">
        <x:v>42217</x:v>
      </x:c>
      <x:c r="H818" t="s">
        <x:v>3869</x:v>
      </x:c>
      <x:c r="I818" t="s">
        <x:v>3870</x:v>
      </x:c>
      <x:c r="J818" t="s">
        <x:v>3871</x:v>
      </x:c>
    </x:row>
    <x:row r="819">
      <x:c r="A819" t="s">
        <x:v>3872</x:v>
      </x:c>
      <x:c r="B819" t="s">
        <x:v>3872</x:v>
      </x:c>
      <x:c r="C819" t="s">
        <x:v>3873</x:v>
      </x:c>
      <x:c r="D819">
        <x:v>16</x:v>
      </x:c>
      <x:c r="E819" t="s">
        <x:v>198</x:v>
      </x:c>
      <x:c r="F819" t="s">
        <x:v>90</x:v>
      </x:c>
      <x:c r="G819">
        <x:v>44103</x:v>
      </x:c>
      <x:c r="H819" t="s">
        <x:v>3874</x:v>
      </x:c>
      <x:c r="I819" t="s">
        <x:v>3875</x:v>
      </x:c>
      <x:c r="J819" t="s">
        <x:v>3876</x:v>
      </x:c>
    </x:row>
    <x:row r="820">
      <x:c r="A820" t="s">
        <x:v>3877</x:v>
      </x:c>
      <x:c r="B820" t="s">
        <x:v>3877</x:v>
      </x:c>
      <x:c r="C820" t="s">
        <x:v>1861</x:v>
      </x:c>
      <x:c r="D820">
        <x:v>65</x:v>
      </x:c>
      <x:c r="E820" t="s">
        <x:v>198</x:v>
      </x:c>
      <x:c r="F820" t="s">
        <x:v>152</x:v>
      </x:c>
      <x:c r="G820">
        <x:v>44248</x:v>
      </x:c>
      <x:c r="H820" t="s">
        <x:v>3878</x:v>
      </x:c>
      <x:c r="I820" t="s">
        <x:v>3879</x:v>
      </x:c>
      <x:c r="J820" t="s">
        <x:v>3880</x:v>
      </x:c>
    </x:row>
    <x:row r="821">
      <x:c r="A821" t="s">
        <x:v>3881</x:v>
      </x:c>
      <x:c r="B821" t="s">
        <x:v>3881</x:v>
      </x:c>
      <x:c r="C821" t="s">
        <x:v>3882</x:v>
      </x:c>
      <x:c r="D821">
        <x:v>3</x:v>
      </x:c>
      <x:c r="E821" t="s">
        <x:v>257</x:v>
      </x:c>
      <x:c r="F821" t="s">
        <x:v>97</x:v>
      </x:c>
      <x:c r="G821">
        <x:v>45162</x:v>
      </x:c>
      <x:c r="H821" t="s">
        <x:v>3883</x:v>
      </x:c>
      <x:c r="I821" t="s">
        <x:v>3884</x:v>
      </x:c>
      <x:c r="J821" t="s">
        <x:v>3885</x:v>
      </x:c>
    </x:row>
    <x:row r="822">
      <x:c r="A822" t="s">
        <x:v>3886</x:v>
      </x:c>
      <x:c r="B822" t="s">
        <x:v>3886</x:v>
      </x:c>
      <x:c r="C822" t="s">
        <x:v>3882</x:v>
      </x:c>
      <x:c r="D822">
        <x:v>13</x:v>
      </x:c>
      <x:c r="E822" t="s">
        <x:v>103</x:v>
      </x:c>
      <x:c r="F822" t="s">
        <x:v>97</x:v>
      </x:c>
      <x:c r="G822">
        <x:v>45210</x:v>
      </x:c>
      <x:c r="H822" t="s">
        <x:v>3887</x:v>
      </x:c>
      <x:c r="I822" t="s">
        <x:v>3888</x:v>
      </x:c>
      <x:c r="J822" t="s">
        <x:v>3889</x:v>
      </x:c>
    </x:row>
    <x:row r="823">
      <x:c r="A823" t="s">
        <x:v>3890</x:v>
      </x:c>
      <x:c r="B823" t="s">
        <x:v>3890</x:v>
      </x:c>
      <x:c r="C823" t="s">
        <x:v>3891</x:v>
      </x:c>
      <x:c r="D823">
        <x:v>9</x:v>
      </x:c>
      <x:c r="E823" t="s">
        <x:v>89</x:v>
      </x:c>
      <x:c r="F823" t="s">
        <x:v>90</x:v>
      </x:c>
      <x:c r="G823">
        <x:v>45831</x:v>
      </x:c>
      <x:c r="H823" t="s">
        <x:v>3892</x:v>
      </x:c>
      <x:c r="I823" t="s">
        <x:v>3893</x:v>
      </x:c>
      <x:c r="J823" t="s">
        <x:v>3894</x:v>
      </x:c>
    </x:row>
    <x:row r="824">
      <x:c r="A824" t="s">
        <x:v>3895</x:v>
      </x:c>
      <x:c r="B824" t="s">
        <x:v>3895</x:v>
      </x:c>
      <x:c r="C824" t="s">
        <x:v>3896</x:v>
      </x:c>
      <x:c r="D824">
        <x:v>8</x:v>
      </x:c>
      <x:c r="E824" t="s">
        <x:v>114</x:v>
      </x:c>
      <x:c r="F824" t="s">
        <x:v>90</x:v>
      </x:c>
      <x:c r="G824">
        <x:v>45416</x:v>
      </x:c>
      <x:c r="H824" t="s">
        <x:v>3897</x:v>
      </x:c>
      <x:c r="I824" t="s">
        <x:v>3898</x:v>
      </x:c>
      <x:c r="J824" t="s">
        <x:v>3899</x:v>
      </x:c>
    </x:row>
    <x:row r="825">
      <x:c r="A825" t="s">
        <x:v>3900</x:v>
      </x:c>
      <x:c r="B825" t="s">
        <x:v>3900</x:v>
      </x:c>
      <x:c r="C825" t="s">
        <x:v>3901</x:v>
      </x:c>
      <x:c r="D825">
        <x:v>6</x:v>
      </x:c>
      <x:c r="E825" t="s">
        <x:v>257</x:v>
      </x:c>
      <x:c r="F825" t="s">
        <x:v>97</x:v>
      </x:c>
      <x:c r="G825">
        <x:v>42841</x:v>
      </x:c>
      <x:c r="H825" t="s">
        <x:v>3902</x:v>
      </x:c>
      <x:c r="I825" t="s">
        <x:v>3903</x:v>
      </x:c>
      <x:c r="J825" t="s">
        <x:v>3904</x:v>
      </x:c>
    </x:row>
    <x:row r="826">
      <x:c r="A826" t="s">
        <x:v>3905</x:v>
      </x:c>
      <x:c r="B826" t="s">
        <x:v>3905</x:v>
      </x:c>
      <x:c r="C826" t="s">
        <x:v>3357</x:v>
      </x:c>
      <x:c r="D826">
        <x:v>9</x:v>
      </x:c>
      <x:c r="E826" t="s">
        <x:v>198</x:v>
      </x:c>
      <x:c r="F826" t="s">
        <x:v>90</x:v>
      </x:c>
      <x:c r="G826">
        <x:v>46176</x:v>
      </x:c>
      <x:c r="H826" t="s">
        <x:v>3906</x:v>
      </x:c>
      <x:c r="I826" t="s">
        <x:v>3907</x:v>
      </x:c>
      <x:c r="J826" t="s">
        <x:v>3908</x:v>
      </x:c>
    </x:row>
    <x:row r="827">
      <x:c r="A827" t="s">
        <x:v>3909</x:v>
      </x:c>
      <x:c r="B827" t="s">
        <x:v>3909</x:v>
      </x:c>
      <x:c r="C827" t="s">
        <x:v>3910</x:v>
      </x:c>
      <x:c r="D827">
        <x:v>6</x:v>
      </x:c>
      <x:c r="E827" t="s">
        <x:v>198</x:v>
      </x:c>
      <x:c r="F827" t="s">
        <x:v>90</x:v>
      </x:c>
      <x:c r="G827">
        <x:v>45121</x:v>
      </x:c>
      <x:c r="H827" t="s">
        <x:v>3911</x:v>
      </x:c>
      <x:c r="I827" t="s">
        <x:v>3912</x:v>
      </x:c>
      <x:c r="J827" t="s">
        <x:v>3913</x:v>
      </x:c>
    </x:row>
    <x:row r="828">
      <x:c r="A828" t="s">
        <x:v>3914</x:v>
      </x:c>
      <x:c r="B828" t="s">
        <x:v>3914</x:v>
      </x:c>
      <x:c r="C828" t="s">
        <x:v>3915</x:v>
      </x:c>
      <x:c r="D828">
        <x:v>5</x:v>
      </x:c>
      <x:c r="E828" t="s">
        <x:v>114</x:v>
      </x:c>
      <x:c r="F828" t="s">
        <x:v>90</x:v>
      </x:c>
      <x:c r="G828">
        <x:v>45606</x:v>
      </x:c>
      <x:c r="H828" t="s">
        <x:v>3916</x:v>
      </x:c>
      <x:c r="I828" t="s">
        <x:v>3917</x:v>
      </x:c>
      <x:c r="J828" t="s">
        <x:v>3918</x:v>
      </x:c>
    </x:row>
    <x:row r="829">
      <x:c r="A829" t="s">
        <x:v>3919</x:v>
      </x:c>
      <x:c r="B829" t="s">
        <x:v>3919</x:v>
      </x:c>
      <x:c r="C829" t="s">
        <x:v>1135</x:v>
      </x:c>
      <x:c r="D829">
        <x:v>1</x:v>
      </x:c>
      <x:c r="E829" t="s">
        <x:v>114</x:v>
      </x:c>
      <x:c r="F829" t="s">
        <x:v>90</x:v>
      </x:c>
      <x:c r="G829">
        <x:v>45408</x:v>
      </x:c>
      <x:c r="H829" t="s">
        <x:v>3920</x:v>
      </x:c>
      <x:c r="I829" t="s">
        <x:v>3921</x:v>
      </x:c>
      <x:c r="J829" t="s">
        <x:v>3922</x:v>
      </x:c>
    </x:row>
    <x:row r="830">
      <x:c r="A830" t="s">
        <x:v>3923</x:v>
      </x:c>
      <x:c r="B830" t="s">
        <x:v>3923</x:v>
      </x:c>
      <x:c r="C830" t="s">
        <x:v>3924</x:v>
      </x:c>
      <x:c r="D830">
        <x:v>24</x:v>
      </x:c>
      <x:c r="E830" t="s">
        <x:v>103</x:v>
      </x:c>
      <x:c r="F830" t="s">
        <x:v>97</x:v>
      </x:c>
      <x:c r="G830">
        <x:v>45704</x:v>
      </x:c>
      <x:c r="H830" t="s">
        <x:v>3925</x:v>
      </x:c>
      <x:c r="I830" t="s">
        <x:v>3926</x:v>
      </x:c>
      <x:c r="J830" t="s">
        <x:v>3927</x:v>
      </x:c>
    </x:row>
    <x:row r="831">
      <x:c r="A831" t="s">
        <x:v>3928</x:v>
      </x:c>
      <x:c r="B831" t="s">
        <x:v>3928</x:v>
      </x:c>
      <x:c r="C831" t="s">
        <x:v>3924</x:v>
      </x:c>
      <x:c r="D831">
        <x:v>12</x:v>
      </x:c>
      <x:c r="E831" t="s">
        <x:v>96</x:v>
      </x:c>
      <x:c r="F831" t="s">
        <x:v>97</x:v>
      </x:c>
      <x:c r="G831">
        <x:v>44833</x:v>
      </x:c>
      <x:c r="H831" t="s">
        <x:v>3929</x:v>
      </x:c>
      <x:c r="I831" t="s">
        <x:v>3930</x:v>
      </x:c>
      <x:c r="J831" t="s">
        <x:v>3931</x:v>
      </x:c>
    </x:row>
    <x:row r="832">
      <x:c r="A832" t="s">
        <x:v>3932</x:v>
      </x:c>
      <x:c r="B832" t="s">
        <x:v>3932</x:v>
      </x:c>
      <x:c r="C832" t="s">
        <x:v>3933</x:v>
      </x:c>
      <x:c r="D832">
        <x:v>1</x:v>
      </x:c>
      <x:c r="E832" t="s">
        <x:v>103</x:v>
      </x:c>
      <x:c r="F832" t="s">
        <x:v>97</x:v>
      </x:c>
      <x:c r="G832">
        <x:v>45567</x:v>
      </x:c>
      <x:c r="H832" t="s">
        <x:v>3934</x:v>
      </x:c>
      <x:c r="I832" t="s">
        <x:v>3935</x:v>
      </x:c>
      <x:c r="J832" t="s">
        <x:v>3936</x:v>
      </x:c>
    </x:row>
    <x:row r="833">
      <x:c r="A833" t="s">
        <x:v>3937</x:v>
      </x:c>
      <x:c r="B833" t="s">
        <x:v>3937</x:v>
      </x:c>
      <x:c r="C833" t="s">
        <x:v>95</x:v>
      </x:c>
      <x:c r="D833">
        <x:v>91</x:v>
      </x:c>
      <x:c r="E833" t="s">
        <x:v>96</x:v>
      </x:c>
      <x:c r="F833" t="s">
        <x:v>97</x:v>
      </x:c>
      <x:c r="G833">
        <x:v>44583</x:v>
      </x:c>
      <x:c r="H833" t="s">
        <x:v>3938</x:v>
      </x:c>
      <x:c r="I833" t="s">
        <x:v>3939</x:v>
      </x:c>
      <x:c r="J833" t="s">
        <x:v>3940</x:v>
      </x:c>
    </x:row>
    <x:row r="834">
      <x:c r="A834" t="s">
        <x:v>3941</x:v>
      </x:c>
      <x:c r="B834" t="s">
        <x:v>3941</x:v>
      </x:c>
      <x:c r="C834" t="s">
        <x:v>95</x:v>
      </x:c>
      <x:c r="D834">
        <x:v>59</x:v>
      </x:c>
      <x:c r="E834" t="s">
        <x:v>96</x:v>
      </x:c>
      <x:c r="F834" t="s">
        <x:v>97</x:v>
      </x:c>
      <x:c r="G834">
        <x:v>44543</x:v>
      </x:c>
      <x:c r="H834" t="s">
        <x:v>3942</x:v>
      </x:c>
      <x:c r="I834" t="s">
        <x:v>3943</x:v>
      </x:c>
      <x:c r="J834" t="s">
        <x:v>3944</x:v>
      </x:c>
    </x:row>
    <x:row r="835">
      <x:c r="A835" t="s">
        <x:v>3945</x:v>
      </x:c>
      <x:c r="B835" t="s">
        <x:v>3945</x:v>
      </x:c>
      <x:c r="C835" t="s">
        <x:v>3357</x:v>
      </x:c>
      <x:c r="D835">
        <x:v>8</x:v>
      </x:c>
      <x:c r="E835" t="s">
        <x:v>89</x:v>
      </x:c>
      <x:c r="F835" t="s">
        <x:v>90</x:v>
      </x:c>
      <x:c r="G835">
        <x:v>45699</x:v>
      </x:c>
      <x:c r="H835" t="s">
        <x:v>3946</x:v>
      </x:c>
      <x:c r="I835" t="s">
        <x:v>3947</x:v>
      </x:c>
      <x:c r="J835" t="s">
        <x:v>3948</x:v>
      </x:c>
    </x:row>
    <x:row r="836">
      <x:c r="A836" t="s">
        <x:v>3949</x:v>
      </x:c>
      <x:c r="B836" t="s">
        <x:v>3949</x:v>
      </x:c>
      <x:c r="C836" t="s">
        <x:v>1995</x:v>
      </x:c>
      <x:c r="D836">
        <x:v>6</x:v>
      </x:c>
      <x:c r="E836" t="s">
        <x:v>114</x:v>
      </x:c>
      <x:c r="F836" t="s">
        <x:v>90</x:v>
      </x:c>
      <x:c r="G836">
        <x:v>44633</x:v>
      </x:c>
      <x:c r="H836" t="s">
        <x:v>3950</x:v>
      </x:c>
      <x:c r="I836" t="s">
        <x:v>3951</x:v>
      </x:c>
      <x:c r="J836" t="s">
        <x:v>3952</x:v>
      </x:c>
    </x:row>
    <x:row r="837">
      <x:c r="A837" t="s">
        <x:v>3953</x:v>
      </x:c>
      <x:c r="B837" t="s">
        <x:v>3953</x:v>
      </x:c>
      <x:c r="C837" t="s">
        <x:v>3954</x:v>
      </x:c>
      <x:c r="D837">
        <x:v>12</x:v>
      </x:c>
      <x:c r="E837" t="s">
        <x:v>198</x:v>
      </x:c>
      <x:c r="F837" t="s">
        <x:v>90</x:v>
      </x:c>
      <x:c r="G837">
        <x:v>45866</x:v>
      </x:c>
      <x:c r="H837" t="s">
        <x:v>3955</x:v>
      </x:c>
      <x:c r="I837" t="s">
        <x:v>3956</x:v>
      </x:c>
      <x:c r="J837" t="s">
        <x:v>3957</x:v>
      </x:c>
    </x:row>
    <x:row r="838">
      <x:c r="A838" t="s">
        <x:v>16</x:v>
      </x:c>
      <x:c r="B838" t="s">
        <x:v>16</x:v>
      </x:c>
      <x:c r="C838" t="s">
        <x:v>3958</x:v>
      </x:c>
      <x:c r="D838">
        <x:v>68</x:v>
      </x:c>
      <x:c r="E838" t="s">
        <x:v>89</x:v>
      </x:c>
      <x:c r="F838" t="s">
        <x:v>90</x:v>
      </x:c>
      <x:c r="G838">
        <x:v>46159</x:v>
      </x:c>
      <x:c r="H838" t="s">
        <x:v>3959</x:v>
      </x:c>
      <x:c r="I838" t="s">
        <x:v>3960</x:v>
      </x:c>
      <x:c r="J838" t="s">
        <x:v>3961</x:v>
      </x:c>
    </x:row>
    <x:row r="839">
      <x:c r="A839" t="s">
        <x:v>3962</x:v>
      </x:c>
      <x:c r="B839" t="s">
        <x:v>3962</x:v>
      </x:c>
      <x:c r="C839" t="s">
        <x:v>1407</x:v>
      </x:c>
      <x:c r="D839">
        <x:v>5</x:v>
      </x:c>
      <x:c r="E839" t="s">
        <x:v>96</x:v>
      </x:c>
      <x:c r="F839" t="s">
        <x:v>90</x:v>
      </x:c>
      <x:c r="G839">
        <x:v>45833</x:v>
      </x:c>
      <x:c r="H839" t="s">
        <x:v>3963</x:v>
      </x:c>
      <x:c r="I839" t="s">
        <x:v>3964</x:v>
      </x:c>
      <x:c r="J839" t="s">
        <x:v>3965</x:v>
      </x:c>
    </x:row>
    <x:row r="840">
      <x:c r="A840" t="s">
        <x:v>3966</x:v>
      </x:c>
      <x:c r="B840" t="s">
        <x:v>3966</x:v>
      </x:c>
      <x:c r="C840" t="s">
        <x:v>3967</x:v>
      </x:c>
      <x:c r="D840">
        <x:v>64</x:v>
      </x:c>
      <x:c r="E840" t="s">
        <x:v>198</x:v>
      </x:c>
      <x:c r="F840" t="s">
        <x:v>90</x:v>
      </x:c>
      <x:c r="G840">
        <x:v>45600</x:v>
      </x:c>
      <x:c r="H840" t="s">
        <x:v>3968</x:v>
      </x:c>
      <x:c r="I840" t="s">
        <x:v>3969</x:v>
      </x:c>
      <x:c r="J840" t="s">
        <x:v>3970</x:v>
      </x:c>
    </x:row>
    <x:row r="841">
      <x:c r="A841" t="s">
        <x:v>3971</x:v>
      </x:c>
      <x:c r="B841" t="s">
        <x:v>3971</x:v>
      </x:c>
      <x:c r="C841" t="s">
        <x:v>3972</x:v>
      </x:c>
      <x:c r="D841">
        <x:v>16</x:v>
      </x:c>
      <x:c r="E841" t="s">
        <x:v>103</x:v>
      </x:c>
      <x:c r="F841" t="s">
        <x:v>97</x:v>
      </x:c>
      <x:c r="G841">
        <x:v>41560</x:v>
      </x:c>
      <x:c r="H841" t="s">
        <x:v>3973</x:v>
      </x:c>
      <x:c r="I841" t="s">
        <x:v>3974</x:v>
      </x:c>
      <x:c r="J841" t="s">
        <x:v>3975</x:v>
      </x:c>
    </x:row>
    <x:row r="842">
      <x:c r="A842" t="s">
        <x:v>3976</x:v>
      </x:c>
      <x:c r="B842" t="s">
        <x:v>3976</x:v>
      </x:c>
      <x:c r="C842" t="s">
        <x:v>3977</x:v>
      </x:c>
      <x:c r="D842">
        <x:v>25</x:v>
      </x:c>
      <x:c r="E842" t="s">
        <x:v>89</x:v>
      </x:c>
      <x:c r="F842" t="s">
        <x:v>90</x:v>
      </x:c>
      <x:c r="G842">
        <x:v>43131</x:v>
      </x:c>
      <x:c r="H842" t="s">
        <x:v>3978</x:v>
      </x:c>
      <x:c r="I842" t="s">
        <x:v>3979</x:v>
      </x:c>
      <x:c r="J842" t="s">
        <x:v>3980</x:v>
      </x:c>
    </x:row>
    <x:row r="843">
      <x:c r="A843" t="s">
        <x:v>3981</x:v>
      </x:c>
      <x:c r="B843" t="s">
        <x:v>3981</x:v>
      </x:c>
      <x:c r="C843" t="s">
        <x:v>3982</x:v>
      </x:c>
      <x:c r="D843">
        <x:v>7</x:v>
      </x:c>
      <x:c r="E843" t="s">
        <x:v>198</x:v>
      </x:c>
      <x:c r="F843" t="s">
        <x:v>90</x:v>
      </x:c>
      <x:c r="G843">
        <x:v>44753</x:v>
      </x:c>
      <x:c r="H843" t="s">
        <x:v>3983</x:v>
      </x:c>
      <x:c r="I843" t="s">
        <x:v>3984</x:v>
      </x:c>
      <x:c r="J843" t="s">
        <x:v>3985</x:v>
      </x:c>
    </x:row>
    <x:row r="844">
      <x:c r="A844" t="s">
        <x:v>3986</x:v>
      </x:c>
      <x:c r="B844" t="s">
        <x:v>3986</x:v>
      </x:c>
      <x:c r="C844" t="s">
        <x:v>3987</x:v>
      </x:c>
      <x:c r="D844">
        <x:v>47</x:v>
      </x:c>
      <x:c r="E844" t="s">
        <x:v>89</x:v>
      </x:c>
      <x:c r="F844" t="s">
        <x:v>97</x:v>
      </x:c>
      <x:c r="G844">
        <x:v>41823</x:v>
      </x:c>
      <x:c r="H844" t="s">
        <x:v>3988</x:v>
      </x:c>
      <x:c r="I844" t="s">
        <x:v>3989</x:v>
      </x:c>
      <x:c r="J844" t="s">
        <x:v>3990</x:v>
      </x:c>
    </x:row>
    <x:row r="845">
      <x:c r="A845" t="s">
        <x:v>3991</x:v>
      </x:c>
      <x:c r="B845" t="s">
        <x:v>3991</x:v>
      </x:c>
      <x:c r="C845" t="s">
        <x:v>262</x:v>
      </x:c>
      <x:c r="D845">
        <x:v>7</x:v>
      </x:c>
      <x:c r="E845" t="s">
        <x:v>96</x:v>
      </x:c>
      <x:c r="F845" t="s">
        <x:v>97</x:v>
      </x:c>
      <x:c r="G845">
        <x:v>43977</x:v>
      </x:c>
      <x:c r="H845" t="s">
        <x:v>3992</x:v>
      </x:c>
      <x:c r="I845" t="s">
        <x:v>3993</x:v>
      </x:c>
      <x:c r="J845" t="s">
        <x:v>3994</x:v>
      </x:c>
    </x:row>
    <x:row r="846">
      <x:c r="A846" t="s">
        <x:v>3995</x:v>
      </x:c>
      <x:c r="B846" t="s">
        <x:v>3995</x:v>
      </x:c>
      <x:c r="C846" t="s">
        <x:v>3170</x:v>
      </x:c>
      <x:c r="D846">
        <x:v>27</x:v>
      </x:c>
      <x:c r="E846" t="s">
        <x:v>198</x:v>
      </x:c>
      <x:c r="F846" t="s">
        <x:v>90</x:v>
      </x:c>
      <x:c r="G846">
        <x:v>43971</x:v>
      </x:c>
      <x:c r="H846" t="s">
        <x:v>3996</x:v>
      </x:c>
      <x:c r="I846" t="s">
        <x:v>3997</x:v>
      </x:c>
      <x:c r="J846" t="s">
        <x:v>3998</x:v>
      </x:c>
    </x:row>
    <x:row r="847">
      <x:c r="A847" t="s">
        <x:v>3999</x:v>
      </x:c>
      <x:c r="B847" t="s">
        <x:v>3999</x:v>
      </x:c>
      <x:c r="C847" t="s">
        <x:v>3170</x:v>
      </x:c>
      <x:c r="D847">
        <x:v>34</x:v>
      </x:c>
      <x:c r="E847" t="s">
        <x:v>114</x:v>
      </x:c>
      <x:c r="F847" t="s">
        <x:v>90</x:v>
      </x:c>
      <x:c r="G847">
        <x:v>44853</x:v>
      </x:c>
      <x:c r="H847" t="s">
        <x:v>4000</x:v>
      </x:c>
      <x:c r="I847" t="s">
        <x:v>4001</x:v>
      </x:c>
      <x:c r="J847" t="s">
        <x:v>4002</x:v>
      </x:c>
    </x:row>
    <x:row r="848">
      <x:c r="A848" t="s">
        <x:v>4003</x:v>
      </x:c>
      <x:c r="B848" t="s">
        <x:v>4003</x:v>
      </x:c>
      <x:c r="C848" t="s">
        <x:v>2609</x:v>
      </x:c>
      <x:c r="D848">
        <x:v>34</x:v>
      </x:c>
      <x:c r="E848" t="s">
        <x:v>114</x:v>
      </x:c>
      <x:c r="F848" t="s">
        <x:v>90</x:v>
      </x:c>
      <x:c r="G848">
        <x:v>46196</x:v>
      </x:c>
      <x:c r="H848" t="s">
        <x:v>4004</x:v>
      </x:c>
      <x:c r="I848" t="s">
        <x:v>4005</x:v>
      </x:c>
      <x:c r="J848" t="s">
        <x:v>4006</x:v>
      </x:c>
    </x:row>
    <x:row r="849">
      <x:c r="A849" t="s">
        <x:v>4007</x:v>
      </x:c>
      <x:c r="B849" t="s">
        <x:v>4007</x:v>
      </x:c>
      <x:c r="C849" t="s">
        <x:v>4008</x:v>
      </x:c>
      <x:c r="D849">
        <x:v>8</x:v>
      </x:c>
      <x:c r="E849" t="s">
        <x:v>114</x:v>
      </x:c>
      <x:c r="F849" t="s">
        <x:v>90</x:v>
      </x:c>
      <x:c r="G849">
        <x:v>44102</x:v>
      </x:c>
      <x:c r="H849" t="s">
        <x:v>4009</x:v>
      </x:c>
      <x:c r="I849" t="s">
        <x:v>4010</x:v>
      </x:c>
      <x:c r="J849" t="s">
        <x:v>4011</x:v>
      </x:c>
    </x:row>
    <x:row r="850">
      <x:c r="A850" t="s">
        <x:v>4012</x:v>
      </x:c>
      <x:c r="B850" t="s">
        <x:v>4012</x:v>
      </x:c>
      <x:c r="C850" t="s">
        <x:v>1135</x:v>
      </x:c>
      <x:c r="D850">
        <x:v>1</x:v>
      </x:c>
      <x:c r="E850" t="s">
        <x:v>114</x:v>
      </x:c>
      <x:c r="F850" t="s">
        <x:v>610</x:v>
      </x:c>
      <x:c r="G850">
        <x:v>45406</x:v>
      </x:c>
      <x:c r="H850" t="s">
        <x:v>4013</x:v>
      </x:c>
      <x:c r="I850" t="s">
        <x:v>4014</x:v>
      </x:c>
      <x:c r="J850" t="s">
        <x:v>4015</x:v>
      </x:c>
    </x:row>
    <x:row r="851">
      <x:c r="A851" t="s">
        <x:v>4016</x:v>
      </x:c>
      <x:c r="B851" t="s">
        <x:v>4016</x:v>
      </x:c>
      <x:c r="C851" t="s">
        <x:v>4017</x:v>
      </x:c>
      <x:c r="D851">
        <x:v>15</x:v>
      </x:c>
      <x:c r="E851" t="s">
        <x:v>257</x:v>
      </x:c>
      <x:c r="F851" t="s">
        <x:v>97</x:v>
      </x:c>
      <x:c r="G851">
        <x:v>46055</x:v>
      </x:c>
      <x:c r="H851" t="s">
        <x:v>4018</x:v>
      </x:c>
      <x:c r="I851" t="s">
        <x:v>4019</x:v>
      </x:c>
      <x:c r="J851" t="s">
        <x:v>4020</x:v>
      </x:c>
    </x:row>
    <x:row r="852">
      <x:c r="A852" t="s">
        <x:v>4021</x:v>
      </x:c>
      <x:c r="B852" t="s">
        <x:v>4021</x:v>
      </x:c>
      <x:c r="C852" t="s">
        <x:v>958</x:v>
      </x:c>
      <x:c r="D852">
        <x:v>8</x:v>
      </x:c>
      <x:c r="E852" t="s">
        <x:v>89</x:v>
      </x:c>
      <x:c r="F852" t="s">
        <x:v>97</x:v>
      </x:c>
      <x:c r="G852">
        <x:v>43940</x:v>
      </x:c>
      <x:c r="H852" t="s">
        <x:v>4022</x:v>
      </x:c>
      <x:c r="I852" t="s">
        <x:v>4023</x:v>
      </x:c>
      <x:c r="J852" t="s">
        <x:v>4024</x:v>
      </x:c>
    </x:row>
    <x:row r="853">
      <x:c r="A853" t="s">
        <x:v>4025</x:v>
      </x:c>
      <x:c r="B853" t="s">
        <x:v>4025</x:v>
      </x:c>
      <x:c r="C853" t="s">
        <x:v>4026</x:v>
      </x:c>
      <x:c r="D853">
        <x:v>1</x:v>
      </x:c>
      <x:c r="E853" t="s">
        <x:v>89</x:v>
      </x:c>
      <x:c r="F853" t="s">
        <x:v>610</x:v>
      </x:c>
      <x:c r="G853">
        <x:v>41817</x:v>
      </x:c>
      <x:c r="H853" t="s">
        <x:v>4027</x:v>
      </x:c>
      <x:c r="I853" t="s">
        <x:v>4028</x:v>
      </x:c>
      <x:c r="J853" t="s">
        <x:v>4029</x:v>
      </x:c>
    </x:row>
    <x:row r="854">
      <x:c r="A854" t="s">
        <x:v>4030</x:v>
      </x:c>
      <x:c r="B854" t="s">
        <x:v>4030</x:v>
      </x:c>
      <x:c r="C854" t="s">
        <x:v>3322</x:v>
      </x:c>
      <x:c r="D854">
        <x:v>51</x:v>
      </x:c>
      <x:c r="E854" t="s">
        <x:v>103</x:v>
      </x:c>
      <x:c r="F854" t="s">
        <x:v>97</x:v>
      </x:c>
      <x:c r="G854">
        <x:v>42315</x:v>
      </x:c>
      <x:c r="H854" t="s">
        <x:v>4031</x:v>
      </x:c>
      <x:c r="I854" t="s">
        <x:v>4032</x:v>
      </x:c>
      <x:c r="J854" t="s">
        <x:v>4033</x:v>
      </x:c>
    </x:row>
    <x:row r="855">
      <x:c r="A855" t="s">
        <x:v>4034</x:v>
      </x:c>
      <x:c r="B855" t="s">
        <x:v>4034</x:v>
      </x:c>
      <x:c r="C855" t="s">
        <x:v>4035</x:v>
      </x:c>
      <x:c r="D855">
        <x:v>4</x:v>
      </x:c>
      <x:c r="E855" t="s">
        <x:v>96</x:v>
      </x:c>
      <x:c r="F855" t="s">
        <x:v>90</x:v>
      </x:c>
      <x:c r="G855">
        <x:v>43486</x:v>
      </x:c>
      <x:c r="H855" t="s">
        <x:v>4036</x:v>
      </x:c>
      <x:c r="I855" t="s">
        <x:v>4037</x:v>
      </x:c>
      <x:c r="J855" t="s">
        <x:v>4038</x:v>
      </x:c>
    </x:row>
    <x:row r="856">
      <x:c r="A856" t="s">
        <x:v>4039</x:v>
      </x:c>
      <x:c r="B856" t="s">
        <x:v>4039</x:v>
      </x:c>
      <x:c r="C856" t="s">
        <x:v>4040</x:v>
      </x:c>
      <x:c r="D856">
        <x:v>10</x:v>
      </x:c>
      <x:c r="E856" t="s">
        <x:v>257</x:v>
      </x:c>
      <x:c r="F856" t="s">
        <x:v>97</x:v>
      </x:c>
      <x:c r="G856">
        <x:v>42039</x:v>
      </x:c>
      <x:c r="H856" t="s">
        <x:v>4041</x:v>
      </x:c>
      <x:c r="I856" t="s">
        <x:v>4042</x:v>
      </x:c>
      <x:c r="J856" t="s">
        <x:v>4043</x:v>
      </x:c>
    </x:row>
    <x:row r="857">
      <x:c r="A857" t="s">
        <x:v>4044</x:v>
      </x:c>
      <x:c r="B857" t="s">
        <x:v>4044</x:v>
      </x:c>
      <x:c r="C857" t="s">
        <x:v>119</x:v>
      </x:c>
      <x:c r="D857">
        <x:v>15</x:v>
      </x:c>
      <x:c r="E857" t="s">
        <x:v>89</x:v>
      </x:c>
      <x:c r="F857" t="s">
        <x:v>90</x:v>
      </x:c>
      <x:c r="G857">
        <x:v>44966</x:v>
      </x:c>
      <x:c r="H857" t="s">
        <x:v>4045</x:v>
      </x:c>
      <x:c r="I857" t="s">
        <x:v>4046</x:v>
      </x:c>
      <x:c r="J857" t="s">
        <x:v>4047</x:v>
      </x:c>
    </x:row>
    <x:row r="858">
      <x:c r="A858" t="s">
        <x:v>4048</x:v>
      </x:c>
      <x:c r="B858" t="s">
        <x:v>4048</x:v>
      </x:c>
      <x:c r="C858" t="s">
        <x:v>1702</x:v>
      </x:c>
      <x:c r="D858">
        <x:v>9</x:v>
      </x:c>
      <x:c r="E858" t="s">
        <x:v>198</x:v>
      </x:c>
      <x:c r="F858" t="s">
        <x:v>90</x:v>
      </x:c>
      <x:c r="G858">
        <x:v>45550</x:v>
      </x:c>
      <x:c r="H858" t="s">
        <x:v>4049</x:v>
      </x:c>
      <x:c r="I858" t="s">
        <x:v>4050</x:v>
      </x:c>
      <x:c r="J858" t="s">
        <x:v>4051</x:v>
      </x:c>
    </x:row>
    <x:row r="859">
      <x:c r="A859" t="s">
        <x:v>4052</x:v>
      </x:c>
      <x:c r="B859" t="s">
        <x:v>4052</x:v>
      </x:c>
      <x:c r="C859" t="s">
        <x:v>2306</x:v>
      </x:c>
      <x:c r="D859">
        <x:v>1</x:v>
      </x:c>
      <x:c r="E859" t="s">
        <x:v>114</x:v>
      </x:c>
      <x:c r="F859" t="s">
        <x:v>126</x:v>
      </x:c>
      <x:c r="G859">
        <x:v>44127</x:v>
      </x:c>
      <x:c r="H859" t="s">
        <x:v>4053</x:v>
      </x:c>
      <x:c r="I859" t="s">
        <x:v>4054</x:v>
      </x:c>
      <x:c r="J859" t="s">
        <x:v>4055</x:v>
      </x:c>
    </x:row>
    <x:row r="860">
      <x:c r="A860" t="s">
        <x:v>4056</x:v>
      </x:c>
      <x:c r="B860" t="s">
        <x:v>4056</x:v>
      </x:c>
      <x:c r="C860" t="s">
        <x:v>4057</x:v>
      </x:c>
      <x:c r="D860">
        <x:v>23</x:v>
      </x:c>
      <x:c r="E860" t="s">
        <x:v>89</x:v>
      </x:c>
      <x:c r="F860" t="s">
        <x:v>90</x:v>
      </x:c>
      <x:c r="G860">
        <x:v>44104</x:v>
      </x:c>
      <x:c r="H860" t="s">
        <x:v>4058</x:v>
      </x:c>
      <x:c r="I860" t="s">
        <x:v>4059</x:v>
      </x:c>
      <x:c r="J860" t="s">
        <x:v>4060</x:v>
      </x:c>
    </x:row>
    <x:row r="861">
      <x:c r="A861" t="s">
        <x:v>4061</x:v>
      </x:c>
      <x:c r="B861" t="s">
        <x:v>4061</x:v>
      </x:c>
      <x:c r="C861" t="s">
        <x:v>4062</x:v>
      </x:c>
      <x:c r="D861">
        <x:v>1</x:v>
      </x:c>
      <x:c r="E861" t="s">
        <x:v>125</x:v>
      </x:c>
      <x:c r="F861" t="s">
        <x:v>90</x:v>
      </x:c>
      <x:c r="G861">
        <x:v>45403</x:v>
      </x:c>
      <x:c r="H861" t="s">
        <x:v>4063</x:v>
      </x:c>
      <x:c r="I861" t="s">
        <x:v>4064</x:v>
      </x:c>
      <x:c r="J861" t="s">
        <x:v>4065</x:v>
      </x:c>
    </x:row>
    <x:row r="862">
      <x:c r="A862" t="s">
        <x:v>42</x:v>
      </x:c>
      <x:c r="B862" t="s">
        <x:v>42</x:v>
      </x:c>
      <x:c r="C862" t="s">
        <x:v>1618</x:v>
      </x:c>
      <x:c r="D862">
        <x:v>23</x:v>
      </x:c>
      <x:c r="E862" t="s">
        <x:v>198</x:v>
      </x:c>
      <x:c r="F862" t="s">
        <x:v>90</x:v>
      </x:c>
      <x:c r="G862">
        <x:v>43300</x:v>
      </x:c>
      <x:c r="H862" t="s">
        <x:v>4066</x:v>
      </x:c>
      <x:c r="I862" t="s">
        <x:v>4067</x:v>
      </x:c>
      <x:c r="J862" t="s">
        <x:v>4068</x:v>
      </x:c>
    </x:row>
    <x:row r="863">
      <x:c r="A863" t="s">
        <x:v>4069</x:v>
      </x:c>
      <x:c r="B863" t="s">
        <x:v>4069</x:v>
      </x:c>
      <x:c r="C863" t="s">
        <x:v>4070</x:v>
      </x:c>
      <x:c r="D863">
        <x:v>16</x:v>
      </x:c>
      <x:c r="E863" t="s">
        <x:v>257</x:v>
      </x:c>
      <x:c r="F863" t="s">
        <x:v>97</x:v>
      </x:c>
      <x:c r="G863">
        <x:v>42243</x:v>
      </x:c>
      <x:c r="H863" t="s">
        <x:v>4071</x:v>
      </x:c>
      <x:c r="I863" t="s">
        <x:v>4072</x:v>
      </x:c>
      <x:c r="J863" t="s">
        <x:v>4073</x:v>
      </x:c>
    </x:row>
    <x:row r="864">
      <x:c r="A864" t="s">
        <x:v>4074</x:v>
      </x:c>
      <x:c r="B864" t="s">
        <x:v>4074</x:v>
      </x:c>
      <x:c r="C864" t="s">
        <x:v>4075</x:v>
      </x:c>
      <x:c r="D864">
        <x:v>13</x:v>
      </x:c>
      <x:c r="E864" t="s">
        <x:v>257</x:v>
      </x:c>
      <x:c r="F864" t="s">
        <x:v>97</x:v>
      </x:c>
      <x:c r="G864">
        <x:v>42233</x:v>
      </x:c>
      <x:c r="H864" t="s">
        <x:v>4076</x:v>
      </x:c>
      <x:c r="I864" t="s">
        <x:v>4077</x:v>
      </x:c>
      <x:c r="J864" t="s">
        <x:v>4078</x:v>
      </x:c>
    </x:row>
    <x:row r="865">
      <x:c r="A865" t="s">
        <x:v>4079</x:v>
      </x:c>
      <x:c r="B865" t="s">
        <x:v>4079</x:v>
      </x:c>
      <x:c r="C865" t="s">
        <x:v>4080</x:v>
      </x:c>
      <x:c r="D865">
        <x:v>9</x:v>
      </x:c>
      <x:c r="E865" t="s">
        <x:v>103</x:v>
      </x:c>
      <x:c r="F865" t="s">
        <x:v>97</x:v>
      </x:c>
      <x:c r="G865">
        <x:v>41694</x:v>
      </x:c>
      <x:c r="H865" t="s">
        <x:v>4081</x:v>
      </x:c>
      <x:c r="I865" t="s">
        <x:v>4082</x:v>
      </x:c>
      <x:c r="J865" t="s">
        <x:v>4083</x:v>
      </x:c>
    </x:row>
    <x:row r="866">
      <x:c r="A866" t="s">
        <x:v>4084</x:v>
      </x:c>
      <x:c r="B866" t="s">
        <x:v>4084</x:v>
      </x:c>
      <x:c r="C866" t="s">
        <x:v>1248</x:v>
      </x:c>
      <x:c r="D866">
        <x:v>111</x:v>
      </x:c>
      <x:c r="E866" t="s">
        <x:v>96</x:v>
      </x:c>
      <x:c r="F866" t="s">
        <x:v>97</x:v>
      </x:c>
      <x:c r="G866">
        <x:v>43316</x:v>
      </x:c>
      <x:c r="H866" t="s">
        <x:v>4085</x:v>
      </x:c>
      <x:c r="I866" t="s">
        <x:v>4086</x:v>
      </x:c>
      <x:c r="J866" t="s">
        <x:v>4087</x:v>
      </x:c>
    </x:row>
    <x:row r="867">
      <x:c r="A867" t="s">
        <x:v>4088</x:v>
      </x:c>
      <x:c r="B867" t="s">
        <x:v>4088</x:v>
      </x:c>
      <x:c r="C867" t="s">
        <x:v>4089</x:v>
      </x:c>
      <x:c r="D867">
        <x:v>5</x:v>
      </x:c>
      <x:c r="E867" t="s">
        <x:v>257</x:v>
      </x:c>
      <x:c r="F867" t="s">
        <x:v>97</x:v>
      </x:c>
      <x:c r="G867">
        <x:v>42238</x:v>
      </x:c>
      <x:c r="H867" t="s">
        <x:v>4090</x:v>
      </x:c>
      <x:c r="I867" t="s">
        <x:v>4091</x:v>
      </x:c>
      <x:c r="J867" t="s">
        <x:v>4092</x:v>
      </x:c>
    </x:row>
    <x:row r="868">
      <x:c r="A868" t="s">
        <x:v>4093</x:v>
      </x:c>
      <x:c r="B868" t="s">
        <x:v>4093</x:v>
      </x:c>
      <x:c r="C868" t="s">
        <x:v>4094</x:v>
      </x:c>
      <x:c r="D868">
        <x:v>21</x:v>
      </x:c>
      <x:c r="E868" t="s">
        <x:v>103</x:v>
      </x:c>
      <x:c r="F868" t="s">
        <x:v>97</x:v>
      </x:c>
      <x:c r="G868">
        <x:v>41837</x:v>
      </x:c>
      <x:c r="H868" t="s">
        <x:v>4095</x:v>
      </x:c>
      <x:c r="I868" t="s">
        <x:v>4096</x:v>
      </x:c>
      <x:c r="J868" t="s">
        <x:v>4097</x:v>
      </x:c>
    </x:row>
    <x:row r="869">
      <x:c r="A869" t="s">
        <x:v>4098</x:v>
      </x:c>
      <x:c r="B869" t="s">
        <x:v>4098</x:v>
      </x:c>
      <x:c r="C869" t="s">
        <x:v>4099</x:v>
      </x:c>
      <x:c r="D869">
        <x:v>3</x:v>
      </x:c>
      <x:c r="E869" t="s">
        <x:v>257</x:v>
      </x:c>
      <x:c r="F869" t="s">
        <x:v>97</x:v>
      </x:c>
      <x:c r="G869">
        <x:v>42163</x:v>
      </x:c>
      <x:c r="H869" t="s">
        <x:v>4100</x:v>
      </x:c>
      <x:c r="I869" t="s">
        <x:v>4101</x:v>
      </x:c>
      <x:c r="J869" t="s">
        <x:v>4102</x:v>
      </x:c>
    </x:row>
    <x:row r="870">
      <x:c r="A870" t="s">
        <x:v>4103</x:v>
      </x:c>
      <x:c r="B870" t="s">
        <x:v>4103</x:v>
      </x:c>
      <x:c r="C870" t="s">
        <x:v>4104</x:v>
      </x:c>
      <x:c r="D870">
        <x:v>80</x:v>
      </x:c>
      <x:c r="E870" t="s">
        <x:v>89</x:v>
      </x:c>
      <x:c r="F870" t="s">
        <x:v>97</x:v>
      </x:c>
      <x:c r="G870">
        <x:v>46048</x:v>
      </x:c>
      <x:c r="H870" t="s">
        <x:v>4105</x:v>
      </x:c>
      <x:c r="I870" t="s">
        <x:v>4106</x:v>
      </x:c>
      <x:c r="J870" t="s">
        <x:v>4107</x:v>
      </x:c>
    </x:row>
    <x:row r="871">
      <x:c r="A871" t="s">
        <x:v>4108</x:v>
      </x:c>
      <x:c r="B871" t="s">
        <x:v>4108</x:v>
      </x:c>
      <x:c r="C871" t="s">
        <x:v>4109</x:v>
      </x:c>
      <x:c r="D871">
        <x:v>6</x:v>
      </x:c>
      <x:c r="E871" t="s">
        <x:v>198</x:v>
      </x:c>
      <x:c r="F871" t="s">
        <x:v>90</x:v>
      </x:c>
      <x:c r="G871">
        <x:v>44308</x:v>
      </x:c>
      <x:c r="H871" t="s">
        <x:v>4110</x:v>
      </x:c>
      <x:c r="I871" t="s">
        <x:v>4111</x:v>
      </x:c>
      <x:c r="J871" t="s">
        <x:v>4112</x:v>
      </x:c>
    </x:row>
    <x:row r="872">
      <x:c r="A872" t="s">
        <x:v>4113</x:v>
      </x:c>
      <x:c r="B872" t="s">
        <x:v>4113</x:v>
      </x:c>
      <x:c r="C872" t="s">
        <x:v>2033</x:v>
      </x:c>
      <x:c r="D872">
        <x:v>47</x:v>
      </x:c>
      <x:c r="E872" t="s">
        <x:v>96</x:v>
      </x:c>
      <x:c r="F872" t="s">
        <x:v>97</x:v>
      </x:c>
      <x:c r="G872">
        <x:v>42902</x:v>
      </x:c>
      <x:c r="H872" t="s">
        <x:v>4114</x:v>
      </x:c>
      <x:c r="I872" t="s">
        <x:v>4115</x:v>
      </x:c>
      <x:c r="J872" t="s">
        <x:v>4116</x:v>
      </x:c>
    </x:row>
    <x:row r="873">
      <x:c r="A873" t="s">
        <x:v>4117</x:v>
      </x:c>
      <x:c r="B873" t="s">
        <x:v>4117</x:v>
      </x:c>
      <x:c r="C873" t="s">
        <x:v>491</x:v>
      </x:c>
      <x:c r="D873">
        <x:v>18</x:v>
      </x:c>
      <x:c r="E873" t="s">
        <x:v>96</x:v>
      </x:c>
      <x:c r="F873" t="s">
        <x:v>90</x:v>
      </x:c>
      <x:c r="G873">
        <x:v>45847</x:v>
      </x:c>
      <x:c r="H873" t="s">
        <x:v>4118</x:v>
      </x:c>
      <x:c r="I873" t="s">
        <x:v>4119</x:v>
      </x:c>
      <x:c r="J873" t="s">
        <x:v>4120</x:v>
      </x:c>
    </x:row>
    <x:row r="874">
      <x:c r="A874" t="s">
        <x:v>19</x:v>
      </x:c>
      <x:c r="B874" t="s">
        <x:v>19</x:v>
      </x:c>
      <x:c r="C874" t="s">
        <x:v>2723</x:v>
      </x:c>
      <x:c r="D874">
        <x:v>17</x:v>
      </x:c>
      <x:c r="E874" t="s">
        <x:v>96</x:v>
      </x:c>
      <x:c r="F874" t="s">
        <x:v>90</x:v>
      </x:c>
      <x:c r="G874">
        <x:v>44690</x:v>
      </x:c>
      <x:c r="H874" t="s">
        <x:v>4121</x:v>
      </x:c>
      <x:c r="I874" t="s">
        <x:v>4122</x:v>
      </x:c>
      <x:c r="J874" t="s">
        <x:v>4123</x:v>
      </x:c>
    </x:row>
    <x:row r="875">
      <x:c r="A875" t="s">
        <x:v>4124</x:v>
      </x:c>
      <x:c r="B875" t="s">
        <x:v>4124</x:v>
      </x:c>
      <x:c r="C875" t="s">
        <x:v>491</x:v>
      </x:c>
      <x:c r="D875">
        <x:v>6</x:v>
      </x:c>
      <x:c r="E875" t="s">
        <x:v>89</x:v>
      </x:c>
      <x:c r="F875" t="s">
        <x:v>90</x:v>
      </x:c>
      <x:c r="G875">
        <x:v>44869</x:v>
      </x:c>
      <x:c r="H875" t="s">
        <x:v>4125</x:v>
      </x:c>
      <x:c r="I875" t="s">
        <x:v>4126</x:v>
      </x:c>
      <x:c r="J875" t="s">
        <x:v>4127</x:v>
      </x:c>
    </x:row>
    <x:row r="876">
      <x:c r="A876" t="s">
        <x:v>4128</x:v>
      </x:c>
      <x:c r="B876" t="s">
        <x:v>4128</x:v>
      </x:c>
      <x:c r="C876" t="s">
        <x:v>1214</x:v>
      </x:c>
      <x:c r="D876">
        <x:v>56</x:v>
      </x:c>
      <x:c r="E876" t="s">
        <x:v>96</x:v>
      </x:c>
      <x:c r="F876" t="s">
        <x:v>97</x:v>
      </x:c>
      <x:c r="G876">
        <x:v>43844</x:v>
      </x:c>
      <x:c r="H876" t="s">
        <x:v>4129</x:v>
      </x:c>
      <x:c r="I876" t="s">
        <x:v>4130</x:v>
      </x:c>
      <x:c r="J876" t="s">
        <x:v>4131</x:v>
      </x:c>
    </x:row>
    <x:row r="877">
      <x:c r="A877" t="s">
        <x:v>4132</x:v>
      </x:c>
      <x:c r="B877" t="s">
        <x:v>4132</x:v>
      </x:c>
      <x:c r="C877" t="s">
        <x:v>865</x:v>
      </x:c>
      <x:c r="D877">
        <x:v>5</x:v>
      </x:c>
      <x:c r="E877" t="s">
        <x:v>257</x:v>
      </x:c>
      <x:c r="F877" t="s">
        <x:v>97</x:v>
      </x:c>
      <x:c r="G877">
        <x:v>44730</x:v>
      </x:c>
      <x:c r="H877" t="s">
        <x:v>4133</x:v>
      </x:c>
      <x:c r="I877" t="s">
        <x:v>4134</x:v>
      </x:c>
      <x:c r="J877" t="s">
        <x:v>4135</x:v>
      </x:c>
    </x:row>
    <x:row r="878">
      <x:c r="A878" t="s">
        <x:v>4136</x:v>
      </x:c>
      <x:c r="B878" t="s">
        <x:v>4136</x:v>
      </x:c>
      <x:c r="C878" t="s">
        <x:v>2437</x:v>
      </x:c>
      <x:c r="D878">
        <x:v>93</x:v>
      </x:c>
      <x:c r="E878" t="s">
        <x:v>103</x:v>
      </x:c>
      <x:c r="F878" t="s">
        <x:v>97</x:v>
      </x:c>
      <x:c r="G878">
        <x:v>42727</x:v>
      </x:c>
      <x:c r="H878" t="s">
        <x:v>4137</x:v>
      </x:c>
      <x:c r="I878" t="s">
        <x:v>4138</x:v>
      </x:c>
      <x:c r="J878" t="s">
        <x:v>4139</x:v>
      </x:c>
    </x:row>
    <x:row r="879">
      <x:c r="A879" t="s">
        <x:v>4140</x:v>
      </x:c>
      <x:c r="B879" t="s">
        <x:v>4140</x:v>
      </x:c>
      <x:c r="C879" t="s">
        <x:v>4141</x:v>
      </x:c>
      <x:c r="D879">
        <x:v>10</x:v>
      </x:c>
      <x:c r="E879" t="s">
        <x:v>103</x:v>
      </x:c>
      <x:c r="F879" t="s">
        <x:v>97</x:v>
      </x:c>
      <x:c r="G879">
        <x:v>45704</x:v>
      </x:c>
      <x:c r="H879" t="s">
        <x:v>4142</x:v>
      </x:c>
      <x:c r="I879" t="s">
        <x:v>4143</x:v>
      </x:c>
      <x:c r="J879" t="s">
        <x:v>4144</x:v>
      </x:c>
    </x:row>
    <x:row r="880">
      <x:c r="A880" t="s">
        <x:v>4145</x:v>
      </x:c>
      <x:c r="B880" t="s">
        <x:v>4145</x:v>
      </x:c>
      <x:c r="C880" t="s">
        <x:v>4146</x:v>
      </x:c>
      <x:c r="D880">
        <x:v>8</x:v>
      </x:c>
      <x:c r="E880" t="s">
        <x:v>257</x:v>
      </x:c>
      <x:c r="F880" t="s">
        <x:v>97</x:v>
      </x:c>
      <x:c r="G880">
        <x:v>42271</x:v>
      </x:c>
      <x:c r="H880" t="s">
        <x:v>4147</x:v>
      </x:c>
      <x:c r="I880" t="s">
        <x:v>4148</x:v>
      </x:c>
      <x:c r="J880" t="s">
        <x:v>4149</x:v>
      </x:c>
    </x:row>
    <x:row r="881">
      <x:c r="A881" t="s">
        <x:v>4150</x:v>
      </x:c>
      <x:c r="B881" t="s">
        <x:v>4150</x:v>
      </x:c>
      <x:c r="C881" t="s">
        <x:v>3379</x:v>
      </x:c>
      <x:c r="D881">
        <x:v>13</x:v>
      </x:c>
      <x:c r="E881" t="s">
        <x:v>198</x:v>
      </x:c>
      <x:c r="F881" t="s">
        <x:v>90</x:v>
      </x:c>
      <x:c r="G881">
        <x:v>43692</x:v>
      </x:c>
      <x:c r="H881" t="s">
        <x:v>4151</x:v>
      </x:c>
      <x:c r="I881" t="s">
        <x:v>4152</x:v>
      </x:c>
      <x:c r="J881" t="s">
        <x:v>4153</x:v>
      </x:c>
    </x:row>
    <x:row r="882">
      <x:c r="A882" t="s">
        <x:v>4154</x:v>
      </x:c>
      <x:c r="B882" t="s">
        <x:v>4154</x:v>
      </x:c>
      <x:c r="C882" t="s">
        <x:v>4155</x:v>
      </x:c>
      <x:c r="D882">
        <x:v>10</x:v>
      </x:c>
      <x:c r="E882" t="s">
        <x:v>257</x:v>
      </x:c>
      <x:c r="F882" t="s">
        <x:v>97</x:v>
      </x:c>
      <x:c r="G882">
        <x:v>42312</x:v>
      </x:c>
      <x:c r="H882" t="s">
        <x:v>4156</x:v>
      </x:c>
      <x:c r="I882" t="s">
        <x:v>4157</x:v>
      </x:c>
      <x:c r="J882" t="s">
        <x:v>4158</x:v>
      </x:c>
    </x:row>
    <x:row r="883">
      <x:c r="A883" t="s">
        <x:v>4159</x:v>
      </x:c>
      <x:c r="B883" t="s">
        <x:v>4159</x:v>
      </x:c>
      <x:c r="C883" t="s">
        <x:v>4160</x:v>
      </x:c>
      <x:c r="D883">
        <x:v>65</x:v>
      </x:c>
      <x:c r="E883" t="s">
        <x:v>96</x:v>
      </x:c>
      <x:c r="F883" t="s">
        <x:v>97</x:v>
      </x:c>
      <x:c r="G883">
        <x:v>44222</x:v>
      </x:c>
      <x:c r="H883" t="s">
        <x:v>4161</x:v>
      </x:c>
      <x:c r="I883" t="s">
        <x:v>4162</x:v>
      </x:c>
      <x:c r="J883" t="s">
        <x:v>4163</x:v>
      </x:c>
    </x:row>
    <x:row r="884">
      <x:c r="A884" t="s">
        <x:v>4164</x:v>
      </x:c>
      <x:c r="B884" t="s">
        <x:v>4164</x:v>
      </x:c>
      <x:c r="C884" t="s">
        <x:v>4165</x:v>
      </x:c>
      <x:c r="D884">
        <x:v>97</x:v>
      </x:c>
      <x:c r="E884" t="s">
        <x:v>198</x:v>
      </x:c>
      <x:c r="F884" t="s">
        <x:v>97</x:v>
      </x:c>
      <x:c r="G884">
        <x:v>44392</x:v>
      </x:c>
      <x:c r="H884" t="s">
        <x:v>4166</x:v>
      </x:c>
      <x:c r="I884" t="s">
        <x:v>4167</x:v>
      </x:c>
      <x:c r="J884" t="s">
        <x:v>4168</x:v>
      </x:c>
    </x:row>
    <x:row r="885">
      <x:c r="A885" t="s">
        <x:v>4169</x:v>
      </x:c>
      <x:c r="B885" t="s">
        <x:v>4169</x:v>
      </x:c>
      <x:c r="C885" t="s">
        <x:v>4165</x:v>
      </x:c>
      <x:c r="D885">
        <x:v>30</x:v>
      </x:c>
      <x:c r="E885" t="s">
        <x:v>103</x:v>
      </x:c>
      <x:c r="F885" t="s">
        <x:v>97</x:v>
      </x:c>
      <x:c r="G885">
        <x:v>41497</x:v>
      </x:c>
      <x:c r="H885" t="s">
        <x:v>4170</x:v>
      </x:c>
      <x:c r="I885" t="s">
        <x:v>4171</x:v>
      </x:c>
      <x:c r="J885" t="s">
        <x:v>4172</x:v>
      </x:c>
    </x:row>
    <x:row r="886">
      <x:c r="A886" t="s">
        <x:v>4173</x:v>
      </x:c>
      <x:c r="B886" t="s">
        <x:v>4173</x:v>
      </x:c>
      <x:c r="C886" t="s">
        <x:v>4165</x:v>
      </x:c>
      <x:c r="D886">
        <x:v>87</x:v>
      </x:c>
      <x:c r="E886" t="s">
        <x:v>89</x:v>
      </x:c>
      <x:c r="F886" t="s">
        <x:v>97</x:v>
      </x:c>
      <x:c r="G886">
        <x:v>45219</x:v>
      </x:c>
      <x:c r="H886" t="s">
        <x:v>4174</x:v>
      </x:c>
      <x:c r="I886" t="s">
        <x:v>4175</x:v>
      </x:c>
      <x:c r="J886" t="s">
        <x:v>4176</x:v>
      </x:c>
    </x:row>
    <x:row r="887">
      <x:c r="A887" t="s">
        <x:v>4177</x:v>
      </x:c>
      <x:c r="B887" t="s">
        <x:v>4177</x:v>
      </x:c>
      <x:c r="C887" t="s">
        <x:v>4165</x:v>
      </x:c>
      <x:c r="D887">
        <x:v>9</x:v>
      </x:c>
      <x:c r="E887" t="s">
        <x:v>114</x:v>
      </x:c>
      <x:c r="F887" t="s">
        <x:v>97</x:v>
      </x:c>
      <x:c r="G887">
        <x:v>44392</x:v>
      </x:c>
      <x:c r="H887" t="s">
        <x:v>4178</x:v>
      </x:c>
      <x:c r="I887" t="s">
        <x:v>4179</x:v>
      </x:c>
      <x:c r="J887" t="s">
        <x:v>4180</x:v>
      </x:c>
    </x:row>
    <x:row r="888">
      <x:c r="A888" t="s">
        <x:v>4181</x:v>
      </x:c>
      <x:c r="B888" t="s">
        <x:v>4181</x:v>
      </x:c>
      <x:c r="C888" t="s">
        <x:v>4182</x:v>
      </x:c>
      <x:c r="D888">
        <x:v>7</x:v>
      </x:c>
      <x:c r="E888" t="s">
        <x:v>103</x:v>
      </x:c>
      <x:c r="F888" t="s">
        <x:v>97</x:v>
      </x:c>
      <x:c r="G888">
        <x:v>41509</x:v>
      </x:c>
      <x:c r="H888" t="s">
        <x:v>4183</x:v>
      </x:c>
      <x:c r="I888" t="s">
        <x:v>4184</x:v>
      </x:c>
      <x:c r="J888" t="s">
        <x:v>4185</x:v>
      </x:c>
    </x:row>
    <x:row r="889">
      <x:c r="A889" t="s">
        <x:v>4186</x:v>
      </x:c>
      <x:c r="B889" t="s">
        <x:v>4186</x:v>
      </x:c>
      <x:c r="C889" t="s">
        <x:v>4187</x:v>
      </x:c>
      <x:c r="D889">
        <x:v>6</x:v>
      </x:c>
      <x:c r="E889" t="s">
        <x:v>103</x:v>
      </x:c>
      <x:c r="F889" t="s">
        <x:v>97</x:v>
      </x:c>
      <x:c r="G889">
        <x:v>42267</x:v>
      </x:c>
      <x:c r="H889" t="s">
        <x:v>4188</x:v>
      </x:c>
      <x:c r="I889" t="s">
        <x:v>4189</x:v>
      </x:c>
      <x:c r="J889" t="s">
        <x:v>4190</x:v>
      </x:c>
    </x:row>
    <x:row r="890">
      <x:c r="A890" t="s">
        <x:v>4191</x:v>
      </x:c>
      <x:c r="B890" t="s">
        <x:v>4191</x:v>
      </x:c>
      <x:c r="C890" t="s">
        <x:v>4192</x:v>
      </x:c>
      <x:c r="D890">
        <x:v>15</x:v>
      </x:c>
      <x:c r="E890" t="s">
        <x:v>257</x:v>
      </x:c>
      <x:c r="F890" t="s">
        <x:v>97</x:v>
      </x:c>
      <x:c r="G890">
        <x:v>42291</x:v>
      </x:c>
      <x:c r="H890" t="s">
        <x:v>4193</x:v>
      </x:c>
      <x:c r="I890" t="s">
        <x:v>4194</x:v>
      </x:c>
      <x:c r="J890" t="s">
        <x:v>4195</x:v>
      </x:c>
    </x:row>
    <x:row r="891">
      <x:c r="A891" t="s">
        <x:v>4196</x:v>
      </x:c>
      <x:c r="B891" t="s">
        <x:v>4196</x:v>
      </x:c>
      <x:c r="C891" t="s">
        <x:v>4197</x:v>
      </x:c>
      <x:c r="D891">
        <x:v>4</x:v>
      </x:c>
      <x:c r="E891" t="s">
        <x:v>198</x:v>
      </x:c>
      <x:c r="F891" t="s">
        <x:v>90</x:v>
      </x:c>
      <x:c r="G891">
        <x:v>43065</x:v>
      </x:c>
      <x:c r="H891" t="s">
        <x:v>4198</x:v>
      </x:c>
      <x:c r="I891" t="s">
        <x:v>4199</x:v>
      </x:c>
      <x:c r="J891" t="s">
        <x:v>4200</x:v>
      </x:c>
    </x:row>
    <x:row r="892">
      <x:c r="A892" t="s">
        <x:v>4201</x:v>
      </x:c>
      <x:c r="B892" t="s">
        <x:v>4201</x:v>
      </x:c>
      <x:c r="C892" t="s">
        <x:v>4197</x:v>
      </x:c>
      <x:c r="D892">
        <x:v>9</x:v>
      </x:c>
      <x:c r="E892" t="s">
        <x:v>198</x:v>
      </x:c>
      <x:c r="F892" t="s">
        <x:v>90</x:v>
      </x:c>
      <x:c r="G892">
        <x:v>44833</x:v>
      </x:c>
      <x:c r="H892" t="s">
        <x:v>4202</x:v>
      </x:c>
      <x:c r="I892" t="s">
        <x:v>4203</x:v>
      </x:c>
      <x:c r="J892" t="s">
        <x:v>4204</x:v>
      </x:c>
    </x:row>
    <x:row r="893">
      <x:c r="A893" t="s">
        <x:v>4205</x:v>
      </x:c>
      <x:c r="B893" t="s">
        <x:v>4205</x:v>
      </x:c>
      <x:c r="C893" t="s">
        <x:v>4197</x:v>
      </x:c>
      <x:c r="D893">
        <x:v>8</x:v>
      </x:c>
      <x:c r="E893" t="s">
        <x:v>198</x:v>
      </x:c>
      <x:c r="F893" t="s">
        <x:v>90</x:v>
      </x:c>
      <x:c r="G893">
        <x:v>44850</x:v>
      </x:c>
      <x:c r="H893" t="s">
        <x:v>4206</x:v>
      </x:c>
      <x:c r="I893" t="s">
        <x:v>4207</x:v>
      </x:c>
      <x:c r="J893" t="s">
        <x:v>4208</x:v>
      </x:c>
    </x:row>
    <x:row r="894">
      <x:c r="A894" t="s">
        <x:v>4209</x:v>
      </x:c>
      <x:c r="B894" t="s">
        <x:v>4209</x:v>
      </x:c>
      <x:c r="C894" t="s">
        <x:v>4210</x:v>
      </x:c>
      <x:c r="D894">
        <x:v>108</x:v>
      </x:c>
      <x:c r="E894" t="s">
        <x:v>103</x:v>
      </x:c>
      <x:c r="F894" t="s">
        <x:v>97</x:v>
      </x:c>
      <x:c r="G894">
        <x:v>42924</x:v>
      </x:c>
      <x:c r="H894" t="s">
        <x:v>4211</x:v>
      </x:c>
      <x:c r="I894" t="s">
        <x:v>4212</x:v>
      </x:c>
      <x:c r="J894" t="s">
        <x:v>4213</x:v>
      </x:c>
    </x:row>
    <x:row r="895">
      <x:c r="A895" t="s">
        <x:v>4214</x:v>
      </x:c>
      <x:c r="B895" t="s">
        <x:v>4214</x:v>
      </x:c>
      <x:c r="C895" t="s">
        <x:v>4210</x:v>
      </x:c>
      <x:c r="D895">
        <x:v>103</x:v>
      </x:c>
      <x:c r="E895" t="s">
        <x:v>96</x:v>
      </x:c>
      <x:c r="F895" t="s">
        <x:v>97</x:v>
      </x:c>
      <x:c r="G895">
        <x:v>43281</x:v>
      </x:c>
      <x:c r="H895" t="s">
        <x:v>4215</x:v>
      </x:c>
      <x:c r="I895" t="s">
        <x:v>4216</x:v>
      </x:c>
      <x:c r="J895" t="s">
        <x:v>4217</x:v>
      </x:c>
    </x:row>
    <x:row r="896">
      <x:c r="A896" t="s">
        <x:v>4218</x:v>
      </x:c>
      <x:c r="B896" t="s">
        <x:v>4218</x:v>
      </x:c>
      <x:c r="C896" t="s">
        <x:v>4210</x:v>
      </x:c>
      <x:c r="D896">
        <x:v>108</x:v>
      </x:c>
      <x:c r="E896" t="s">
        <x:v>96</x:v>
      </x:c>
      <x:c r="F896" t="s">
        <x:v>97</x:v>
      </x:c>
      <x:c r="G896">
        <x:v>43882</x:v>
      </x:c>
      <x:c r="H896" t="s">
        <x:v>4219</x:v>
      </x:c>
      <x:c r="I896" t="s">
        <x:v>4220</x:v>
      </x:c>
      <x:c r="J896" t="s">
        <x:v>4221</x:v>
      </x:c>
    </x:row>
    <x:row r="897">
      <x:c r="A897" t="s">
        <x:v>4222</x:v>
      </x:c>
      <x:c r="B897" t="s">
        <x:v>4222</x:v>
      </x:c>
      <x:c r="C897" t="s">
        <x:v>4210</x:v>
      </x:c>
      <x:c r="D897">
        <x:v>105</x:v>
      </x:c>
      <x:c r="E897" t="s">
        <x:v>96</x:v>
      </x:c>
      <x:c r="F897" t="s">
        <x:v>97</x:v>
      </x:c>
      <x:c r="G897">
        <x:v>44760</x:v>
      </x:c>
      <x:c r="H897" t="s">
        <x:v>4223</x:v>
      </x:c>
      <x:c r="I897" t="s">
        <x:v>4224</x:v>
      </x:c>
      <x:c r="J897" t="s">
        <x:v>4225</x:v>
      </x:c>
    </x:row>
    <x:row r="898">
      <x:c r="A898" t="s">
        <x:v>4226</x:v>
      </x:c>
      <x:c r="B898" t="s">
        <x:v>4226</x:v>
      </x:c>
      <x:c r="C898" t="s">
        <x:v>4210</x:v>
      </x:c>
      <x:c r="D898">
        <x:v>112</x:v>
      </x:c>
      <x:c r="E898" t="s">
        <x:v>96</x:v>
      </x:c>
      <x:c r="F898" t="s">
        <x:v>97</x:v>
      </x:c>
      <x:c r="G898">
        <x:v>45222</x:v>
      </x:c>
      <x:c r="H898" t="s">
        <x:v>4227</x:v>
      </x:c>
      <x:c r="I898" t="s">
        <x:v>4228</x:v>
      </x:c>
      <x:c r="J898" t="s">
        <x:v>4229</x:v>
      </x:c>
    </x:row>
    <x:row r="899">
      <x:c r="A899" t="s">
        <x:v>4230</x:v>
      </x:c>
      <x:c r="B899" t="s">
        <x:v>4230</x:v>
      </x:c>
      <x:c r="C899" t="s">
        <x:v>4210</x:v>
      </x:c>
      <x:c r="D899">
        <x:v>103</x:v>
      </x:c>
      <x:c r="E899" t="s">
        <x:v>96</x:v>
      </x:c>
      <x:c r="F899" t="s">
        <x:v>97</x:v>
      </x:c>
      <x:c r="G899">
        <x:v>45739</x:v>
      </x:c>
      <x:c r="H899" t="s">
        <x:v>4231</x:v>
      </x:c>
      <x:c r="I899" t="s">
        <x:v>4232</x:v>
      </x:c>
      <x:c r="J899" t="s">
        <x:v>4233</x:v>
      </x:c>
    </x:row>
    <x:row r="900">
      <x:c r="A900" t="s">
        <x:v>4234</x:v>
      </x:c>
      <x:c r="B900" t="s">
        <x:v>4234</x:v>
      </x:c>
      <x:c r="C900" t="s">
        <x:v>4235</x:v>
      </x:c>
      <x:c r="D900">
        <x:v>18</x:v>
      </x:c>
      <x:c r="E900" t="s">
        <x:v>96</x:v>
      </x:c>
      <x:c r="F900" t="s">
        <x:v>97</x:v>
      </x:c>
      <x:c r="G900">
        <x:v>45349</x:v>
      </x:c>
      <x:c r="H900" t="s">
        <x:v>4236</x:v>
      </x:c>
      <x:c r="I900" t="s">
        <x:v>4237</x:v>
      </x:c>
      <x:c r="J900" t="s">
        <x:v>4238</x:v>
      </x:c>
    </x:row>
    <x:row r="901">
      <x:c r="A901" t="s">
        <x:v>4239</x:v>
      </x:c>
      <x:c r="B901" t="s">
        <x:v>4239</x:v>
      </x:c>
      <x:c r="C901" t="s">
        <x:v>4240</x:v>
      </x:c>
      <x:c r="D901">
        <x:v>7</x:v>
      </x:c>
      <x:c r="E901" t="s">
        <x:v>103</x:v>
      </x:c>
      <x:c r="F901" t="s">
        <x:v>97</x:v>
      </x:c>
      <x:c r="G901">
        <x:v>42503</x:v>
      </x:c>
      <x:c r="H901" t="s">
        <x:v>4241</x:v>
      </x:c>
      <x:c r="I901" t="s">
        <x:v>4242</x:v>
      </x:c>
      <x:c r="J901" t="s">
        <x:v>4243</x:v>
      </x:c>
    </x:row>
    <x:row r="902">
      <x:c r="A902" t="s">
        <x:v>4244</x:v>
      </x:c>
      <x:c r="B902" t="s">
        <x:v>4244</x:v>
      </x:c>
      <x:c r="C902" t="s">
        <x:v>4245</x:v>
      </x:c>
      <x:c r="D902">
        <x:v>12</x:v>
      </x:c>
      <x:c r="E902" t="s">
        <x:v>103</x:v>
      </x:c>
      <x:c r="F902" t="s">
        <x:v>97</x:v>
      </x:c>
      <x:c r="G902">
        <x:v>44021</x:v>
      </x:c>
      <x:c r="H902" t="s">
        <x:v>4246</x:v>
      </x:c>
      <x:c r="I902" t="s">
        <x:v>4247</x:v>
      </x:c>
      <x:c r="J902" t="s">
        <x:v>4248</x:v>
      </x:c>
    </x:row>
    <x:row r="903">
      <x:c r="A903" t="s">
        <x:v>4249</x:v>
      </x:c>
      <x:c r="B903" t="s">
        <x:v>4249</x:v>
      </x:c>
      <x:c r="C903" t="s">
        <x:v>4250</x:v>
      </x:c>
      <x:c r="D903">
        <x:v>11</x:v>
      </x:c>
      <x:c r="E903" t="s">
        <x:v>257</x:v>
      </x:c>
      <x:c r="F903" t="s">
        <x:v>97</x:v>
      </x:c>
      <x:c r="G903">
        <x:v>42224</x:v>
      </x:c>
      <x:c r="H903" t="s">
        <x:v>4251</x:v>
      </x:c>
      <x:c r="I903" t="s">
        <x:v>4252</x:v>
      </x:c>
      <x:c r="J903" t="s">
        <x:v>4253</x:v>
      </x:c>
    </x:row>
    <x:row r="904">
      <x:c r="A904" t="s">
        <x:v>4254</x:v>
      </x:c>
      <x:c r="B904" t="s">
        <x:v>4254</x:v>
      </x:c>
      <x:c r="C904" t="s">
        <x:v>4255</x:v>
      </x:c>
      <x:c r="D904">
        <x:v>50</x:v>
      </x:c>
      <x:c r="E904" t="s">
        <x:v>103</x:v>
      </x:c>
      <x:c r="F904" t="s">
        <x:v>97</x:v>
      </x:c>
      <x:c r="G904">
        <x:v>42298</x:v>
      </x:c>
      <x:c r="H904" t="s">
        <x:v>4256</x:v>
      </x:c>
      <x:c r="I904" t="s">
        <x:v>4257</x:v>
      </x:c>
      <x:c r="J904" t="s">
        <x:v>4258</x:v>
      </x:c>
    </x:row>
    <x:row r="905">
      <x:c r="A905" t="s">
        <x:v>74</x:v>
      </x:c>
      <x:c r="B905" t="s">
        <x:v>74</x:v>
      </x:c>
      <x:c r="C905" t="s">
        <x:v>4259</x:v>
      </x:c>
      <x:c r="D905">
        <x:v>16</x:v>
      </x:c>
      <x:c r="E905" t="s">
        <x:v>198</x:v>
      </x:c>
      <x:c r="F905" t="s">
        <x:v>90</x:v>
      </x:c>
      <x:c r="G905">
        <x:v>44539</x:v>
      </x:c>
      <x:c r="H905" t="s">
        <x:v>4260</x:v>
      </x:c>
      <x:c r="I905" t="s">
        <x:v>4261</x:v>
      </x:c>
      <x:c r="J905" t="s">
        <x:v>4262</x:v>
      </x:c>
    </x:row>
    <x:row r="906">
      <x:c r="A906" t="s">
        <x:v>4263</x:v>
      </x:c>
      <x:c r="B906" t="s">
        <x:v>4263</x:v>
      </x:c>
      <x:c r="C906" t="s">
        <x:v>346</x:v>
      </x:c>
      <x:c r="D906">
        <x:v>27</x:v>
      </x:c>
      <x:c r="E906" t="s">
        <x:v>103</x:v>
      </x:c>
      <x:c r="F906" t="s">
        <x:v>97</x:v>
      </x:c>
      <x:c r="G906">
        <x:v>41762</x:v>
      </x:c>
      <x:c r="H906" t="s">
        <x:v>4264</x:v>
      </x:c>
      <x:c r="I906" t="s">
        <x:v>4265</x:v>
      </x:c>
      <x:c r="J906" t="s">
        <x:v>4266</x:v>
      </x:c>
    </x:row>
    <x:row r="907">
      <x:c r="A907" t="s">
        <x:v>4267</x:v>
      </x:c>
      <x:c r="B907" t="s">
        <x:v>4267</x:v>
      </x:c>
      <x:c r="C907" t="s">
        <x:v>346</x:v>
      </x:c>
      <x:c r="D907">
        <x:v>4</x:v>
      </x:c>
      <x:c r="E907" t="s">
        <x:v>257</x:v>
      </x:c>
      <x:c r="F907" t="s">
        <x:v>97</x:v>
      </x:c>
      <x:c r="G907">
        <x:v>41528</x:v>
      </x:c>
      <x:c r="H907" t="s">
        <x:v>4268</x:v>
      </x:c>
      <x:c r="I907" t="s">
        <x:v>4269</x:v>
      </x:c>
      <x:c r="J907" t="s">
        <x:v>4270</x:v>
      </x:c>
    </x:row>
    <x:row r="908">
      <x:c r="A908" t="s">
        <x:v>4271</x:v>
      </x:c>
      <x:c r="B908" t="s">
        <x:v>4271</x:v>
      </x:c>
      <x:c r="C908" t="s">
        <x:v>4272</x:v>
      </x:c>
      <x:c r="D908">
        <x:v>7</x:v>
      </x:c>
      <x:c r="E908" t="s">
        <x:v>103</x:v>
      </x:c>
      <x:c r="F908" t="s">
        <x:v>97</x:v>
      </x:c>
      <x:c r="G908">
        <x:v>42205</x:v>
      </x:c>
      <x:c r="H908" t="s">
        <x:v>4273</x:v>
      </x:c>
      <x:c r="I908" t="s">
        <x:v>4274</x:v>
      </x:c>
      <x:c r="J908" t="s">
        <x:v>4275</x:v>
      </x:c>
    </x:row>
    <x:row r="909">
      <x:c r="A909" t="s">
        <x:v>4276</x:v>
      </x:c>
      <x:c r="B909" t="s">
        <x:v>4276</x:v>
      </x:c>
      <x:c r="C909" t="s">
        <x:v>4277</x:v>
      </x:c>
      <x:c r="D909">
        <x:v>10</x:v>
      </x:c>
      <x:c r="E909" t="s">
        <x:v>96</x:v>
      </x:c>
      <x:c r="F909" t="s">
        <x:v>97</x:v>
      </x:c>
      <x:c r="G909">
        <x:v>42163</x:v>
      </x:c>
      <x:c r="H909" t="s">
        <x:v>4278</x:v>
      </x:c>
      <x:c r="I909" t="s">
        <x:v>4279</x:v>
      </x:c>
      <x:c r="J909" t="s">
        <x:v>4280</x:v>
      </x:c>
    </x:row>
    <x:row r="910">
      <x:c r="A910" t="s">
        <x:v>4281</x:v>
      </x:c>
      <x:c r="B910" t="s">
        <x:v>4281</x:v>
      </x:c>
      <x:c r="C910" t="s">
        <x:v>4282</x:v>
      </x:c>
      <x:c r="D910">
        <x:v>59</x:v>
      </x:c>
      <x:c r="E910" t="s">
        <x:v>89</x:v>
      </x:c>
      <x:c r="F910" t="s">
        <x:v>90</x:v>
      </x:c>
      <x:c r="G910">
        <x:v>45011</x:v>
      </x:c>
      <x:c r="H910" t="s">
        <x:v>4283</x:v>
      </x:c>
      <x:c r="I910" t="s">
        <x:v>4284</x:v>
      </x:c>
      <x:c r="J910" t="s">
        <x:v>4285</x:v>
      </x:c>
    </x:row>
    <x:row r="911">
      <x:c r="A911" t="s">
        <x:v>4286</x:v>
      </x:c>
      <x:c r="B911" t="s">
        <x:v>4286</x:v>
      </x:c>
      <x:c r="C911" t="s">
        <x:v>4287</x:v>
      </x:c>
      <x:c r="D911">
        <x:v>20</x:v>
      </x:c>
      <x:c r="E911" t="s">
        <x:v>114</x:v>
      </x:c>
      <x:c r="F911" t="s">
        <x:v>90</x:v>
      </x:c>
      <x:c r="G911">
        <x:v>44634</x:v>
      </x:c>
      <x:c r="H911" t="s">
        <x:v>4288</x:v>
      </x:c>
      <x:c r="I911" t="s">
        <x:v>4289</x:v>
      </x:c>
      <x:c r="J911" t="s">
        <x:v>4290</x:v>
      </x:c>
    </x:row>
    <x:row r="912">
      <x:c r="A912" t="s">
        <x:v>4291</x:v>
      </x:c>
      <x:c r="B912" t="s">
        <x:v>4291</x:v>
      </x:c>
      <x:c r="C912" t="s">
        <x:v>1861</x:v>
      </x:c>
      <x:c r="D912">
        <x:v>21</x:v>
      </x:c>
      <x:c r="E912" t="s">
        <x:v>198</x:v>
      </x:c>
      <x:c r="F912" t="s">
        <x:v>90</x:v>
      </x:c>
      <x:c r="G912">
        <x:v>44072</x:v>
      </x:c>
      <x:c r="H912" t="s">
        <x:v>4292</x:v>
      </x:c>
      <x:c r="I912" t="s">
        <x:v>4293</x:v>
      </x:c>
      <x:c r="J912" t="s">
        <x:v>4294</x:v>
      </x:c>
    </x:row>
    <x:row r="913">
      <x:c r="A913" t="s">
        <x:v>4295</x:v>
      </x:c>
      <x:c r="B913" t="s">
        <x:v>4295</x:v>
      </x:c>
      <x:c r="C913" t="s">
        <x:v>1502</x:v>
      </x:c>
      <x:c r="D913">
        <x:v>16</x:v>
      </x:c>
      <x:c r="E913" t="s">
        <x:v>89</x:v>
      </x:c>
      <x:c r="F913" t="s">
        <x:v>90</x:v>
      </x:c>
      <x:c r="G913">
        <x:v>45791</x:v>
      </x:c>
      <x:c r="H913" t="s">
        <x:v>4296</x:v>
      </x:c>
      <x:c r="I913" t="s">
        <x:v>4297</x:v>
      </x:c>
      <x:c r="J913" t="s">
        <x:v>4298</x:v>
      </x:c>
    </x:row>
    <x:row r="914">
      <x:c r="A914" t="s">
        <x:v>4299</x:v>
      </x:c>
      <x:c r="B914" t="s">
        <x:v>4299</x:v>
      </x:c>
      <x:c r="C914" t="s">
        <x:v>4300</x:v>
      </x:c>
      <x:c r="D914">
        <x:v>70</x:v>
      </x:c>
      <x:c r="E914" t="s">
        <x:v>96</x:v>
      </x:c>
      <x:c r="F914" t="s">
        <x:v>97</x:v>
      </x:c>
      <x:c r="G914">
        <x:v>44497</x:v>
      </x:c>
      <x:c r="H914" t="s">
        <x:v>4301</x:v>
      </x:c>
      <x:c r="I914" t="s">
        <x:v>4302</x:v>
      </x:c>
      <x:c r="J914" t="s">
        <x:v>4303</x:v>
      </x:c>
    </x:row>
    <x:row r="915">
      <x:c r="A915" t="s">
        <x:v>4304</x:v>
      </x:c>
      <x:c r="B915" t="s">
        <x:v>4304</x:v>
      </x:c>
      <x:c r="C915" t="s">
        <x:v>4305</x:v>
      </x:c>
      <x:c r="D915">
        <x:v>17</x:v>
      </x:c>
      <x:c r="E915" t="s">
        <x:v>89</x:v>
      </x:c>
      <x:c r="F915" t="s">
        <x:v>90</x:v>
      </x:c>
      <x:c r="G915">
        <x:v>44278</x:v>
      </x:c>
      <x:c r="H915" t="s">
        <x:v>4306</x:v>
      </x:c>
      <x:c r="I915" t="s">
        <x:v>4307</x:v>
      </x:c>
      <x:c r="J915" t="s">
        <x:v>4308</x:v>
      </x:c>
    </x:row>
    <x:row r="916">
      <x:c r="A916" t="s">
        <x:v>4309</x:v>
      </x:c>
      <x:c r="B916" t="s">
        <x:v>4309</x:v>
      </x:c>
      <x:c r="C916" t="s">
        <x:v>4310</x:v>
      </x:c>
      <x:c r="D916">
        <x:v>13</x:v>
      </x:c>
      <x:c r="E916" t="s">
        <x:v>89</x:v>
      </x:c>
      <x:c r="F916" t="s">
        <x:v>90</x:v>
      </x:c>
      <x:c r="G916">
        <x:v>45479</x:v>
      </x:c>
      <x:c r="H916" t="s">
        <x:v>4311</x:v>
      </x:c>
      <x:c r="I916" t="s">
        <x:v>4312</x:v>
      </x:c>
      <x:c r="J916" t="s">
        <x:v>4313</x:v>
      </x:c>
    </x:row>
    <x:row r="917">
      <x:c r="A917" t="s">
        <x:v>4314</x:v>
      </x:c>
      <x:c r="B917" t="s">
        <x:v>4314</x:v>
      </x:c>
      <x:c r="C917" t="s">
        <x:v>4315</x:v>
      </x:c>
      <x:c r="D917">
        <x:v>8</x:v>
      </x:c>
      <x:c r="E917" t="s">
        <x:v>257</x:v>
      </x:c>
      <x:c r="F917" t="s">
        <x:v>97</x:v>
      </x:c>
      <x:c r="G917">
        <x:v>42279</x:v>
      </x:c>
      <x:c r="H917" t="s">
        <x:v>4316</x:v>
      </x:c>
      <x:c r="I917" t="s">
        <x:v>4317</x:v>
      </x:c>
      <x:c r="J917" t="s">
        <x:v>4318</x:v>
      </x:c>
    </x:row>
    <x:row r="918">
      <x:c r="A918" t="s">
        <x:v>4319</x:v>
      </x:c>
      <x:c r="B918" t="s">
        <x:v>4320</x:v>
      </x:c>
      <x:c r="C918" t="s">
        <x:v>4321</x:v>
      </x:c>
      <x:c r="D918">
        <x:v>7</x:v>
      </x:c>
      <x:c r="E918" t="s">
        <x:v>257</x:v>
      </x:c>
      <x:c r="F918" t="s">
        <x:v>97</x:v>
      </x:c>
      <x:c r="G918">
        <x:v>41714</x:v>
      </x:c>
      <x:c r="H918" t="s">
        <x:v>4322</x:v>
      </x:c>
      <x:c r="I918" t="s">
        <x:v>4323</x:v>
      </x:c>
      <x:c r="J918" t="s">
        <x:v>4324</x:v>
      </x:c>
    </x:row>
    <x:row r="919">
      <x:c r="A919" t="s">
        <x:v>4325</x:v>
      </x:c>
      <x:c r="B919" t="s">
        <x:v>4326</x:v>
      </x:c>
      <x:c r="C919" t="s">
        <x:v>4327</x:v>
      </x:c>
      <x:c r="D919">
        <x:v>5</x:v>
      </x:c>
      <x:c r="E919" t="s">
        <x:v>257</x:v>
      </x:c>
      <x:c r="F919" t="s">
        <x:v>97</x:v>
      </x:c>
      <x:c r="G919">
        <x:v>42237</x:v>
      </x:c>
      <x:c r="H919" t="s">
        <x:v>4328</x:v>
      </x:c>
      <x:c r="I919" t="s">
        <x:v>4329</x:v>
      </x:c>
      <x:c r="J919" t="s">
        <x:v>4330</x:v>
      </x:c>
    </x:row>
    <x:row r="920">
      <x:c r="A920" t="s">
        <x:v>4331</x:v>
      </x:c>
      <x:c r="B920" t="s">
        <x:v>4331</x:v>
      </x:c>
      <x:c r="C920" t="s">
        <x:v>4332</x:v>
      </x:c>
      <x:c r="D920">
        <x:v>21</x:v>
      </x:c>
      <x:c r="E920" t="s">
        <x:v>103</x:v>
      </x:c>
      <x:c r="F920" t="s">
        <x:v>97</x:v>
      </x:c>
      <x:c r="G920">
        <x:v>45648</x:v>
      </x:c>
      <x:c r="H920" t="s">
        <x:v>4333</x:v>
      </x:c>
      <x:c r="I920" t="s">
        <x:v>4334</x:v>
      </x:c>
      <x:c r="J920" t="s">
        <x:v>4335</x:v>
      </x:c>
    </x:row>
    <x:row r="921">
      <x:c r="A921" t="s">
        <x:v>4336</x:v>
      </x:c>
      <x:c r="B921" t="s">
        <x:v>4336</x:v>
      </x:c>
      <x:c r="C921" t="s">
        <x:v>4337</x:v>
      </x:c>
      <x:c r="D921">
        <x:v>26</x:v>
      </x:c>
      <x:c r="E921" t="s">
        <x:v>103</x:v>
      </x:c>
      <x:c r="F921" t="s">
        <x:v>97</x:v>
      </x:c>
      <x:c r="G921">
        <x:v>41821</x:v>
      </x:c>
      <x:c r="H921" t="s">
        <x:v>4338</x:v>
      </x:c>
      <x:c r="I921" t="s">
        <x:v>4339</x:v>
      </x:c>
      <x:c r="J921" t="s">
        <x:v>4340</x:v>
      </x:c>
    </x:row>
    <x:row r="922">
      <x:c r="A922" t="s">
        <x:v>4341</x:v>
      </x:c>
      <x:c r="B922" t="s">
        <x:v>4341</x:v>
      </x:c>
      <x:c r="C922" t="s">
        <x:v>4342</x:v>
      </x:c>
      <x:c r="D922">
        <x:v>7</x:v>
      </x:c>
      <x:c r="E922" t="s">
        <x:v>103</x:v>
      </x:c>
      <x:c r="F922" t="s">
        <x:v>97</x:v>
      </x:c>
      <x:c r="G922">
        <x:v>44676</x:v>
      </x:c>
      <x:c r="H922" t="s">
        <x:v>4343</x:v>
      </x:c>
      <x:c r="I922" t="s">
        <x:v>4344</x:v>
      </x:c>
      <x:c r="J922" t="s">
        <x:v>4345</x:v>
      </x:c>
    </x:row>
    <x:row r="923">
      <x:c r="A923" t="s">
        <x:v>4346</x:v>
      </x:c>
      <x:c r="B923" t="s">
        <x:v>4346</x:v>
      </x:c>
      <x:c r="C923" t="s">
        <x:v>4347</x:v>
      </x:c>
      <x:c r="D923">
        <x:v>6</x:v>
      </x:c>
      <x:c r="E923" t="s">
        <x:v>257</x:v>
      </x:c>
      <x:c r="F923" t="s">
        <x:v>97</x:v>
      </x:c>
      <x:c r="G923">
        <x:v>42108</x:v>
      </x:c>
      <x:c r="H923" t="s">
        <x:v>4348</x:v>
      </x:c>
      <x:c r="I923" t="s">
        <x:v>4349</x:v>
      </x:c>
      <x:c r="J923" t="s">
        <x:v>4350</x:v>
      </x:c>
    </x:row>
    <x:row r="924">
      <x:c r="A924" t="s">
        <x:v>4351</x:v>
      </x:c>
      <x:c r="B924" t="s">
        <x:v>4351</x:v>
      </x:c>
      <x:c r="C924" t="s">
        <x:v>4352</x:v>
      </x:c>
      <x:c r="D924">
        <x:v>5</x:v>
      </x:c>
      <x:c r="E924" t="s">
        <x:v>257</x:v>
      </x:c>
      <x:c r="F924" t="s">
        <x:v>97</x:v>
      </x:c>
      <x:c r="G924">
        <x:v>42229</x:v>
      </x:c>
      <x:c r="H924" t="s">
        <x:v>4353</x:v>
      </x:c>
      <x:c r="I924" t="s">
        <x:v>4354</x:v>
      </x:c>
      <x:c r="J924" t="s">
        <x:v>4355</x:v>
      </x:c>
    </x:row>
    <x:row r="925">
      <x:c r="A925" t="s">
        <x:v>4356</x:v>
      </x:c>
      <x:c r="B925" t="s">
        <x:v>4356</x:v>
      </x:c>
      <x:c r="C925" t="s">
        <x:v>543</x:v>
      </x:c>
      <x:c r="D925">
        <x:v>86</x:v>
      </x:c>
      <x:c r="E925" t="s">
        <x:v>103</x:v>
      </x:c>
      <x:c r="F925" t="s">
        <x:v>97</x:v>
      </x:c>
      <x:c r="G925">
        <x:v>42939</x:v>
      </x:c>
      <x:c r="H925" t="s">
        <x:v>4357</x:v>
      </x:c>
      <x:c r="I925" t="s">
        <x:v>4358</x:v>
      </x:c>
      <x:c r="J925" t="s">
        <x:v>4359</x:v>
      </x:c>
    </x:row>
    <x:row r="926">
      <x:c r="A926" t="s">
        <x:v>4360</x:v>
      </x:c>
      <x:c r="B926" t="s">
        <x:v>4360</x:v>
      </x:c>
      <x:c r="C926" t="s">
        <x:v>1856</x:v>
      </x:c>
      <x:c r="D926">
        <x:v>16</x:v>
      </x:c>
      <x:c r="E926" t="s">
        <x:v>96</x:v>
      </x:c>
      <x:c r="F926" t="s">
        <x:v>97</x:v>
      </x:c>
      <x:c r="G926">
        <x:v>43373</x:v>
      </x:c>
      <x:c r="H926" t="s">
        <x:v>4361</x:v>
      </x:c>
      <x:c r="I926" t="s">
        <x:v>4362</x:v>
      </x:c>
      <x:c r="J926" t="s">
        <x:v>4363</x:v>
      </x:c>
    </x:row>
    <x:row r="927">
      <x:c r="A927" t="s">
        <x:v>4364</x:v>
      </x:c>
      <x:c r="B927" t="s">
        <x:v>4364</x:v>
      </x:c>
      <x:c r="C927" t="s">
        <x:v>543</x:v>
      </x:c>
      <x:c r="D927">
        <x:v>44</x:v>
      </x:c>
      <x:c r="E927" t="s">
        <x:v>103</x:v>
      </x:c>
      <x:c r="F927" t="s">
        <x:v>97</x:v>
      </x:c>
      <x:c r="G927">
        <x:v>42334</x:v>
      </x:c>
      <x:c r="H927" t="s">
        <x:v>4365</x:v>
      </x:c>
      <x:c r="I927" t="s">
        <x:v>4366</x:v>
      </x:c>
      <x:c r="J927" t="s">
        <x:v>4367</x:v>
      </x:c>
    </x:row>
    <x:row r="928">
      <x:c r="A928" t="s">
        <x:v>4368</x:v>
      </x:c>
      <x:c r="B928" t="s">
        <x:v>4368</x:v>
      </x:c>
      <x:c r="C928" t="s">
        <x:v>4369</x:v>
      </x:c>
      <x:c r="D928">
        <x:v>28</x:v>
      </x:c>
      <x:c r="E928" t="s">
        <x:v>103</x:v>
      </x:c>
      <x:c r="F928" t="s">
        <x:v>97</x:v>
      </x:c>
      <x:c r="G928">
        <x:v>42217</x:v>
      </x:c>
      <x:c r="H928" t="s">
        <x:v>4370</x:v>
      </x:c>
      <x:c r="I928" t="s">
        <x:v>4371</x:v>
      </x:c>
      <x:c r="J928" t="s">
        <x:v>4372</x:v>
      </x:c>
    </x:row>
    <x:row r="929">
      <x:c r="A929" t="s">
        <x:v>4373</x:v>
      </x:c>
      <x:c r="B929" t="s">
        <x:v>4373</x:v>
      </x:c>
      <x:c r="C929" t="s">
        <x:v>4374</x:v>
      </x:c>
      <x:c r="D929">
        <x:v>8</x:v>
      </x:c>
      <x:c r="E929" t="s">
        <x:v>257</x:v>
      </x:c>
      <x:c r="F929" t="s">
        <x:v>97</x:v>
      </x:c>
      <x:c r="G929">
        <x:v>41528</x:v>
      </x:c>
      <x:c r="H929" t="s">
        <x:v>4375</x:v>
      </x:c>
      <x:c r="I929" t="s">
        <x:v>4376</x:v>
      </x:c>
      <x:c r="J929" t="s">
        <x:v>4377</x:v>
      </x:c>
    </x:row>
    <x:row r="930">
      <x:c r="A930" t="s">
        <x:v>4378</x:v>
      </x:c>
      <x:c r="B930" t="s">
        <x:v>4378</x:v>
      </x:c>
      <x:c r="C930" t="s">
        <x:v>4379</x:v>
      </x:c>
      <x:c r="D930">
        <x:v>6</x:v>
      </x:c>
      <x:c r="E930" t="s">
        <x:v>96</x:v>
      </x:c>
      <x:c r="F930" t="s">
        <x:v>97</x:v>
      </x:c>
      <x:c r="G930">
        <x:v>42217</x:v>
      </x:c>
      <x:c r="H930" t="s">
        <x:v>4380</x:v>
      </x:c>
      <x:c r="I930" t="s">
        <x:v>4381</x:v>
      </x:c>
      <x:c r="J930" t="s">
        <x:v>4382</x:v>
      </x:c>
    </x:row>
    <x:row r="931">
      <x:c r="A931" t="s">
        <x:v>4383</x:v>
      </x:c>
      <x:c r="B931" t="s">
        <x:v>4383</x:v>
      </x:c>
      <x:c r="C931" t="s">
        <x:v>3295</x:v>
      </x:c>
      <x:c r="D931">
        <x:v>35</x:v>
      </x:c>
      <x:c r="E931" t="s">
        <x:v>103</x:v>
      </x:c>
      <x:c r="F931" t="s">
        <x:v>97</x:v>
      </x:c>
      <x:c r="G931">
        <x:v>45349</x:v>
      </x:c>
      <x:c r="H931" t="s">
        <x:v>4384</x:v>
      </x:c>
      <x:c r="I931" t="s">
        <x:v>4385</x:v>
      </x:c>
      <x:c r="J931" t="s">
        <x:v>4386</x:v>
      </x:c>
    </x:row>
    <x:row r="932">
      <x:c r="A932" t="s">
        <x:v>4387</x:v>
      </x:c>
      <x:c r="B932" t="s">
        <x:v>4387</x:v>
      </x:c>
      <x:c r="C932" t="s">
        <x:v>4332</x:v>
      </x:c>
      <x:c r="D932">
        <x:v>1</x:v>
      </x:c>
      <x:c r="E932" t="s">
        <x:v>103</x:v>
      </x:c>
      <x:c r="F932" t="s">
        <x:v>97</x:v>
      </x:c>
      <x:c r="G932">
        <x:v>44565</x:v>
      </x:c>
      <x:c r="H932" t="s">
        <x:v>4388</x:v>
      </x:c>
      <x:c r="I932" t="s">
        <x:v>4389</x:v>
      </x:c>
      <x:c r="J932" t="s">
        <x:v>4390</x:v>
      </x:c>
    </x:row>
    <x:row r="933">
      <x:c r="A933" t="s">
        <x:v>4391</x:v>
      </x:c>
      <x:c r="B933" t="s">
        <x:v>4391</x:v>
      </x:c>
      <x:c r="C933" t="s">
        <x:v>4392</x:v>
      </x:c>
      <x:c r="D933">
        <x:v>1</x:v>
      </x:c>
      <x:c r="E933" t="s">
        <x:v>89</x:v>
      </x:c>
      <x:c r="F933" t="s">
        <x:v>90</x:v>
      </x:c>
      <x:c r="G933">
        <x:v>44492</x:v>
      </x:c>
      <x:c r="H933" t="s">
        <x:v>4393</x:v>
      </x:c>
      <x:c r="I933" t="s">
        <x:v>4394</x:v>
      </x:c>
      <x:c r="J933" t="s">
        <x:v>4395</x:v>
      </x:c>
    </x:row>
    <x:row r="934">
      <x:c r="A934" t="s">
        <x:v>4396</x:v>
      </x:c>
      <x:c r="B934" t="s">
        <x:v>4397</x:v>
      </x:c>
      <x:c r="C934" t="s">
        <x:v>4398</x:v>
      </x:c>
      <x:c r="D934">
        <x:v>12</x:v>
      </x:c>
      <x:c r="E934" t="s">
        <x:v>103</x:v>
      </x:c>
      <x:c r="F934" t="s">
        <x:v>97</x:v>
      </x:c>
      <x:c r="G934">
        <x:v>44012</x:v>
      </x:c>
      <x:c r="H934" t="s">
        <x:v>4399</x:v>
      </x:c>
      <x:c r="I934" t="s">
        <x:v>4400</x:v>
      </x:c>
      <x:c r="J934" t="s">
        <x:v>4401</x:v>
      </x:c>
    </x:row>
    <x:row r="935">
      <x:c r="A935" t="s">
        <x:v>4402</x:v>
      </x:c>
      <x:c r="B935" t="s">
        <x:v>4397</x:v>
      </x:c>
      <x:c r="C935" t="s">
        <x:v>4398</x:v>
      </x:c>
      <x:c r="D935">
        <x:v>33</x:v>
      </x:c>
      <x:c r="E935" t="s">
        <x:v>103</x:v>
      </x:c>
      <x:c r="F935" t="s">
        <x:v>97</x:v>
      </x:c>
      <x:c r="G935">
        <x:v>45109</x:v>
      </x:c>
      <x:c r="H935" t="s">
        <x:v>4403</x:v>
      </x:c>
      <x:c r="I935" t="s">
        <x:v>4404</x:v>
      </x:c>
      <x:c r="J935" t="s">
        <x:v>4405</x:v>
      </x:c>
    </x:row>
    <x:row r="936">
      <x:c r="A936" t="s">
        <x:v>4406</x:v>
      </x:c>
      <x:c r="B936" t="s">
        <x:v>4397</x:v>
      </x:c>
      <x:c r="C936" t="s">
        <x:v>4398</x:v>
      </x:c>
      <x:c r="D936">
        <x:v>40</x:v>
      </x:c>
      <x:c r="E936" t="s">
        <x:v>96</x:v>
      </x:c>
      <x:c r="F936" t="s">
        <x:v>97</x:v>
      </x:c>
      <x:c r="G936">
        <x:v>45851</x:v>
      </x:c>
      <x:c r="H936" t="s">
        <x:v>4407</x:v>
      </x:c>
      <x:c r="I936" t="s">
        <x:v>4408</x:v>
      </x:c>
      <x:c r="J936" t="s">
        <x:v>4409</x:v>
      </x:c>
    </x:row>
    <x:row r="937">
      <x:c r="A937" t="s">
        <x:v>4410</x:v>
      </x:c>
      <x:c r="B937" t="s">
        <x:v>4410</x:v>
      </x:c>
      <x:c r="C937" t="s">
        <x:v>4411</x:v>
      </x:c>
      <x:c r="D937">
        <x:v>6</x:v>
      </x:c>
      <x:c r="E937" t="s">
        <x:v>103</x:v>
      </x:c>
      <x:c r="F937" t="s">
        <x:v>97</x:v>
      </x:c>
      <x:c r="G937">
        <x:v>42338</x:v>
      </x:c>
      <x:c r="H937" t="s">
        <x:v>4412</x:v>
      </x:c>
      <x:c r="I937" t="s">
        <x:v>4413</x:v>
      </x:c>
      <x:c r="J937" t="s">
        <x:v>4414</x:v>
      </x:c>
    </x:row>
    <x:row r="938">
      <x:c r="A938" t="s">
        <x:v>4415</x:v>
      </x:c>
      <x:c r="B938" t="s">
        <x:v>4415</x:v>
      </x:c>
      <x:c r="C938" t="s">
        <x:v>4416</x:v>
      </x:c>
      <x:c r="D938">
        <x:v>8</x:v>
      </x:c>
      <x:c r="E938" t="s">
        <x:v>103</x:v>
      </x:c>
      <x:c r="F938" t="s">
        <x:v>97</x:v>
      </x:c>
      <x:c r="G938">
        <x:v>42872</x:v>
      </x:c>
      <x:c r="H938" t="s">
        <x:v>4417</x:v>
      </x:c>
      <x:c r="I938" t="s">
        <x:v>4418</x:v>
      </x:c>
      <x:c r="J938" t="s">
        <x:v>4419</x:v>
      </x:c>
    </x:row>
    <x:row r="939">
      <x:c r="A939" t="s">
        <x:v>4420</x:v>
      </x:c>
      <x:c r="B939" t="s">
        <x:v>4420</x:v>
      </x:c>
      <x:c r="C939" t="s">
        <x:v>1544</x:v>
      </x:c>
      <x:c r="D939">
        <x:v>6</x:v>
      </x:c>
      <x:c r="E939" t="s">
        <x:v>103</x:v>
      </x:c>
      <x:c r="F939" t="s">
        <x:v>97</x:v>
      </x:c>
      <x:c r="G939">
        <x:v>42214</x:v>
      </x:c>
      <x:c r="H939" t="s">
        <x:v>4421</x:v>
      </x:c>
      <x:c r="I939" t="s">
        <x:v>4422</x:v>
      </x:c>
      <x:c r="J939" t="s">
        <x:v>4423</x:v>
      </x:c>
    </x:row>
    <x:row r="940">
      <x:c r="A940" t="s">
        <x:v>4424</x:v>
      </x:c>
      <x:c r="B940" t="s">
        <x:v>4424</x:v>
      </x:c>
      <x:c r="C940" t="s">
        <x:v>4425</x:v>
      </x:c>
      <x:c r="D940">
        <x:v>3</x:v>
      </x:c>
      <x:c r="E940" t="s">
        <x:v>103</x:v>
      </x:c>
      <x:c r="F940" t="s">
        <x:v>97</x:v>
      </x:c>
      <x:c r="G940">
        <x:v>42153</x:v>
      </x:c>
      <x:c r="H940" t="s">
        <x:v>4426</x:v>
      </x:c>
      <x:c r="I940" t="s">
        <x:v>4427</x:v>
      </x:c>
      <x:c r="J940" t="s">
        <x:v>4428</x:v>
      </x:c>
    </x:row>
    <x:row r="941">
      <x:c r="A941" t="s">
        <x:v>4429</x:v>
      </x:c>
      <x:c r="B941" t="s">
        <x:v>4429</x:v>
      </x:c>
      <x:c r="C941" t="s">
        <x:v>1282</x:v>
      </x:c>
      <x:c r="D941">
        <x:v>8</x:v>
      </x:c>
      <x:c r="E941" t="s">
        <x:v>96</x:v>
      </x:c>
      <x:c r="F941" t="s">
        <x:v>97</x:v>
      </x:c>
      <x:c r="G941">
        <x:v>45725</x:v>
      </x:c>
      <x:c r="H941" t="s">
        <x:v>4430</x:v>
      </x:c>
      <x:c r="I941" t="s">
        <x:v>4431</x:v>
      </x:c>
      <x:c r="J941" t="s">
        <x:v>4432</x:v>
      </x:c>
    </x:row>
    <x:row r="942">
      <x:c r="A942" t="s">
        <x:v>4433</x:v>
      </x:c>
      <x:c r="B942" t="s">
        <x:v>4433</x:v>
      </x:c>
      <x:c r="C942" t="s">
        <x:v>4434</x:v>
      </x:c>
      <x:c r="D942">
        <x:v>5</x:v>
      </x:c>
      <x:c r="E942" t="s">
        <x:v>103</x:v>
      </x:c>
      <x:c r="F942" t="s">
        <x:v>97</x:v>
      </x:c>
      <x:c r="G942">
        <x:v>42236</x:v>
      </x:c>
      <x:c r="H942" t="s">
        <x:v>4435</x:v>
      </x:c>
      <x:c r="I942" t="s">
        <x:v>4436</x:v>
      </x:c>
      <x:c r="J942" t="s">
        <x:v>4437</x:v>
      </x:c>
    </x:row>
    <x:row r="943">
      <x:c r="A943" t="s">
        <x:v>4438</x:v>
      </x:c>
      <x:c r="B943" t="s">
        <x:v>4438</x:v>
      </x:c>
      <x:c r="C943" t="s">
        <x:v>1282</x:v>
      </x:c>
      <x:c r="D943">
        <x:v>7</x:v>
      </x:c>
      <x:c r="E943" t="s">
        <x:v>96</x:v>
      </x:c>
      <x:c r="F943" t="s">
        <x:v>97</x:v>
      </x:c>
      <x:c r="G943">
        <x:v>46075</x:v>
      </x:c>
      <x:c r="H943" t="s">
        <x:v>4439</x:v>
      </x:c>
      <x:c r="I943" t="s">
        <x:v>4440</x:v>
      </x:c>
      <x:c r="J943" t="s">
        <x:v>4441</x:v>
      </x:c>
    </x:row>
    <x:row r="944">
      <x:c r="A944" t="s">
        <x:v>4442</x:v>
      </x:c>
      <x:c r="B944" t="s">
        <x:v>4442</x:v>
      </x:c>
      <x:c r="C944" t="s">
        <x:v>4443</x:v>
      </x:c>
      <x:c r="D944">
        <x:v>11</x:v>
      </x:c>
      <x:c r="E944" t="s">
        <x:v>257</x:v>
      </x:c>
      <x:c r="F944" t="s">
        <x:v>97</x:v>
      </x:c>
      <x:c r="G944">
        <x:v>42091</x:v>
      </x:c>
      <x:c r="H944" t="s">
        <x:v>4444</x:v>
      </x:c>
      <x:c r="I944" t="s">
        <x:v>4445</x:v>
      </x:c>
      <x:c r="J944" t="s">
        <x:v>4446</x:v>
      </x:c>
    </x:row>
    <x:row r="945">
      <x:c r="A945" t="s">
        <x:v>4447</x:v>
      </x:c>
      <x:c r="B945" t="s">
        <x:v>4447</x:v>
      </x:c>
      <x:c r="C945" t="s">
        <x:v>4448</x:v>
      </x:c>
      <x:c r="D945">
        <x:v>18</x:v>
      </x:c>
      <x:c r="E945" t="s">
        <x:v>89</x:v>
      </x:c>
      <x:c r="F945" t="s">
        <x:v>90</x:v>
      </x:c>
      <x:c r="G945">
        <x:v>43957</x:v>
      </x:c>
      <x:c r="H945" t="s">
        <x:v>4449</x:v>
      </x:c>
      <x:c r="I945" t="s">
        <x:v>4450</x:v>
      </x:c>
      <x:c r="J945" t="s">
        <x:v>4451</x:v>
      </x:c>
    </x:row>
    <x:row r="946">
      <x:c r="A946" t="s">
        <x:v>4452</x:v>
      </x:c>
      <x:c r="B946" t="s">
        <x:v>4452</x:v>
      </x:c>
      <x:c r="C946" t="s">
        <x:v>4453</x:v>
      </x:c>
      <x:c r="D946">
        <x:v>8</x:v>
      </x:c>
      <x:c r="E946" t="s">
        <x:v>103</x:v>
      </x:c>
      <x:c r="F946" t="s">
        <x:v>97</x:v>
      </x:c>
      <x:c r="G946">
        <x:v>42315</x:v>
      </x:c>
      <x:c r="H946" t="s">
        <x:v>4454</x:v>
      </x:c>
      <x:c r="I946" t="s">
        <x:v>4455</x:v>
      </x:c>
      <x:c r="J946" t="s">
        <x:v>4456</x:v>
      </x:c>
    </x:row>
    <x:row r="947">
      <x:c r="A947" t="s">
        <x:v>4457</x:v>
      </x:c>
      <x:c r="B947" t="s">
        <x:v>4457</x:v>
      </x:c>
      <x:c r="C947" t="s">
        <x:v>4458</x:v>
      </x:c>
      <x:c r="D947">
        <x:v>12</x:v>
      </x:c>
      <x:c r="E947" t="s">
        <x:v>103</x:v>
      </x:c>
      <x:c r="F947" t="s">
        <x:v>97</x:v>
      </x:c>
      <x:c r="G947">
        <x:v>42224</x:v>
      </x:c>
      <x:c r="H947" t="s">
        <x:v>4459</x:v>
      </x:c>
      <x:c r="I947" t="s">
        <x:v>4460</x:v>
      </x:c>
      <x:c r="J947" t="s">
        <x:v>4461</x:v>
      </x:c>
    </x:row>
    <x:row r="948">
      <x:c r="A948" t="s">
        <x:v>4462</x:v>
      </x:c>
      <x:c r="B948" t="s">
        <x:v>4462</x:v>
      </x:c>
      <x:c r="C948" t="s">
        <x:v>4463</x:v>
      </x:c>
      <x:c r="D948">
        <x:v>10</x:v>
      </x:c>
      <x:c r="E948" t="s">
        <x:v>103</x:v>
      </x:c>
      <x:c r="F948" t="s">
        <x:v>97</x:v>
      </x:c>
      <x:c r="G948">
        <x:v>41569</x:v>
      </x:c>
      <x:c r="H948" t="s">
        <x:v>4464</x:v>
      </x:c>
      <x:c r="I948" t="s">
        <x:v>4465</x:v>
      </x:c>
      <x:c r="J948" t="s">
        <x:v>4466</x:v>
      </x:c>
    </x:row>
    <x:row r="949">
      <x:c r="A949" t="s">
        <x:v>4467</x:v>
      </x:c>
      <x:c r="B949" t="s">
        <x:v>4467</x:v>
      </x:c>
      <x:c r="C949" t="s">
        <x:v>4468</x:v>
      </x:c>
      <x:c r="D949">
        <x:v>7</x:v>
      </x:c>
      <x:c r="E949" t="s">
        <x:v>103</x:v>
      </x:c>
      <x:c r="F949" t="s">
        <x:v>97</x:v>
      </x:c>
      <x:c r="G949">
        <x:v>41998</x:v>
      </x:c>
      <x:c r="H949" t="s">
        <x:v>4469</x:v>
      </x:c>
      <x:c r="I949" t="s">
        <x:v>4470</x:v>
      </x:c>
      <x:c r="J949" t="s">
        <x:v>4471</x:v>
      </x:c>
    </x:row>
    <x:row r="950">
      <x:c r="A950" t="s">
        <x:v>4472</x:v>
      </x:c>
      <x:c r="B950" t="s">
        <x:v>4472</x:v>
      </x:c>
      <x:c r="C950" t="s">
        <x:v>4473</x:v>
      </x:c>
      <x:c r="D950">
        <x:v>4</x:v>
      </x:c>
      <x:c r="E950" t="s">
        <x:v>96</x:v>
      </x:c>
      <x:c r="F950" t="s">
        <x:v>97</x:v>
      </x:c>
      <x:c r="G950">
        <x:v>42163</x:v>
      </x:c>
      <x:c r="H950" t="s">
        <x:v>4474</x:v>
      </x:c>
      <x:c r="I950" t="s">
        <x:v>4475</x:v>
      </x:c>
      <x:c r="J950" t="s">
        <x:v>4476</x:v>
      </x:c>
    </x:row>
    <x:row r="951">
      <x:c r="A951" t="s">
        <x:v>4477</x:v>
      </x:c>
      <x:c r="B951" t="s">
        <x:v>4477</x:v>
      </x:c>
      <x:c r="C951" t="s">
        <x:v>4478</x:v>
      </x:c>
      <x:c r="D951">
        <x:v>6</x:v>
      </x:c>
      <x:c r="E951" t="s">
        <x:v>257</x:v>
      </x:c>
      <x:c r="F951" t="s">
        <x:v>97</x:v>
      </x:c>
      <x:c r="G951">
        <x:v>42264</x:v>
      </x:c>
      <x:c r="H951" t="s">
        <x:v>4479</x:v>
      </x:c>
      <x:c r="I951" t="s">
        <x:v>4480</x:v>
      </x:c>
      <x:c r="J951" t="s">
        <x:v>4481</x:v>
      </x:c>
    </x:row>
    <x:row r="952">
      <x:c r="A952" t="s">
        <x:v>4482</x:v>
      </x:c>
      <x:c r="B952" t="s">
        <x:v>4482</x:v>
      </x:c>
      <x:c r="C952" t="s">
        <x:v>4337</x:v>
      </x:c>
      <x:c r="D952">
        <x:v>7</x:v>
      </x:c>
      <x:c r="E952" t="s">
        <x:v>103</x:v>
      </x:c>
      <x:c r="F952" t="s">
        <x:v>97</x:v>
      </x:c>
      <x:c r="G952">
        <x:v>43435</x:v>
      </x:c>
      <x:c r="H952" t="s">
        <x:v>4483</x:v>
      </x:c>
      <x:c r="I952" t="s">
        <x:v>4484</x:v>
      </x:c>
      <x:c r="J952" t="s">
        <x:v>4485</x:v>
      </x:c>
    </x:row>
    <x:row r="953">
      <x:c r="A953" t="s">
        <x:v>4486</x:v>
      </x:c>
      <x:c r="B953" t="s">
        <x:v>4486</x:v>
      </x:c>
      <x:c r="C953" t="s">
        <x:v>4487</x:v>
      </x:c>
      <x:c r="D953">
        <x:v>5</x:v>
      </x:c>
      <x:c r="E953" t="s">
        <x:v>96</x:v>
      </x:c>
      <x:c r="F953" t="s">
        <x:v>97</x:v>
      </x:c>
      <x:c r="G953">
        <x:v>42208</x:v>
      </x:c>
      <x:c r="H953" t="s">
        <x:v>4488</x:v>
      </x:c>
      <x:c r="I953" t="s">
        <x:v>4489</x:v>
      </x:c>
      <x:c r="J953" t="s">
        <x:v>4490</x:v>
      </x:c>
    </x:row>
    <x:row r="954">
      <x:c r="A954" t="s">
        <x:v>4491</x:v>
      </x:c>
      <x:c r="B954" t="s">
        <x:v>4491</x:v>
      </x:c>
      <x:c r="C954" t="s">
        <x:v>4492</x:v>
      </x:c>
      <x:c r="D954">
        <x:v>3</x:v>
      </x:c>
      <x:c r="E954" t="s">
        <x:v>103</x:v>
      </x:c>
      <x:c r="F954" t="s">
        <x:v>97</x:v>
      </x:c>
      <x:c r="G954">
        <x:v>42135</x:v>
      </x:c>
      <x:c r="H954" t="s">
        <x:v>4493</x:v>
      </x:c>
      <x:c r="I954" t="s">
        <x:v>4494</x:v>
      </x:c>
      <x:c r="J954" t="s">
        <x:v>4495</x:v>
      </x:c>
    </x:row>
    <x:row r="955">
      <x:c r="A955" t="s">
        <x:v>4496</x:v>
      </x:c>
      <x:c r="B955" t="s">
        <x:v>4496</x:v>
      </x:c>
      <x:c r="C955" t="s">
        <x:v>2282</x:v>
      </x:c>
      <x:c r="D955">
        <x:v>8</x:v>
      </x:c>
      <x:c r="E955" t="s">
        <x:v>103</x:v>
      </x:c>
      <x:c r="F955" t="s">
        <x:v>97</x:v>
      </x:c>
      <x:c r="G955">
        <x:v>43548</x:v>
      </x:c>
      <x:c r="H955" t="s">
        <x:v>4497</x:v>
      </x:c>
      <x:c r="I955" t="s">
        <x:v>4498</x:v>
      </x:c>
      <x:c r="J955" t="s">
        <x:v>4499</x:v>
      </x:c>
    </x:row>
    <x:row r="956">
      <x:c r="A956" t="s">
        <x:v>4500</x:v>
      </x:c>
      <x:c r="B956" t="s">
        <x:v>4500</x:v>
      </x:c>
      <x:c r="C956" t="s">
        <x:v>2282</x:v>
      </x:c>
      <x:c r="D956">
        <x:v>32</x:v>
      </x:c>
      <x:c r="E956" t="s">
        <x:v>103</x:v>
      </x:c>
      <x:c r="F956" t="s">
        <x:v>97</x:v>
      </x:c>
      <x:c r="G956">
        <x:v>43747</x:v>
      </x:c>
      <x:c r="H956" t="s">
        <x:v>4501</x:v>
      </x:c>
      <x:c r="I956" t="s">
        <x:v>4502</x:v>
      </x:c>
      <x:c r="J956" t="s">
        <x:v>4503</x:v>
      </x:c>
    </x:row>
    <x:row r="957">
      <x:c r="A957" t="s">
        <x:v>4504</x:v>
      </x:c>
      <x:c r="B957" t="s">
        <x:v>4504</x:v>
      </x:c>
      <x:c r="C957" t="s">
        <x:v>4505</x:v>
      </x:c>
      <x:c r="D957">
        <x:v>7</x:v>
      </x:c>
      <x:c r="E957" t="s">
        <x:v>103</x:v>
      </x:c>
      <x:c r="F957" t="s">
        <x:v>97</x:v>
      </x:c>
      <x:c r="G957">
        <x:v>42338</x:v>
      </x:c>
      <x:c r="H957" t="s">
        <x:v>4506</x:v>
      </x:c>
      <x:c r="I957" t="s">
        <x:v>4507</x:v>
      </x:c>
      <x:c r="J957" t="s">
        <x:v>4508</x:v>
      </x:c>
    </x:row>
    <x:row r="958">
      <x:c r="A958" t="s">
        <x:v>4509</x:v>
      </x:c>
      <x:c r="B958" t="s">
        <x:v>4509</x:v>
      </x:c>
      <x:c r="C958" t="s">
        <x:v>4510</x:v>
      </x:c>
      <x:c r="D958">
        <x:v>17</x:v>
      </x:c>
      <x:c r="E958" t="s">
        <x:v>103</x:v>
      </x:c>
      <x:c r="F958" t="s">
        <x:v>97</x:v>
      </x:c>
      <x:c r="G958">
        <x:v>42252</x:v>
      </x:c>
      <x:c r="H958" t="s">
        <x:v>4511</x:v>
      </x:c>
      <x:c r="I958" t="s">
        <x:v>4512</x:v>
      </x:c>
      <x:c r="J958" t="s">
        <x:v>4513</x:v>
      </x:c>
    </x:row>
    <x:row r="959">
      <x:c r="A959" t="s">
        <x:v>4514</x:v>
      </x:c>
      <x:c r="B959" t="s">
        <x:v>4514</x:v>
      </x:c>
      <x:c r="C959" t="s">
        <x:v>4510</x:v>
      </x:c>
      <x:c r="D959">
        <x:v>6</x:v>
      </x:c>
      <x:c r="E959" t="s">
        <x:v>257</x:v>
      </x:c>
      <x:c r="F959" t="s">
        <x:v>97</x:v>
      </x:c>
      <x:c r="G959">
        <x:v>42293</x:v>
      </x:c>
      <x:c r="H959" t="s">
        <x:v>4515</x:v>
      </x:c>
      <x:c r="I959" t="s">
        <x:v>4516</x:v>
      </x:c>
      <x:c r="J959" t="s">
        <x:v>4517</x:v>
      </x:c>
    </x:row>
    <x:row r="960">
      <x:c r="A960" t="s">
        <x:v>4518</x:v>
      </x:c>
      <x:c r="B960" t="s">
        <x:v>4518</x:v>
      </x:c>
      <x:c r="C960" t="s">
        <x:v>4519</x:v>
      </x:c>
      <x:c r="D960">
        <x:v>60</x:v>
      </x:c>
      <x:c r="E960" t="s">
        <x:v>257</x:v>
      </x:c>
      <x:c r="F960" t="s">
        <x:v>97</x:v>
      </x:c>
      <x:c r="G960">
        <x:v>42286</x:v>
      </x:c>
      <x:c r="H960" t="s">
        <x:v>4520</x:v>
      </x:c>
      <x:c r="I960" t="s">
        <x:v>4521</x:v>
      </x:c>
      <x:c r="J960" t="s">
        <x:v>4522</x:v>
      </x:c>
    </x:row>
    <x:row r="961">
      <x:c r="A961" t="s">
        <x:v>4523</x:v>
      </x:c>
      <x:c r="B961" t="s">
        <x:v>4523</x:v>
      </x:c>
      <x:c r="C961" t="s">
        <x:v>2170</x:v>
      </x:c>
      <x:c r="D961">
        <x:v>11</x:v>
      </x:c>
      <x:c r="E961" t="s">
        <x:v>96</x:v>
      </x:c>
      <x:c r="F961" t="s">
        <x:v>97</x:v>
      </x:c>
      <x:c r="G961">
        <x:v>42231</x:v>
      </x:c>
      <x:c r="H961" t="s">
        <x:v>4524</x:v>
      </x:c>
      <x:c r="I961" t="s">
        <x:v>4525</x:v>
      </x:c>
      <x:c r="J961" t="s">
        <x:v>4526</x:v>
      </x:c>
    </x:row>
    <x:row r="962">
      <x:c r="A962" t="s">
        <x:v>4527</x:v>
      </x:c>
      <x:c r="B962" t="s">
        <x:v>4527</x:v>
      </x:c>
      <x:c r="C962" t="s">
        <x:v>4528</x:v>
      </x:c>
      <x:c r="D962">
        <x:v>3</x:v>
      </x:c>
      <x:c r="E962" t="s">
        <x:v>89</x:v>
      </x:c>
      <x:c r="F962" t="s">
        <x:v>90</x:v>
      </x:c>
      <x:c r="G962">
        <x:v>44584</x:v>
      </x:c>
      <x:c r="H962" t="s">
        <x:v>4529</x:v>
      </x:c>
      <x:c r="I962" t="s">
        <x:v>4530</x:v>
      </x:c>
      <x:c r="J962" t="s">
        <x:v>4531</x:v>
      </x:c>
    </x:row>
    <x:row r="963">
      <x:c r="A963" t="s">
        <x:v>4532</x:v>
      </x:c>
      <x:c r="B963" t="s">
        <x:v>4532</x:v>
      </x:c>
      <x:c r="C963" t="s">
        <x:v>4533</x:v>
      </x:c>
      <x:c r="D963">
        <x:v>12</x:v>
      </x:c>
      <x:c r="E963" t="s">
        <x:v>103</x:v>
      </x:c>
      <x:c r="F963" t="s">
        <x:v>97</x:v>
      </x:c>
      <x:c r="G963">
        <x:v>46035</x:v>
      </x:c>
      <x:c r="H963" t="s">
        <x:v>4534</x:v>
      </x:c>
      <x:c r="I963" t="s">
        <x:v>4535</x:v>
      </x:c>
      <x:c r="J963" t="s">
        <x:v>4536</x:v>
      </x:c>
    </x:row>
    <x:row r="964">
      <x:c r="A964" t="s">
        <x:v>4537</x:v>
      </x:c>
      <x:c r="B964" t="s">
        <x:v>4537</x:v>
      </x:c>
      <x:c r="C964" t="s">
        <x:v>2496</x:v>
      </x:c>
      <x:c r="D964">
        <x:v>7</x:v>
      </x:c>
      <x:c r="E964" t="s">
        <x:v>96</x:v>
      </x:c>
      <x:c r="F964" t="s">
        <x:v>97</x:v>
      </x:c>
      <x:c r="G964">
        <x:v>42003</x:v>
      </x:c>
      <x:c r="H964" t="s">
        <x:v>4538</x:v>
      </x:c>
      <x:c r="I964" t="s">
        <x:v>4539</x:v>
      </x:c>
      <x:c r="J964" t="s">
        <x:v>4540</x:v>
      </x:c>
    </x:row>
    <x:row r="965">
      <x:c r="A965" t="s">
        <x:v>4541</x:v>
      </x:c>
      <x:c r="B965" t="s">
        <x:v>4541</x:v>
      </x:c>
      <x:c r="C965" t="s">
        <x:v>4542</x:v>
      </x:c>
      <x:c r="D965">
        <x:v>16</x:v>
      </x:c>
      <x:c r="E965" t="s">
        <x:v>96</x:v>
      </x:c>
      <x:c r="F965" t="s">
        <x:v>97</x:v>
      </x:c>
      <x:c r="G965">
        <x:v>42255</x:v>
      </x:c>
      <x:c r="H965" t="s">
        <x:v>4543</x:v>
      </x:c>
      <x:c r="I965" t="s">
        <x:v>4544</x:v>
      </x:c>
      <x:c r="J965" t="s">
        <x:v>4545</x:v>
      </x:c>
    </x:row>
    <x:row r="966">
      <x:c r="A966" t="s">
        <x:v>4546</x:v>
      </x:c>
      <x:c r="B966" t="s">
        <x:v>4546</x:v>
      </x:c>
      <x:c r="C966" t="s">
        <x:v>167</x:v>
      </x:c>
      <x:c r="D966">
        <x:v>86</x:v>
      </x:c>
      <x:c r="E966" t="s">
        <x:v>96</x:v>
      </x:c>
      <x:c r="F966" t="s">
        <x:v>97</x:v>
      </x:c>
      <x:c r="G966">
        <x:v>44255</x:v>
      </x:c>
      <x:c r="H966" t="s">
        <x:v>4547</x:v>
      </x:c>
      <x:c r="I966" t="s">
        <x:v>4548</x:v>
      </x:c>
      <x:c r="J966" t="s">
        <x:v>4549</x:v>
      </x:c>
    </x:row>
    <x:row r="967">
      <x:c r="A967" t="s">
        <x:v>4550</x:v>
      </x:c>
      <x:c r="B967" t="s">
        <x:v>4550</x:v>
      </x:c>
      <x:c r="C967" t="s">
        <x:v>167</x:v>
      </x:c>
      <x:c r="D967">
        <x:v>95</x:v>
      </x:c>
      <x:c r="E967" t="s">
        <x:v>96</x:v>
      </x:c>
      <x:c r="F967" t="s">
        <x:v>97</x:v>
      </x:c>
      <x:c r="G967">
        <x:v>44395</x:v>
      </x:c>
      <x:c r="H967" t="s">
        <x:v>4551</x:v>
      </x:c>
      <x:c r="I967" t="s">
        <x:v>4552</x:v>
      </x:c>
      <x:c r="J967" t="s">
        <x:v>4553</x:v>
      </x:c>
    </x:row>
    <x:row r="968">
      <x:c r="A968" t="s">
        <x:v>4554</x:v>
      </x:c>
      <x:c r="B968" t="s">
        <x:v>4554</x:v>
      </x:c>
      <x:c r="C968" t="s">
        <x:v>167</x:v>
      </x:c>
      <x:c r="D968">
        <x:v>95</x:v>
      </x:c>
      <x:c r="E968" t="s">
        <x:v>96</x:v>
      </x:c>
      <x:c r="F968" t="s">
        <x:v>97</x:v>
      </x:c>
      <x:c r="G968">
        <x:v>42349</x:v>
      </x:c>
      <x:c r="H968" t="s">
        <x:v>4555</x:v>
      </x:c>
      <x:c r="I968" t="s">
        <x:v>4556</x:v>
      </x:c>
      <x:c r="J968" t="s">
        <x:v>4557</x:v>
      </x:c>
    </x:row>
    <x:row r="969">
      <x:c r="A969" t="s">
        <x:v>4558</x:v>
      </x:c>
      <x:c r="B969" t="s">
        <x:v>4558</x:v>
      </x:c>
      <x:c r="C969" t="s">
        <x:v>4559</x:v>
      </x:c>
      <x:c r="D969">
        <x:v>18</x:v>
      </x:c>
      <x:c r="E969" t="s">
        <x:v>103</x:v>
      </x:c>
      <x:c r="F969" t="s">
        <x:v>97</x:v>
      </x:c>
      <x:c r="G969">
        <x:v>45848</x:v>
      </x:c>
      <x:c r="H969" t="s">
        <x:v>4560</x:v>
      </x:c>
      <x:c r="I969" t="s">
        <x:v>4561</x:v>
      </x:c>
      <x:c r="J969" t="s">
        <x:v>4562</x:v>
      </x:c>
    </x:row>
    <x:row r="970">
      <x:c r="A970" t="s">
        <x:v>4563</x:v>
      </x:c>
      <x:c r="B970" t="s">
        <x:v>4563</x:v>
      </x:c>
      <x:c r="C970" t="s">
        <x:v>4564</x:v>
      </x:c>
      <x:c r="D970">
        <x:v>5</x:v>
      </x:c>
      <x:c r="E970" t="s">
        <x:v>103</x:v>
      </x:c>
      <x:c r="F970" t="s">
        <x:v>97</x:v>
      </x:c>
      <x:c r="G970">
        <x:v>43454</x:v>
      </x:c>
      <x:c r="H970" t="s">
        <x:v>4565</x:v>
      </x:c>
      <x:c r="I970" t="s">
        <x:v>4566</x:v>
      </x:c>
      <x:c r="J970" t="s">
        <x:v>4567</x:v>
      </x:c>
    </x:row>
    <x:row r="971">
      <x:c r="A971" t="s">
        <x:v>4568</x:v>
      </x:c>
      <x:c r="B971" t="s">
        <x:v>4568</x:v>
      </x:c>
      <x:c r="C971" t="s">
        <x:v>4569</x:v>
      </x:c>
      <x:c r="D971">
        <x:v>11</x:v>
      </x:c>
      <x:c r="E971" t="s">
        <x:v>89</x:v>
      </x:c>
      <x:c r="F971" t="s">
        <x:v>97</x:v>
      </x:c>
      <x:c r="G971">
        <x:v>44891</x:v>
      </x:c>
      <x:c r="H971" t="s">
        <x:v>4570</x:v>
      </x:c>
      <x:c r="I971" t="s">
        <x:v>4571</x:v>
      </x:c>
      <x:c r="J971" t="s">
        <x:v>4572</x:v>
      </x:c>
    </x:row>
    <x:row r="972">
      <x:c r="A972" t="s">
        <x:v>4573</x:v>
      </x:c>
      <x:c r="B972" t="s">
        <x:v>4573</x:v>
      </x:c>
      <x:c r="C972" t="s">
        <x:v>4574</x:v>
      </x:c>
      <x:c r="D972">
        <x:v>5</x:v>
      </x:c>
      <x:c r="E972" t="s">
        <x:v>103</x:v>
      </x:c>
      <x:c r="F972" t="s">
        <x:v>97</x:v>
      </x:c>
      <x:c r="G972">
        <x:v>42255</x:v>
      </x:c>
      <x:c r="H972" t="s">
        <x:v>4575</x:v>
      </x:c>
      <x:c r="I972" t="s">
        <x:v>4576</x:v>
      </x:c>
      <x:c r="J972" t="s">
        <x:v>4577</x:v>
      </x:c>
    </x:row>
    <x:row r="973">
      <x:c r="A973" t="s">
        <x:v>4578</x:v>
      </x:c>
      <x:c r="B973" t="s">
        <x:v>4578</x:v>
      </x:c>
      <x:c r="C973" t="s">
        <x:v>4579</x:v>
      </x:c>
      <x:c r="D973">
        <x:v>56</x:v>
      </x:c>
      <x:c r="E973" t="s">
        <x:v>96</x:v>
      </x:c>
      <x:c r="F973" t="s">
        <x:v>97</x:v>
      </x:c>
      <x:c r="G973">
        <x:v>45828</x:v>
      </x:c>
      <x:c r="H973" t="s">
        <x:v>4580</x:v>
      </x:c>
      <x:c r="I973" t="s">
        <x:v>4581</x:v>
      </x:c>
      <x:c r="J973" t="s">
        <x:v>4582</x:v>
      </x:c>
    </x:row>
    <x:row r="974">
      <x:c r="A974" t="s">
        <x:v>4583</x:v>
      </x:c>
      <x:c r="B974" t="s">
        <x:v>4583</x:v>
      </x:c>
      <x:c r="C974" t="s">
        <x:v>4584</x:v>
      </x:c>
      <x:c r="D974">
        <x:v>13</x:v>
      </x:c>
      <x:c r="E974" t="s">
        <x:v>103</x:v>
      </x:c>
      <x:c r="F974" t="s">
        <x:v>97</x:v>
      </x:c>
      <x:c r="G974">
        <x:v>44826</x:v>
      </x:c>
      <x:c r="H974" t="s">
        <x:v>4585</x:v>
      </x:c>
      <x:c r="I974" t="s">
        <x:v>4586</x:v>
      </x:c>
      <x:c r="J974" t="s">
        <x:v>4587</x:v>
      </x:c>
    </x:row>
    <x:row r="975">
      <x:c r="A975" t="s">
        <x:v>4588</x:v>
      </x:c>
      <x:c r="B975" t="s">
        <x:v>4588</x:v>
      </x:c>
      <x:c r="C975" t="s">
        <x:v>4589</x:v>
      </x:c>
      <x:c r="D975">
        <x:v>10</x:v>
      </x:c>
      <x:c r="E975" t="s">
        <x:v>257</x:v>
      </x:c>
      <x:c r="F975" t="s">
        <x:v>97</x:v>
      </x:c>
      <x:c r="G975">
        <x:v>42268</x:v>
      </x:c>
      <x:c r="H975" t="s">
        <x:v>4590</x:v>
      </x:c>
      <x:c r="I975" t="s">
        <x:v>4591</x:v>
      </x:c>
      <x:c r="J975" t="s">
        <x:v>4592</x:v>
      </x:c>
    </x:row>
    <x:row r="976">
      <x:c r="A976" t="s">
        <x:v>4593</x:v>
      </x:c>
      <x:c r="B976" t="s">
        <x:v>4593</x:v>
      </x:c>
      <x:c r="C976" t="s">
        <x:v>4594</x:v>
      </x:c>
      <x:c r="D976">
        <x:v>6</x:v>
      </x:c>
      <x:c r="E976" t="s">
        <x:v>103</x:v>
      </x:c>
      <x:c r="F976" t="s">
        <x:v>97</x:v>
      </x:c>
      <x:c r="G976">
        <x:v>42314</x:v>
      </x:c>
      <x:c r="H976" t="s">
        <x:v>4595</x:v>
      </x:c>
      <x:c r="I976" t="s">
        <x:v>4596</x:v>
      </x:c>
      <x:c r="J976" t="s">
        <x:v>4597</x:v>
      </x:c>
    </x:row>
    <x:row r="977">
      <x:c r="A977" t="s">
        <x:v>4598</x:v>
      </x:c>
      <x:c r="B977" t="s">
        <x:v>4598</x:v>
      </x:c>
      <x:c r="C977" t="s">
        <x:v>4599</x:v>
      </x:c>
      <x:c r="D977">
        <x:v>5</x:v>
      </x:c>
      <x:c r="E977" t="s">
        <x:v>103</x:v>
      </x:c>
      <x:c r="F977" t="s">
        <x:v>97</x:v>
      </x:c>
      <x:c r="G977">
        <x:v>42288</x:v>
      </x:c>
      <x:c r="H977" t="s">
        <x:v>4600</x:v>
      </x:c>
      <x:c r="I977" t="s">
        <x:v>4601</x:v>
      </x:c>
      <x:c r="J977" t="s">
        <x:v>4602</x:v>
      </x:c>
    </x:row>
    <x:row r="978">
      <x:c r="A978" t="s">
        <x:v>4603</x:v>
      </x:c>
      <x:c r="B978" t="s">
        <x:v>4603</x:v>
      </x:c>
      <x:c r="C978" t="s">
        <x:v>3012</x:v>
      </x:c>
      <x:c r="D978">
        <x:v>7</x:v>
      </x:c>
      <x:c r="E978" t="s">
        <x:v>257</x:v>
      </x:c>
      <x:c r="F978" t="s">
        <x:v>97</x:v>
      </x:c>
      <x:c r="G978">
        <x:v>42482</x:v>
      </x:c>
      <x:c r="H978" t="s">
        <x:v>4604</x:v>
      </x:c>
      <x:c r="I978" t="s">
        <x:v>4605</x:v>
      </x:c>
      <x:c r="J978" t="s">
        <x:v>4606</x:v>
      </x:c>
    </x:row>
    <x:row r="979">
      <x:c r="A979" t="s">
        <x:v>4607</x:v>
      </x:c>
      <x:c r="B979" t="s">
        <x:v>4607</x:v>
      </x:c>
      <x:c r="C979" t="s">
        <x:v>4608</x:v>
      </x:c>
      <x:c r="D979">
        <x:v>6</x:v>
      </x:c>
      <x:c r="E979" t="s">
        <x:v>257</x:v>
      </x:c>
      <x:c r="F979" t="s">
        <x:v>97</x:v>
      </x:c>
      <x:c r="G979">
        <x:v>42228</x:v>
      </x:c>
      <x:c r="H979" t="s">
        <x:v>4609</x:v>
      </x:c>
      <x:c r="I979" t="s">
        <x:v>4610</x:v>
      </x:c>
      <x:c r="J979" t="s">
        <x:v>4611</x:v>
      </x:c>
    </x:row>
    <x:row r="980">
      <x:c r="A980" t="s">
        <x:v>4612</x:v>
      </x:c>
      <x:c r="B980" t="s">
        <x:v>4612</x:v>
      </x:c>
      <x:c r="C980" t="s">
        <x:v>282</x:v>
      </x:c>
      <x:c r="D980">
        <x:v>9</x:v>
      </x:c>
      <x:c r="E980" t="s">
        <x:v>96</x:v>
      </x:c>
      <x:c r="F980" t="s">
        <x:v>97</x:v>
      </x:c>
      <x:c r="G980">
        <x:v>43909</x:v>
      </x:c>
      <x:c r="H980" t="s">
        <x:v>4613</x:v>
      </x:c>
      <x:c r="I980" t="s">
        <x:v>4614</x:v>
      </x:c>
      <x:c r="J980" t="s">
        <x:v>4615</x:v>
      </x:c>
    </x:row>
    <x:row r="981">
      <x:c r="A981" t="s">
        <x:v>4616</x:v>
      </x:c>
      <x:c r="B981" t="s">
        <x:v>4616</x:v>
      </x:c>
      <x:c r="C981" t="s">
        <x:v>4617</x:v>
      </x:c>
      <x:c r="D981">
        <x:v>20</x:v>
      </x:c>
      <x:c r="E981" t="s">
        <x:v>114</x:v>
      </x:c>
      <x:c r="F981" t="s">
        <x:v>610</x:v>
      </x:c>
      <x:c r="G981">
        <x:v>45510</x:v>
      </x:c>
      <x:c r="H981" t="s">
        <x:v>4618</x:v>
      </x:c>
      <x:c r="I981" t="s">
        <x:v>4619</x:v>
      </x:c>
      <x:c r="J981" t="s">
        <x:v>4620</x:v>
      </x:c>
    </x:row>
    <x:row r="982">
      <x:c r="A982" t="s">
        <x:v>4621</x:v>
      </x:c>
      <x:c r="B982" t="s">
        <x:v>4621</x:v>
      </x:c>
      <x:c r="C982" t="s">
        <x:v>1641</x:v>
      </x:c>
      <x:c r="D982">
        <x:v>85</x:v>
      </x:c>
      <x:c r="E982" t="s">
        <x:v>96</x:v>
      </x:c>
      <x:c r="F982" t="s">
        <x:v>97</x:v>
      </x:c>
      <x:c r="G982">
        <x:v>42285</x:v>
      </x:c>
      <x:c r="H982" t="s">
        <x:v>4622</x:v>
      </x:c>
      <x:c r="I982" t="s">
        <x:v>4623</x:v>
      </x:c>
      <x:c r="J982" t="s">
        <x:v>4624</x:v>
      </x:c>
    </x:row>
    <x:row r="983">
      <x:c r="A983" t="s">
        <x:v>4625</x:v>
      </x:c>
      <x:c r="B983" t="s">
        <x:v>4625</x:v>
      </x:c>
      <x:c r="C983" t="s">
        <x:v>1282</x:v>
      </x:c>
      <x:c r="D983">
        <x:v>32</x:v>
      </x:c>
      <x:c r="E983" t="s">
        <x:v>89</x:v>
      </x:c>
      <x:c r="F983" t="s">
        <x:v>97</x:v>
      </x:c>
      <x:c r="G983">
        <x:v>44102</x:v>
      </x:c>
      <x:c r="H983" t="s">
        <x:v>4626</x:v>
      </x:c>
      <x:c r="I983" t="s">
        <x:v>4627</x:v>
      </x:c>
      <x:c r="J983" t="s">
        <x:v>4628</x:v>
      </x:c>
    </x:row>
    <x:row r="984">
      <x:c r="A984" t="s">
        <x:v>4629</x:v>
      </x:c>
      <x:c r="B984" t="s">
        <x:v>4629</x:v>
      </x:c>
      <x:c r="C984" t="s">
        <x:v>1282</x:v>
      </x:c>
      <x:c r="D984">
        <x:v>13</x:v>
      </x:c>
      <x:c r="E984" t="s">
        <x:v>96</x:v>
      </x:c>
      <x:c r="F984" t="s">
        <x:v>97</x:v>
      </x:c>
      <x:c r="G984">
        <x:v>44193</x:v>
      </x:c>
      <x:c r="H984" t="s">
        <x:v>4630</x:v>
      </x:c>
      <x:c r="I984" t="s">
        <x:v>4631</x:v>
      </x:c>
      <x:c r="J984" t="s">
        <x:v>4632</x:v>
      </x:c>
    </x:row>
    <x:row r="985">
      <x:c r="A985" t="s">
        <x:v>4633</x:v>
      </x:c>
      <x:c r="B985" t="s">
        <x:v>4633</x:v>
      </x:c>
      <x:c r="C985" t="s">
        <x:v>1282</x:v>
      </x:c>
      <x:c r="D985">
        <x:v>42</x:v>
      </x:c>
      <x:c r="E985" t="s">
        <x:v>89</x:v>
      </x:c>
      <x:c r="F985" t="s">
        <x:v>97</x:v>
      </x:c>
      <x:c r="G985">
        <x:v>44452</x:v>
      </x:c>
      <x:c r="H985" t="s">
        <x:v>4634</x:v>
      </x:c>
      <x:c r="I985" t="s">
        <x:v>4635</x:v>
      </x:c>
      <x:c r="J985" t="s">
        <x:v>4636</x:v>
      </x:c>
    </x:row>
    <x:row r="986">
      <x:c r="A986" t="s">
        <x:v>4637</x:v>
      </x:c>
      <x:c r="B986" t="s">
        <x:v>4637</x:v>
      </x:c>
      <x:c r="C986" t="s">
        <x:v>1282</x:v>
      </x:c>
      <x:c r="D986">
        <x:v>50</x:v>
      </x:c>
      <x:c r="E986" t="s">
        <x:v>89</x:v>
      </x:c>
      <x:c r="F986" t="s">
        <x:v>97</x:v>
      </x:c>
      <x:c r="G986">
        <x:v>45320</x:v>
      </x:c>
      <x:c r="H986" t="s">
        <x:v>4638</x:v>
      </x:c>
      <x:c r="I986" t="s">
        <x:v>4639</x:v>
      </x:c>
      <x:c r="J986" t="s">
        <x:v>4640</x:v>
      </x:c>
    </x:row>
    <x:row r="987">
      <x:c r="A987" t="s">
        <x:v>4641</x:v>
      </x:c>
      <x:c r="B987" t="s">
        <x:v>4641</x:v>
      </x:c>
      <x:c r="C987" t="s">
        <x:v>1282</x:v>
      </x:c>
      <x:c r="D987">
        <x:v>4</x:v>
      </x:c>
      <x:c r="E987" t="s">
        <x:v>96</x:v>
      </x:c>
      <x:c r="F987" t="s">
        <x:v>97</x:v>
      </x:c>
      <x:c r="G987">
        <x:v>45540</x:v>
      </x:c>
      <x:c r="H987" t="s">
        <x:v>4642</x:v>
      </x:c>
      <x:c r="I987" t="s">
        <x:v>4643</x:v>
      </x:c>
      <x:c r="J987" t="s">
        <x:v>4644</x:v>
      </x:c>
    </x:row>
    <x:row r="988">
      <x:c r="A988" t="s">
        <x:v>4645</x:v>
      </x:c>
      <x:c r="B988" t="s">
        <x:v>4645</x:v>
      </x:c>
      <x:c r="C988" t="s">
        <x:v>4646</x:v>
      </x:c>
      <x:c r="D988">
        <x:v>5</x:v>
      </x:c>
      <x:c r="E988" t="s">
        <x:v>89</x:v>
      </x:c>
      <x:c r="F988" t="s">
        <x:v>97</x:v>
      </x:c>
      <x:c r="G988">
        <x:v>42629</x:v>
      </x:c>
      <x:c r="H988" t="s">
        <x:v>4647</x:v>
      </x:c>
      <x:c r="I988" t="s">
        <x:v>4648</x:v>
      </x:c>
      <x:c r="J988" t="s">
        <x:v>4649</x:v>
      </x:c>
    </x:row>
    <x:row r="989">
      <x:c r="A989" t="s">
        <x:v>4650</x:v>
      </x:c>
      <x:c r="B989" t="s">
        <x:v>4650</x:v>
      </x:c>
      <x:c r="C989" t="s">
        <x:v>4398</x:v>
      </x:c>
      <x:c r="D989">
        <x:v>11</x:v>
      </x:c>
      <x:c r="E989" t="s">
        <x:v>103</x:v>
      </x:c>
      <x:c r="F989" t="s">
        <x:v>97</x:v>
      </x:c>
      <x:c r="G989">
        <x:v>43907</x:v>
      </x:c>
      <x:c r="H989" t="s">
        <x:v>4651</x:v>
      </x:c>
      <x:c r="I989" t="s">
        <x:v>4652</x:v>
      </x:c>
      <x:c r="J989" t="s">
        <x:v>4653</x:v>
      </x:c>
    </x:row>
    <x:row r="990">
      <x:c r="A990" t="s">
        <x:v>4654</x:v>
      </x:c>
      <x:c r="B990" t="s">
        <x:v>4654</x:v>
      </x:c>
      <x:c r="C990" t="s">
        <x:v>4655</x:v>
      </x:c>
      <x:c r="D990">
        <x:v>26</x:v>
      </x:c>
      <x:c r="E990" t="s">
        <x:v>103</x:v>
      </x:c>
      <x:c r="F990" t="s">
        <x:v>97</x:v>
      </x:c>
      <x:c r="G990">
        <x:v>42339</x:v>
      </x:c>
      <x:c r="H990" t="s">
        <x:v>4656</x:v>
      </x:c>
      <x:c r="I990" t="s">
        <x:v>4657</x:v>
      </x:c>
      <x:c r="J990" t="s">
        <x:v>4658</x:v>
      </x:c>
    </x:row>
    <x:row r="991">
      <x:c r="A991" t="s">
        <x:v>4659</x:v>
      </x:c>
      <x:c r="B991" t="s">
        <x:v>4659</x:v>
      </x:c>
      <x:c r="C991" t="s">
        <x:v>4660</x:v>
      </x:c>
      <x:c r="D991">
        <x:v>8</x:v>
      </x:c>
      <x:c r="E991" t="s">
        <x:v>103</x:v>
      </x:c>
      <x:c r="F991" t="s">
        <x:v>97</x:v>
      </x:c>
      <x:c r="G991">
        <x:v>41450</x:v>
      </x:c>
      <x:c r="H991" t="s">
        <x:v>4661</x:v>
      </x:c>
      <x:c r="I991" t="s">
        <x:v>4662</x:v>
      </x:c>
      <x:c r="J991" t="s">
        <x:v>4663</x:v>
      </x:c>
    </x:row>
    <x:row r="992">
      <x:c r="A992" t="s">
        <x:v>4664</x:v>
      </x:c>
      <x:c r="B992" t="s">
        <x:v>4664</x:v>
      </x:c>
      <x:c r="C992" t="s">
        <x:v>4665</x:v>
      </x:c>
      <x:c r="D992">
        <x:v>8</x:v>
      </x:c>
      <x:c r="E992" t="s">
        <x:v>96</x:v>
      </x:c>
      <x:c r="F992" t="s">
        <x:v>97</x:v>
      </x:c>
      <x:c r="G992">
        <x:v>42691</x:v>
      </x:c>
      <x:c r="H992" t="s">
        <x:v>4666</x:v>
      </x:c>
      <x:c r="I992" t="s">
        <x:v>4667</x:v>
      </x:c>
      <x:c r="J992" t="s">
        <x:v>4668</x:v>
      </x:c>
    </x:row>
    <x:row r="993">
      <x:c r="A993" t="s">
        <x:v>4669</x:v>
      </x:c>
      <x:c r="B993" t="s">
        <x:v>4669</x:v>
      </x:c>
      <x:c r="C993" t="s">
        <x:v>4670</x:v>
      </x:c>
      <x:c r="D993">
        <x:v>96</x:v>
      </x:c>
      <x:c r="E993" t="s">
        <x:v>103</x:v>
      </x:c>
      <x:c r="F993" t="s">
        <x:v>97</x:v>
      </x:c>
      <x:c r="G993">
        <x:v>42010</x:v>
      </x:c>
      <x:c r="H993" t="s">
        <x:v>4671</x:v>
      </x:c>
      <x:c r="I993" t="s">
        <x:v>4672</x:v>
      </x:c>
      <x:c r="J993" t="s">
        <x:v>4673</x:v>
      </x:c>
    </x:row>
    <x:row r="994">
      <x:c r="A994" t="s">
        <x:v>4674</x:v>
      </x:c>
      <x:c r="B994" t="s">
        <x:v>4674</x:v>
      </x:c>
      <x:c r="C994" t="s">
        <x:v>4574</x:v>
      </x:c>
      <x:c r="D994">
        <x:v>52</x:v>
      </x:c>
      <x:c r="E994" t="s">
        <x:v>103</x:v>
      </x:c>
      <x:c r="F994" t="s">
        <x:v>97</x:v>
      </x:c>
      <x:c r="G994">
        <x:v>45351</x:v>
      </x:c>
      <x:c r="H994" t="s">
        <x:v>4675</x:v>
      </x:c>
      <x:c r="I994" t="s">
        <x:v>4676</x:v>
      </x:c>
      <x:c r="J994" t="s">
        <x:v>4677</x:v>
      </x:c>
    </x:row>
    <x:row r="995">
      <x:c r="A995" t="s">
        <x:v>4678</x:v>
      </x:c>
      <x:c r="B995" t="s">
        <x:v>4678</x:v>
      </x:c>
      <x:c r="C995" t="s">
        <x:v>4679</x:v>
      </x:c>
      <x:c r="D995">
        <x:v>3</x:v>
      </x:c>
      <x:c r="E995" t="s">
        <x:v>257</x:v>
      </x:c>
      <x:c r="F995" t="s">
        <x:v>97</x:v>
      </x:c>
      <x:c r="G995">
        <x:v>42135</x:v>
      </x:c>
      <x:c r="H995" t="s">
        <x:v>4680</x:v>
      </x:c>
      <x:c r="I995" t="s">
        <x:v>4681</x:v>
      </x:c>
      <x:c r="J995" t="s">
        <x:v>4682</x:v>
      </x:c>
    </x:row>
    <x:row r="996">
      <x:c r="A996" t="s">
        <x:v>4683</x:v>
      </x:c>
      <x:c r="B996" t="s">
        <x:v>4683</x:v>
      </x:c>
      <x:c r="C996" t="s">
        <x:v>543</x:v>
      </x:c>
      <x:c r="D996">
        <x:v>90</x:v>
      </x:c>
      <x:c r="E996" t="s">
        <x:v>103</x:v>
      </x:c>
      <x:c r="F996" t="s">
        <x:v>97</x:v>
      </x:c>
      <x:c r="G996">
        <x:v>42939</x:v>
      </x:c>
      <x:c r="H996" t="s">
        <x:v>4684</x:v>
      </x:c>
      <x:c r="I996" t="s">
        <x:v>4685</x:v>
      </x:c>
      <x:c r="J996" t="s">
        <x:v>4686</x:v>
      </x:c>
    </x:row>
    <x:row r="997">
      <x:c r="A997" t="s">
        <x:v>4687</x:v>
      </x:c>
      <x:c r="B997" t="s">
        <x:v>4687</x:v>
      </x:c>
      <x:c r="C997" t="s">
        <x:v>2234</x:v>
      </x:c>
      <x:c r="D997">
        <x:v>13</x:v>
      </x:c>
      <x:c r="E997" t="s">
        <x:v>257</x:v>
      </x:c>
      <x:c r="F997" t="s">
        <x:v>97</x:v>
      </x:c>
      <x:c r="G997">
        <x:v>42306</x:v>
      </x:c>
      <x:c r="H997" t="s">
        <x:v>4688</x:v>
      </x:c>
      <x:c r="I997" t="s">
        <x:v>4689</x:v>
      </x:c>
      <x:c r="J997" t="s">
        <x:v>4690</x:v>
      </x:c>
    </x:row>
    <x:row r="998">
      <x:c r="A998" t="s">
        <x:v>4691</x:v>
      </x:c>
      <x:c r="B998" t="s">
        <x:v>4691</x:v>
      </x:c>
      <x:c r="C998" t="s">
        <x:v>4692</x:v>
      </x:c>
      <x:c r="D998">
        <x:v>9</x:v>
      </x:c>
      <x:c r="E998" t="s">
        <x:v>89</x:v>
      </x:c>
      <x:c r="F998" t="s">
        <x:v>610</x:v>
      </x:c>
      <x:c r="G998">
        <x:v>42960</x:v>
      </x:c>
      <x:c r="H998" t="s">
        <x:v>4693</x:v>
      </x:c>
      <x:c r="I998" t="s">
        <x:v>4694</x:v>
      </x:c>
      <x:c r="J998" t="s">
        <x:v>4695</x:v>
      </x:c>
    </x:row>
    <x:row r="999">
      <x:c r="A999" t="s">
        <x:v>4696</x:v>
      </x:c>
      <x:c r="B999" t="s">
        <x:v>4696</x:v>
      </x:c>
      <x:c r="C999" t="s">
        <x:v>4697</x:v>
      </x:c>
      <x:c r="D999">
        <x:v>4</x:v>
      </x:c>
      <x:c r="E999" t="s">
        <x:v>257</x:v>
      </x:c>
      <x:c r="F999" t="s">
        <x:v>97</x:v>
      </x:c>
      <x:c r="G999">
        <x:v>42125</x:v>
      </x:c>
      <x:c r="H999" t="s">
        <x:v>4698</x:v>
      </x:c>
      <x:c r="I999" t="s">
        <x:v>4699</x:v>
      </x:c>
      <x:c r="J999" t="s">
        <x:v>4700</x:v>
      </x:c>
    </x:row>
    <x:row r="1000">
      <x:c r="A1000" t="s">
        <x:v>4701</x:v>
      </x:c>
      <x:c r="B1000" t="s">
        <x:v>4701</x:v>
      </x:c>
      <x:c r="C1000" t="s">
        <x:v>1821</x:v>
      </x:c>
      <x:c r="D1000">
        <x:v>12</x:v>
      </x:c>
      <x:c r="E1000" t="s">
        <x:v>125</x:v>
      </x:c>
      <x:c r="F1000" t="s">
        <x:v>90</x:v>
      </x:c>
      <x:c r="G1000">
        <x:v>42722</x:v>
      </x:c>
      <x:c r="H1000" t="s">
        <x:v>4702</x:v>
      </x:c>
      <x:c r="I1000" t="s">
        <x:v>4703</x:v>
      </x:c>
      <x:c r="J1000" t="s">
        <x:v>4704</x:v>
      </x:c>
    </x:row>
    <x:row r="1001">
      <x:c r="A1001" t="s">
        <x:v>4705</x:v>
      </x:c>
      <x:c r="B1001" t="s">
        <x:v>4705</x:v>
      </x:c>
      <x:c r="C1001" t="s">
        <x:v>4706</x:v>
      </x:c>
      <x:c r="D1001">
        <x:v>18</x:v>
      </x:c>
      <x:c r="E1001" t="s">
        <x:v>198</x:v>
      </x:c>
      <x:c r="F1001" t="s">
        <x:v>90</x:v>
      </x:c>
      <x:c r="G1001">
        <x:v>44880</x:v>
      </x:c>
      <x:c r="H1001" t="s">
        <x:v>4707</x:v>
      </x:c>
      <x:c r="I1001" t="s">
        <x:v>4708</x:v>
      </x:c>
      <x:c r="J1001" t="s">
        <x:v>4709</x:v>
      </x:c>
    </x:row>
    <x:row r="1002">
      <x:c r="A1002" t="s">
        <x:v>4710</x:v>
      </x:c>
      <x:c r="B1002" t="s">
        <x:v>4710</x:v>
      </x:c>
      <x:c r="C1002" t="s">
        <x:v>680</x:v>
      </x:c>
      <x:c r="D1002">
        <x:v>6</x:v>
      </x:c>
      <x:c r="E1002" t="s">
        <x:v>114</x:v>
      </x:c>
      <x:c r="F1002" t="s">
        <x:v>90</x:v>
      </x:c>
      <x:c r="G1002">
        <x:v>44620</x:v>
      </x:c>
      <x:c r="H1002" t="s">
        <x:v>4711</x:v>
      </x:c>
      <x:c r="I1002" t="s">
        <x:v>4712</x:v>
      </x:c>
      <x:c r="J1002" t="s">
        <x:v>4713</x:v>
      </x:c>
    </x:row>
    <x:row r="1003">
      <x:c r="A1003" t="s">
        <x:v>4714</x:v>
      </x:c>
      <x:c r="B1003" t="s">
        <x:v>4714</x:v>
      </x:c>
      <x:c r="C1003" t="s">
        <x:v>3379</x:v>
      </x:c>
      <x:c r="D1003">
        <x:v>4</x:v>
      </x:c>
      <x:c r="E1003" t="s">
        <x:v>198</x:v>
      </x:c>
      <x:c r="F1003" t="s">
        <x:v>90</x:v>
      </x:c>
      <x:c r="G1003">
        <x:v>43459</x:v>
      </x:c>
      <x:c r="H1003" t="s">
        <x:v>4715</x:v>
      </x:c>
      <x:c r="I1003" t="s">
        <x:v>4716</x:v>
      </x:c>
      <x:c r="J1003" t="s">
        <x:v>4717</x:v>
      </x:c>
    </x:row>
    <x:row r="1004">
      <x:c r="A1004" t="s">
        <x:v>4718</x:v>
      </x:c>
      <x:c r="B1004" t="s">
        <x:v>4718</x:v>
      </x:c>
      <x:c r="C1004" t="s">
        <x:v>351</x:v>
      </x:c>
      <x:c r="D1004">
        <x:v>20</x:v>
      </x:c>
      <x:c r="E1004" t="s">
        <x:v>198</x:v>
      </x:c>
      <x:c r="F1004" t="s">
        <x:v>90</x:v>
      </x:c>
      <x:c r="G1004">
        <x:v>43984</x:v>
      </x:c>
      <x:c r="H1004" t="s">
        <x:v>4719</x:v>
      </x:c>
      <x:c r="I1004" t="s">
        <x:v>4720</x:v>
      </x:c>
      <x:c r="J1004" t="s">
        <x:v>4721</x:v>
      </x:c>
    </x:row>
    <x:row r="1005">
      <x:c r="A1005" t="s">
        <x:v>4722</x:v>
      </x:c>
      <x:c r="B1005" t="s">
        <x:v>4722</x:v>
      </x:c>
      <x:c r="C1005" t="s">
        <x:v>1334</x:v>
      </x:c>
      <x:c r="D1005">
        <x:v>11</x:v>
      </x:c>
      <x:c r="E1005" t="s">
        <x:v>103</x:v>
      </x:c>
      <x:c r="F1005" t="s">
        <x:v>97</x:v>
      </x:c>
      <x:c r="G1005">
        <x:v>42062</x:v>
      </x:c>
      <x:c r="H1005" t="s">
        <x:v>4723</x:v>
      </x:c>
      <x:c r="I1005" t="s">
        <x:v>4724</x:v>
      </x:c>
      <x:c r="J1005" t="s">
        <x:v>4725</x:v>
      </x:c>
    </x:row>
    <x:row r="1006">
      <x:c r="A1006" t="s">
        <x:v>4726</x:v>
      </x:c>
      <x:c r="B1006" t="s">
        <x:v>4727</x:v>
      </x:c>
      <x:c r="C1006" t="s">
        <x:v>3165</x:v>
      </x:c>
      <x:c r="D1006">
        <x:v>10</x:v>
      </x:c>
      <x:c r="E1006" t="s">
        <x:v>198</x:v>
      </x:c>
      <x:c r="F1006" t="s">
        <x:v>90</x:v>
      </x:c>
      <x:c r="G1006">
        <x:v>43870</x:v>
      </x:c>
      <x:c r="H1006" t="s">
        <x:v>4728</x:v>
      </x:c>
      <x:c r="I1006" t="s">
        <x:v>4729</x:v>
      </x:c>
      <x:c r="J1006" t="s">
        <x:v>4730</x:v>
      </x:c>
    </x:row>
    <x:row r="1007">
      <x:c r="A1007" t="s">
        <x:v>4731</x:v>
      </x:c>
      <x:c r="B1007" t="s">
        <x:v>4727</x:v>
      </x:c>
      <x:c r="C1007" t="s">
        <x:v>4732</x:v>
      </x:c>
      <x:c r="D1007">
        <x:v>15</x:v>
      </x:c>
      <x:c r="E1007" t="s">
        <x:v>96</x:v>
      </x:c>
      <x:c r="F1007" t="s">
        <x:v>97</x:v>
      </x:c>
      <x:c r="G1007">
        <x:v>45144</x:v>
      </x:c>
      <x:c r="H1007" t="s">
        <x:v>4733</x:v>
      </x:c>
      <x:c r="I1007" t="s">
        <x:v>4734</x:v>
      </x:c>
      <x:c r="J1007" t="s">
        <x:v>4735</x:v>
      </x:c>
    </x:row>
    <x:row r="1008">
      <x:c r="A1008" t="s">
        <x:v>4736</x:v>
      </x:c>
      <x:c r="B1008" t="s">
        <x:v>4736</x:v>
      </x:c>
      <x:c r="C1008" t="s">
        <x:v>4737</x:v>
      </x:c>
      <x:c r="D1008">
        <x:v>8</x:v>
      </x:c>
      <x:c r="E1008" t="s">
        <x:v>96</x:v>
      </x:c>
      <x:c r="F1008" t="s">
        <x:v>97</x:v>
      </x:c>
      <x:c r="G1008">
        <x:v>43383</x:v>
      </x:c>
      <x:c r="H1008" t="s">
        <x:v>4738</x:v>
      </x:c>
      <x:c r="I1008" t="s">
        <x:v>4739</x:v>
      </x:c>
      <x:c r="J1008" t="s">
        <x:v>4740</x:v>
      </x:c>
    </x:row>
    <x:row r="1009">
      <x:c r="A1009" t="s">
        <x:v>4741</x:v>
      </x:c>
      <x:c r="B1009" t="s">
        <x:v>4741</x:v>
      </x:c>
      <x:c r="C1009" t="s">
        <x:v>2562</x:v>
      </x:c>
      <x:c r="D1009">
        <x:v>10</x:v>
      </x:c>
      <x:c r="E1009" t="s">
        <x:v>114</x:v>
      </x:c>
      <x:c r="F1009" t="s">
        <x:v>90</x:v>
      </x:c>
      <x:c r="G1009">
        <x:v>44386</x:v>
      </x:c>
      <x:c r="H1009" t="s">
        <x:v>4742</x:v>
      </x:c>
      <x:c r="I1009" t="s">
        <x:v>4743</x:v>
      </x:c>
      <x:c r="J1009" t="s">
        <x:v>4744</x:v>
      </x:c>
    </x:row>
    <x:row r="1010">
      <x:c r="A1010" t="s">
        <x:v>4745</x:v>
      </x:c>
      <x:c r="B1010" t="s">
        <x:v>4745</x:v>
      </x:c>
      <x:c r="C1010" t="s">
        <x:v>4746</x:v>
      </x:c>
      <x:c r="D1010">
        <x:v>4</x:v>
      </x:c>
      <x:c r="E1010" t="s">
        <x:v>89</x:v>
      </x:c>
      <x:c r="F1010" t="s">
        <x:v>90</x:v>
      </x:c>
      <x:c r="G1010">
        <x:v>45938</x:v>
      </x:c>
      <x:c r="H1010" t="s">
        <x:v>4747</x:v>
      </x:c>
      <x:c r="I1010" t="s">
        <x:v>4748</x:v>
      </x:c>
      <x:c r="J1010" t="s">
        <x:v>4749</x:v>
      </x:c>
    </x:row>
    <x:row r="1011">
      <x:c r="A1011" t="s">
        <x:v>4750</x:v>
      </x:c>
      <x:c r="B1011" t="s">
        <x:v>4750</x:v>
      </x:c>
      <x:c r="C1011" t="s">
        <x:v>4751</x:v>
      </x:c>
      <x:c r="D1011">
        <x:v>15</x:v>
      </x:c>
      <x:c r="E1011" t="s">
        <x:v>125</x:v>
      </x:c>
      <x:c r="F1011" t="s">
        <x:v>90</x:v>
      </x:c>
      <x:c r="G1011">
        <x:v>44952</x:v>
      </x:c>
      <x:c r="H1011" t="s">
        <x:v>4752</x:v>
      </x:c>
      <x:c r="I1011" t="s">
        <x:v>4753</x:v>
      </x:c>
      <x:c r="J1011" t="s">
        <x:v>4754</x:v>
      </x:c>
    </x:row>
    <x:row r="1012">
      <x:c r="A1012" t="s">
        <x:v>4755</x:v>
      </x:c>
      <x:c r="B1012" t="s">
        <x:v>4755</x:v>
      </x:c>
      <x:c r="C1012" t="s">
        <x:v>4751</x:v>
      </x:c>
      <x:c r="D1012">
        <x:v>15</x:v>
      </x:c>
      <x:c r="E1012" t="s">
        <x:v>198</x:v>
      </x:c>
      <x:c r="F1012" t="s">
        <x:v>90</x:v>
      </x:c>
      <x:c r="G1012">
        <x:v>44984</x:v>
      </x:c>
      <x:c r="H1012" t="s">
        <x:v>4756</x:v>
      </x:c>
      <x:c r="I1012" t="s">
        <x:v>4757</x:v>
      </x:c>
      <x:c r="J1012" t="s">
        <x:v>4758</x:v>
      </x:c>
    </x:row>
    <x:row r="1013">
      <x:c r="A1013" t="s">
        <x:v>4759</x:v>
      </x:c>
      <x:c r="B1013" t="s">
        <x:v>4759</x:v>
      </x:c>
      <x:c r="C1013" t="s">
        <x:v>4760</x:v>
      </x:c>
      <x:c r="D1013">
        <x:v>7</x:v>
      </x:c>
      <x:c r="E1013" t="s">
        <x:v>89</x:v>
      </x:c>
      <x:c r="F1013" t="s">
        <x:v>90</x:v>
      </x:c>
      <x:c r="G1013">
        <x:v>44243</x:v>
      </x:c>
      <x:c r="H1013" t="s">
        <x:v>4761</x:v>
      </x:c>
      <x:c r="I1013" t="s">
        <x:v>4762</x:v>
      </x:c>
      <x:c r="J1013" t="s">
        <x:v>4763</x:v>
      </x:c>
    </x:row>
    <x:row r="1014">
      <x:c r="A1014" t="s">
        <x:v>4764</x:v>
      </x:c>
      <x:c r="B1014" t="s">
        <x:v>4764</x:v>
      </x:c>
      <x:c r="C1014" t="s">
        <x:v>1821</x:v>
      </x:c>
      <x:c r="D1014">
        <x:v>9</x:v>
      </x:c>
      <x:c r="E1014" t="s">
        <x:v>89</x:v>
      </x:c>
      <x:c r="F1014" t="s">
        <x:v>610</x:v>
      </x:c>
      <x:c r="G1014">
        <x:v>41917</x:v>
      </x:c>
      <x:c r="H1014" t="s">
        <x:v>4765</x:v>
      </x:c>
      <x:c r="I1014" t="s">
        <x:v>4766</x:v>
      </x:c>
      <x:c r="J1014" t="s">
        <x:v>4767</x:v>
      </x:c>
    </x:row>
    <x:row r="1015">
      <x:c r="A1015" t="s">
        <x:v>4768</x:v>
      </x:c>
      <x:c r="B1015" t="s">
        <x:v>4768</x:v>
      </x:c>
      <x:c r="C1015" t="s">
        <x:v>1821</x:v>
      </x:c>
      <x:c r="D1015">
        <x:v>9</x:v>
      </x:c>
      <x:c r="E1015" t="s">
        <x:v>198</x:v>
      </x:c>
      <x:c r="F1015" t="s">
        <x:v>610</x:v>
      </x:c>
      <x:c r="G1015">
        <x:v>42557</x:v>
      </x:c>
      <x:c r="H1015" t="s">
        <x:v>4769</x:v>
      </x:c>
      <x:c r="I1015" t="s">
        <x:v>4770</x:v>
      </x:c>
      <x:c r="J1015" t="s">
        <x:v>4771</x:v>
      </x:c>
    </x:row>
    <x:row r="1016">
      <x:c r="A1016" t="s">
        <x:v>4772</x:v>
      </x:c>
      <x:c r="B1016" t="s">
        <x:v>4772</x:v>
      </x:c>
      <x:c r="C1016" t="s">
        <x:v>781</x:v>
      </x:c>
      <x:c r="D1016">
        <x:v>18</x:v>
      </x:c>
      <x:c r="E1016" t="s">
        <x:v>114</x:v>
      </x:c>
      <x:c r="F1016" t="s">
        <x:v>90</x:v>
      </x:c>
      <x:c r="G1016">
        <x:v>45705</x:v>
      </x:c>
      <x:c r="H1016" t="s">
        <x:v>4773</x:v>
      </x:c>
      <x:c r="I1016" t="s">
        <x:v>4774</x:v>
      </x:c>
      <x:c r="J1016" t="s">
        <x:v>4775</x:v>
      </x:c>
    </x:row>
    <x:row r="1017">
      <x:c r="A1017" t="s">
        <x:v>4776</x:v>
      </x:c>
      <x:c r="B1017" t="s">
        <x:v>4776</x:v>
      </x:c>
      <x:c r="C1017" t="s">
        <x:v>4777</x:v>
      </x:c>
      <x:c r="D1017">
        <x:v>2</x:v>
      </x:c>
      <x:c r="E1017" t="s">
        <x:v>96</x:v>
      </x:c>
      <x:c r="F1017" t="s">
        <x:v>610</x:v>
      </x:c>
      <x:c r="G1017">
        <x:v>44142</x:v>
      </x:c>
      <x:c r="H1017" t="s">
        <x:v>4778</x:v>
      </x:c>
      <x:c r="I1017" t="s">
        <x:v>4779</x:v>
      </x:c>
      <x:c r="J1017" t="s">
        <x:v>4780</x:v>
      </x:c>
    </x:row>
    <x:row r="1018">
      <x:c r="A1018" t="s">
        <x:v>4781</x:v>
      </x:c>
      <x:c r="B1018" t="s">
        <x:v>4781</x:v>
      </x:c>
      <x:c r="C1018" t="s">
        <x:v>4782</x:v>
      </x:c>
      <x:c r="D1018">
        <x:v>6</x:v>
      </x:c>
      <x:c r="E1018" t="s">
        <x:v>103</x:v>
      </x:c>
      <x:c r="F1018" t="s">
        <x:v>97</x:v>
      </x:c>
      <x:c r="G1018">
        <x:v>42256</x:v>
      </x:c>
      <x:c r="H1018" t="s">
        <x:v>4783</x:v>
      </x:c>
      <x:c r="I1018" t="s">
        <x:v>4784</x:v>
      </x:c>
      <x:c r="J1018" t="s">
        <x:v>4785</x:v>
      </x:c>
    </x:row>
    <x:row r="1019">
      <x:c r="A1019" t="s">
        <x:v>4786</x:v>
      </x:c>
      <x:c r="B1019" t="s">
        <x:v>4786</x:v>
      </x:c>
      <x:c r="C1019" t="s">
        <x:v>2202</x:v>
      </x:c>
      <x:c r="D1019">
        <x:v>2</x:v>
      </x:c>
      <x:c r="E1019" t="s">
        <x:v>89</x:v>
      </x:c>
      <x:c r="F1019" t="s">
        <x:v>90</x:v>
      </x:c>
      <x:c r="G1019">
        <x:v>44456</x:v>
      </x:c>
      <x:c r="H1019" t="s">
        <x:v>4787</x:v>
      </x:c>
      <x:c r="I1019" t="s">
        <x:v>4788</x:v>
      </x:c>
      <x:c r="J1019" t="s">
        <x:v>4789</x:v>
      </x:c>
    </x:row>
    <x:row r="1020">
      <x:c r="A1020" t="s">
        <x:v>4790</x:v>
      </x:c>
      <x:c r="B1020" t="s">
        <x:v>4790</x:v>
      </x:c>
      <x:c r="C1020" t="s">
        <x:v>4791</x:v>
      </x:c>
      <x:c r="D1020">
        <x:v>17</x:v>
      </x:c>
      <x:c r="E1020" t="s">
        <x:v>198</x:v>
      </x:c>
      <x:c r="F1020" t="s">
        <x:v>90</x:v>
      </x:c>
      <x:c r="G1020">
        <x:v>44753</x:v>
      </x:c>
      <x:c r="H1020" t="s">
        <x:v>4792</x:v>
      </x:c>
      <x:c r="I1020" t="s">
        <x:v>4793</x:v>
      </x:c>
      <x:c r="J1020" t="s">
        <x:v>4794</x:v>
      </x:c>
    </x:row>
    <x:row r="1021">
      <x:c r="A1021" t="s">
        <x:v>4795</x:v>
      </x:c>
      <x:c r="B1021" t="s">
        <x:v>4795</x:v>
      </x:c>
      <x:c r="C1021" t="s">
        <x:v>4791</x:v>
      </x:c>
      <x:c r="D1021">
        <x:v>16</x:v>
      </x:c>
      <x:c r="E1021" t="s">
        <x:v>198</x:v>
      </x:c>
      <x:c r="F1021" t="s">
        <x:v>90</x:v>
      </x:c>
      <x:c r="G1021">
        <x:v>45991</x:v>
      </x:c>
      <x:c r="H1021" t="s">
        <x:v>4796</x:v>
      </x:c>
      <x:c r="I1021" t="s">
        <x:v>4797</x:v>
      </x:c>
      <x:c r="J1021" t="s">
        <x:v>4798</x:v>
      </x:c>
    </x:row>
    <x:row r="1022">
      <x:c r="A1022" t="s">
        <x:v>4799</x:v>
      </x:c>
      <x:c r="B1022" t="s">
        <x:v>4799</x:v>
      </x:c>
      <x:c r="C1022" t="s">
        <x:v>1055</x:v>
      </x:c>
      <x:c r="D1022">
        <x:v>9</x:v>
      </x:c>
      <x:c r="E1022" t="s">
        <x:v>257</x:v>
      </x:c>
      <x:c r="F1022" t="s">
        <x:v>97</x:v>
      </x:c>
      <x:c r="G1022">
        <x:v>44018</x:v>
      </x:c>
      <x:c r="H1022" t="s">
        <x:v>4800</x:v>
      </x:c>
      <x:c r="I1022" t="s">
        <x:v>4801</x:v>
      </x:c>
      <x:c r="J1022" t="s">
        <x:v>4802</x:v>
      </x:c>
    </x:row>
    <x:row r="1023">
      <x:c r="A1023" t="s">
        <x:v>4803</x:v>
      </x:c>
      <x:c r="B1023" t="s">
        <x:v>4803</x:v>
      </x:c>
      <x:c r="C1023" t="s">
        <x:v>282</x:v>
      </x:c>
      <x:c r="D1023">
        <x:v>33</x:v>
      </x:c>
      <x:c r="E1023" t="s">
        <x:v>96</x:v>
      </x:c>
      <x:c r="F1023" t="s">
        <x:v>97</x:v>
      </x:c>
      <x:c r="G1023">
        <x:v>44923</x:v>
      </x:c>
      <x:c r="H1023" t="s">
        <x:v>4804</x:v>
      </x:c>
      <x:c r="I1023" t="s">
        <x:v>4805</x:v>
      </x:c>
      <x:c r="J1023" t="s">
        <x:v>4806</x:v>
      </x:c>
    </x:row>
    <x:row r="1024">
      <x:c r="A1024" t="s">
        <x:v>4807</x:v>
      </x:c>
      <x:c r="B1024" t="s">
        <x:v>4807</x:v>
      </x:c>
      <x:c r="C1024" t="s">
        <x:v>282</x:v>
      </x:c>
      <x:c r="D1024">
        <x:v>42</x:v>
      </x:c>
      <x:c r="E1024" t="s">
        <x:v>103</x:v>
      </x:c>
      <x:c r="F1024" t="s">
        <x:v>97</x:v>
      </x:c>
      <x:c r="G1024">
        <x:v>43690</x:v>
      </x:c>
      <x:c r="H1024" t="s">
        <x:v>4808</x:v>
      </x:c>
      <x:c r="I1024" t="s">
        <x:v>4809</x:v>
      </x:c>
      <x:c r="J1024" t="s">
        <x:v>4810</x:v>
      </x:c>
    </x:row>
    <x:row r="1025">
      <x:c r="A1025" t="s">
        <x:v>4811</x:v>
      </x:c>
      <x:c r="B1025" t="s">
        <x:v>4811</x:v>
      </x:c>
      <x:c r="C1025" t="s">
        <x:v>4812</x:v>
      </x:c>
      <x:c r="D1025">
        <x:v>12</x:v>
      </x:c>
      <x:c r="E1025" t="s">
        <x:v>257</x:v>
      </x:c>
      <x:c r="F1025" t="s">
        <x:v>97</x:v>
      </x:c>
      <x:c r="G1025">
        <x:v>41626</x:v>
      </x:c>
      <x:c r="H1025" t="s">
        <x:v>4813</x:v>
      </x:c>
      <x:c r="I1025" t="s">
        <x:v>4814</x:v>
      </x:c>
      <x:c r="J1025" t="s">
        <x:v>4815</x:v>
      </x:c>
    </x:row>
    <x:row r="1026">
      <x:c r="A1026" t="s">
        <x:v>4816</x:v>
      </x:c>
      <x:c r="B1026" t="s">
        <x:v>4816</x:v>
      </x:c>
      <x:c r="C1026" t="s">
        <x:v>282</x:v>
      </x:c>
      <x:c r="D1026">
        <x:v>13</x:v>
      </x:c>
      <x:c r="E1026" t="s">
        <x:v>103</x:v>
      </x:c>
      <x:c r="F1026" t="s">
        <x:v>97</x:v>
      </x:c>
      <x:c r="G1026">
        <x:v>43823</x:v>
      </x:c>
      <x:c r="H1026" t="s">
        <x:v>4817</x:v>
      </x:c>
      <x:c r="I1026" t="s">
        <x:v>4818</x:v>
      </x:c>
      <x:c r="J1026" t="s">
        <x:v>4819</x:v>
      </x:c>
    </x:row>
    <x:row r="1027">
      <x:c r="A1027" t="s">
        <x:v>4820</x:v>
      </x:c>
      <x:c r="B1027" t="s">
        <x:v>4820</x:v>
      </x:c>
      <x:c r="C1027" t="s">
        <x:v>1055</x:v>
      </x:c>
      <x:c r="D1027">
        <x:v>10</x:v>
      </x:c>
      <x:c r="E1027" t="s">
        <x:v>96</x:v>
      </x:c>
      <x:c r="F1027" t="s">
        <x:v>97</x:v>
      </x:c>
      <x:c r="G1027">
        <x:v>44537</x:v>
      </x:c>
      <x:c r="H1027" t="s">
        <x:v>4821</x:v>
      </x:c>
      <x:c r="I1027" t="s">
        <x:v>4822</x:v>
      </x:c>
      <x:c r="J1027" t="s">
        <x:v>4823</x:v>
      </x:c>
    </x:row>
    <x:row r="1028">
      <x:c r="A1028" t="s">
        <x:v>4824</x:v>
      </x:c>
      <x:c r="B1028" t="s">
        <x:v>4824</x:v>
      </x:c>
      <x:c r="C1028" t="s">
        <x:v>1055</x:v>
      </x:c>
      <x:c r="D1028">
        <x:v>17</x:v>
      </x:c>
      <x:c r="E1028" t="s">
        <x:v>103</x:v>
      </x:c>
      <x:c r="F1028" t="s">
        <x:v>97</x:v>
      </x:c>
      <x:c r="G1028">
        <x:v>45020</x:v>
      </x:c>
      <x:c r="H1028" t="s">
        <x:v>4825</x:v>
      </x:c>
      <x:c r="I1028" t="s">
        <x:v>4826</x:v>
      </x:c>
      <x:c r="J1028" t="s">
        <x:v>4827</x:v>
      </x:c>
    </x:row>
    <x:row r="1029">
      <x:c r="A1029" t="s">
        <x:v>4828</x:v>
      </x:c>
      <x:c r="B1029" t="s">
        <x:v>4828</x:v>
      </x:c>
      <x:c r="C1029" t="s">
        <x:v>1055</x:v>
      </x:c>
      <x:c r="D1029">
        <x:v>9</x:v>
      </x:c>
      <x:c r="E1029" t="s">
        <x:v>103</x:v>
      </x:c>
      <x:c r="F1029" t="s">
        <x:v>97</x:v>
      </x:c>
      <x:c r="G1029">
        <x:v>44610</x:v>
      </x:c>
      <x:c r="H1029" t="s">
        <x:v>4829</x:v>
      </x:c>
      <x:c r="I1029" t="s">
        <x:v>4830</x:v>
      </x:c>
      <x:c r="J1029" t="s">
        <x:v>4831</x:v>
      </x:c>
    </x:row>
    <x:row r="1030">
      <x:c r="A1030" t="s">
        <x:v>4832</x:v>
      </x:c>
      <x:c r="B1030" t="s">
        <x:v>4832</x:v>
      </x:c>
      <x:c r="C1030" t="s">
        <x:v>4833</x:v>
      </x:c>
      <x:c r="D1030">
        <x:v>16</x:v>
      </x:c>
      <x:c r="E1030" t="s">
        <x:v>103</x:v>
      </x:c>
      <x:c r="F1030" t="s">
        <x:v>97</x:v>
      </x:c>
      <x:c r="G1030">
        <x:v>44613</x:v>
      </x:c>
      <x:c r="H1030" t="s">
        <x:v>4834</x:v>
      </x:c>
      <x:c r="I1030" t="s">
        <x:v>4835</x:v>
      </x:c>
      <x:c r="J1030" t="s">
        <x:v>4836</x:v>
      </x:c>
    </x:row>
    <x:row r="1031">
      <x:c r="A1031" t="s">
        <x:v>4837</x:v>
      </x:c>
      <x:c r="B1031" t="s">
        <x:v>4837</x:v>
      </x:c>
      <x:c r="C1031" t="s">
        <x:v>1055</x:v>
      </x:c>
      <x:c r="D1031">
        <x:v>10</x:v>
      </x:c>
      <x:c r="E1031" t="s">
        <x:v>103</x:v>
      </x:c>
      <x:c r="F1031" t="s">
        <x:v>97</x:v>
      </x:c>
      <x:c r="G1031">
        <x:v>44448</x:v>
      </x:c>
      <x:c r="H1031" t="s">
        <x:v>4838</x:v>
      </x:c>
      <x:c r="I1031" t="s">
        <x:v>4839</x:v>
      </x:c>
      <x:c r="J1031" t="s">
        <x:v>4840</x:v>
      </x:c>
    </x:row>
    <x:row r="1032">
      <x:c r="A1032" t="s">
        <x:v>4841</x:v>
      </x:c>
      <x:c r="B1032" t="s">
        <x:v>4841</x:v>
      </x:c>
      <x:c r="C1032" t="s">
        <x:v>1055</x:v>
      </x:c>
      <x:c r="D1032">
        <x:v>9</x:v>
      </x:c>
      <x:c r="E1032" t="s">
        <x:v>103</x:v>
      </x:c>
      <x:c r="F1032" t="s">
        <x:v>97</x:v>
      </x:c>
      <x:c r="G1032">
        <x:v>44951</x:v>
      </x:c>
      <x:c r="H1032" t="s">
        <x:v>4842</x:v>
      </x:c>
      <x:c r="I1032" t="s">
        <x:v>4843</x:v>
      </x:c>
      <x:c r="J1032" t="s">
        <x:v>4844</x:v>
      </x:c>
    </x:row>
    <x:row r="1033">
      <x:c r="A1033" t="s">
        <x:v>4845</x:v>
      </x:c>
      <x:c r="B1033" t="s">
        <x:v>4845</x:v>
      </x:c>
      <x:c r="C1033" t="s">
        <x:v>1055</x:v>
      </x:c>
      <x:c r="D1033">
        <x:v>9</x:v>
      </x:c>
      <x:c r="E1033" t="s">
        <x:v>103</x:v>
      </x:c>
      <x:c r="F1033" t="s">
        <x:v>97</x:v>
      </x:c>
      <x:c r="G1033">
        <x:v>43668</x:v>
      </x:c>
      <x:c r="H1033" t="s">
        <x:v>4846</x:v>
      </x:c>
      <x:c r="I1033" t="s">
        <x:v>4847</x:v>
      </x:c>
      <x:c r="J1033" t="s">
        <x:v>4848</x:v>
      </x:c>
    </x:row>
    <x:row r="1034">
      <x:c r="A1034" t="s">
        <x:v>4849</x:v>
      </x:c>
      <x:c r="B1034" t="s">
        <x:v>4849</x:v>
      </x:c>
      <x:c r="C1034" t="s">
        <x:v>1055</x:v>
      </x:c>
      <x:c r="D1034">
        <x:v>9</x:v>
      </x:c>
      <x:c r="E1034" t="s">
        <x:v>103</x:v>
      </x:c>
      <x:c r="F1034" t="s">
        <x:v>97</x:v>
      </x:c>
      <x:c r="G1034">
        <x:v>44641</x:v>
      </x:c>
      <x:c r="H1034" t="s">
        <x:v>4850</x:v>
      </x:c>
      <x:c r="I1034" t="s">
        <x:v>4851</x:v>
      </x:c>
      <x:c r="J1034" t="s">
        <x:v>4852</x:v>
      </x:c>
    </x:row>
    <x:row r="1035">
      <x:c r="A1035" t="s">
        <x:v>4853</x:v>
      </x:c>
      <x:c r="B1035" t="s">
        <x:v>4853</x:v>
      </x:c>
      <x:c r="C1035" t="s">
        <x:v>1055</x:v>
      </x:c>
      <x:c r="D1035">
        <x:v>14</x:v>
      </x:c>
      <x:c r="E1035" t="s">
        <x:v>96</x:v>
      </x:c>
      <x:c r="F1035" t="s">
        <x:v>97</x:v>
      </x:c>
      <x:c r="G1035">
        <x:v>45462</x:v>
      </x:c>
      <x:c r="H1035" t="s">
        <x:v>4854</x:v>
      </x:c>
      <x:c r="I1035" t="s">
        <x:v>4855</x:v>
      </x:c>
      <x:c r="J1035" t="s">
        <x:v>4856</x:v>
      </x:c>
    </x:row>
    <x:row r="1036">
      <x:c r="A1036" t="s">
        <x:v>4857</x:v>
      </x:c>
      <x:c r="B1036" t="s">
        <x:v>4857</x:v>
      </x:c>
      <x:c r="C1036" t="s">
        <x:v>4858</x:v>
      </x:c>
      <x:c r="D1036">
        <x:v>7</x:v>
      </x:c>
      <x:c r="E1036" t="s">
        <x:v>103</x:v>
      </x:c>
      <x:c r="F1036" t="s">
        <x:v>97</x:v>
      </x:c>
      <x:c r="G1036">
        <x:v>42256</x:v>
      </x:c>
      <x:c r="H1036" t="s">
        <x:v>4859</x:v>
      </x:c>
      <x:c r="I1036" t="s">
        <x:v>4860</x:v>
      </x:c>
      <x:c r="J1036" t="s">
        <x:v>4861</x:v>
      </x:c>
    </x:row>
    <x:row r="1037">
      <x:c r="A1037" t="s">
        <x:v>4862</x:v>
      </x:c>
      <x:c r="B1037" t="s">
        <x:v>4862</x:v>
      </x:c>
      <x:c r="C1037" t="s">
        <x:v>491</x:v>
      </x:c>
      <x:c r="D1037">
        <x:v>21</x:v>
      </x:c>
      <x:c r="E1037" t="s">
        <x:v>96</x:v>
      </x:c>
      <x:c r="F1037" t="s">
        <x:v>90</x:v>
      </x:c>
      <x:c r="G1037">
        <x:v>44390</x:v>
      </x:c>
      <x:c r="H1037" t="s">
        <x:v>4863</x:v>
      </x:c>
      <x:c r="I1037" t="s">
        <x:v>4864</x:v>
      </x:c>
      <x:c r="J1037" t="s">
        <x:v>4865</x:v>
      </x:c>
    </x:row>
    <x:row r="1038">
      <x:c r="A1038" t="s">
        <x:v>4866</x:v>
      </x:c>
      <x:c r="B1038" t="s">
        <x:v>4866</x:v>
      </x:c>
      <x:c r="C1038" t="s">
        <x:v>4867</x:v>
      </x:c>
      <x:c r="D1038">
        <x:v>8</x:v>
      </x:c>
      <x:c r="E1038" t="s">
        <x:v>89</x:v>
      </x:c>
      <x:c r="F1038" t="s">
        <x:v>90</x:v>
      </x:c>
      <x:c r="G1038">
        <x:v>44010</x:v>
      </x:c>
      <x:c r="H1038" t="s">
        <x:v>4868</x:v>
      </x:c>
      <x:c r="I1038" t="s">
        <x:v>4869</x:v>
      </x:c>
      <x:c r="J1038" t="s">
        <x:v>4870</x:v>
      </x:c>
    </x:row>
    <x:row r="1039">
      <x:c r="A1039" t="s">
        <x:v>4871</x:v>
      </x:c>
      <x:c r="B1039" t="s">
        <x:v>4871</x:v>
      </x:c>
      <x:c r="C1039" t="s">
        <x:v>326</x:v>
      </x:c>
      <x:c r="D1039">
        <x:v>17</x:v>
      </x:c>
      <x:c r="E1039" t="s">
        <x:v>257</x:v>
      </x:c>
      <x:c r="F1039" t="s">
        <x:v>97</x:v>
      </x:c>
      <x:c r="G1039">
        <x:v>42215</x:v>
      </x:c>
      <x:c r="H1039" t="s">
        <x:v>4872</x:v>
      </x:c>
      <x:c r="I1039" t="s">
        <x:v>4873</x:v>
      </x:c>
      <x:c r="J1039" t="s">
        <x:v>4874</x:v>
      </x:c>
    </x:row>
    <x:row r="1040">
      <x:c r="A1040" t="s">
        <x:v>4875</x:v>
      </x:c>
      <x:c r="B1040" t="s">
        <x:v>4875</x:v>
      </x:c>
      <x:c r="C1040" t="s">
        <x:v>4876</x:v>
      </x:c>
      <x:c r="D1040">
        <x:v>7</x:v>
      </x:c>
      <x:c r="E1040" t="s">
        <x:v>103</x:v>
      </x:c>
      <x:c r="F1040" t="s">
        <x:v>97</x:v>
      </x:c>
      <x:c r="G1040">
        <x:v>42062</x:v>
      </x:c>
      <x:c r="H1040" t="s">
        <x:v>4877</x:v>
      </x:c>
      <x:c r="I1040" t="s">
        <x:v>4878</x:v>
      </x:c>
      <x:c r="J1040" t="s">
        <x:v>4879</x:v>
      </x:c>
    </x:row>
    <x:row r="1041">
      <x:c r="A1041" t="s">
        <x:v>4880</x:v>
      </x:c>
      <x:c r="B1041" t="s">
        <x:v>4880</x:v>
      </x:c>
      <x:c r="C1041" t="s">
        <x:v>4881</x:v>
      </x:c>
      <x:c r="D1041">
        <x:v>7</x:v>
      </x:c>
      <x:c r="E1041" t="s">
        <x:v>103</x:v>
      </x:c>
      <x:c r="F1041" t="s">
        <x:v>97</x:v>
      </x:c>
      <x:c r="G1041">
        <x:v>44189</x:v>
      </x:c>
      <x:c r="H1041" t="s">
        <x:v>4882</x:v>
      </x:c>
      <x:c r="I1041" t="s">
        <x:v>4883</x:v>
      </x:c>
      <x:c r="J1041" t="s">
        <x:v>4884</x:v>
      </x:c>
    </x:row>
    <x:row r="1042">
      <x:c r="A1042" t="s">
        <x:v>4885</x:v>
      </x:c>
      <x:c r="B1042" t="s">
        <x:v>4885</x:v>
      </x:c>
      <x:c r="C1042" t="s">
        <x:v>4886</x:v>
      </x:c>
      <x:c r="D1042">
        <x:v>21</x:v>
      </x:c>
      <x:c r="E1042" t="s">
        <x:v>103</x:v>
      </x:c>
      <x:c r="F1042" t="s">
        <x:v>97</x:v>
      </x:c>
      <x:c r="G1042">
        <x:v>42594</x:v>
      </x:c>
      <x:c r="H1042" t="s">
        <x:v>4887</x:v>
      </x:c>
      <x:c r="I1042" t="s">
        <x:v>4888</x:v>
      </x:c>
      <x:c r="J1042" t="s">
        <x:v>4889</x:v>
      </x:c>
    </x:row>
    <x:row r="1043">
      <x:c r="A1043" t="s">
        <x:v>4890</x:v>
      </x:c>
      <x:c r="B1043" t="s">
        <x:v>4890</x:v>
      </x:c>
      <x:c r="C1043" t="s">
        <x:v>4891</x:v>
      </x:c>
      <x:c r="D1043">
        <x:v>34</x:v>
      </x:c>
      <x:c r="E1043" t="s">
        <x:v>96</x:v>
      </x:c>
      <x:c r="F1043" t="s">
        <x:v>97</x:v>
      </x:c>
      <x:c r="G1043">
        <x:v>44159</x:v>
      </x:c>
      <x:c r="H1043" t="s">
        <x:v>4892</x:v>
      </x:c>
      <x:c r="I1043" t="s">
        <x:v>4893</x:v>
      </x:c>
      <x:c r="J1043" t="s">
        <x:v>4894</x:v>
      </x:c>
    </x:row>
    <x:row r="1044">
      <x:c r="A1044" t="s">
        <x:v>4895</x:v>
      </x:c>
      <x:c r="B1044" t="s">
        <x:v>4895</x:v>
      </x:c>
      <x:c r="C1044" t="s">
        <x:v>4896</x:v>
      </x:c>
      <x:c r="D1044">
        <x:v>6</x:v>
      </x:c>
      <x:c r="E1044" t="s">
        <x:v>257</x:v>
      </x:c>
      <x:c r="F1044" t="s">
        <x:v>97</x:v>
      </x:c>
      <x:c r="G1044">
        <x:v>42680</x:v>
      </x:c>
      <x:c r="H1044" t="s">
        <x:v>4897</x:v>
      </x:c>
      <x:c r="I1044" t="s">
        <x:v>4898</x:v>
      </x:c>
      <x:c r="J1044" t="s">
        <x:v>4899</x:v>
      </x:c>
    </x:row>
    <x:row r="1045">
      <x:c r="A1045" t="s">
        <x:v>4900</x:v>
      </x:c>
      <x:c r="B1045" t="s">
        <x:v>4900</x:v>
      </x:c>
      <x:c r="C1045" t="s">
        <x:v>4210</x:v>
      </x:c>
      <x:c r="D1045">
        <x:v>80</x:v>
      </x:c>
      <x:c r="E1045" t="s">
        <x:v>103</x:v>
      </x:c>
      <x:c r="F1045" t="s">
        <x:v>97</x:v>
      </x:c>
      <x:c r="G1045">
        <x:v>41806</x:v>
      </x:c>
      <x:c r="H1045" t="s">
        <x:v>4901</x:v>
      </x:c>
      <x:c r="I1045" t="s">
        <x:v>4902</x:v>
      </x:c>
      <x:c r="J1045" t="s">
        <x:v>4903</x:v>
      </x:c>
    </x:row>
    <x:row r="1046">
      <x:c r="A1046" t="s">
        <x:v>4904</x:v>
      </x:c>
      <x:c r="B1046" t="s">
        <x:v>4904</x:v>
      </x:c>
      <x:c r="C1046" t="s">
        <x:v>4905</x:v>
      </x:c>
      <x:c r="D1046">
        <x:v>35</x:v>
      </x:c>
      <x:c r="E1046" t="s">
        <x:v>103</x:v>
      </x:c>
      <x:c r="F1046" t="s">
        <x:v>97</x:v>
      </x:c>
      <x:c r="G1046">
        <x:v>42207</x:v>
      </x:c>
      <x:c r="H1046" t="s">
        <x:v>4906</x:v>
      </x:c>
      <x:c r="I1046" t="s">
        <x:v>4907</x:v>
      </x:c>
      <x:c r="J1046" t="s">
        <x:v>4908</x:v>
      </x:c>
    </x:row>
    <x:row r="1047">
      <x:c r="A1047" t="s">
        <x:v>4909</x:v>
      </x:c>
      <x:c r="B1047" t="s">
        <x:v>4909</x:v>
      </x:c>
      <x:c r="C1047" t="s">
        <x:v>4886</x:v>
      </x:c>
      <x:c r="D1047">
        <x:v>18</x:v>
      </x:c>
      <x:c r="E1047" t="s">
        <x:v>96</x:v>
      </x:c>
      <x:c r="F1047" t="s">
        <x:v>97</x:v>
      </x:c>
      <x:c r="G1047">
        <x:v>42188</x:v>
      </x:c>
      <x:c r="H1047" t="s">
        <x:v>4910</x:v>
      </x:c>
      <x:c r="I1047" t="s">
        <x:v>4911</x:v>
      </x:c>
      <x:c r="J1047" t="s">
        <x:v>4912</x:v>
      </x:c>
    </x:row>
    <x:row r="1048">
      <x:c r="A1048" t="s">
        <x:v>4913</x:v>
      </x:c>
      <x:c r="B1048" t="s">
        <x:v>4913</x:v>
      </x:c>
      <x:c r="C1048" t="s">
        <x:v>4914</x:v>
      </x:c>
      <x:c r="D1048">
        <x:v>60</x:v>
      </x:c>
      <x:c r="E1048" t="s">
        <x:v>89</x:v>
      </x:c>
      <x:c r="F1048" t="s">
        <x:v>97</x:v>
      </x:c>
      <x:c r="G1048">
        <x:v>44987</x:v>
      </x:c>
      <x:c r="H1048" t="s">
        <x:v>4915</x:v>
      </x:c>
      <x:c r="I1048" t="s">
        <x:v>4916</x:v>
      </x:c>
      <x:c r="J1048" t="s">
        <x:v>4917</x:v>
      </x:c>
    </x:row>
    <x:row r="1049">
      <x:c r="A1049" t="s">
        <x:v>4918</x:v>
      </x:c>
      <x:c r="B1049" t="s">
        <x:v>4918</x:v>
      </x:c>
      <x:c r="C1049" t="s">
        <x:v>4919</x:v>
      </x:c>
      <x:c r="D1049">
        <x:v>3</x:v>
      </x:c>
      <x:c r="E1049" t="s">
        <x:v>103</x:v>
      </x:c>
      <x:c r="F1049" t="s">
        <x:v>97</x:v>
      </x:c>
      <x:c r="G1049">
        <x:v>42148</x:v>
      </x:c>
      <x:c r="H1049" t="s">
        <x:v>4920</x:v>
      </x:c>
      <x:c r="I1049" t="s">
        <x:v>4921</x:v>
      </x:c>
      <x:c r="J1049" t="s">
        <x:v>4922</x:v>
      </x:c>
    </x:row>
    <x:row r="1050">
      <x:c r="A1050" t="s">
        <x:v>4923</x:v>
      </x:c>
      <x:c r="B1050" t="s">
        <x:v>4923</x:v>
      </x:c>
      <x:c r="C1050" t="s">
        <x:v>326</x:v>
      </x:c>
      <x:c r="D1050">
        <x:v>2</x:v>
      </x:c>
      <x:c r="E1050" t="s">
        <x:v>103</x:v>
      </x:c>
      <x:c r="F1050" t="s">
        <x:v>97</x:v>
      </x:c>
      <x:c r="G1050">
        <x:v>42003</x:v>
      </x:c>
      <x:c r="H1050" t="s">
        <x:v>4924</x:v>
      </x:c>
      <x:c r="I1050" t="s">
        <x:v>4925</x:v>
      </x:c>
      <x:c r="J1050" t="s">
        <x:v>4926</x:v>
      </x:c>
    </x:row>
    <x:row r="1051">
      <x:c r="A1051" t="s">
        <x:v>4927</x:v>
      </x:c>
      <x:c r="B1051" t="s">
        <x:v>4927</x:v>
      </x:c>
      <x:c r="C1051" t="s">
        <x:v>543</x:v>
      </x:c>
      <x:c r="D1051">
        <x:v>9</x:v>
      </x:c>
      <x:c r="E1051" t="s">
        <x:v>257</x:v>
      </x:c>
      <x:c r="F1051" t="s">
        <x:v>97</x:v>
      </x:c>
      <x:c r="G1051">
        <x:v>41466</x:v>
      </x:c>
      <x:c r="H1051" t="s">
        <x:v>4928</x:v>
      </x:c>
      <x:c r="I1051" t="s">
        <x:v>4929</x:v>
      </x:c>
      <x:c r="J1051" t="s">
        <x:v>4930</x:v>
      </x:c>
    </x:row>
    <x:row r="1052">
      <x:c r="A1052" t="s">
        <x:v>4931</x:v>
      </x:c>
      <x:c r="B1052" t="s">
        <x:v>4931</x:v>
      </x:c>
      <x:c r="C1052" t="s">
        <x:v>4932</x:v>
      </x:c>
      <x:c r="D1052">
        <x:v>16</x:v>
      </x:c>
      <x:c r="E1052" t="s">
        <x:v>103</x:v>
      </x:c>
      <x:c r="F1052" t="s">
        <x:v>97</x:v>
      </x:c>
      <x:c r="G1052">
        <x:v>42312</x:v>
      </x:c>
      <x:c r="H1052" t="s">
        <x:v>4933</x:v>
      </x:c>
      <x:c r="I1052" t="s">
        <x:v>4934</x:v>
      </x:c>
      <x:c r="J1052" t="s">
        <x:v>4935</x:v>
      </x:c>
    </x:row>
    <x:row r="1053">
      <x:c r="A1053" t="s">
        <x:v>4936</x:v>
      </x:c>
      <x:c r="B1053" t="s">
        <x:v>4936</x:v>
      </x:c>
      <x:c r="C1053" t="s">
        <x:v>4937</x:v>
      </x:c>
      <x:c r="D1053">
        <x:v>10</x:v>
      </x:c>
      <x:c r="E1053" t="s">
        <x:v>103</x:v>
      </x:c>
      <x:c r="F1053" t="s">
        <x:v>97</x:v>
      </x:c>
      <x:c r="G1053">
        <x:v>45250</x:v>
      </x:c>
      <x:c r="H1053" t="s">
        <x:v>4938</x:v>
      </x:c>
      <x:c r="I1053" t="s">
        <x:v>4939</x:v>
      </x:c>
      <x:c r="J1053" t="s">
        <x:v>4940</x:v>
      </x:c>
    </x:row>
    <x:row r="1054">
      <x:c r="A1054" t="s">
        <x:v>4941</x:v>
      </x:c>
      <x:c r="B1054" t="s">
        <x:v>4941</x:v>
      </x:c>
      <x:c r="C1054" t="s">
        <x:v>4942</x:v>
      </x:c>
      <x:c r="D1054">
        <x:v>5</x:v>
      </x:c>
      <x:c r="E1054" t="s">
        <x:v>257</x:v>
      </x:c>
      <x:c r="F1054" t="s">
        <x:v>97</x:v>
      </x:c>
      <x:c r="G1054">
        <x:v>42219</x:v>
      </x:c>
      <x:c r="H1054" t="s">
        <x:v>4943</x:v>
      </x:c>
      <x:c r="I1054" t="s">
        <x:v>4944</x:v>
      </x:c>
      <x:c r="J1054" t="s">
        <x:v>4945</x:v>
      </x:c>
    </x:row>
    <x:row r="1055">
      <x:c r="A1055" t="s">
        <x:v>4946</x:v>
      </x:c>
      <x:c r="B1055" t="s">
        <x:v>4946</x:v>
      </x:c>
      <x:c r="C1055" t="s">
        <x:v>4947</x:v>
      </x:c>
      <x:c r="D1055">
        <x:v>88</x:v>
      </x:c>
      <x:c r="E1055" t="s">
        <x:v>89</x:v>
      </x:c>
      <x:c r="F1055" t="s">
        <x:v>97</x:v>
      </x:c>
      <x:c r="G1055">
        <x:v>42433</x:v>
      </x:c>
      <x:c r="H1055" t="s">
        <x:v>4948</x:v>
      </x:c>
      <x:c r="I1055" t="s">
        <x:v>4949</x:v>
      </x:c>
      <x:c r="J1055" t="s">
        <x:v>4950</x:v>
      </x:c>
    </x:row>
    <x:row r="1056">
      <x:c r="A1056" t="s">
        <x:v>4951</x:v>
      </x:c>
      <x:c r="B1056" t="s">
        <x:v>4951</x:v>
      </x:c>
      <x:c r="C1056" t="s">
        <x:v>4952</x:v>
      </x:c>
      <x:c r="D1056">
        <x:v>85</x:v>
      </x:c>
      <x:c r="E1056" t="s">
        <x:v>96</x:v>
      </x:c>
      <x:c r="F1056" t="s">
        <x:v>97</x:v>
      </x:c>
      <x:c r="G1056">
        <x:v>41445</x:v>
      </x:c>
      <x:c r="H1056" t="s">
        <x:v>4953</x:v>
      </x:c>
      <x:c r="I1056" t="s">
        <x:v>4954</x:v>
      </x:c>
      <x:c r="J1056" t="s">
        <x:v>4955</x:v>
      </x:c>
    </x:row>
    <x:row r="1057">
      <x:c r="A1057" t="s">
        <x:v>4956</x:v>
      </x:c>
      <x:c r="B1057" t="s">
        <x:v>4956</x:v>
      </x:c>
      <x:c r="C1057" t="s">
        <x:v>4957</x:v>
      </x:c>
      <x:c r="D1057">
        <x:v>8</x:v>
      </x:c>
      <x:c r="E1057" t="s">
        <x:v>257</x:v>
      </x:c>
      <x:c r="F1057" t="s">
        <x:v>97</x:v>
      </x:c>
      <x:c r="G1057">
        <x:v>42044</x:v>
      </x:c>
      <x:c r="H1057" t="s">
        <x:v>4958</x:v>
      </x:c>
      <x:c r="I1057" t="s">
        <x:v>4959</x:v>
      </x:c>
      <x:c r="J1057" t="s">
        <x:v>4960</x:v>
      </x:c>
    </x:row>
    <x:row r="1058">
      <x:c r="A1058" t="s">
        <x:v>4961</x:v>
      </x:c>
      <x:c r="B1058" t="s">
        <x:v>4961</x:v>
      </x:c>
      <x:c r="C1058" t="s">
        <x:v>4594</x:v>
      </x:c>
      <x:c r="D1058">
        <x:v>5</x:v>
      </x:c>
      <x:c r="E1058" t="s">
        <x:v>103</x:v>
      </x:c>
      <x:c r="F1058" t="s">
        <x:v>97</x:v>
      </x:c>
      <x:c r="G1058">
        <x:v>42329</x:v>
      </x:c>
      <x:c r="H1058" t="s">
        <x:v>4962</x:v>
      </x:c>
      <x:c r="I1058" t="s">
        <x:v>4963</x:v>
      </x:c>
      <x:c r="J1058" t="s">
        <x:v>4964</x:v>
      </x:c>
    </x:row>
    <x:row r="1059">
      <x:c r="A1059" t="s">
        <x:v>4965</x:v>
      </x:c>
      <x:c r="B1059" t="s">
        <x:v>4965</x:v>
      </x:c>
      <x:c r="C1059" t="s">
        <x:v>4966</x:v>
      </x:c>
      <x:c r="D1059">
        <x:v>15</x:v>
      </x:c>
      <x:c r="E1059" t="s">
        <x:v>96</x:v>
      </x:c>
      <x:c r="F1059" t="s">
        <x:v>97</x:v>
      </x:c>
      <x:c r="G1059">
        <x:v>41554</x:v>
      </x:c>
      <x:c r="H1059" t="s">
        <x:v>4967</x:v>
      </x:c>
      <x:c r="I1059" t="s">
        <x:v>4968</x:v>
      </x:c>
      <x:c r="J1059" t="s">
        <x:v>4969</x:v>
      </x:c>
    </x:row>
    <x:row r="1060">
      <x:c r="A1060" t="s">
        <x:v>4970</x:v>
      </x:c>
      <x:c r="B1060" t="s">
        <x:v>4970</x:v>
      </x:c>
      <x:c r="C1060" t="s">
        <x:v>2437</x:v>
      </x:c>
      <x:c r="D1060">
        <x:v>105</x:v>
      </x:c>
      <x:c r="E1060" t="s">
        <x:v>103</x:v>
      </x:c>
      <x:c r="F1060" t="s">
        <x:v>97</x:v>
      </x:c>
      <x:c r="G1060">
        <x:v>42545</x:v>
      </x:c>
      <x:c r="H1060" t="s">
        <x:v>4971</x:v>
      </x:c>
      <x:c r="I1060" t="s">
        <x:v>4972</x:v>
      </x:c>
      <x:c r="J1060" t="s">
        <x:v>4973</x:v>
      </x:c>
    </x:row>
    <x:row r="1061">
      <x:c r="A1061" t="s">
        <x:v>4974</x:v>
      </x:c>
      <x:c r="B1061" t="s">
        <x:v>4974</x:v>
      </x:c>
      <x:c r="C1061" t="s">
        <x:v>2437</x:v>
      </x:c>
      <x:c r="D1061">
        <x:v>15</x:v>
      </x:c>
      <x:c r="E1061" t="s">
        <x:v>89</x:v>
      </x:c>
      <x:c r="F1061" t="s">
        <x:v>97</x:v>
      </x:c>
      <x:c r="G1061">
        <x:v>43046</x:v>
      </x:c>
      <x:c r="H1061" t="s">
        <x:v>4975</x:v>
      </x:c>
      <x:c r="I1061" t="s">
        <x:v>4976</x:v>
      </x:c>
      <x:c r="J1061" t="s">
        <x:v>4977</x:v>
      </x:c>
    </x:row>
    <x:row r="1062">
      <x:c r="A1062" t="s">
        <x:v>4978</x:v>
      </x:c>
      <x:c r="B1062" t="s">
        <x:v>4978</x:v>
      </x:c>
      <x:c r="C1062" t="s">
        <x:v>1821</x:v>
      </x:c>
      <x:c r="D1062">
        <x:v>4</x:v>
      </x:c>
      <x:c r="E1062" t="s">
        <x:v>198</x:v>
      </x:c>
      <x:c r="F1062" t="s">
        <x:v>610</x:v>
      </x:c>
      <x:c r="G1062">
        <x:v>42190</x:v>
      </x:c>
      <x:c r="H1062" t="s">
        <x:v>4979</x:v>
      </x:c>
      <x:c r="I1062" t="s">
        <x:v>4980</x:v>
      </x:c>
      <x:c r="J1062" t="s">
        <x:v>4981</x:v>
      </x:c>
    </x:row>
    <x:row r="1063">
      <x:c r="A1063" t="s">
        <x:v>4982</x:v>
      </x:c>
      <x:c r="B1063" t="s">
        <x:v>4982</x:v>
      </x:c>
      <x:c r="C1063" t="s">
        <x:v>4665</x:v>
      </x:c>
      <x:c r="D1063">
        <x:v>11</x:v>
      </x:c>
      <x:c r="E1063" t="s">
        <x:v>96</x:v>
      </x:c>
      <x:c r="F1063" t="s">
        <x:v>97</x:v>
      </x:c>
      <x:c r="G1063">
        <x:v>43002</x:v>
      </x:c>
      <x:c r="H1063" t="s">
        <x:v>4983</x:v>
      </x:c>
      <x:c r="I1063" t="s">
        <x:v>4984</x:v>
      </x:c>
      <x:c r="J1063" t="s">
        <x:v>4985</x:v>
      </x:c>
    </x:row>
    <x:row r="1064">
      <x:c r="A1064" t="s">
        <x:v>4986</x:v>
      </x:c>
      <x:c r="B1064" t="s">
        <x:v>4986</x:v>
      </x:c>
      <x:c r="C1064" t="s">
        <x:v>4987</x:v>
      </x:c>
      <x:c r="D1064">
        <x:v>13</x:v>
      </x:c>
      <x:c r="E1064" t="s">
        <x:v>103</x:v>
      </x:c>
      <x:c r="F1064" t="s">
        <x:v>97</x:v>
      </x:c>
      <x:c r="G1064">
        <x:v>42270</x:v>
      </x:c>
      <x:c r="H1064" t="s">
        <x:v>4988</x:v>
      </x:c>
      <x:c r="I1064" t="s">
        <x:v>4989</x:v>
      </x:c>
      <x:c r="J1064" t="s">
        <x:v>4990</x:v>
      </x:c>
    </x:row>
    <x:row r="1065">
      <x:c r="A1065" t="s">
        <x:v>4991</x:v>
      </x:c>
      <x:c r="B1065" t="s">
        <x:v>4991</x:v>
      </x:c>
      <x:c r="C1065" t="s">
        <x:v>4992</x:v>
      </x:c>
      <x:c r="D1065">
        <x:v>1</x:v>
      </x:c>
      <x:c r="E1065" t="s">
        <x:v>198</x:v>
      </x:c>
      <x:c r="F1065" t="s">
        <x:v>90</x:v>
      </x:c>
      <x:c r="G1065">
        <x:v>44378</x:v>
      </x:c>
      <x:c r="H1065" t="s">
        <x:v>4993</x:v>
      </x:c>
      <x:c r="I1065" t="s">
        <x:v>4994</x:v>
      </x:c>
      <x:c r="J1065" t="s">
        <x:v>4995</x:v>
      </x:c>
    </x:row>
    <x:row r="1066">
      <x:c r="A1066" t="s">
        <x:v>4996</x:v>
      </x:c>
      <x:c r="B1066" t="s">
        <x:v>4996</x:v>
      </x:c>
      <x:c r="C1066" t="s">
        <x:v>4992</x:v>
      </x:c>
      <x:c r="D1066">
        <x:v>1</x:v>
      </x:c>
      <x:c r="E1066" t="s">
        <x:v>114</x:v>
      </x:c>
      <x:c r="F1066" t="s">
        <x:v>90</x:v>
      </x:c>
      <x:c r="G1066">
        <x:v>44384</x:v>
      </x:c>
      <x:c r="H1066" t="s">
        <x:v>4997</x:v>
      </x:c>
      <x:c r="I1066" t="s">
        <x:v>4998</x:v>
      </x:c>
      <x:c r="J1066" t="s">
        <x:v>4999</x:v>
      </x:c>
    </x:row>
    <x:row r="1067">
      <x:c r="A1067" t="s">
        <x:v>5000</x:v>
      </x:c>
      <x:c r="B1067" t="s">
        <x:v>5000</x:v>
      </x:c>
      <x:c r="C1067" t="s">
        <x:v>5001</x:v>
      </x:c>
      <x:c r="D1067">
        <x:v>20</x:v>
      </x:c>
      <x:c r="E1067" t="s">
        <x:v>103</x:v>
      </x:c>
      <x:c r="F1067" t="s">
        <x:v>97</x:v>
      </x:c>
      <x:c r="G1067">
        <x:v>42312</x:v>
      </x:c>
      <x:c r="H1067" t="s">
        <x:v>5002</x:v>
      </x:c>
      <x:c r="I1067" t="s">
        <x:v>5003</x:v>
      </x:c>
      <x:c r="J1067" t="s">
        <x:v>5004</x:v>
      </x:c>
    </x:row>
    <x:row r="1068">
      <x:c r="A1068" t="s">
        <x:v>5005</x:v>
      </x:c>
      <x:c r="B1068" t="s">
        <x:v>5005</x:v>
      </x:c>
      <x:c r="C1068" t="s">
        <x:v>5006</x:v>
      </x:c>
      <x:c r="D1068">
        <x:v>6</x:v>
      </x:c>
      <x:c r="E1068" t="s">
        <x:v>257</x:v>
      </x:c>
      <x:c r="F1068" t="s">
        <x:v>97</x:v>
      </x:c>
      <x:c r="G1068">
        <x:v>42229</x:v>
      </x:c>
      <x:c r="H1068" t="s">
        <x:v>5007</x:v>
      </x:c>
      <x:c r="I1068" t="s">
        <x:v>5008</x:v>
      </x:c>
      <x:c r="J1068" t="s">
        <x:v>5009</x:v>
      </x:c>
    </x:row>
    <x:row r="1069">
      <x:c r="A1069" t="s">
        <x:v>5010</x:v>
      </x:c>
      <x:c r="B1069" t="s">
        <x:v>5010</x:v>
      </x:c>
      <x:c r="C1069" t="s">
        <x:v>5011</x:v>
      </x:c>
      <x:c r="D1069">
        <x:v>19</x:v>
      </x:c>
      <x:c r="E1069" t="s">
        <x:v>103</x:v>
      </x:c>
      <x:c r="F1069" t="s">
        <x:v>97</x:v>
      </x:c>
      <x:c r="G1069">
        <x:v>43731</x:v>
      </x:c>
      <x:c r="H1069" t="s">
        <x:v>5012</x:v>
      </x:c>
      <x:c r="I1069" t="s">
        <x:v>5013</x:v>
      </x:c>
      <x:c r="J1069" t="s">
        <x:v>5014</x:v>
      </x:c>
    </x:row>
    <x:row r="1070">
      <x:c r="A1070" t="s">
        <x:v>5015</x:v>
      </x:c>
      <x:c r="B1070" t="s">
        <x:v>5015</x:v>
      </x:c>
      <x:c r="C1070" t="s">
        <x:v>5016</x:v>
      </x:c>
      <x:c r="D1070">
        <x:v>74</x:v>
      </x:c>
      <x:c r="E1070" t="s">
        <x:v>96</x:v>
      </x:c>
      <x:c r="F1070" t="s">
        <x:v>97</x:v>
      </x:c>
      <x:c r="G1070">
        <x:v>42239</x:v>
      </x:c>
      <x:c r="H1070" t="s">
        <x:v>5017</x:v>
      </x:c>
      <x:c r="I1070" t="s">
        <x:v>5018</x:v>
      </x:c>
      <x:c r="J1070" t="s">
        <x:v>5019</x:v>
      </x:c>
    </x:row>
    <x:row r="1071">
      <x:c r="A1071" t="s">
        <x:v>5020</x:v>
      </x:c>
      <x:c r="B1071" t="s">
        <x:v>5020</x:v>
      </x:c>
      <x:c r="C1071" t="s">
        <x:v>1821</x:v>
      </x:c>
      <x:c r="D1071">
        <x:v>15</x:v>
      </x:c>
      <x:c r="E1071" t="s">
        <x:v>89</x:v>
      </x:c>
      <x:c r="F1071" t="s">
        <x:v>610</x:v>
      </x:c>
      <x:c r="G1071">
        <x:v>45742</x:v>
      </x:c>
      <x:c r="H1071" t="s">
        <x:v>5021</x:v>
      </x:c>
      <x:c r="I1071" t="s">
        <x:v>5022</x:v>
      </x:c>
      <x:c r="J1071" t="s">
        <x:v>5023</x:v>
      </x:c>
    </x:row>
    <x:row r="1072">
      <x:c r="A1072" t="s">
        <x:v>5024</x:v>
      </x:c>
      <x:c r="B1072" t="s">
        <x:v>5024</x:v>
      </x:c>
      <x:c r="C1072" t="s">
        <x:v>5025</x:v>
      </x:c>
      <x:c r="D1072">
        <x:v>1</x:v>
      </x:c>
      <x:c r="E1072" t="s">
        <x:v>96</x:v>
      </x:c>
      <x:c r="F1072" t="s">
        <x:v>97</x:v>
      </x:c>
      <x:c r="G1072">
        <x:v>42155</x:v>
      </x:c>
      <x:c r="H1072" t="s">
        <x:v>5026</x:v>
      </x:c>
      <x:c r="I1072" t="s">
        <x:v>5027</x:v>
      </x:c>
      <x:c r="J1072" t="s">
        <x:v>5028</x:v>
      </x:c>
    </x:row>
    <x:row r="1073">
      <x:c r="A1073" t="s">
        <x:v>5029</x:v>
      </x:c>
      <x:c r="B1073" t="s">
        <x:v>5029</x:v>
      </x:c>
      <x:c r="C1073" t="s">
        <x:v>4374</x:v>
      </x:c>
      <x:c r="D1073">
        <x:v>87</x:v>
      </x:c>
      <x:c r="E1073" t="s">
        <x:v>103</x:v>
      </x:c>
      <x:c r="F1073" t="s">
        <x:v>97</x:v>
      </x:c>
      <x:c r="G1073">
        <x:v>42003</x:v>
      </x:c>
      <x:c r="H1073" t="s">
        <x:v>5030</x:v>
      </x:c>
      <x:c r="I1073" t="s">
        <x:v>5031</x:v>
      </x:c>
      <x:c r="J1073" t="s">
        <x:v>5032</x:v>
      </x:c>
    </x:row>
    <x:row r="1074">
      <x:c r="A1074" t="s">
        <x:v>5033</x:v>
      </x:c>
      <x:c r="B1074" t="s">
        <x:v>5034</x:v>
      </x:c>
      <x:c r="C1074" t="s">
        <x:v>1802</x:v>
      </x:c>
      <x:c r="D1074">
        <x:v>21</x:v>
      </x:c>
      <x:c r="E1074" t="s">
        <x:v>103</x:v>
      </x:c>
      <x:c r="F1074" t="s">
        <x:v>97</x:v>
      </x:c>
      <x:c r="G1074">
        <x:v>42286</x:v>
      </x:c>
      <x:c r="H1074" t="s">
        <x:v>5035</x:v>
      </x:c>
      <x:c r="I1074" t="s">
        <x:v>5036</x:v>
      </x:c>
      <x:c r="J1074" t="s">
        <x:v>5037</x:v>
      </x:c>
    </x:row>
    <x:row r="1075">
      <x:c r="A1075" t="s">
        <x:v>5038</x:v>
      </x:c>
      <x:c r="B1075" t="s">
        <x:v>5034</x:v>
      </x:c>
      <x:c r="C1075" t="s">
        <x:v>4665</x:v>
      </x:c>
      <x:c r="D1075">
        <x:v>17</x:v>
      </x:c>
      <x:c r="E1075" t="s">
        <x:v>89</x:v>
      </x:c>
      <x:c r="F1075" t="s">
        <x:v>97</x:v>
      </x:c>
      <x:c r="G1075">
        <x:v>45397</x:v>
      </x:c>
      <x:c r="H1075" t="s">
        <x:v>5039</x:v>
      </x:c>
      <x:c r="I1075" t="s">
        <x:v>5040</x:v>
      </x:c>
      <x:c r="J1075" t="s">
        <x:v>5041</x:v>
      </x:c>
    </x:row>
    <x:row r="1076">
      <x:c r="A1076" t="s">
        <x:v>5042</x:v>
      </x:c>
      <x:c r="B1076" t="s">
        <x:v>5042</x:v>
      </x:c>
      <x:c r="C1076" t="s">
        <x:v>5043</x:v>
      </x:c>
      <x:c r="D1076">
        <x:v>5</x:v>
      </x:c>
      <x:c r="E1076" t="s">
        <x:v>96</x:v>
      </x:c>
      <x:c r="F1076" t="s">
        <x:v>610</x:v>
      </x:c>
      <x:c r="G1076">
        <x:v>45347</x:v>
      </x:c>
      <x:c r="H1076" t="s">
        <x:v>5044</x:v>
      </x:c>
      <x:c r="I1076" t="s">
        <x:v>5045</x:v>
      </x:c>
      <x:c r="J1076" t="s">
        <x:v>5046</x:v>
      </x:c>
    </x:row>
    <x:row r="1077">
      <x:c r="A1077" t="s">
        <x:v>5047</x:v>
      </x:c>
      <x:c r="B1077" t="s">
        <x:v>5047</x:v>
      </x:c>
      <x:c r="C1077" t="s">
        <x:v>5048</x:v>
      </x:c>
      <x:c r="D1077">
        <x:v>7</x:v>
      </x:c>
      <x:c r="E1077" t="s">
        <x:v>103</x:v>
      </x:c>
      <x:c r="F1077" t="s">
        <x:v>97</x:v>
      </x:c>
      <x:c r="G1077">
        <x:v>41491</x:v>
      </x:c>
      <x:c r="H1077" t="s">
        <x:v>5049</x:v>
      </x:c>
      <x:c r="I1077" t="s">
        <x:v>5050</x:v>
      </x:c>
      <x:c r="J1077" t="s">
        <x:v>5051</x:v>
      </x:c>
    </x:row>
    <x:row r="1078">
      <x:c r="A1078" t="s">
        <x:v>5052</x:v>
      </x:c>
      <x:c r="B1078" t="s">
        <x:v>5052</x:v>
      </x:c>
      <x:c r="C1078" t="s">
        <x:v>5053</x:v>
      </x:c>
      <x:c r="D1078">
        <x:v>8</x:v>
      </x:c>
      <x:c r="E1078" t="s">
        <x:v>103</x:v>
      </x:c>
      <x:c r="F1078" t="s">
        <x:v>97</x:v>
      </x:c>
      <x:c r="G1078">
        <x:v>42550</x:v>
      </x:c>
      <x:c r="H1078" t="s">
        <x:v>5054</x:v>
      </x:c>
      <x:c r="I1078" t="s">
        <x:v>5055</x:v>
      </x:c>
      <x:c r="J1078" t="s">
        <x:v>5056</x:v>
      </x:c>
    </x:row>
    <x:row r="1079">
      <x:c r="A1079" t="s">
        <x:v>5057</x:v>
      </x:c>
      <x:c r="B1079" t="s">
        <x:v>5057</x:v>
      </x:c>
      <x:c r="C1079" t="s">
        <x:v>742</x:v>
      </x:c>
      <x:c r="D1079">
        <x:v>8</x:v>
      </x:c>
      <x:c r="E1079" t="s">
        <x:v>89</x:v>
      </x:c>
      <x:c r="F1079" t="s">
        <x:v>97</x:v>
      </x:c>
      <x:c r="G1079">
        <x:v>42315</x:v>
      </x:c>
      <x:c r="H1079" t="s">
        <x:v>5058</x:v>
      </x:c>
      <x:c r="I1079" t="s">
        <x:v>5059</x:v>
      </x:c>
      <x:c r="J1079" t="s">
        <x:v>5060</x:v>
      </x:c>
    </x:row>
    <x:row r="1080">
      <x:c r="A1080" t="s">
        <x:v>5061</x:v>
      </x:c>
      <x:c r="B1080" t="s">
        <x:v>5061</x:v>
      </x:c>
      <x:c r="C1080" t="s">
        <x:v>865</x:v>
      </x:c>
      <x:c r="D1080">
        <x:v>40</x:v>
      </x:c>
      <x:c r="E1080" t="s">
        <x:v>103</x:v>
      </x:c>
      <x:c r="F1080" t="s">
        <x:v>97</x:v>
      </x:c>
      <x:c r="G1080">
        <x:v>44793</x:v>
      </x:c>
      <x:c r="H1080" t="s">
        <x:v>5062</x:v>
      </x:c>
      <x:c r="I1080" t="s">
        <x:v>5063</x:v>
      </x:c>
      <x:c r="J1080" t="s">
        <x:v>5064</x:v>
      </x:c>
    </x:row>
    <x:row r="1081">
      <x:c r="A1081" t="s">
        <x:v>5065</x:v>
      </x:c>
      <x:c r="B1081" t="s">
        <x:v>5065</x:v>
      </x:c>
      <x:c r="C1081" t="s">
        <x:v>865</x:v>
      </x:c>
      <x:c r="D1081">
        <x:v>21</x:v>
      </x:c>
      <x:c r="E1081" t="s">
        <x:v>103</x:v>
      </x:c>
      <x:c r="F1081" t="s">
        <x:v>97</x:v>
      </x:c>
      <x:c r="G1081">
        <x:v>44574</x:v>
      </x:c>
      <x:c r="H1081" t="s">
        <x:v>5066</x:v>
      </x:c>
      <x:c r="I1081" t="s">
        <x:v>5067</x:v>
      </x:c>
      <x:c r="J1081" t="s">
        <x:v>5068</x:v>
      </x:c>
    </x:row>
    <x:row r="1082">
      <x:c r="A1082" t="s">
        <x:v>5069</x:v>
      </x:c>
      <x:c r="B1082" t="s">
        <x:v>5069</x:v>
      </x:c>
      <x:c r="C1082" t="s">
        <x:v>865</x:v>
      </x:c>
      <x:c r="D1082">
        <x:v>7</x:v>
      </x:c>
      <x:c r="E1082" t="s">
        <x:v>103</x:v>
      </x:c>
      <x:c r="F1082" t="s">
        <x:v>97</x:v>
      </x:c>
      <x:c r="G1082">
        <x:v>44407</x:v>
      </x:c>
      <x:c r="H1082" t="s">
        <x:v>5070</x:v>
      </x:c>
      <x:c r="I1082" t="s">
        <x:v>5071</x:v>
      </x:c>
      <x:c r="J1082" t="s">
        <x:v>5072</x:v>
      </x:c>
    </x:row>
    <x:row r="1083">
      <x:c r="A1083" t="s">
        <x:v>5073</x:v>
      </x:c>
      <x:c r="B1083" t="s">
        <x:v>5073</x:v>
      </x:c>
      <x:c r="C1083" t="s">
        <x:v>865</x:v>
      </x:c>
      <x:c r="D1083">
        <x:v>6</x:v>
      </x:c>
      <x:c r="E1083" t="s">
        <x:v>257</x:v>
      </x:c>
      <x:c r="F1083" t="s">
        <x:v>97</x:v>
      </x:c>
      <x:c r="G1083">
        <x:v>44434</x:v>
      </x:c>
      <x:c r="H1083" t="s">
        <x:v>5074</x:v>
      </x:c>
      <x:c r="I1083" t="s">
        <x:v>5075</x:v>
      </x:c>
      <x:c r="J1083" t="s">
        <x:v>5076</x:v>
      </x:c>
    </x:row>
    <x:row r="1084">
      <x:c r="A1084" t="s">
        <x:v>5077</x:v>
      </x:c>
      <x:c r="B1084" t="s">
        <x:v>5077</x:v>
      </x:c>
      <x:c r="C1084" t="s">
        <x:v>5078</x:v>
      </x:c>
      <x:c r="D1084">
        <x:v>5</x:v>
      </x:c>
      <x:c r="E1084" t="s">
        <x:v>257</x:v>
      </x:c>
      <x:c r="F1084" t="s">
        <x:v>97</x:v>
      </x:c>
      <x:c r="G1084">
        <x:v>42255</x:v>
      </x:c>
      <x:c r="H1084" t="s">
        <x:v>5079</x:v>
      </x:c>
      <x:c r="I1084" t="s">
        <x:v>5080</x:v>
      </x:c>
      <x:c r="J1084" t="s">
        <x:v>5081</x:v>
      </x:c>
    </x:row>
    <x:row r="1085">
      <x:c r="A1085" t="s">
        <x:v>5082</x:v>
      </x:c>
      <x:c r="B1085" t="s">
        <x:v>5082</x:v>
      </x:c>
      <x:c r="C1085" t="s">
        <x:v>4192</x:v>
      </x:c>
      <x:c r="D1085">
        <x:v>17</x:v>
      </x:c>
      <x:c r="E1085" t="s">
        <x:v>96</x:v>
      </x:c>
      <x:c r="F1085" t="s">
        <x:v>97</x:v>
      </x:c>
      <x:c r="G1085">
        <x:v>41572</x:v>
      </x:c>
      <x:c r="H1085" t="s">
        <x:v>5083</x:v>
      </x:c>
      <x:c r="I1085" t="s">
        <x:v>5084</x:v>
      </x:c>
      <x:c r="J1085" t="s">
        <x:v>5085</x:v>
      </x:c>
    </x:row>
    <x:row r="1086">
      <x:c r="A1086" t="s">
        <x:v>5086</x:v>
      </x:c>
      <x:c r="B1086" t="s">
        <x:v>5086</x:v>
      </x:c>
      <x:c r="C1086" t="s">
        <x:v>5087</x:v>
      </x:c>
      <x:c r="D1086">
        <x:v>34</x:v>
      </x:c>
      <x:c r="E1086" t="s">
        <x:v>103</x:v>
      </x:c>
      <x:c r="F1086" t="s">
        <x:v>97</x:v>
      </x:c>
      <x:c r="G1086">
        <x:v>41814</x:v>
      </x:c>
      <x:c r="H1086" t="s">
        <x:v>5088</x:v>
      </x:c>
      <x:c r="I1086" t="s">
        <x:v>5089</x:v>
      </x:c>
      <x:c r="J1086" t="s">
        <x:v>5090</x:v>
      </x:c>
    </x:row>
    <x:row r="1087">
      <x:c r="A1087" t="s">
        <x:v>5091</x:v>
      </x:c>
      <x:c r="B1087" t="s">
        <x:v>5091</x:v>
      </x:c>
      <x:c r="C1087" t="s">
        <x:v>5092</x:v>
      </x:c>
      <x:c r="D1087">
        <x:v>51</x:v>
      </x:c>
      <x:c r="E1087" t="s">
        <x:v>103</x:v>
      </x:c>
      <x:c r="F1087" t="s">
        <x:v>2469</x:v>
      </x:c>
      <x:c r="G1087">
        <x:v>41589</x:v>
      </x:c>
      <x:c r="H1087" t="s">
        <x:v>5093</x:v>
      </x:c>
      <x:c r="I1087" t="s">
        <x:v>5094</x:v>
      </x:c>
      <x:c r="J1087" t="s">
        <x:v>5095</x:v>
      </x:c>
    </x:row>
    <x:row r="1088">
      <x:c r="A1088" t="s">
        <x:v>5096</x:v>
      </x:c>
      <x:c r="B1088" t="s">
        <x:v>5096</x:v>
      </x:c>
      <x:c r="C1088" t="s">
        <x:v>5092</x:v>
      </x:c>
      <x:c r="D1088">
        <x:v>37</x:v>
      </x:c>
      <x:c r="E1088" t="s">
        <x:v>103</x:v>
      </x:c>
      <x:c r="F1088" t="s">
        <x:v>2469</x:v>
      </x:c>
      <x:c r="G1088">
        <x:v>42925</x:v>
      </x:c>
      <x:c r="H1088" t="s">
        <x:v>5097</x:v>
      </x:c>
      <x:c r="I1088" t="s">
        <x:v>5098</x:v>
      </x:c>
      <x:c r="J1088" t="s">
        <x:v>5099</x:v>
      </x:c>
    </x:row>
    <x:row r="1089">
      <x:c r="A1089" t="s">
        <x:v>5100</x:v>
      </x:c>
      <x:c r="B1089" t="s">
        <x:v>5100</x:v>
      </x:c>
      <x:c r="C1089" t="s">
        <x:v>4665</x:v>
      </x:c>
      <x:c r="D1089">
        <x:v>20</x:v>
      </x:c>
      <x:c r="E1089" t="s">
        <x:v>96</x:v>
      </x:c>
      <x:c r="F1089" t="s">
        <x:v>97</x:v>
      </x:c>
      <x:c r="G1089">
        <x:v>42658</x:v>
      </x:c>
      <x:c r="H1089" t="s">
        <x:v>5101</x:v>
      </x:c>
      <x:c r="I1089" t="s">
        <x:v>5102</x:v>
      </x:c>
      <x:c r="J1089" t="s">
        <x:v>5103</x:v>
      </x:c>
    </x:row>
    <x:row r="1090">
      <x:c r="A1090" t="s">
        <x:v>5104</x:v>
      </x:c>
      <x:c r="B1090" t="s">
        <x:v>5104</x:v>
      </x:c>
      <x:c r="C1090" t="s">
        <x:v>5105</x:v>
      </x:c>
      <x:c r="D1090">
        <x:v>7</x:v>
      </x:c>
      <x:c r="E1090" t="s">
        <x:v>103</x:v>
      </x:c>
      <x:c r="F1090" t="s">
        <x:v>97</x:v>
      </x:c>
      <x:c r="G1090">
        <x:v>41543</x:v>
      </x:c>
      <x:c r="H1090" t="s">
        <x:v>5106</x:v>
      </x:c>
      <x:c r="I1090" t="s">
        <x:v>5107</x:v>
      </x:c>
      <x:c r="J1090" t="s">
        <x:v>5108</x:v>
      </x:c>
    </x:row>
    <x:row r="1091">
      <x:c r="A1091" t="s">
        <x:v>5109</x:v>
      </x:c>
      <x:c r="B1091" t="s">
        <x:v>5109</x:v>
      </x:c>
      <x:c r="C1091" t="s">
        <x:v>5110</x:v>
      </x:c>
      <x:c r="D1091">
        <x:v>27</x:v>
      </x:c>
      <x:c r="E1091" t="s">
        <x:v>96</x:v>
      </x:c>
      <x:c r="F1091" t="s">
        <x:v>97</x:v>
      </x:c>
      <x:c r="G1091">
        <x:v>41457</x:v>
      </x:c>
      <x:c r="H1091" t="s">
        <x:v>5111</x:v>
      </x:c>
      <x:c r="I1091" t="s">
        <x:v>5112</x:v>
      </x:c>
      <x:c r="J1091" t="s">
        <x:v>5113</x:v>
      </x:c>
    </x:row>
    <x:row r="1092">
      <x:c r="A1092" t="s">
        <x:v>5114</x:v>
      </x:c>
      <x:c r="B1092" t="s">
        <x:v>5114</x:v>
      </x:c>
      <x:c r="C1092" t="s">
        <x:v>5115</x:v>
      </x:c>
      <x:c r="D1092">
        <x:v>50</x:v>
      </x:c>
      <x:c r="E1092" t="s">
        <x:v>96</x:v>
      </x:c>
      <x:c r="F1092" t="s">
        <x:v>97</x:v>
      </x:c>
      <x:c r="G1092">
        <x:v>45554</x:v>
      </x:c>
      <x:c r="H1092" t="s">
        <x:v>5116</x:v>
      </x:c>
      <x:c r="I1092" t="s">
        <x:v>5117</x:v>
      </x:c>
      <x:c r="J1092" t="s">
        <x:v>5118</x:v>
      </x:c>
    </x:row>
    <x:row r="1093">
      <x:c r="A1093" t="s">
        <x:v>5119</x:v>
      </x:c>
      <x:c r="B1093" t="s">
        <x:v>5119</x:v>
      </x:c>
      <x:c r="C1093" t="s">
        <x:v>167</x:v>
      </x:c>
      <x:c r="D1093">
        <x:v>25</x:v>
      </x:c>
      <x:c r="E1093" t="s">
        <x:v>96</x:v>
      </x:c>
      <x:c r="F1093" t="s">
        <x:v>97</x:v>
      </x:c>
      <x:c r="G1093">
        <x:v>42209</x:v>
      </x:c>
      <x:c r="H1093" t="s">
        <x:v>5120</x:v>
      </x:c>
      <x:c r="I1093" t="s">
        <x:v>5121</x:v>
      </x:c>
      <x:c r="J1093" t="s">
        <x:v>5122</x:v>
      </x:c>
    </x:row>
    <x:row r="1094">
      <x:c r="A1094" t="s">
        <x:v>5123</x:v>
      </x:c>
      <x:c r="B1094" t="s">
        <x:v>5123</x:v>
      </x:c>
      <x:c r="C1094" t="s">
        <x:v>5124</x:v>
      </x:c>
      <x:c r="D1094">
        <x:v>98</x:v>
      </x:c>
      <x:c r="E1094" t="s">
        <x:v>103</x:v>
      </x:c>
      <x:c r="F1094" t="s">
        <x:v>97</x:v>
      </x:c>
      <x:c r="G1094">
        <x:v>46024</x:v>
      </x:c>
      <x:c r="H1094" t="s">
        <x:v>5125</x:v>
      </x:c>
      <x:c r="I1094" t="s">
        <x:v>5126</x:v>
      </x:c>
      <x:c r="J1094" t="s">
        <x:v>5127</x:v>
      </x:c>
    </x:row>
    <x:row r="1095">
      <x:c r="A1095" t="s">
        <x:v>5128</x:v>
      </x:c>
      <x:c r="B1095" t="s">
        <x:v>5128</x:v>
      </x:c>
      <x:c r="C1095" t="s">
        <x:v>5124</x:v>
      </x:c>
      <x:c r="D1095">
        <x:v>98</x:v>
      </x:c>
      <x:c r="E1095" t="s">
        <x:v>103</x:v>
      </x:c>
      <x:c r="F1095" t="s">
        <x:v>97</x:v>
      </x:c>
      <x:c r="G1095">
        <x:v>45508</x:v>
      </x:c>
      <x:c r="H1095" t="s">
        <x:v>5129</x:v>
      </x:c>
      <x:c r="I1095" t="s">
        <x:v>5130</x:v>
      </x:c>
      <x:c r="J1095" t="s">
        <x:v>5131</x:v>
      </x:c>
    </x:row>
    <x:row r="1096">
      <x:c r="A1096" t="s">
        <x:v>5132</x:v>
      </x:c>
      <x:c r="B1096" t="s">
        <x:v>5132</x:v>
      </x:c>
      <x:c r="C1096" t="s">
        <x:v>4255</x:v>
      </x:c>
      <x:c r="D1096">
        <x:v>49</x:v>
      </x:c>
      <x:c r="E1096" t="s">
        <x:v>96</x:v>
      </x:c>
      <x:c r="F1096" t="s">
        <x:v>97</x:v>
      </x:c>
      <x:c r="G1096">
        <x:v>42333</x:v>
      </x:c>
      <x:c r="H1096" t="s">
        <x:v>5133</x:v>
      </x:c>
      <x:c r="I1096" t="s">
        <x:v>5134</x:v>
      </x:c>
      <x:c r="J1096" t="s">
        <x:v>5135</x:v>
      </x:c>
    </x:row>
    <x:row r="1097">
      <x:c r="A1097" t="s">
        <x:v>5136</x:v>
      </x:c>
      <x:c r="B1097" t="s">
        <x:v>5136</x:v>
      </x:c>
      <x:c r="C1097" t="s">
        <x:v>5137</x:v>
      </x:c>
      <x:c r="D1097">
        <x:v>7</x:v>
      </x:c>
      <x:c r="E1097" t="s">
        <x:v>89</x:v>
      </x:c>
      <x:c r="F1097" t="s">
        <x:v>610</x:v>
      </x:c>
      <x:c r="G1097">
        <x:v>41748</x:v>
      </x:c>
      <x:c r="H1097" t="s">
        <x:v>5138</x:v>
      </x:c>
      <x:c r="I1097" t="s">
        <x:v>5139</x:v>
      </x:c>
      <x:c r="J1097" t="s">
        <x:v>5140</x:v>
      </x:c>
    </x:row>
    <x:row r="1098">
      <x:c r="A1098" t="s">
        <x:v>5141</x:v>
      </x:c>
      <x:c r="B1098" t="s">
        <x:v>5141</x:v>
      </x:c>
      <x:c r="C1098" t="s">
        <x:v>5142</x:v>
      </x:c>
      <x:c r="D1098">
        <x:v>1</x:v>
      </x:c>
      <x:c r="E1098" t="s">
        <x:v>89</x:v>
      </x:c>
      <x:c r="F1098" t="s">
        <x:v>97</x:v>
      </x:c>
      <x:c r="G1098">
        <x:v>43992</x:v>
      </x:c>
      <x:c r="H1098" t="s">
        <x:v>5143</x:v>
      </x:c>
      <x:c r="I1098" t="s">
        <x:v>5144</x:v>
      </x:c>
      <x:c r="J1098" t="s">
        <x:v>5145</x:v>
      </x:c>
    </x:row>
    <x:row r="1099">
      <x:c r="A1099" t="s">
        <x:v>5146</x:v>
      </x:c>
      <x:c r="B1099" t="s">
        <x:v>5146</x:v>
      </x:c>
      <x:c r="C1099" t="s">
        <x:v>2277</x:v>
      </x:c>
      <x:c r="D1099">
        <x:v>10</x:v>
      </x:c>
      <x:c r="E1099" t="s">
        <x:v>103</x:v>
      </x:c>
      <x:c r="F1099" t="s">
        <x:v>97</x:v>
      </x:c>
      <x:c r="G1099">
        <x:v>41545</x:v>
      </x:c>
      <x:c r="H1099" t="s">
        <x:v>5147</x:v>
      </x:c>
      <x:c r="I1099" t="s">
        <x:v>5148</x:v>
      </x:c>
      <x:c r="J1099" t="s">
        <x:v>5149</x:v>
      </x:c>
    </x:row>
    <x:row r="1100">
      <x:c r="A1100" t="s">
        <x:v>5150</x:v>
      </x:c>
      <x:c r="B1100" t="s">
        <x:v>5150</x:v>
      </x:c>
      <x:c r="C1100" t="s">
        <x:v>419</x:v>
      </x:c>
      <x:c r="D1100">
        <x:v>5</x:v>
      </x:c>
      <x:c r="E1100" t="s">
        <x:v>103</x:v>
      </x:c>
      <x:c r="F1100" t="s">
        <x:v>97</x:v>
      </x:c>
      <x:c r="G1100">
        <x:v>42215</x:v>
      </x:c>
      <x:c r="H1100" t="s">
        <x:v>5151</x:v>
      </x:c>
      <x:c r="I1100" t="s">
        <x:v>5152</x:v>
      </x:c>
      <x:c r="J1100" t="s">
        <x:v>5153</x:v>
      </x:c>
    </x:row>
    <x:row r="1101">
      <x:c r="A1101" t="s">
        <x:v>5154</x:v>
      </x:c>
      <x:c r="B1101" t="s">
        <x:v>5154</x:v>
      </x:c>
      <x:c r="C1101" t="s">
        <x:v>282</x:v>
      </x:c>
      <x:c r="D1101">
        <x:v>10</x:v>
      </x:c>
      <x:c r="E1101" t="s">
        <x:v>96</x:v>
      </x:c>
      <x:c r="F1101" t="s">
        <x:v>97</x:v>
      </x:c>
      <x:c r="G1101">
        <x:v>44233</x:v>
      </x:c>
      <x:c r="H1101" t="s">
        <x:v>5155</x:v>
      </x:c>
      <x:c r="I1101" t="s">
        <x:v>5156</x:v>
      </x:c>
      <x:c r="J1101" t="s">
        <x:v>5157</x:v>
      </x:c>
    </x:row>
    <x:row r="1102">
      <x:c r="A1102" t="s">
        <x:v>5158</x:v>
      </x:c>
      <x:c r="B1102" t="s">
        <x:v>5158</x:v>
      </x:c>
      <x:c r="C1102" t="s">
        <x:v>5159</x:v>
      </x:c>
      <x:c r="D1102">
        <x:v>11</x:v>
      </x:c>
      <x:c r="E1102" t="s">
        <x:v>257</x:v>
      </x:c>
      <x:c r="F1102" t="s">
        <x:v>97</x:v>
      </x:c>
      <x:c r="G1102">
        <x:v>42412</x:v>
      </x:c>
      <x:c r="H1102" t="s">
        <x:v>5160</x:v>
      </x:c>
      <x:c r="I1102" t="s">
        <x:v>5161</x:v>
      </x:c>
      <x:c r="J1102" t="s">
        <x:v>5162</x:v>
      </x:c>
    </x:row>
    <x:row r="1103">
      <x:c r="A1103" t="s">
        <x:v>5163</x:v>
      </x:c>
      <x:c r="B1103" t="s">
        <x:v>5163</x:v>
      </x:c>
      <x:c r="C1103" t="s">
        <x:v>5164</x:v>
      </x:c>
      <x:c r="D1103">
        <x:v>7</x:v>
      </x:c>
      <x:c r="E1103" t="s">
        <x:v>103</x:v>
      </x:c>
      <x:c r="F1103" t="s">
        <x:v>97</x:v>
      </x:c>
      <x:c r="G1103">
        <x:v>42044</x:v>
      </x:c>
      <x:c r="H1103" t="s">
        <x:v>5165</x:v>
      </x:c>
      <x:c r="I1103" t="s">
        <x:v>5166</x:v>
      </x:c>
      <x:c r="J1103" t="s">
        <x:v>5167</x:v>
      </x:c>
    </x:row>
    <x:row r="1104">
      <x:c r="A1104" t="s">
        <x:v>5168</x:v>
      </x:c>
      <x:c r="B1104" t="s">
        <x:v>5168</x:v>
      </x:c>
      <x:c r="C1104" t="s">
        <x:v>5169</x:v>
      </x:c>
      <x:c r="D1104">
        <x:v>4</x:v>
      </x:c>
      <x:c r="E1104" t="s">
        <x:v>96</x:v>
      </x:c>
      <x:c r="F1104" t="s">
        <x:v>97</x:v>
      </x:c>
      <x:c r="G1104">
        <x:v>43219</x:v>
      </x:c>
      <x:c r="H1104" t="s">
        <x:v>5170</x:v>
      </x:c>
      <x:c r="I1104" t="s">
        <x:v>5171</x:v>
      </x:c>
      <x:c r="J1104" t="s">
        <x:v>5172</x:v>
      </x:c>
    </x:row>
    <x:row r="1105">
      <x:c r="A1105" t="s">
        <x:v>5173</x:v>
      </x:c>
      <x:c r="B1105" t="s">
        <x:v>5173</x:v>
      </x:c>
      <x:c r="C1105" t="s">
        <x:v>5174</x:v>
      </x:c>
      <x:c r="D1105">
        <x:v>21</x:v>
      </x:c>
      <x:c r="E1105" t="s">
        <x:v>96</x:v>
      </x:c>
      <x:c r="F1105" t="s">
        <x:v>97</x:v>
      </x:c>
      <x:c r="G1105">
        <x:v>43483</x:v>
      </x:c>
      <x:c r="H1105" t="s">
        <x:v>5175</x:v>
      </x:c>
      <x:c r="I1105" t="s">
        <x:v>5176</x:v>
      </x:c>
      <x:c r="J1105" t="s">
        <x:v>5177</x:v>
      </x:c>
    </x:row>
    <x:row r="1106">
      <x:c r="A1106" t="s">
        <x:v>5178</x:v>
      </x:c>
      <x:c r="B1106" t="s">
        <x:v>5178</x:v>
      </x:c>
      <x:c r="C1106" t="s">
        <x:v>2033</x:v>
      </x:c>
      <x:c r="D1106">
        <x:v>48</x:v>
      </x:c>
      <x:c r="E1106" t="s">
        <x:v>103</x:v>
      </x:c>
      <x:c r="F1106" t="s">
        <x:v>97</x:v>
      </x:c>
      <x:c r="G1106">
        <x:v>42662</x:v>
      </x:c>
      <x:c r="H1106" t="s">
        <x:v>5179</x:v>
      </x:c>
      <x:c r="I1106" t="s">
        <x:v>5180</x:v>
      </x:c>
      <x:c r="J1106" t="s">
        <x:v>5181</x:v>
      </x:c>
    </x:row>
    <x:row r="1107">
      <x:c r="A1107" t="s">
        <x:v>5182</x:v>
      </x:c>
      <x:c r="B1107" t="s">
        <x:v>5182</x:v>
      </x:c>
      <x:c r="C1107" t="s">
        <x:v>282</x:v>
      </x:c>
      <x:c r="D1107">
        <x:v>17</x:v>
      </x:c>
      <x:c r="E1107" t="s">
        <x:v>96</x:v>
      </x:c>
      <x:c r="F1107" t="s">
        <x:v>97</x:v>
      </x:c>
      <x:c r="G1107">
        <x:v>45103</x:v>
      </x:c>
      <x:c r="H1107" t="s">
        <x:v>5183</x:v>
      </x:c>
      <x:c r="I1107" t="s">
        <x:v>5184</x:v>
      </x:c>
      <x:c r="J1107" t="s">
        <x:v>5185</x:v>
      </x:c>
    </x:row>
    <x:row r="1108">
      <x:c r="A1108" t="s">
        <x:v>5186</x:v>
      </x:c>
      <x:c r="B1108" t="s">
        <x:v>5186</x:v>
      </x:c>
      <x:c r="C1108" t="s">
        <x:v>5187</x:v>
      </x:c>
      <x:c r="D1108">
        <x:v>28</x:v>
      </x:c>
      <x:c r="E1108" t="s">
        <x:v>96</x:v>
      </x:c>
      <x:c r="F1108" t="s">
        <x:v>97</x:v>
      </x:c>
      <x:c r="G1108">
        <x:v>43683</x:v>
      </x:c>
      <x:c r="H1108" t="s">
        <x:v>5188</x:v>
      </x:c>
      <x:c r="I1108" t="s">
        <x:v>5189</x:v>
      </x:c>
      <x:c r="J1108" t="s">
        <x:v>5190</x:v>
      </x:c>
    </x:row>
    <x:row r="1109">
      <x:c r="A1109" t="s">
        <x:v>5191</x:v>
      </x:c>
      <x:c r="B1109" t="s">
        <x:v>5191</x:v>
      </x:c>
      <x:c r="C1109" t="s">
        <x:v>732</x:v>
      </x:c>
      <x:c r="D1109">
        <x:v>7</x:v>
      </x:c>
      <x:c r="E1109" t="s">
        <x:v>96</x:v>
      </x:c>
      <x:c r="F1109" t="s">
        <x:v>97</x:v>
      </x:c>
      <x:c r="G1109">
        <x:v>42374</x:v>
      </x:c>
      <x:c r="H1109" t="s">
        <x:v>5192</x:v>
      </x:c>
      <x:c r="I1109" t="s">
        <x:v>5193</x:v>
      </x:c>
      <x:c r="J1109" t="s">
        <x:v>5194</x:v>
      </x:c>
    </x:row>
    <x:row r="1110">
      <x:c r="A1110" t="s">
        <x:v>5195</x:v>
      </x:c>
      <x:c r="B1110" t="s">
        <x:v>5195</x:v>
      </x:c>
      <x:c r="C1110" t="s">
        <x:v>3170</x:v>
      </x:c>
      <x:c r="D1110">
        <x:v>12</x:v>
      </x:c>
      <x:c r="E1110" t="s">
        <x:v>198</x:v>
      </x:c>
      <x:c r="F1110" t="s">
        <x:v>90</x:v>
      </x:c>
      <x:c r="G1110">
        <x:v>44217</x:v>
      </x:c>
      <x:c r="H1110" t="s">
        <x:v>5196</x:v>
      </x:c>
      <x:c r="I1110" t="s">
        <x:v>5197</x:v>
      </x:c>
      <x:c r="J1110" t="s">
        <x:v>5198</x:v>
      </x:c>
    </x:row>
    <x:row r="1111">
      <x:c r="A1111" t="s">
        <x:v>5199</x:v>
      </x:c>
      <x:c r="B1111" t="s">
        <x:v>5199</x:v>
      </x:c>
      <x:c r="C1111" t="s">
        <x:v>5200</x:v>
      </x:c>
      <x:c r="D1111">
        <x:v>17</x:v>
      </x:c>
      <x:c r="E1111" t="s">
        <x:v>103</x:v>
      </x:c>
      <x:c r="F1111" t="s">
        <x:v>97</x:v>
      </x:c>
      <x:c r="G1111">
        <x:v>41862</x:v>
      </x:c>
      <x:c r="H1111" t="s">
        <x:v>5201</x:v>
      </x:c>
      <x:c r="I1111" t="s">
        <x:v>5202</x:v>
      </x:c>
      <x:c r="J1111" t="s">
        <x:v>5203</x:v>
      </x:c>
    </x:row>
    <x:row r="1112">
      <x:c r="A1112" t="s">
        <x:v>5204</x:v>
      </x:c>
      <x:c r="B1112" t="s">
        <x:v>5204</x:v>
      </x:c>
      <x:c r="C1112" t="s">
        <x:v>5205</x:v>
      </x:c>
      <x:c r="D1112">
        <x:v>87</x:v>
      </x:c>
      <x:c r="E1112" t="s">
        <x:v>103</x:v>
      </x:c>
      <x:c r="F1112" t="s">
        <x:v>97</x:v>
      </x:c>
      <x:c r="G1112">
        <x:v>43601</x:v>
      </x:c>
      <x:c r="H1112" t="s">
        <x:v>5206</x:v>
      </x:c>
      <x:c r="I1112" t="s">
        <x:v>5207</x:v>
      </x:c>
      <x:c r="J1112" t="s">
        <x:v>5208</x:v>
      </x:c>
    </x:row>
    <x:row r="1113">
      <x:c r="A1113" t="s">
        <x:v>5209</x:v>
      </x:c>
      <x:c r="B1113" t="s">
        <x:v>5209</x:v>
      </x:c>
      <x:c r="C1113" t="s">
        <x:v>5205</x:v>
      </x:c>
      <x:c r="D1113">
        <x:v>88</x:v>
      </x:c>
      <x:c r="E1113" t="s">
        <x:v>96</x:v>
      </x:c>
      <x:c r="F1113" t="s">
        <x:v>97</x:v>
      </x:c>
      <x:c r="G1113">
        <x:v>42232</x:v>
      </x:c>
      <x:c r="H1113" t="s">
        <x:v>5210</x:v>
      </x:c>
      <x:c r="I1113" t="s">
        <x:v>5211</x:v>
      </x:c>
      <x:c r="J1113" t="s">
        <x:v>5212</x:v>
      </x:c>
    </x:row>
    <x:row r="1114">
      <x:c r="A1114" t="s">
        <x:v>5213</x:v>
      </x:c>
      <x:c r="B1114" t="s">
        <x:v>5213</x:v>
      </x:c>
      <x:c r="C1114" t="s">
        <x:v>1982</x:v>
      </x:c>
      <x:c r="D1114">
        <x:v>31</x:v>
      </x:c>
      <x:c r="E1114" t="s">
        <x:v>103</x:v>
      </x:c>
      <x:c r="F1114" t="s">
        <x:v>97</x:v>
      </x:c>
      <x:c r="G1114">
        <x:v>45010</x:v>
      </x:c>
      <x:c r="H1114" t="s">
        <x:v>5214</x:v>
      </x:c>
      <x:c r="I1114" t="s">
        <x:v>5215</x:v>
      </x:c>
      <x:c r="J1114" t="s">
        <x:v>5216</x:v>
      </x:c>
    </x:row>
    <x:row r="1115">
      <x:c r="A1115" t="s">
        <x:v>5217</x:v>
      </x:c>
      <x:c r="B1115" t="s">
        <x:v>5217</x:v>
      </x:c>
      <x:c r="C1115" t="s">
        <x:v>5218</x:v>
      </x:c>
      <x:c r="D1115">
        <x:v>96</x:v>
      </x:c>
      <x:c r="E1115" t="s">
        <x:v>103</x:v>
      </x:c>
      <x:c r="F1115" t="s">
        <x:v>97</x:v>
      </x:c>
      <x:c r="G1115">
        <x:v>41445</x:v>
      </x:c>
      <x:c r="H1115" t="s">
        <x:v>5219</x:v>
      </x:c>
      <x:c r="I1115" t="s">
        <x:v>5220</x:v>
      </x:c>
      <x:c r="J1115" t="s">
        <x:v>5221</x:v>
      </x:c>
    </x:row>
    <x:row r="1116">
      <x:c r="A1116" t="s">
        <x:v>5222</x:v>
      </x:c>
      <x:c r="B1116" t="s">
        <x:v>5222</x:v>
      </x:c>
      <x:c r="C1116" t="s">
        <x:v>5218</x:v>
      </x:c>
      <x:c r="D1116">
        <x:v>59</x:v>
      </x:c>
      <x:c r="E1116" t="s">
        <x:v>103</x:v>
      </x:c>
      <x:c r="F1116" t="s">
        <x:v>97</x:v>
      </x:c>
      <x:c r="G1116">
        <x:v>43060</x:v>
      </x:c>
      <x:c r="H1116" t="s">
        <x:v>5223</x:v>
      </x:c>
      <x:c r="I1116" t="s">
        <x:v>5224</x:v>
      </x:c>
      <x:c r="J1116" t="s">
        <x:v>5225</x:v>
      </x:c>
    </x:row>
    <x:row r="1117">
      <x:c r="A1117" t="s">
        <x:v>5226</x:v>
      </x:c>
      <x:c r="B1117" t="s">
        <x:v>5226</x:v>
      </x:c>
      <x:c r="C1117" t="s">
        <x:v>948</x:v>
      </x:c>
      <x:c r="D1117">
        <x:v>1</x:v>
      </x:c>
      <x:c r="E1117" t="s">
        <x:v>103</x:v>
      </x:c>
      <x:c r="F1117" t="s">
        <x:v>97</x:v>
      </x:c>
      <x:c r="G1117">
        <x:v>42283</x:v>
      </x:c>
      <x:c r="H1117" t="s">
        <x:v>5227</x:v>
      </x:c>
      <x:c r="I1117" t="s">
        <x:v>5228</x:v>
      </x:c>
      <x:c r="J1117" t="s">
        <x:v>5229</x:v>
      </x:c>
    </x:row>
    <x:row r="1118">
      <x:c r="A1118" t="s">
        <x:v>5230</x:v>
      </x:c>
      <x:c r="B1118" t="s">
        <x:v>5230</x:v>
      </x:c>
      <x:c r="C1118" t="s">
        <x:v>5231</x:v>
      </x:c>
      <x:c r="D1118">
        <x:v>14</x:v>
      </x:c>
      <x:c r="E1118" t="s">
        <x:v>103</x:v>
      </x:c>
      <x:c r="F1118" t="s">
        <x:v>97</x:v>
      </x:c>
      <x:c r="G1118">
        <x:v>41492</x:v>
      </x:c>
      <x:c r="H1118" t="s">
        <x:v>5232</x:v>
      </x:c>
      <x:c r="I1118" t="s">
        <x:v>5233</x:v>
      </x:c>
      <x:c r="J1118" t="s">
        <x:v>5234</x:v>
      </x:c>
    </x:row>
    <x:row r="1119">
      <x:c r="A1119" t="s">
        <x:v>5235</x:v>
      </x:c>
      <x:c r="B1119" t="s">
        <x:v>5235</x:v>
      </x:c>
      <x:c r="C1119" t="s">
        <x:v>5236</x:v>
      </x:c>
      <x:c r="D1119">
        <x:v>10</x:v>
      </x:c>
      <x:c r="E1119" t="s">
        <x:v>96</x:v>
      </x:c>
      <x:c r="F1119" t="s">
        <x:v>97</x:v>
      </x:c>
      <x:c r="G1119">
        <x:v>42308</x:v>
      </x:c>
      <x:c r="H1119" t="s">
        <x:v>5237</x:v>
      </x:c>
      <x:c r="I1119" t="s">
        <x:v>5238</x:v>
      </x:c>
      <x:c r="J1119" t="s">
        <x:v>5239</x:v>
      </x:c>
    </x:row>
    <x:row r="1120">
      <x:c r="A1120" t="s">
        <x:v>5240</x:v>
      </x:c>
      <x:c r="B1120" t="s">
        <x:v>5240</x:v>
      </x:c>
      <x:c r="C1120" t="s">
        <x:v>5241</x:v>
      </x:c>
      <x:c r="D1120">
        <x:v>79</x:v>
      </x:c>
      <x:c r="E1120" t="s">
        <x:v>96</x:v>
      </x:c>
      <x:c r="F1120" t="s">
        <x:v>97</x:v>
      </x:c>
      <x:c r="G1120">
        <x:v>41604</x:v>
      </x:c>
      <x:c r="H1120" t="s">
        <x:v>5242</x:v>
      </x:c>
      <x:c r="I1120" t="s">
        <x:v>5243</x:v>
      </x:c>
      <x:c r="J1120" t="s">
        <x:v>5244</x:v>
      </x:c>
    </x:row>
    <x:row r="1121">
      <x:c r="A1121" t="s">
        <x:v>5245</x:v>
      </x:c>
      <x:c r="B1121" t="s">
        <x:v>5245</x:v>
      </x:c>
      <x:c r="C1121" t="s">
        <x:v>5246</x:v>
      </x:c>
      <x:c r="D1121">
        <x:v>9</x:v>
      </x:c>
      <x:c r="E1121" t="s">
        <x:v>103</x:v>
      </x:c>
      <x:c r="F1121" t="s">
        <x:v>97</x:v>
      </x:c>
      <x:c r="G1121">
        <x:v>42267</x:v>
      </x:c>
      <x:c r="H1121" t="s">
        <x:v>5247</x:v>
      </x:c>
      <x:c r="I1121" t="s">
        <x:v>5248</x:v>
      </x:c>
      <x:c r="J1121" t="s">
        <x:v>5249</x:v>
      </x:c>
    </x:row>
    <x:row r="1122">
      <x:c r="A1122" t="s">
        <x:v>5250</x:v>
      </x:c>
      <x:c r="B1122" t="s">
        <x:v>5250</x:v>
      </x:c>
      <x:c r="C1122" t="s">
        <x:v>4099</x:v>
      </x:c>
      <x:c r="D1122">
        <x:v>6</x:v>
      </x:c>
      <x:c r="E1122" t="s">
        <x:v>103</x:v>
      </x:c>
      <x:c r="F1122" t="s">
        <x:v>97</x:v>
      </x:c>
      <x:c r="G1122">
        <x:v>45275</x:v>
      </x:c>
      <x:c r="H1122" t="s">
        <x:v>5251</x:v>
      </x:c>
      <x:c r="I1122" t="s">
        <x:v>5252</x:v>
      </x:c>
      <x:c r="J1122" t="s">
        <x:v>5253</x:v>
      </x:c>
    </x:row>
    <x:row r="1123">
      <x:c r="A1123" t="s">
        <x:v>5254</x:v>
      </x:c>
      <x:c r="B1123" t="s">
        <x:v>5254</x:v>
      </x:c>
      <x:c r="C1123" t="s">
        <x:v>4665</x:v>
      </x:c>
      <x:c r="D1123">
        <x:v>7</x:v>
      </x:c>
      <x:c r="E1123" t="s">
        <x:v>103</x:v>
      </x:c>
      <x:c r="F1123" t="s">
        <x:v>97</x:v>
      </x:c>
      <x:c r="G1123">
        <x:v>42345</x:v>
      </x:c>
      <x:c r="H1123" t="s">
        <x:v>5255</x:v>
      </x:c>
      <x:c r="I1123" t="s">
        <x:v>5256</x:v>
      </x:c>
      <x:c r="J1123" t="s">
        <x:v>5257</x:v>
      </x:c>
    </x:row>
    <x:row r="1124">
      <x:c r="A1124" t="s">
        <x:v>5258</x:v>
      </x:c>
      <x:c r="B1124" t="s">
        <x:v>5258</x:v>
      </x:c>
      <x:c r="C1124" t="s">
        <x:v>4665</x:v>
      </x:c>
      <x:c r="D1124">
        <x:v>5</x:v>
      </x:c>
      <x:c r="E1124" t="s">
        <x:v>103</x:v>
      </x:c>
      <x:c r="F1124" t="s">
        <x:v>97</x:v>
      </x:c>
      <x:c r="G1124">
        <x:v>42356</x:v>
      </x:c>
      <x:c r="H1124" t="s">
        <x:v>5259</x:v>
      </x:c>
      <x:c r="I1124" t="s">
        <x:v>5260</x:v>
      </x:c>
      <x:c r="J1124" t="s">
        <x:v>5261</x:v>
      </x:c>
    </x:row>
    <x:row r="1125">
      <x:c r="A1125" t="s">
        <x:v>5262</x:v>
      </x:c>
      <x:c r="B1125" t="s">
        <x:v>5262</x:v>
      </x:c>
      <x:c r="C1125" t="s">
        <x:v>4665</x:v>
      </x:c>
      <x:c r="D1125">
        <x:v>66</x:v>
      </x:c>
      <x:c r="E1125" t="s">
        <x:v>96</x:v>
      </x:c>
      <x:c r="F1125" t="s">
        <x:v>97</x:v>
      </x:c>
      <x:c r="G1125">
        <x:v>42730</x:v>
      </x:c>
      <x:c r="H1125" t="s">
        <x:v>5263</x:v>
      </x:c>
      <x:c r="I1125" t="s">
        <x:v>5264</x:v>
      </x:c>
      <x:c r="J1125" t="s">
        <x:v>5265</x:v>
      </x:c>
    </x:row>
    <x:row r="1126">
      <x:c r="A1126" t="s">
        <x:v>5266</x:v>
      </x:c>
      <x:c r="B1126" t="s">
        <x:v>5266</x:v>
      </x:c>
      <x:c r="C1126" t="s">
        <x:v>5267</x:v>
      </x:c>
      <x:c r="D1126">
        <x:v>10</x:v>
      </x:c>
      <x:c r="E1126" t="s">
        <x:v>257</x:v>
      </x:c>
      <x:c r="F1126" t="s">
        <x:v>97</x:v>
      </x:c>
      <x:c r="G1126">
        <x:v>42242</x:v>
      </x:c>
      <x:c r="H1126" t="s">
        <x:v>5268</x:v>
      </x:c>
      <x:c r="I1126" t="s">
        <x:v>5269</x:v>
      </x:c>
      <x:c r="J1126" t="s">
        <x:v>5270</x:v>
      </x:c>
    </x:row>
    <x:row r="1127">
      <x:c r="A1127" t="s">
        <x:v>5271</x:v>
      </x:c>
      <x:c r="B1127" t="s">
        <x:v>5271</x:v>
      </x:c>
      <x:c r="C1127" t="s">
        <x:v>5272</x:v>
      </x:c>
      <x:c r="D1127">
        <x:v>7</x:v>
      </x:c>
      <x:c r="E1127" t="s">
        <x:v>257</x:v>
      </x:c>
      <x:c r="F1127" t="s">
        <x:v>97</x:v>
      </x:c>
      <x:c r="G1127">
        <x:v>42248</x:v>
      </x:c>
      <x:c r="H1127" t="s">
        <x:v>5273</x:v>
      </x:c>
      <x:c r="I1127" t="s">
        <x:v>5274</x:v>
      </x:c>
      <x:c r="J1127" t="s">
        <x:v>5275</x:v>
      </x:c>
    </x:row>
    <x:row r="1128">
      <x:c r="A1128" t="s">
        <x:v>5276</x:v>
      </x:c>
      <x:c r="B1128" t="s">
        <x:v>5276</x:v>
      </x:c>
      <x:c r="C1128" t="s">
        <x:v>1841</x:v>
      </x:c>
      <x:c r="D1128">
        <x:v>4</x:v>
      </x:c>
      <x:c r="E1128" t="s">
        <x:v>89</x:v>
      </x:c>
      <x:c r="F1128" t="s">
        <x:v>90</x:v>
      </x:c>
      <x:c r="G1128">
        <x:v>43433</x:v>
      </x:c>
      <x:c r="H1128" t="s">
        <x:v>5277</x:v>
      </x:c>
      <x:c r="I1128" t="s">
        <x:v>5278</x:v>
      </x:c>
      <x:c r="J1128" t="s">
        <x:v>5279</x:v>
      </x:c>
    </x:row>
    <x:row r="1129">
      <x:c r="A1129" t="s">
        <x:v>5280</x:v>
      </x:c>
      <x:c r="B1129" t="s">
        <x:v>5280</x:v>
      </x:c>
      <x:c r="C1129" t="s">
        <x:v>5218</x:v>
      </x:c>
      <x:c r="D1129">
        <x:v>64</x:v>
      </x:c>
      <x:c r="E1129" t="s">
        <x:v>103</x:v>
      </x:c>
      <x:c r="F1129" t="s">
        <x:v>97</x:v>
      </x:c>
      <x:c r="G1129">
        <x:v>41598</x:v>
      </x:c>
      <x:c r="H1129" t="s">
        <x:v>5281</x:v>
      </x:c>
      <x:c r="I1129" t="s">
        <x:v>5282</x:v>
      </x:c>
      <x:c r="J1129" t="s">
        <x:v>5283</x:v>
      </x:c>
    </x:row>
    <x:row r="1130">
      <x:c r="A1130" t="s">
        <x:v>5284</x:v>
      </x:c>
      <x:c r="B1130" t="s">
        <x:v>5284</x:v>
      </x:c>
      <x:c r="C1130" t="s">
        <x:v>5218</x:v>
      </x:c>
      <x:c r="D1130">
        <x:v>75</x:v>
      </x:c>
      <x:c r="E1130" t="s">
        <x:v>103</x:v>
      </x:c>
      <x:c r="F1130" t="s">
        <x:v>97</x:v>
      </x:c>
      <x:c r="G1130">
        <x:v>41600</x:v>
      </x:c>
      <x:c r="H1130" t="s">
        <x:v>5285</x:v>
      </x:c>
      <x:c r="I1130" t="s">
        <x:v>5286</x:v>
      </x:c>
      <x:c r="J1130" t="s">
        <x:v>5287</x:v>
      </x:c>
    </x:row>
    <x:row r="1131">
      <x:c r="A1131" t="s">
        <x:v>5288</x:v>
      </x:c>
      <x:c r="B1131" t="s">
        <x:v>5288</x:v>
      </x:c>
      <x:c r="C1131" t="s">
        <x:v>4942</x:v>
      </x:c>
      <x:c r="D1131">
        <x:v>9</x:v>
      </x:c>
      <x:c r="E1131" t="s">
        <x:v>103</x:v>
      </x:c>
      <x:c r="F1131" t="s">
        <x:v>97</x:v>
      </x:c>
      <x:c r="G1131">
        <x:v>41545</x:v>
      </x:c>
      <x:c r="H1131" t="s">
        <x:v>5289</x:v>
      </x:c>
      <x:c r="I1131" t="s">
        <x:v>5290</x:v>
      </x:c>
      <x:c r="J1131" t="s">
        <x:v>5291</x:v>
      </x:c>
    </x:row>
    <x:row r="1132">
      <x:c r="A1132" t="s">
        <x:v>5292</x:v>
      </x:c>
      <x:c r="B1132" t="s">
        <x:v>5292</x:v>
      </x:c>
      <x:c r="C1132" t="s">
        <x:v>5293</x:v>
      </x:c>
      <x:c r="D1132">
        <x:v>24</x:v>
      </x:c>
      <x:c r="E1132" t="s">
        <x:v>103</x:v>
      </x:c>
      <x:c r="F1132" t="s">
        <x:v>97</x:v>
      </x:c>
      <x:c r="G1132">
        <x:v>41856</x:v>
      </x:c>
      <x:c r="H1132" t="s">
        <x:v>5294</x:v>
      </x:c>
      <x:c r="I1132" t="s">
        <x:v>5295</x:v>
      </x:c>
      <x:c r="J1132" t="s">
        <x:v>5296</x:v>
      </x:c>
    </x:row>
    <x:row r="1133">
      <x:c r="A1133" t="s">
        <x:v>5297</x:v>
      </x:c>
      <x:c r="B1133" t="s">
        <x:v>5297</x:v>
      </x:c>
      <x:c r="C1133" t="s">
        <x:v>5298</x:v>
      </x:c>
      <x:c r="D1133">
        <x:v>15</x:v>
      </x:c>
      <x:c r="E1133" t="s">
        <x:v>257</x:v>
      </x:c>
      <x:c r="F1133" t="s">
        <x:v>97</x:v>
      </x:c>
      <x:c r="G1133">
        <x:v>41560</x:v>
      </x:c>
      <x:c r="H1133" t="s">
        <x:v>5299</x:v>
      </x:c>
      <x:c r="I1133" t="s">
        <x:v>5300</x:v>
      </x:c>
      <x:c r="J1133" t="s">
        <x:v>5301</x:v>
      </x:c>
    </x:row>
    <x:row r="1134">
      <x:c r="A1134" t="s">
        <x:v>5302</x:v>
      </x:c>
      <x:c r="B1134" t="s">
        <x:v>5302</x:v>
      </x:c>
      <x:c r="C1134" t="s">
        <x:v>5303</x:v>
      </x:c>
      <x:c r="D1134">
        <x:v>5</x:v>
      </x:c>
      <x:c r="E1134" t="s">
        <x:v>198</x:v>
      </x:c>
      <x:c r="F1134" t="s">
        <x:v>90</x:v>
      </x:c>
      <x:c r="G1134">
        <x:v>42458</x:v>
      </x:c>
      <x:c r="H1134" t="s">
        <x:v>5304</x:v>
      </x:c>
      <x:c r="I1134" t="s">
        <x:v>5305</x:v>
      </x:c>
      <x:c r="J1134" t="s">
        <x:v>5306</x:v>
      </x:c>
    </x:row>
    <x:row r="1135">
      <x:c r="A1135" t="s">
        <x:v>5307</x:v>
      </x:c>
      <x:c r="B1135" t="s">
        <x:v>5307</x:v>
      </x:c>
      <x:c r="C1135" t="s">
        <x:v>167</x:v>
      </x:c>
      <x:c r="D1135">
        <x:v>53</x:v>
      </x:c>
      <x:c r="E1135" t="s">
        <x:v>96</x:v>
      </x:c>
      <x:c r="F1135" t="s">
        <x:v>97</x:v>
      </x:c>
      <x:c r="G1135">
        <x:v>43695</x:v>
      </x:c>
      <x:c r="H1135" t="s">
        <x:v>5308</x:v>
      </x:c>
      <x:c r="I1135" t="s">
        <x:v>5309</x:v>
      </x:c>
      <x:c r="J1135" t="s">
        <x:v>5310</x:v>
      </x:c>
    </x:row>
    <x:row r="1136">
      <x:c r="A1136" t="s">
        <x:v>5311</x:v>
      </x:c>
      <x:c r="B1136" t="s">
        <x:v>5311</x:v>
      </x:c>
      <x:c r="C1136" t="s">
        <x:v>5312</x:v>
      </x:c>
      <x:c r="D1136">
        <x:v>4</x:v>
      </x:c>
      <x:c r="E1136" t="s">
        <x:v>103</x:v>
      </x:c>
      <x:c r="F1136" t="s">
        <x:v>97</x:v>
      </x:c>
      <x:c r="G1136">
        <x:v>42111</x:v>
      </x:c>
      <x:c r="H1136" t="s">
        <x:v>5313</x:v>
      </x:c>
      <x:c r="I1136" t="s">
        <x:v>5314</x:v>
      </x:c>
      <x:c r="J1136" t="s">
        <x:v>5315</x:v>
      </x:c>
    </x:row>
    <x:row r="1137">
      <x:c r="A1137" t="s">
        <x:v>5316</x:v>
      </x:c>
      <x:c r="B1137" t="s">
        <x:v>5316</x:v>
      </x:c>
      <x:c r="C1137" t="s">
        <x:v>5317</x:v>
      </x:c>
      <x:c r="D1137">
        <x:v>5</x:v>
      </x:c>
      <x:c r="E1137" t="s">
        <x:v>103</x:v>
      </x:c>
      <x:c r="F1137" t="s">
        <x:v>97</x:v>
      </x:c>
      <x:c r="G1137">
        <x:v>42040</x:v>
      </x:c>
      <x:c r="H1137" t="s">
        <x:v>5318</x:v>
      </x:c>
      <x:c r="I1137" t="s">
        <x:v>5319</x:v>
      </x:c>
      <x:c r="J1137" t="s">
        <x:v>5320</x:v>
      </x:c>
    </x:row>
    <x:row r="1138">
      <x:c r="A1138" t="s">
        <x:v>5321</x:v>
      </x:c>
      <x:c r="B1138" t="s">
        <x:v>5321</x:v>
      </x:c>
      <x:c r="C1138" t="s">
        <x:v>5322</x:v>
      </x:c>
      <x:c r="D1138">
        <x:v>4</x:v>
      </x:c>
      <x:c r="E1138" t="s">
        <x:v>103</x:v>
      </x:c>
      <x:c r="F1138" t="s">
        <x:v>97</x:v>
      </x:c>
      <x:c r="G1138">
        <x:v>42314</x:v>
      </x:c>
      <x:c r="H1138" t="s">
        <x:v>5323</x:v>
      </x:c>
      <x:c r="I1138" t="s">
        <x:v>5324</x:v>
      </x:c>
      <x:c r="J1138" t="s">
        <x:v>5325</x:v>
      </x:c>
    </x:row>
    <x:row r="1139">
      <x:c r="A1139" t="s">
        <x:v>5326</x:v>
      </x:c>
      <x:c r="B1139" t="s">
        <x:v>5326</x:v>
      </x:c>
      <x:c r="C1139" t="s">
        <x:v>5327</x:v>
      </x:c>
      <x:c r="D1139">
        <x:v>23</x:v>
      </x:c>
      <x:c r="E1139" t="s">
        <x:v>257</x:v>
      </x:c>
      <x:c r="F1139" t="s">
        <x:v>97</x:v>
      </x:c>
      <x:c r="G1139">
        <x:v>42512</x:v>
      </x:c>
      <x:c r="H1139" t="s">
        <x:v>5328</x:v>
      </x:c>
      <x:c r="I1139" t="s">
        <x:v>5329</x:v>
      </x:c>
      <x:c r="J1139" t="s">
        <x:v>5330</x:v>
      </x:c>
    </x:row>
    <x:row r="1140">
      <x:c r="A1140" t="s">
        <x:v>5331</x:v>
      </x:c>
      <x:c r="B1140" t="s">
        <x:v>5331</x:v>
      </x:c>
      <x:c r="C1140" t="s">
        <x:v>5231</x:v>
      </x:c>
      <x:c r="D1140">
        <x:v>8</x:v>
      </x:c>
      <x:c r="E1140" t="s">
        <x:v>103</x:v>
      </x:c>
      <x:c r="F1140" t="s">
        <x:v>97</x:v>
      </x:c>
      <x:c r="G1140">
        <x:v>42311</x:v>
      </x:c>
      <x:c r="H1140" t="s">
        <x:v>5332</x:v>
      </x:c>
      <x:c r="I1140" t="s">
        <x:v>5333</x:v>
      </x:c>
      <x:c r="J1140" t="s">
        <x:v>5334</x:v>
      </x:c>
    </x:row>
    <x:row r="1141">
      <x:c r="A1141" t="s">
        <x:v>5335</x:v>
      </x:c>
      <x:c r="B1141" t="s">
        <x:v>5335</x:v>
      </x:c>
      <x:c r="C1141" t="s">
        <x:v>3176</x:v>
      </x:c>
      <x:c r="D1141">
        <x:v>35</x:v>
      </x:c>
      <x:c r="E1141" t="s">
        <x:v>96</x:v>
      </x:c>
      <x:c r="F1141" t="s">
        <x:v>90</x:v>
      </x:c>
      <x:c r="G1141">
        <x:v>43785</x:v>
      </x:c>
      <x:c r="H1141" t="s">
        <x:v>5336</x:v>
      </x:c>
      <x:c r="I1141" t="s">
        <x:v>5337</x:v>
      </x:c>
      <x:c r="J1141" t="s">
        <x:v>5338</x:v>
      </x:c>
    </x:row>
    <x:row r="1142">
      <x:c r="A1142" t="s">
        <x:v>5339</x:v>
      </x:c>
      <x:c r="B1142" t="s">
        <x:v>5339</x:v>
      </x:c>
      <x:c r="C1142" t="s">
        <x:v>5340</x:v>
      </x:c>
      <x:c r="D1142">
        <x:v>21</x:v>
      </x:c>
      <x:c r="E1142" t="s">
        <x:v>103</x:v>
      </x:c>
      <x:c r="F1142" t="s">
        <x:v>97</x:v>
      </x:c>
      <x:c r="G1142">
        <x:v>43157</x:v>
      </x:c>
      <x:c r="H1142" t="s">
        <x:v>5341</x:v>
      </x:c>
      <x:c r="I1142" t="s">
        <x:v>5342</x:v>
      </x:c>
      <x:c r="J1142" t="s">
        <x:v>5343</x:v>
      </x:c>
    </x:row>
    <x:row r="1143">
      <x:c r="A1143" t="s">
        <x:v>5344</x:v>
      </x:c>
      <x:c r="B1143" t="s">
        <x:v>5344</x:v>
      </x:c>
      <x:c r="C1143" t="s">
        <x:v>1502</x:v>
      </x:c>
      <x:c r="D1143">
        <x:v>5</x:v>
      </x:c>
      <x:c r="E1143" t="s">
        <x:v>96</x:v>
      </x:c>
      <x:c r="F1143" t="s">
        <x:v>90</x:v>
      </x:c>
      <x:c r="G1143">
        <x:v>45654</x:v>
      </x:c>
      <x:c r="H1143" t="s">
        <x:v>5345</x:v>
      </x:c>
      <x:c r="I1143" t="s">
        <x:v>5346</x:v>
      </x:c>
      <x:c r="J1143" t="s">
        <x:v>5347</x:v>
      </x:c>
    </x:row>
    <x:row r="1144">
      <x:c r="A1144" t="s">
        <x:v>5348</x:v>
      </x:c>
      <x:c r="B1144" t="s">
        <x:v>5348</x:v>
      </x:c>
      <x:c r="C1144" t="s">
        <x:v>1502</x:v>
      </x:c>
      <x:c r="D1144">
        <x:v>5</x:v>
      </x:c>
      <x:c r="E1144" t="s">
        <x:v>96</x:v>
      </x:c>
      <x:c r="F1144" t="s">
        <x:v>90</x:v>
      </x:c>
      <x:c r="G1144">
        <x:v>45990</x:v>
      </x:c>
      <x:c r="H1144" t="s">
        <x:v>5349</x:v>
      </x:c>
      <x:c r="I1144" t="s">
        <x:v>5350</x:v>
      </x:c>
      <x:c r="J1144" t="s">
        <x:v>5351</x:v>
      </x:c>
    </x:row>
    <x:row r="1145">
      <x:c r="A1145" t="s">
        <x:v>5352</x:v>
      </x:c>
      <x:c r="B1145" t="s">
        <x:v>5352</x:v>
      </x:c>
      <x:c r="C1145" t="s">
        <x:v>1502</x:v>
      </x:c>
      <x:c r="D1145">
        <x:v>10</x:v>
      </x:c>
      <x:c r="E1145" t="s">
        <x:v>96</x:v>
      </x:c>
      <x:c r="F1145" t="s">
        <x:v>90</x:v>
      </x:c>
      <x:c r="G1145">
        <x:v>45455</x:v>
      </x:c>
      <x:c r="H1145" t="s">
        <x:v>5353</x:v>
      </x:c>
      <x:c r="I1145" t="s">
        <x:v>5354</x:v>
      </x:c>
      <x:c r="J1145" t="s">
        <x:v>5355</x:v>
      </x:c>
    </x:row>
    <x:row r="1146">
      <x:c r="A1146" t="s">
        <x:v>5356</x:v>
      </x:c>
      <x:c r="B1146" t="s">
        <x:v>5356</x:v>
      </x:c>
      <x:c r="C1146" t="s">
        <x:v>1502</x:v>
      </x:c>
      <x:c r="D1146">
        <x:v>16</x:v>
      </x:c>
      <x:c r="E1146" t="s">
        <x:v>96</x:v>
      </x:c>
      <x:c r="F1146" t="s">
        <x:v>90</x:v>
      </x:c>
      <x:c r="G1146">
        <x:v>45569</x:v>
      </x:c>
      <x:c r="H1146" t="s">
        <x:v>5357</x:v>
      </x:c>
      <x:c r="I1146" t="s">
        <x:v>5358</x:v>
      </x:c>
      <x:c r="J1146" t="s">
        <x:v>5359</x:v>
      </x:c>
    </x:row>
    <x:row r="1147">
      <x:c r="A1147" t="s">
        <x:v>5360</x:v>
      </x:c>
      <x:c r="B1147" t="s">
        <x:v>5360</x:v>
      </x:c>
      <x:c r="C1147" t="s">
        <x:v>1502</x:v>
      </x:c>
      <x:c r="D1147">
        <x:v>13</x:v>
      </x:c>
      <x:c r="E1147" t="s">
        <x:v>96</x:v>
      </x:c>
      <x:c r="F1147" t="s">
        <x:v>90</x:v>
      </x:c>
      <x:c r="G1147">
        <x:v>45869</x:v>
      </x:c>
      <x:c r="H1147" t="s">
        <x:v>5361</x:v>
      </x:c>
      <x:c r="I1147" t="s">
        <x:v>5362</x:v>
      </x:c>
      <x:c r="J1147" t="s">
        <x:v>5363</x:v>
      </x:c>
    </x:row>
    <x:row r="1148">
      <x:c r="A1148" t="s">
        <x:v>5364</x:v>
      </x:c>
      <x:c r="B1148" t="s">
        <x:v>5364</x:v>
      </x:c>
      <x:c r="C1148" t="s">
        <x:v>4255</x:v>
      </x:c>
      <x:c r="D1148">
        <x:v>22</x:v>
      </x:c>
      <x:c r="E1148" t="s">
        <x:v>103</x:v>
      </x:c>
      <x:c r="F1148" t="s">
        <x:v>97</x:v>
      </x:c>
      <x:c r="G1148">
        <x:v>42294</x:v>
      </x:c>
      <x:c r="H1148" t="s">
        <x:v>5365</x:v>
      </x:c>
      <x:c r="I1148" t="s">
        <x:v>5366</x:v>
      </x:c>
      <x:c r="J1148" t="s">
        <x:v>5367</x:v>
      </x:c>
    </x:row>
    <x:row r="1149">
      <x:c r="A1149" t="s">
        <x:v>5368</x:v>
      </x:c>
      <x:c r="B1149" t="s">
        <x:v>5368</x:v>
      </x:c>
      <x:c r="C1149" t="s">
        <x:v>4165</x:v>
      </x:c>
      <x:c r="D1149">
        <x:v>80</x:v>
      </x:c>
      <x:c r="E1149" t="s">
        <x:v>89</x:v>
      </x:c>
      <x:c r="F1149" t="s">
        <x:v>97</x:v>
      </x:c>
      <x:c r="G1149">
        <x:v>42336</x:v>
      </x:c>
      <x:c r="H1149" t="s">
        <x:v>5369</x:v>
      </x:c>
      <x:c r="I1149" t="s">
        <x:v>5370</x:v>
      </x:c>
      <x:c r="J1149" t="s">
        <x:v>5371</x:v>
      </x:c>
    </x:row>
    <x:row r="1150">
      <x:c r="A1150" t="s">
        <x:v>5372</x:v>
      </x:c>
      <x:c r="B1150" t="s">
        <x:v>5372</x:v>
      </x:c>
      <x:c r="C1150" t="s">
        <x:v>1841</x:v>
      </x:c>
      <x:c r="D1150">
        <x:v>6</x:v>
      </x:c>
      <x:c r="E1150" t="s">
        <x:v>89</x:v>
      </x:c>
      <x:c r="F1150" t="s">
        <x:v>97</x:v>
      </x:c>
      <x:c r="G1150">
        <x:v>44601</x:v>
      </x:c>
      <x:c r="H1150" t="s">
        <x:v>5373</x:v>
      </x:c>
      <x:c r="I1150" t="s">
        <x:v>5374</x:v>
      </x:c>
      <x:c r="J1150" t="s">
        <x:v>5375</x:v>
      </x:c>
    </x:row>
    <x:row r="1151">
      <x:c r="A1151" t="s">
        <x:v>5376</x:v>
      </x:c>
      <x:c r="B1151" t="s">
        <x:v>5376</x:v>
      </x:c>
      <x:c r="C1151" t="s">
        <x:v>1841</x:v>
      </x:c>
      <x:c r="D1151">
        <x:v>8</x:v>
      </x:c>
      <x:c r="E1151" t="s">
        <x:v>89</x:v>
      </x:c>
      <x:c r="F1151" t="s">
        <x:v>97</x:v>
      </x:c>
      <x:c r="G1151">
        <x:v>44565</x:v>
      </x:c>
      <x:c r="H1151" t="s">
        <x:v>5377</x:v>
      </x:c>
      <x:c r="I1151" t="s">
        <x:v>5378</x:v>
      </x:c>
      <x:c r="J1151" t="s">
        <x:v>5379</x:v>
      </x:c>
    </x:row>
    <x:row r="1152">
      <x:c r="A1152" t="s">
        <x:v>5380</x:v>
      </x:c>
      <x:c r="B1152" t="s">
        <x:v>5380</x:v>
      </x:c>
      <x:c r="C1152" t="s">
        <x:v>1841</x:v>
      </x:c>
      <x:c r="D1152">
        <x:v>8</x:v>
      </x:c>
      <x:c r="E1152" t="s">
        <x:v>198</x:v>
      </x:c>
      <x:c r="F1152" t="s">
        <x:v>90</x:v>
      </x:c>
      <x:c r="G1152">
        <x:v>45811</x:v>
      </x:c>
      <x:c r="H1152" t="s">
        <x:v>5381</x:v>
      </x:c>
      <x:c r="I1152" t="s">
        <x:v>5382</x:v>
      </x:c>
      <x:c r="J1152" t="s">
        <x:v>5383</x:v>
      </x:c>
    </x:row>
    <x:row r="1153">
      <x:c r="A1153" t="s">
        <x:v>5384</x:v>
      </x:c>
      <x:c r="B1153" t="s">
        <x:v>5384</x:v>
      </x:c>
      <x:c r="C1153" t="s">
        <x:v>1841</x:v>
      </x:c>
      <x:c r="D1153">
        <x:v>5</x:v>
      </x:c>
      <x:c r="E1153" t="s">
        <x:v>89</x:v>
      </x:c>
      <x:c r="F1153" t="s">
        <x:v>97</x:v>
      </x:c>
      <x:c r="G1153">
        <x:v>44390</x:v>
      </x:c>
      <x:c r="H1153" t="s">
        <x:v>5385</x:v>
      </x:c>
      <x:c r="I1153" t="s">
        <x:v>5386</x:v>
      </x:c>
      <x:c r="J1153" t="s">
        <x:v>5387</x:v>
      </x:c>
    </x:row>
    <x:row r="1154">
      <x:c r="A1154" t="s">
        <x:v>5388</x:v>
      </x:c>
      <x:c r="B1154" t="s">
        <x:v>5388</x:v>
      </x:c>
      <x:c r="C1154" t="s">
        <x:v>5389</x:v>
      </x:c>
      <x:c r="D1154">
        <x:v>35</x:v>
      </x:c>
      <x:c r="E1154" t="s">
        <x:v>103</x:v>
      </x:c>
      <x:c r="F1154" t="s">
        <x:v>97</x:v>
      </x:c>
      <x:c r="G1154">
        <x:v>44904</x:v>
      </x:c>
      <x:c r="H1154" t="s">
        <x:v>5390</x:v>
      </x:c>
      <x:c r="I1154" t="s">
        <x:v>5391</x:v>
      </x:c>
      <x:c r="J1154" t="s">
        <x:v>5392</x:v>
      </x:c>
    </x:row>
    <x:row r="1155">
      <x:c r="A1155" t="s">
        <x:v>5393</x:v>
      </x:c>
      <x:c r="B1155" t="s">
        <x:v>5393</x:v>
      </x:c>
      <x:c r="C1155" t="s">
        <x:v>119</x:v>
      </x:c>
      <x:c r="D1155">
        <x:v>7</x:v>
      </x:c>
      <x:c r="E1155" t="s">
        <x:v>103</x:v>
      </x:c>
      <x:c r="F1155" t="s">
        <x:v>97</x:v>
      </x:c>
      <x:c r="G1155">
        <x:v>41644</x:v>
      </x:c>
      <x:c r="H1155" t="s">
        <x:v>5394</x:v>
      </x:c>
      <x:c r="I1155" t="s">
        <x:v>5395</x:v>
      </x:c>
      <x:c r="J1155" t="s">
        <x:v>5396</x:v>
      </x:c>
    </x:row>
    <x:row r="1156">
      <x:c r="A1156" t="s">
        <x:v>5397</x:v>
      </x:c>
      <x:c r="B1156" t="s">
        <x:v>5397</x:v>
      </x:c>
      <x:c r="C1156" t="s">
        <x:v>680</x:v>
      </x:c>
      <x:c r="D1156">
        <x:v>16</x:v>
      </x:c>
      <x:c r="E1156" t="s">
        <x:v>114</x:v>
      </x:c>
      <x:c r="F1156" t="s">
        <x:v>90</x:v>
      </x:c>
      <x:c r="G1156">
        <x:v>44586</x:v>
      </x:c>
      <x:c r="H1156" t="s">
        <x:v>5398</x:v>
      </x:c>
      <x:c r="I1156" t="s">
        <x:v>5399</x:v>
      </x:c>
      <x:c r="J1156" t="s">
        <x:v>5400</x:v>
      </x:c>
    </x:row>
    <x:row r="1157">
      <x:c r="A1157" t="s">
        <x:v>5401</x:v>
      </x:c>
      <x:c r="B1157" t="s">
        <x:v>5401</x:v>
      </x:c>
      <x:c r="C1157" t="s">
        <x:v>5402</x:v>
      </x:c>
      <x:c r="D1157">
        <x:v>62</x:v>
      </x:c>
      <x:c r="E1157" t="s">
        <x:v>114</x:v>
      </x:c>
      <x:c r="F1157" t="s">
        <x:v>90</x:v>
      </x:c>
      <x:c r="G1157">
        <x:v>45951</x:v>
      </x:c>
      <x:c r="H1157" t="s">
        <x:v>5403</x:v>
      </x:c>
      <x:c r="I1157" t="s">
        <x:v>5404</x:v>
      </x:c>
      <x:c r="J1157" t="s">
        <x:v>5405</x:v>
      </x:c>
    </x:row>
    <x:row r="1158">
      <x:c r="A1158" t="s">
        <x:v>5406</x:v>
      </x:c>
      <x:c r="B1158" t="s">
        <x:v>5406</x:v>
      </x:c>
      <x:c r="C1158" t="s">
        <x:v>1885</x:v>
      </x:c>
      <x:c r="D1158">
        <x:v>15</x:v>
      </x:c>
      <x:c r="E1158" t="s">
        <x:v>198</x:v>
      </x:c>
      <x:c r="F1158" t="s">
        <x:v>90</x:v>
      </x:c>
      <x:c r="G1158">
        <x:v>45673</x:v>
      </x:c>
      <x:c r="H1158" t="s">
        <x:v>5407</x:v>
      </x:c>
      <x:c r="I1158" t="s">
        <x:v>5408</x:v>
      </x:c>
      <x:c r="J1158" t="s">
        <x:v>5409</x:v>
      </x:c>
    </x:row>
    <x:row r="1159">
      <x:c r="A1159" t="s">
        <x:v>5410</x:v>
      </x:c>
      <x:c r="B1159" t="s">
        <x:v>5410</x:v>
      </x:c>
      <x:c r="C1159" t="s">
        <x:v>1885</x:v>
      </x:c>
      <x:c r="D1159">
        <x:v>15</x:v>
      </x:c>
      <x:c r="E1159" t="s">
        <x:v>114</x:v>
      </x:c>
      <x:c r="F1159" t="s">
        <x:v>90</x:v>
      </x:c>
      <x:c r="G1159">
        <x:v>45968</x:v>
      </x:c>
      <x:c r="H1159" t="s">
        <x:v>5411</x:v>
      </x:c>
      <x:c r="I1159" t="s">
        <x:v>5412</x:v>
      </x:c>
      <x:c r="J1159" t="s">
        <x:v>5413</x:v>
      </x:c>
    </x:row>
    <x:row r="1160">
      <x:c r="A1160" t="s">
        <x:v>5414</x:v>
      </x:c>
      <x:c r="B1160" t="s">
        <x:v>5414</x:v>
      </x:c>
      <x:c r="C1160" t="s">
        <x:v>5415</x:v>
      </x:c>
      <x:c r="D1160">
        <x:v>46</x:v>
      </x:c>
      <x:c r="E1160" t="s">
        <x:v>103</x:v>
      </x:c>
      <x:c r="F1160" t="s">
        <x:v>97</x:v>
      </x:c>
      <x:c r="G1160">
        <x:v>41590</x:v>
      </x:c>
      <x:c r="H1160" t="s">
        <x:v>5416</x:v>
      </x:c>
      <x:c r="I1160" t="s">
        <x:v>5417</x:v>
      </x:c>
      <x:c r="J1160" t="s">
        <x:v>5418</x:v>
      </x:c>
    </x:row>
    <x:row r="1161">
      <x:c r="A1161" t="s">
        <x:v>5419</x:v>
      </x:c>
      <x:c r="B1161" t="s">
        <x:v>5419</x:v>
      </x:c>
      <x:c r="C1161" t="s">
        <x:v>543</x:v>
      </x:c>
      <x:c r="D1161">
        <x:v>16</x:v>
      </x:c>
      <x:c r="E1161" t="s">
        <x:v>103</x:v>
      </x:c>
      <x:c r="F1161" t="s">
        <x:v>97</x:v>
      </x:c>
      <x:c r="G1161">
        <x:v>42209</x:v>
      </x:c>
      <x:c r="H1161" t="s">
        <x:v>5420</x:v>
      </x:c>
      <x:c r="I1161" t="s">
        <x:v>5421</x:v>
      </x:c>
      <x:c r="J1161" t="s">
        <x:v>5422</x:v>
      </x:c>
    </x:row>
    <x:row r="1162">
      <x:c r="A1162" t="s">
        <x:v>5423</x:v>
      </x:c>
      <x:c r="B1162" t="s">
        <x:v>5423</x:v>
      </x:c>
      <x:c r="C1162" t="s">
        <x:v>5424</x:v>
      </x:c>
      <x:c r="D1162">
        <x:v>6</x:v>
      </x:c>
      <x:c r="E1162" t="s">
        <x:v>96</x:v>
      </x:c>
      <x:c r="F1162" t="s">
        <x:v>97</x:v>
      </x:c>
      <x:c r="G1162">
        <x:v>45377</x:v>
      </x:c>
      <x:c r="H1162" t="s">
        <x:v>5425</x:v>
      </x:c>
      <x:c r="I1162" t="s">
        <x:v>5426</x:v>
      </x:c>
      <x:c r="J1162" t="s">
        <x:v>5427</x:v>
      </x:c>
    </x:row>
    <x:row r="1163">
      <x:c r="A1163" t="s">
        <x:v>5428</x:v>
      </x:c>
      <x:c r="B1163" t="s">
        <x:v>5428</x:v>
      </x:c>
      <x:c r="C1163" t="s">
        <x:v>5429</x:v>
      </x:c>
      <x:c r="D1163">
        <x:v>11</x:v>
      </x:c>
      <x:c r="E1163" t="s">
        <x:v>96</x:v>
      </x:c>
      <x:c r="F1163" t="s">
        <x:v>97</x:v>
      </x:c>
      <x:c r="G1163">
        <x:v>45022</x:v>
      </x:c>
      <x:c r="H1163" t="s">
        <x:v>5430</x:v>
      </x:c>
      <x:c r="I1163" t="s">
        <x:v>5431</x:v>
      </x:c>
      <x:c r="J1163" t="s">
        <x:v>5432</x:v>
      </x:c>
    </x:row>
    <x:row r="1164">
      <x:c r="A1164" t="s">
        <x:v>5433</x:v>
      </x:c>
      <x:c r="B1164" t="s">
        <x:v>5433</x:v>
      </x:c>
      <x:c r="C1164" t="s">
        <x:v>5434</x:v>
      </x:c>
      <x:c r="D1164">
        <x:v>6</x:v>
      </x:c>
      <x:c r="E1164" t="s">
        <x:v>257</x:v>
      </x:c>
      <x:c r="F1164" t="s">
        <x:v>97</x:v>
      </x:c>
      <x:c r="G1164">
        <x:v>42252</x:v>
      </x:c>
      <x:c r="H1164" t="s">
        <x:v>5435</x:v>
      </x:c>
      <x:c r="I1164" t="s">
        <x:v>5436</x:v>
      </x:c>
      <x:c r="J1164" t="s">
        <x:v>5437</x:v>
      </x:c>
    </x:row>
    <x:row r="1165">
      <x:c r="A1165" t="s">
        <x:v>5438</x:v>
      </x:c>
      <x:c r="B1165" t="s">
        <x:v>5438</x:v>
      </x:c>
      <x:c r="C1165" t="s">
        <x:v>5439</x:v>
      </x:c>
      <x:c r="D1165">
        <x:v>15</x:v>
      </x:c>
      <x:c r="E1165" t="s">
        <x:v>103</x:v>
      </x:c>
      <x:c r="F1165" t="s">
        <x:v>97</x:v>
      </x:c>
      <x:c r="G1165">
        <x:v>42213</x:v>
      </x:c>
      <x:c r="H1165" t="s">
        <x:v>5440</x:v>
      </x:c>
      <x:c r="I1165" t="s">
        <x:v>5441</x:v>
      </x:c>
      <x:c r="J1165" t="s">
        <x:v>5442</x:v>
      </x:c>
    </x:row>
    <x:row r="1166">
      <x:c r="A1166" t="s">
        <x:v>5443</x:v>
      </x:c>
      <x:c r="B1166" t="s">
        <x:v>5443</x:v>
      </x:c>
      <x:c r="C1166" t="s">
        <x:v>5444</x:v>
      </x:c>
      <x:c r="D1166">
        <x:v>77</x:v>
      </x:c>
      <x:c r="E1166" t="s">
        <x:v>96</x:v>
      </x:c>
      <x:c r="F1166" t="s">
        <x:v>97</x:v>
      </x:c>
      <x:c r="G1166">
        <x:v>45438</x:v>
      </x:c>
      <x:c r="H1166" t="s">
        <x:v>5445</x:v>
      </x:c>
      <x:c r="I1166" t="s">
        <x:v>5446</x:v>
      </x:c>
      <x:c r="J1166" t="s">
        <x:v>5447</x:v>
      </x:c>
    </x:row>
    <x:row r="1167">
      <x:c r="A1167" t="s">
        <x:v>5448</x:v>
      </x:c>
      <x:c r="B1167" t="s">
        <x:v>5448</x:v>
      </x:c>
      <x:c r="C1167" t="s">
        <x:v>5444</x:v>
      </x:c>
      <x:c r="D1167">
        <x:v>59</x:v>
      </x:c>
      <x:c r="E1167" t="s">
        <x:v>103</x:v>
      </x:c>
      <x:c r="F1167" t="s">
        <x:v>97</x:v>
      </x:c>
      <x:c r="G1167">
        <x:v>43281</x:v>
      </x:c>
      <x:c r="H1167" t="s">
        <x:v>5449</x:v>
      </x:c>
      <x:c r="I1167" t="s">
        <x:v>5450</x:v>
      </x:c>
      <x:c r="J1167" t="s">
        <x:v>5451</x:v>
      </x:c>
    </x:row>
    <x:row r="1168">
      <x:c r="A1168" t="s">
        <x:v>5452</x:v>
      </x:c>
      <x:c r="B1168" t="s">
        <x:v>5453</x:v>
      </x:c>
      <x:c r="C1168" t="s">
        <x:v>5454</x:v>
      </x:c>
      <x:c r="D1168">
        <x:v>8</x:v>
      </x:c>
      <x:c r="E1168" t="s">
        <x:v>257</x:v>
      </x:c>
      <x:c r="F1168" t="s">
        <x:v>97</x:v>
      </x:c>
      <x:c r="G1168">
        <x:v>42221</x:v>
      </x:c>
      <x:c r="H1168" t="s">
        <x:v>5455</x:v>
      </x:c>
      <x:c r="I1168" t="s">
        <x:v>5456</x:v>
      </x:c>
      <x:c r="J1168" t="s">
        <x:v>5457</x:v>
      </x:c>
    </x:row>
    <x:row r="1169">
      <x:c r="A1169" t="s">
        <x:v>5458</x:v>
      </x:c>
      <x:c r="B1169" t="s">
        <x:v>5453</x:v>
      </x:c>
      <x:c r="C1169" t="s">
        <x:v>2437</x:v>
      </x:c>
      <x:c r="D1169">
        <x:v>27</x:v>
      </x:c>
      <x:c r="E1169" t="s">
        <x:v>103</x:v>
      </x:c>
      <x:c r="F1169" t="s">
        <x:v>97</x:v>
      </x:c>
      <x:c r="G1169">
        <x:v>42237</x:v>
      </x:c>
      <x:c r="H1169" t="s">
        <x:v>5459</x:v>
      </x:c>
      <x:c r="I1169" t="s">
        <x:v>5460</x:v>
      </x:c>
      <x:c r="J1169" t="s">
        <x:v>5461</x:v>
      </x:c>
    </x:row>
    <x:row r="1170">
      <x:c r="A1170" t="s">
        <x:v>5462</x:v>
      </x:c>
      <x:c r="B1170" t="s">
        <x:v>5462</x:v>
      </x:c>
      <x:c r="C1170" t="s">
        <x:v>2437</x:v>
      </x:c>
      <x:c r="D1170">
        <x:v>6</x:v>
      </x:c>
      <x:c r="E1170" t="s">
        <x:v>257</x:v>
      </x:c>
      <x:c r="F1170" t="s">
        <x:v>97</x:v>
      </x:c>
      <x:c r="G1170">
        <x:v>42587</x:v>
      </x:c>
      <x:c r="H1170" t="s">
        <x:v>5463</x:v>
      </x:c>
      <x:c r="I1170" t="s">
        <x:v>5464</x:v>
      </x:c>
      <x:c r="J1170" t="s">
        <x:v>5465</x:v>
      </x:c>
    </x:row>
    <x:row r="1171">
      <x:c r="A1171" t="s">
        <x:v>5466</x:v>
      </x:c>
      <x:c r="B1171" t="s">
        <x:v>5466</x:v>
      </x:c>
      <x:c r="C1171" t="s">
        <x:v>5467</x:v>
      </x:c>
      <x:c r="D1171">
        <x:v>1</x:v>
      </x:c>
      <x:c r="E1171" t="s">
        <x:v>96</x:v>
      </x:c>
      <x:c r="F1171" t="s">
        <x:v>97</x:v>
      </x:c>
      <x:c r="G1171">
        <x:v>42005</x:v>
      </x:c>
      <x:c r="H1171" t="s">
        <x:v>5468</x:v>
      </x:c>
      <x:c r="I1171" t="s">
        <x:v>5469</x:v>
      </x:c>
      <x:c r="J1171" t="s">
        <x:v>5470</x:v>
      </x:c>
    </x:row>
    <x:row r="1172">
      <x:c r="A1172" t="s">
        <x:v>5471</x:v>
      </x:c>
      <x:c r="B1172" t="s">
        <x:v>5471</x:v>
      </x:c>
      <x:c r="C1172" t="s">
        <x:v>317</x:v>
      </x:c>
      <x:c r="D1172">
        <x:v>17</x:v>
      </x:c>
      <x:c r="E1172" t="s">
        <x:v>89</x:v>
      </x:c>
      <x:c r="F1172" t="s">
        <x:v>90</x:v>
      </x:c>
      <x:c r="G1172">
        <x:v>45182</x:v>
      </x:c>
      <x:c r="H1172" t="s">
        <x:v>5472</x:v>
      </x:c>
      <x:c r="I1172" t="s">
        <x:v>5473</x:v>
      </x:c>
      <x:c r="J1172" t="s">
        <x:v>5474</x:v>
      </x:c>
    </x:row>
    <x:row r="1173">
      <x:c r="A1173" t="s">
        <x:v>5475</x:v>
      </x:c>
      <x:c r="B1173" t="s">
        <x:v>5475</x:v>
      </x:c>
      <x:c r="C1173" t="s">
        <x:v>2396</x:v>
      </x:c>
      <x:c r="D1173">
        <x:v>19</x:v>
      </x:c>
      <x:c r="E1173" t="s">
        <x:v>198</x:v>
      </x:c>
      <x:c r="F1173" t="s">
        <x:v>90</x:v>
      </x:c>
      <x:c r="G1173">
        <x:v>45399</x:v>
      </x:c>
      <x:c r="H1173" t="s">
        <x:v>5476</x:v>
      </x:c>
      <x:c r="I1173" t="s">
        <x:v>5477</x:v>
      </x:c>
      <x:c r="J1173" t="s">
        <x:v>5478</x:v>
      </x:c>
    </x:row>
    <x:row r="1174">
      <x:c r="A1174" t="s">
        <x:v>5479</x:v>
      </x:c>
      <x:c r="B1174" t="s">
        <x:v>5479</x:v>
      </x:c>
      <x:c r="C1174" t="s">
        <x:v>685</x:v>
      </x:c>
      <x:c r="D1174">
        <x:v>10</x:v>
      </x:c>
      <x:c r="E1174" t="s">
        <x:v>114</x:v>
      </x:c>
      <x:c r="F1174" t="s">
        <x:v>90</x:v>
      </x:c>
      <x:c r="G1174">
        <x:v>45022</x:v>
      </x:c>
      <x:c r="H1174" t="s">
        <x:v>5480</x:v>
      </x:c>
      <x:c r="I1174" t="s">
        <x:v>5481</x:v>
      </x:c>
      <x:c r="J1174" t="s">
        <x:v>5482</x:v>
      </x:c>
    </x:row>
    <x:row r="1175">
      <x:c r="A1175" t="s">
        <x:v>5483</x:v>
      </x:c>
      <x:c r="B1175" t="s">
        <x:v>5483</x:v>
      </x:c>
      <x:c r="C1175" t="s">
        <x:v>2013</x:v>
      </x:c>
      <x:c r="D1175">
        <x:v>7</x:v>
      </x:c>
      <x:c r="E1175" t="s">
        <x:v>89</x:v>
      </x:c>
      <x:c r="F1175" t="s">
        <x:v>90</x:v>
      </x:c>
      <x:c r="G1175">
        <x:v>44502</x:v>
      </x:c>
      <x:c r="H1175" t="s">
        <x:v>5484</x:v>
      </x:c>
      <x:c r="I1175" t="s">
        <x:v>5485</x:v>
      </x:c>
      <x:c r="J1175" t="s">
        <x:v>5486</x:v>
      </x:c>
    </x:row>
    <x:row r="1176">
      <x:c r="A1176" t="s">
        <x:v>5487</x:v>
      </x:c>
      <x:c r="B1176" t="s">
        <x:v>5487</x:v>
      </x:c>
      <x:c r="C1176" t="s">
        <x:v>5488</x:v>
      </x:c>
      <x:c r="D1176">
        <x:v>0</x:v>
      </x:c>
      <x:c r="E1176" t="s">
        <x:v>103</x:v>
      </x:c>
      <x:c r="F1176" t="s">
        <x:v>97</x:v>
      </x:c>
      <x:c r="G1176">
        <x:v>42113</x:v>
      </x:c>
      <x:c r="H1176" t="s">
        <x:v>5489</x:v>
      </x:c>
      <x:c r="I1176" t="s">
        <x:v>5490</x:v>
      </x:c>
      <x:c r="J1176" t="s">
        <x:v>5491</x:v>
      </x:c>
    </x:row>
    <x:row r="1177">
      <x:c r="A1177" t="s">
        <x:v>5492</x:v>
      </x:c>
      <x:c r="B1177" t="s">
        <x:v>5492</x:v>
      </x:c>
      <x:c r="C1177" t="s">
        <x:v>5493</x:v>
      </x:c>
      <x:c r="D1177">
        <x:v>25</x:v>
      </x:c>
      <x:c r="E1177" t="s">
        <x:v>89</x:v>
      </x:c>
      <x:c r="F1177" t="s">
        <x:v>90</x:v>
      </x:c>
      <x:c r="G1177">
        <x:v>45350</x:v>
      </x:c>
      <x:c r="H1177" t="s">
        <x:v>5494</x:v>
      </x:c>
      <x:c r="I1177" t="s">
        <x:v>5495</x:v>
      </x:c>
      <x:c r="J1177" t="s">
        <x:v>5496</x:v>
      </x:c>
    </x:row>
    <x:row r="1178">
      <x:c r="A1178" t="s">
        <x:v>5497</x:v>
      </x:c>
      <x:c r="B1178" t="s">
        <x:v>5497</x:v>
      </x:c>
      <x:c r="C1178" t="s">
        <x:v>5498</x:v>
      </x:c>
      <x:c r="D1178">
        <x:v>7</x:v>
      </x:c>
      <x:c r="E1178" t="s">
        <x:v>125</x:v>
      </x:c>
      <x:c r="F1178" t="s">
        <x:v>90</x:v>
      </x:c>
      <x:c r="G1178">
        <x:v>44148</x:v>
      </x:c>
      <x:c r="H1178" t="s">
        <x:v>5499</x:v>
      </x:c>
      <x:c r="I1178" t="s">
        <x:v>5500</x:v>
      </x:c>
      <x:c r="J1178" t="s">
        <x:v>5501</x:v>
      </x:c>
    </x:row>
    <x:row r="1179">
      <x:c r="A1179" t="s">
        <x:v>5502</x:v>
      </x:c>
      <x:c r="B1179" t="s">
        <x:v>5502</x:v>
      </x:c>
      <x:c r="C1179" t="s">
        <x:v>2742</x:v>
      </x:c>
      <x:c r="D1179">
        <x:v>26</x:v>
      </x:c>
      <x:c r="E1179" t="s">
        <x:v>198</x:v>
      </x:c>
      <x:c r="F1179" t="s">
        <x:v>90</x:v>
      </x:c>
      <x:c r="G1179">
        <x:v>45436</x:v>
      </x:c>
      <x:c r="H1179" t="s">
        <x:v>5503</x:v>
      </x:c>
      <x:c r="I1179" t="s">
        <x:v>5504</x:v>
      </x:c>
      <x:c r="J1179" t="s">
        <x:v>5505</x:v>
      </x:c>
    </x:row>
    <x:row r="1180">
      <x:c r="A1180" t="s">
        <x:v>5506</x:v>
      </x:c>
      <x:c r="B1180" t="s">
        <x:v>5506</x:v>
      </x:c>
      <x:c r="C1180" t="s">
        <x:v>5507</x:v>
      </x:c>
      <x:c r="D1180">
        <x:v>12</x:v>
      </x:c>
      <x:c r="E1180" t="s">
        <x:v>114</x:v>
      </x:c>
      <x:c r="F1180" t="s">
        <x:v>90</x:v>
      </x:c>
      <x:c r="G1180">
        <x:v>44373</x:v>
      </x:c>
      <x:c r="H1180" t="s">
        <x:v>5508</x:v>
      </x:c>
      <x:c r="I1180" t="s">
        <x:v>5509</x:v>
      </x:c>
      <x:c r="J1180" t="s">
        <x:v>5510</x:v>
      </x:c>
    </x:row>
    <x:row r="1181">
      <x:c r="A1181" t="s">
        <x:v>5511</x:v>
      </x:c>
      <x:c r="B1181" t="s">
        <x:v>5511</x:v>
      </x:c>
      <x:c r="C1181" t="s">
        <x:v>2202</x:v>
      </x:c>
      <x:c r="D1181">
        <x:v>0</x:v>
      </x:c>
      <x:c r="E1181" t="s">
        <x:v>89</x:v>
      </x:c>
      <x:c r="F1181" t="s">
        <x:v>90</x:v>
      </x:c>
      <x:c r="G1181">
        <x:v>44370</x:v>
      </x:c>
      <x:c r="H1181" t="s">
        <x:v>5512</x:v>
      </x:c>
      <x:c r="I1181" t="s">
        <x:v>5513</x:v>
      </x:c>
      <x:c r="J1181" t="s">
        <x:v>5514</x:v>
      </x:c>
    </x:row>
    <x:row r="1182">
      <x:c r="A1182" t="s">
        <x:v>5515</x:v>
      </x:c>
      <x:c r="B1182" t="s">
        <x:v>5515</x:v>
      </x:c>
      <x:c r="C1182" t="s">
        <x:v>3348</x:v>
      </x:c>
      <x:c r="D1182">
        <x:v>12</x:v>
      </x:c>
      <x:c r="E1182" t="s">
        <x:v>114</x:v>
      </x:c>
      <x:c r="F1182" t="s">
        <x:v>3171</x:v>
      </x:c>
      <x:c r="G1182">
        <x:v>44145</x:v>
      </x:c>
      <x:c r="H1182" t="s">
        <x:v>5516</x:v>
      </x:c>
      <x:c r="I1182" t="s">
        <x:v>5517</x:v>
      </x:c>
      <x:c r="J1182" t="s">
        <x:v>5518</x:v>
      </x:c>
    </x:row>
    <x:row r="1183">
      <x:c r="A1183" t="s">
        <x:v>5519</x:v>
      </x:c>
      <x:c r="B1183" t="s">
        <x:v>5519</x:v>
      </x:c>
      <x:c r="C1183" t="s">
        <x:v>4245</x:v>
      </x:c>
      <x:c r="D1183">
        <x:v>8</x:v>
      </x:c>
      <x:c r="E1183" t="s">
        <x:v>103</x:v>
      </x:c>
      <x:c r="F1183" t="s">
        <x:v>97</x:v>
      </x:c>
      <x:c r="G1183">
        <x:v>44873</x:v>
      </x:c>
      <x:c r="H1183" t="s">
        <x:v>5520</x:v>
      </x:c>
      <x:c r="I1183" t="s">
        <x:v>5521</x:v>
      </x:c>
      <x:c r="J1183" t="s">
        <x:v>5522</x:v>
      </x:c>
    </x:row>
    <x:row r="1184">
      <x:c r="A1184" t="s">
        <x:v>5523</x:v>
      </x:c>
      <x:c r="B1184" t="s">
        <x:v>5523</x:v>
      </x:c>
      <x:c r="C1184" t="s">
        <x:v>5524</x:v>
      </x:c>
      <x:c r="D1184">
        <x:v>4</x:v>
      </x:c>
      <x:c r="E1184" t="s">
        <x:v>96</x:v>
      </x:c>
      <x:c r="F1184" t="s">
        <x:v>90</x:v>
      </x:c>
      <x:c r="G1184">
        <x:v>44944</x:v>
      </x:c>
      <x:c r="H1184" t="s">
        <x:v>5525</x:v>
      </x:c>
      <x:c r="I1184" t="s">
        <x:v>5526</x:v>
      </x:c>
      <x:c r="J1184" t="s">
        <x:v>5527</x:v>
      </x:c>
    </x:row>
    <x:row r="1185">
      <x:c r="A1185" t="s">
        <x:v>5528</x:v>
      </x:c>
      <x:c r="B1185" t="s">
        <x:v>5528</x:v>
      </x:c>
      <x:c r="C1185" t="s">
        <x:v>2282</x:v>
      </x:c>
      <x:c r="D1185">
        <x:v>13</x:v>
      </x:c>
      <x:c r="E1185" t="s">
        <x:v>89</x:v>
      </x:c>
      <x:c r="F1185" t="s">
        <x:v>97</x:v>
      </x:c>
      <x:c r="G1185">
        <x:v>44134</x:v>
      </x:c>
      <x:c r="H1185" t="s">
        <x:v>5529</x:v>
      </x:c>
      <x:c r="I1185" t="s">
        <x:v>5530</x:v>
      </x:c>
      <x:c r="J1185" t="s">
        <x:v>5531</x:v>
      </x:c>
    </x:row>
    <x:row r="1186">
      <x:c r="A1186" t="s">
        <x:v>5532</x:v>
      </x:c>
      <x:c r="B1186" t="s">
        <x:v>5532</x:v>
      </x:c>
      <x:c r="C1186" t="s">
        <x:v>2067</x:v>
      </x:c>
      <x:c r="D1186">
        <x:v>6</x:v>
      </x:c>
      <x:c r="E1186" t="s">
        <x:v>89</x:v>
      </x:c>
      <x:c r="F1186" t="s">
        <x:v>97</x:v>
      </x:c>
      <x:c r="G1186">
        <x:v>45470</x:v>
      </x:c>
      <x:c r="H1186" t="s">
        <x:v>5533</x:v>
      </x:c>
      <x:c r="I1186" t="s">
        <x:v>5534</x:v>
      </x:c>
      <x:c r="J1186" t="s">
        <x:v>5535</x:v>
      </x:c>
    </x:row>
    <x:row r="1187">
      <x:c r="A1187" t="s">
        <x:v>5536</x:v>
      </x:c>
      <x:c r="B1187" t="s">
        <x:v>5536</x:v>
      </x:c>
      <x:c r="C1187" t="s">
        <x:v>2519</x:v>
      </x:c>
      <x:c r="D1187">
        <x:v>1</x:v>
      </x:c>
      <x:c r="E1187" t="s">
        <x:v>89</x:v>
      </x:c>
      <x:c r="F1187" t="s">
        <x:v>126</x:v>
      </x:c>
      <x:c r="G1187">
        <x:v>42772</x:v>
      </x:c>
      <x:c r="H1187" t="s">
        <x:v>5537</x:v>
      </x:c>
      <x:c r="I1187" t="s">
        <x:v>5538</x:v>
      </x:c>
      <x:c r="J1187" t="s">
        <x:v>5539</x:v>
      </x:c>
    </x:row>
    <x:row r="1188">
      <x:c r="A1188" t="s">
        <x:v>5540</x:v>
      </x:c>
      <x:c r="B1188" t="s">
        <x:v>5540</x:v>
      </x:c>
      <x:c r="C1188" t="s">
        <x:v>2033</x:v>
      </x:c>
      <x:c r="D1188">
        <x:v>13</x:v>
      </x:c>
      <x:c r="E1188" t="s">
        <x:v>103</x:v>
      </x:c>
      <x:c r="F1188" t="s">
        <x:v>97</x:v>
      </x:c>
      <x:c r="G1188">
        <x:v>42741</x:v>
      </x:c>
      <x:c r="H1188" t="s">
        <x:v>5541</x:v>
      </x:c>
      <x:c r="I1188" t="s">
        <x:v>5542</x:v>
      </x:c>
      <x:c r="J1188" t="s">
        <x:v>5543</x:v>
      </x:c>
    </x:row>
    <x:row r="1189">
      <x:c r="A1189" t="s">
        <x:v>5544</x:v>
      </x:c>
      <x:c r="B1189" t="s">
        <x:v>5544</x:v>
      </x:c>
      <x:c r="C1189" t="s">
        <x:v>5545</x:v>
      </x:c>
      <x:c r="D1189">
        <x:v>18</x:v>
      </x:c>
      <x:c r="E1189" t="s">
        <x:v>89</x:v>
      </x:c>
      <x:c r="F1189" t="s">
        <x:v>90</x:v>
      </x:c>
      <x:c r="G1189">
        <x:v>44183</x:v>
      </x:c>
      <x:c r="H1189" t="s">
        <x:v>5546</x:v>
      </x:c>
      <x:c r="I1189" t="s">
        <x:v>5547</x:v>
      </x:c>
      <x:c r="J1189" t="s">
        <x:v>5548</x:v>
      </x:c>
    </x:row>
    <x:row r="1190">
      <x:c r="A1190" t="s">
        <x:v>5549</x:v>
      </x:c>
      <x:c r="B1190" t="s">
        <x:v>5549</x:v>
      </x:c>
      <x:c r="C1190" t="s">
        <x:v>2609</x:v>
      </x:c>
      <x:c r="D1190">
        <x:v>10</x:v>
      </x:c>
      <x:c r="E1190" t="s">
        <x:v>114</x:v>
      </x:c>
      <x:c r="F1190" t="s">
        <x:v>90</x:v>
      </x:c>
      <x:c r="G1190">
        <x:v>45370</x:v>
      </x:c>
      <x:c r="H1190" t="s">
        <x:v>5550</x:v>
      </x:c>
      <x:c r="I1190" t="s">
        <x:v>5551</x:v>
      </x:c>
      <x:c r="J1190" t="s">
        <x:v>5552</x:v>
      </x:c>
    </x:row>
    <x:row r="1191">
      <x:c r="A1191" t="s">
        <x:v>5553</x:v>
      </x:c>
      <x:c r="B1191" t="s">
        <x:v>5553</x:v>
      </x:c>
      <x:c r="C1191" t="s">
        <x:v>2501</x:v>
      </x:c>
      <x:c r="D1191">
        <x:v>15</x:v>
      </x:c>
      <x:c r="E1191" t="s">
        <x:v>89</x:v>
      </x:c>
      <x:c r="F1191" t="s">
        <x:v>90</x:v>
      </x:c>
      <x:c r="G1191">
        <x:v>44054</x:v>
      </x:c>
      <x:c r="H1191" t="s">
        <x:v>5554</x:v>
      </x:c>
      <x:c r="I1191" t="s">
        <x:v>5555</x:v>
      </x:c>
      <x:c r="J1191" t="s">
        <x:v>5556</x:v>
      </x:c>
    </x:row>
    <x:row r="1192">
      <x:c r="A1192" t="s">
        <x:v>5557</x:v>
      </x:c>
      <x:c r="B1192" t="s">
        <x:v>5557</x:v>
      </x:c>
      <x:c r="C1192" t="s">
        <x:v>1969</x:v>
      </x:c>
      <x:c r="D1192">
        <x:v>3</x:v>
      </x:c>
      <x:c r="E1192" t="s">
        <x:v>114</x:v>
      </x:c>
      <x:c r="F1192" t="s">
        <x:v>90</x:v>
      </x:c>
      <x:c r="G1192">
        <x:v>45118</x:v>
      </x:c>
      <x:c r="H1192" t="s">
        <x:v>5558</x:v>
      </x:c>
      <x:c r="I1192" t="s">
        <x:v>5559</x:v>
      </x:c>
      <x:c r="J1192" t="s">
        <x:v>5560</x:v>
      </x:c>
    </x:row>
    <x:row r="1193">
      <x:c r="A1193" t="s">
        <x:v>5561</x:v>
      </x:c>
      <x:c r="B1193" t="s">
        <x:v>5561</x:v>
      </x:c>
      <x:c r="C1193" t="s">
        <x:v>5498</x:v>
      </x:c>
      <x:c r="D1193">
        <x:v>1</x:v>
      </x:c>
      <x:c r="E1193" t="s">
        <x:v>125</x:v>
      </x:c>
      <x:c r="F1193" t="s">
        <x:v>90</x:v>
      </x:c>
      <x:c r="G1193">
        <x:v>44467</x:v>
      </x:c>
      <x:c r="H1193" t="s">
        <x:v>5562</x:v>
      </x:c>
      <x:c r="I1193" t="s">
        <x:v>5563</x:v>
      </x:c>
      <x:c r="J1193" t="s">
        <x:v>5564</x:v>
      </x:c>
    </x:row>
    <x:row r="1194">
      <x:c r="A1194" t="s">
        <x:v>5565</x:v>
      </x:c>
      <x:c r="B1194" t="s">
        <x:v>5565</x:v>
      </x:c>
      <x:c r="C1194" t="s">
        <x:v>5566</x:v>
      </x:c>
      <x:c r="D1194">
        <x:v>5</x:v>
      </x:c>
      <x:c r="E1194" t="s">
        <x:v>96</x:v>
      </x:c>
      <x:c r="F1194" t="s">
        <x:v>152</x:v>
      </x:c>
      <x:c r="G1194">
        <x:v>43917</x:v>
      </x:c>
      <x:c r="H1194" t="s">
        <x:v>5567</x:v>
      </x:c>
      <x:c r="I1194" t="s">
        <x:v>5568</x:v>
      </x:c>
      <x:c r="J1194" t="s">
        <x:v>5569</x:v>
      </x:c>
    </x:row>
    <x:row r="1195">
      <x:c r="A1195" t="s">
        <x:v>5570</x:v>
      </x:c>
      <x:c r="B1195" t="s">
        <x:v>5570</x:v>
      </x:c>
      <x:c r="C1195" t="s">
        <x:v>282</x:v>
      </x:c>
      <x:c r="D1195">
        <x:v>6</x:v>
      </x:c>
      <x:c r="E1195" t="s">
        <x:v>103</x:v>
      </x:c>
      <x:c r="F1195" t="s">
        <x:v>97</x:v>
      </x:c>
      <x:c r="G1195">
        <x:v>43432</x:v>
      </x:c>
      <x:c r="H1195" t="s">
        <x:v>5571</x:v>
      </x:c>
      <x:c r="I1195" t="s">
        <x:v>5572</x:v>
      </x:c>
      <x:c r="J1195" t="s">
        <x:v>5573</x:v>
      </x:c>
    </x:row>
    <x:row r="1196">
      <x:c r="A1196" t="s">
        <x:v>5574</x:v>
      </x:c>
      <x:c r="B1196" t="s">
        <x:v>5574</x:v>
      </x:c>
      <x:c r="C1196" t="s">
        <x:v>282</x:v>
      </x:c>
      <x:c r="D1196">
        <x:v>12</x:v>
      </x:c>
      <x:c r="E1196" t="s">
        <x:v>103</x:v>
      </x:c>
      <x:c r="F1196" t="s">
        <x:v>97</x:v>
      </x:c>
      <x:c r="G1196">
        <x:v>43385</x:v>
      </x:c>
      <x:c r="H1196" t="s">
        <x:v>5575</x:v>
      </x:c>
      <x:c r="I1196" t="s">
        <x:v>5576</x:v>
      </x:c>
      <x:c r="J1196" t="s">
        <x:v>5577</x:v>
      </x:c>
    </x:row>
    <x:row r="1197">
      <x:c r="A1197" t="s">
        <x:v>5578</x:v>
      </x:c>
      <x:c r="B1197" t="s">
        <x:v>5578</x:v>
      </x:c>
      <x:c r="C1197" t="s">
        <x:v>282</x:v>
      </x:c>
      <x:c r="D1197">
        <x:v>10</x:v>
      </x:c>
      <x:c r="E1197" t="s">
        <x:v>103</x:v>
      </x:c>
      <x:c r="F1197" t="s">
        <x:v>97</x:v>
      </x:c>
      <x:c r="G1197">
        <x:v>43474</x:v>
      </x:c>
      <x:c r="H1197" t="s">
        <x:v>5579</x:v>
      </x:c>
      <x:c r="I1197" t="s">
        <x:v>5580</x:v>
      </x:c>
      <x:c r="J1197" t="s">
        <x:v>5581</x:v>
      </x:c>
    </x:row>
    <x:row r="1198">
      <x:c r="A1198" t="s">
        <x:v>5582</x:v>
      </x:c>
      <x:c r="B1198" t="s">
        <x:v>5582</x:v>
      </x:c>
      <x:c r="C1198" t="s">
        <x:v>282</x:v>
      </x:c>
      <x:c r="D1198">
        <x:v>11</x:v>
      </x:c>
      <x:c r="E1198" t="s">
        <x:v>103</x:v>
      </x:c>
      <x:c r="F1198" t="s">
        <x:v>97</x:v>
      </x:c>
      <x:c r="G1198">
        <x:v>43586</x:v>
      </x:c>
      <x:c r="H1198" t="s">
        <x:v>5583</x:v>
      </x:c>
      <x:c r="I1198" t="s">
        <x:v>5584</x:v>
      </x:c>
      <x:c r="J1198" t="s">
        <x:v>5585</x:v>
      </x:c>
    </x:row>
    <x:row r="1199">
      <x:c r="A1199" t="s">
        <x:v>5586</x:v>
      </x:c>
      <x:c r="B1199" t="s">
        <x:v>5586</x:v>
      </x:c>
      <x:c r="C1199" t="s">
        <x:v>2048</x:v>
      </x:c>
      <x:c r="D1199">
        <x:v>20</x:v>
      </x:c>
      <x:c r="E1199" t="s">
        <x:v>114</x:v>
      </x:c>
      <x:c r="F1199" t="s">
        <x:v>90</x:v>
      </x:c>
      <x:c r="G1199">
        <x:v>44208</x:v>
      </x:c>
      <x:c r="H1199" t="s">
        <x:v>5587</x:v>
      </x:c>
      <x:c r="I1199" t="s">
        <x:v>5588</x:v>
      </x:c>
      <x:c r="J1199" t="s">
        <x:v>5589</x:v>
      </x:c>
    </x:row>
    <x:row r="1200">
      <x:c r="A1200" t="s">
        <x:v>5590</x:v>
      </x:c>
      <x:c r="B1200" t="s">
        <x:v>5590</x:v>
      </x:c>
      <x:c r="C1200" t="s">
        <x:v>5591</x:v>
      </x:c>
      <x:c r="D1200">
        <x:v>40</x:v>
      </x:c>
      <x:c r="E1200" t="s">
        <x:v>103</x:v>
      </x:c>
      <x:c r="F1200" t="s">
        <x:v>2469</x:v>
      </x:c>
      <x:c r="G1200">
        <x:v>45537</x:v>
      </x:c>
      <x:c r="H1200" t="s">
        <x:v>5592</x:v>
      </x:c>
      <x:c r="I1200" t="s">
        <x:v>5593</x:v>
      </x:c>
      <x:c r="J1200" t="s">
        <x:v>5594</x:v>
      </x:c>
    </x:row>
    <x:row r="1201">
      <x:c r="A1201" t="s">
        <x:v>5595</x:v>
      </x:c>
      <x:c r="B1201" t="s">
        <x:v>5595</x:v>
      </x:c>
      <x:c r="C1201" t="s">
        <x:v>5596</x:v>
      </x:c>
      <x:c r="D1201">
        <x:v>43</x:v>
      </x:c>
      <x:c r="E1201" t="s">
        <x:v>89</x:v>
      </x:c>
      <x:c r="F1201" t="s">
        <x:v>97</x:v>
      </x:c>
      <x:c r="G1201">
        <x:v>43217</x:v>
      </x:c>
      <x:c r="H1201" t="s">
        <x:v>5597</x:v>
      </x:c>
      <x:c r="I1201" t="s">
        <x:v>5598</x:v>
      </x:c>
      <x:c r="J1201" t="s">
        <x:v>5599</x:v>
      </x:c>
    </x:row>
    <x:row r="1202">
      <x:c r="A1202" t="s">
        <x:v>5600</x:v>
      </x:c>
      <x:c r="B1202" t="s">
        <x:v>5600</x:v>
      </x:c>
      <x:c r="C1202" t="s">
        <x:v>5601</x:v>
      </x:c>
      <x:c r="D1202">
        <x:v>8</x:v>
      </x:c>
      <x:c r="E1202" t="s">
        <x:v>257</x:v>
      </x:c>
      <x:c r="F1202" t="s">
        <x:v>97</x:v>
      </x:c>
      <x:c r="G1202">
        <x:v>42232</x:v>
      </x:c>
      <x:c r="H1202" t="s">
        <x:v>5602</x:v>
      </x:c>
      <x:c r="I1202" t="s">
        <x:v>5603</x:v>
      </x:c>
      <x:c r="J1202" t="s">
        <x:v>5604</x:v>
      </x:c>
    </x:row>
    <x:row r="1203">
      <x:c r="A1203" t="s">
        <x:v>5605</x:v>
      </x:c>
      <x:c r="B1203" t="s">
        <x:v>5605</x:v>
      </x:c>
      <x:c r="C1203" t="s">
        <x:v>2609</x:v>
      </x:c>
      <x:c r="D1203">
        <x:v>17</x:v>
      </x:c>
      <x:c r="E1203" t="s">
        <x:v>114</x:v>
      </x:c>
      <x:c r="F1203" t="s">
        <x:v>90</x:v>
      </x:c>
      <x:c r="G1203">
        <x:v>44173</x:v>
      </x:c>
      <x:c r="H1203" t="s">
        <x:v>5606</x:v>
      </x:c>
      <x:c r="I1203" t="s">
        <x:v>5607</x:v>
      </x:c>
      <x:c r="J1203" t="s">
        <x:v>5608</x:v>
      </x:c>
    </x:row>
    <x:row r="1204">
      <x:c r="A1204" t="s">
        <x:v>5609</x:v>
      </x:c>
      <x:c r="B1204" t="s">
        <x:v>5609</x:v>
      </x:c>
      <x:c r="C1204" t="s">
        <x:v>1407</x:v>
      </x:c>
      <x:c r="D1204">
        <x:v>8</x:v>
      </x:c>
      <x:c r="E1204" t="s">
        <x:v>198</x:v>
      </x:c>
      <x:c r="F1204" t="s">
        <x:v>90</x:v>
      </x:c>
      <x:c r="G1204">
        <x:v>45800</x:v>
      </x:c>
      <x:c r="H1204" t="s">
        <x:v>5610</x:v>
      </x:c>
      <x:c r="I1204" t="s">
        <x:v>5611</x:v>
      </x:c>
      <x:c r="J1204" t="s">
        <x:v>5612</x:v>
      </x:c>
    </x:row>
    <x:row r="1205">
      <x:c r="A1205" t="s">
        <x:v>5613</x:v>
      </x:c>
      <x:c r="B1205" t="s">
        <x:v>5613</x:v>
      </x:c>
      <x:c r="C1205" t="s">
        <x:v>5614</x:v>
      </x:c>
      <x:c r="D1205">
        <x:v>4</x:v>
      </x:c>
      <x:c r="E1205" t="s">
        <x:v>103</x:v>
      </x:c>
      <x:c r="F1205" t="s">
        <x:v>97</x:v>
      </x:c>
      <x:c r="G1205">
        <x:v>46202</x:v>
      </x:c>
      <x:c r="H1205" t="s">
        <x:v>5615</x:v>
      </x:c>
      <x:c r="I1205" t="s">
        <x:v>5616</x:v>
      </x:c>
      <x:c r="J1205" t="s">
        <x:v>5617</x:v>
      </x:c>
    </x:row>
    <x:row r="1206">
      <x:c r="A1206" t="s">
        <x:v>5618</x:v>
      </x:c>
      <x:c r="B1206" t="s">
        <x:v>5618</x:v>
      </x:c>
      <x:c r="C1206" t="s">
        <x:v>5619</x:v>
      </x:c>
      <x:c r="D1206">
        <x:v>8</x:v>
      </x:c>
      <x:c r="E1206" t="s">
        <x:v>103</x:v>
      </x:c>
      <x:c r="F1206" t="s">
        <x:v>97</x:v>
      </x:c>
      <x:c r="G1206">
        <x:v>43796</x:v>
      </x:c>
      <x:c r="H1206" t="s">
        <x:v>5620</x:v>
      </x:c>
      <x:c r="I1206" t="s">
        <x:v>5621</x:v>
      </x:c>
      <x:c r="J1206" t="s">
        <x:v>5622</x:v>
      </x:c>
    </x:row>
    <x:row r="1207">
      <x:c r="A1207" t="s">
        <x:v>5623</x:v>
      </x:c>
      <x:c r="B1207" t="s">
        <x:v>5623</x:v>
      </x:c>
      <x:c r="C1207" t="s">
        <x:v>409</x:v>
      </x:c>
      <x:c r="D1207">
        <x:v>6</x:v>
      </x:c>
      <x:c r="E1207" t="s">
        <x:v>89</x:v>
      </x:c>
      <x:c r="F1207" t="s">
        <x:v>90</x:v>
      </x:c>
      <x:c r="G1207">
        <x:v>44336</x:v>
      </x:c>
      <x:c r="H1207" t="s">
        <x:v>5624</x:v>
      </x:c>
      <x:c r="I1207" t="s">
        <x:v>5625</x:v>
      </x:c>
      <x:c r="J1207" t="s">
        <x:v>5626</x:v>
      </x:c>
    </x:row>
    <x:row r="1208">
      <x:c r="A1208" t="s">
        <x:v>5627</x:v>
      </x:c>
      <x:c r="B1208" t="s">
        <x:v>5627</x:v>
      </x:c>
      <x:c r="C1208" t="s">
        <x:v>409</x:v>
      </x:c>
      <x:c r="D1208">
        <x:v>11</x:v>
      </x:c>
      <x:c r="E1208" t="s">
        <x:v>198</x:v>
      </x:c>
      <x:c r="F1208" t="s">
        <x:v>90</x:v>
      </x:c>
      <x:c r="G1208">
        <x:v>43875</x:v>
      </x:c>
      <x:c r="H1208" t="s">
        <x:v>5628</x:v>
      </x:c>
      <x:c r="I1208" t="s">
        <x:v>5629</x:v>
      </x:c>
      <x:c r="J1208" t="s">
        <x:v>5630</x:v>
      </x:c>
    </x:row>
    <x:row r="1209">
      <x:c r="A1209" t="s">
        <x:v>5631</x:v>
      </x:c>
      <x:c r="B1209" t="s">
        <x:v>5631</x:v>
      </x:c>
      <x:c r="C1209" t="s">
        <x:v>1157</x:v>
      </x:c>
      <x:c r="D1209">
        <x:v>25</x:v>
      </x:c>
      <x:c r="E1209" t="s">
        <x:v>96</x:v>
      </x:c>
      <x:c r="F1209" t="s">
        <x:v>97</x:v>
      </x:c>
      <x:c r="G1209">
        <x:v>42926</x:v>
      </x:c>
      <x:c r="H1209" t="s">
        <x:v>5632</x:v>
      </x:c>
      <x:c r="I1209" t="s">
        <x:v>5633</x:v>
      </x:c>
      <x:c r="J1209" t="s">
        <x:v>5634</x:v>
      </x:c>
    </x:row>
    <x:row r="1210">
      <x:c r="A1210" t="s">
        <x:v>5635</x:v>
      </x:c>
      <x:c r="B1210" t="s">
        <x:v>5635</x:v>
      </x:c>
      <x:c r="C1210" t="s">
        <x:v>1334</x:v>
      </x:c>
      <x:c r="D1210">
        <x:v>7</x:v>
      </x:c>
      <x:c r="E1210" t="s">
        <x:v>103</x:v>
      </x:c>
      <x:c r="F1210" t="s">
        <x:v>97</x:v>
      </x:c>
      <x:c r="G1210">
        <x:v>41781</x:v>
      </x:c>
      <x:c r="H1210" t="s">
        <x:v>5636</x:v>
      </x:c>
      <x:c r="I1210" t="s">
        <x:v>5637</x:v>
      </x:c>
      <x:c r="J1210" t="s">
        <x:v>5638</x:v>
      </x:c>
    </x:row>
    <x:row r="1211">
      <x:c r="A1211" t="s">
        <x:v>5639</x:v>
      </x:c>
      <x:c r="B1211" t="s">
        <x:v>5639</x:v>
      </x:c>
      <x:c r="C1211" t="s">
        <x:v>167</x:v>
      </x:c>
      <x:c r="D1211">
        <x:v>66</x:v>
      </x:c>
      <x:c r="E1211" t="s">
        <x:v>96</x:v>
      </x:c>
      <x:c r="F1211" t="s">
        <x:v>97</x:v>
      </x:c>
      <x:c r="G1211">
        <x:v>44641</x:v>
      </x:c>
      <x:c r="H1211" t="s">
        <x:v>5640</x:v>
      </x:c>
      <x:c r="I1211" t="s">
        <x:v>5641</x:v>
      </x:c>
      <x:c r="J1211" t="s">
        <x:v>5642</x:v>
      </x:c>
    </x:row>
    <x:row r="1212">
      <x:c r="A1212" t="s">
        <x:v>5643</x:v>
      </x:c>
      <x:c r="B1212" t="s">
        <x:v>5643</x:v>
      </x:c>
      <x:c r="C1212" t="s">
        <x:v>167</x:v>
      </x:c>
      <x:c r="D1212">
        <x:v>89</x:v>
      </x:c>
      <x:c r="E1212" t="s">
        <x:v>96</x:v>
      </x:c>
      <x:c r="F1212" t="s">
        <x:v>97</x:v>
      </x:c>
      <x:c r="G1212">
        <x:v>44771</x:v>
      </x:c>
      <x:c r="H1212" t="s">
        <x:v>5644</x:v>
      </x:c>
      <x:c r="I1212" t="s">
        <x:v>5645</x:v>
      </x:c>
      <x:c r="J1212" t="s">
        <x:v>5646</x:v>
      </x:c>
    </x:row>
    <x:row r="1213">
      <x:c r="A1213" t="s">
        <x:v>5647</x:v>
      </x:c>
      <x:c r="B1213" t="s">
        <x:v>5647</x:v>
      </x:c>
      <x:c r="C1213" t="s">
        <x:v>5648</x:v>
      </x:c>
      <x:c r="D1213">
        <x:v>17</x:v>
      </x:c>
      <x:c r="E1213" t="s">
        <x:v>198</x:v>
      </x:c>
      <x:c r="F1213" t="s">
        <x:v>90</x:v>
      </x:c>
      <x:c r="G1213">
        <x:v>44158</x:v>
      </x:c>
      <x:c r="H1213" t="s">
        <x:v>5649</x:v>
      </x:c>
      <x:c r="I1213" t="s">
        <x:v>5650</x:v>
      </x:c>
      <x:c r="J1213" t="s">
        <x:v>5651</x:v>
      </x:c>
    </x:row>
    <x:row r="1214">
      <x:c r="A1214" t="s">
        <x:v>5652</x:v>
      </x:c>
      <x:c r="B1214" t="s">
        <x:v>5652</x:v>
      </x:c>
      <x:c r="C1214" t="s">
        <x:v>5653</x:v>
      </x:c>
      <x:c r="D1214">
        <x:v>3</x:v>
      </x:c>
      <x:c r="E1214" t="s">
        <x:v>103</x:v>
      </x:c>
      <x:c r="F1214" t="s">
        <x:v>97</x:v>
      </x:c>
      <x:c r="G1214">
        <x:v>43669</x:v>
      </x:c>
      <x:c r="H1214" t="s">
        <x:v>5654</x:v>
      </x:c>
      <x:c r="I1214" t="s">
        <x:v>5655</x:v>
      </x:c>
      <x:c r="J1214" t="s">
        <x:v>5656</x:v>
      </x:c>
    </x:row>
    <x:row r="1215">
      <x:c r="A1215" t="s">
        <x:v>5657</x:v>
      </x:c>
      <x:c r="B1215" t="s">
        <x:v>5657</x:v>
      </x:c>
      <x:c r="C1215" t="s">
        <x:v>5658</x:v>
      </x:c>
      <x:c r="D1215">
        <x:v>16</x:v>
      </x:c>
      <x:c r="E1215" t="s">
        <x:v>198</x:v>
      </x:c>
      <x:c r="F1215" t="s">
        <x:v>5659</x:v>
      </x:c>
      <x:c r="G1215">
        <x:v>45944</x:v>
      </x:c>
      <x:c r="H1215" t="s">
        <x:v>5660</x:v>
      </x:c>
      <x:c r="I1215" t="s">
        <x:v>5661</x:v>
      </x:c>
      <x:c r="J1215" t="s">
        <x:v>5662</x:v>
      </x:c>
    </x:row>
    <x:row r="1216">
      <x:c r="A1216" t="s">
        <x:v>5663</x:v>
      </x:c>
      <x:c r="B1216" t="s">
        <x:v>5663</x:v>
      </x:c>
      <x:c r="C1216" t="s">
        <x:v>3747</x:v>
      </x:c>
      <x:c r="D1216">
        <x:v>8</x:v>
      </x:c>
      <x:c r="E1216" t="s">
        <x:v>114</x:v>
      </x:c>
      <x:c r="F1216" t="s">
        <x:v>90</x:v>
      </x:c>
      <x:c r="G1216">
        <x:v>45033</x:v>
      </x:c>
      <x:c r="H1216" t="s">
        <x:v>5664</x:v>
      </x:c>
      <x:c r="I1216" t="s">
        <x:v>5665</x:v>
      </x:c>
      <x:c r="J1216" t="s">
        <x:v>5666</x:v>
      </x:c>
    </x:row>
    <x:row r="1217">
      <x:c r="A1217" t="s">
        <x:v>5667</x:v>
      </x:c>
      <x:c r="B1217" t="s">
        <x:v>5667</x:v>
      </x:c>
      <x:c r="C1217" t="s">
        <x:v>5668</x:v>
      </x:c>
      <x:c r="D1217">
        <x:v>69</x:v>
      </x:c>
      <x:c r="E1217" t="s">
        <x:v>125</x:v>
      </x:c>
      <x:c r="F1217" t="s">
        <x:v>90</x:v>
      </x:c>
      <x:c r="G1217">
        <x:v>45818</x:v>
      </x:c>
      <x:c r="H1217" t="s">
        <x:v>5669</x:v>
      </x:c>
      <x:c r="I1217" t="s">
        <x:v>5670</x:v>
      </x:c>
      <x:c r="J1217" t="s">
        <x:v>5671</x:v>
      </x:c>
    </x:row>
    <x:row r="1218">
      <x:c r="A1218" t="s">
        <x:v>5672</x:v>
      </x:c>
      <x:c r="B1218" t="s">
        <x:v>5672</x:v>
      </x:c>
      <x:c r="C1218" t="s">
        <x:v>5673</x:v>
      </x:c>
      <x:c r="D1218">
        <x:v>1</x:v>
      </x:c>
      <x:c r="E1218" t="s">
        <x:v>103</x:v>
      </x:c>
      <x:c r="F1218" t="s">
        <x:v>97</x:v>
      </x:c>
      <x:c r="G1218">
        <x:v>44163</x:v>
      </x:c>
      <x:c r="H1218" t="s">
        <x:v>5674</x:v>
      </x:c>
      <x:c r="I1218" t="s">
        <x:v>5675</x:v>
      </x:c>
      <x:c r="J1218" t="s">
        <x:v>5676</x:v>
      </x:c>
    </x:row>
    <x:row r="1219">
      <x:c r="A1219" t="s">
        <x:v>5677</x:v>
      </x:c>
      <x:c r="B1219" t="s">
        <x:v>5677</x:v>
      </x:c>
      <x:c r="C1219" t="s">
        <x:v>5678</x:v>
      </x:c>
      <x:c r="D1219">
        <x:v>38</x:v>
      </x:c>
      <x:c r="E1219" t="s">
        <x:v>96</x:v>
      </x:c>
      <x:c r="F1219" t="s">
        <x:v>5679</x:v>
      </x:c>
      <x:c r="G1219">
        <x:v>42374</x:v>
      </x:c>
      <x:c r="H1219" t="s">
        <x:v>5680</x:v>
      </x:c>
      <x:c r="I1219" t="s">
        <x:v>5681</x:v>
      </x:c>
      <x:c r="J1219" t="s">
        <x:v>5682</x:v>
      </x:c>
    </x:row>
    <x:row r="1220">
      <x:c r="A1220" t="s">
        <x:v>5683</x:v>
      </x:c>
      <x:c r="B1220" t="s">
        <x:v>5683</x:v>
      </x:c>
      <x:c r="C1220" t="s">
        <x:v>5684</x:v>
      </x:c>
      <x:c r="D1220">
        <x:v>57</x:v>
      </x:c>
      <x:c r="E1220" t="s">
        <x:v>89</x:v>
      </x:c>
      <x:c r="F1220" t="s">
        <x:v>5679</x:v>
      </x:c>
      <x:c r="G1220">
        <x:v>42751</x:v>
      </x:c>
      <x:c r="H1220" t="s">
        <x:v>5685</x:v>
      </x:c>
      <x:c r="I1220" t="s">
        <x:v>5686</x:v>
      </x:c>
      <x:c r="J1220" t="s">
        <x:v>5687</x:v>
      </x:c>
    </x:row>
    <x:row r="1221">
      <x:c r="A1221" t="s">
        <x:v>5688</x:v>
      </x:c>
      <x:c r="B1221" t="s">
        <x:v>5688</x:v>
      </x:c>
      <x:c r="C1221" t="s">
        <x:v>5678</x:v>
      </x:c>
      <x:c r="D1221">
        <x:v>64</x:v>
      </x:c>
      <x:c r="E1221" t="s">
        <x:v>89</x:v>
      </x:c>
      <x:c r="F1221" t="s">
        <x:v>5679</x:v>
      </x:c>
      <x:c r="G1221">
        <x:v>42750</x:v>
      </x:c>
      <x:c r="H1221" t="s">
        <x:v>5689</x:v>
      </x:c>
      <x:c r="I1221" t="s">
        <x:v>5690</x:v>
      </x:c>
      <x:c r="J1221" t="s">
        <x:v>5691</x:v>
      </x:c>
    </x:row>
    <x:row r="1222">
      <x:c r="A1222" t="s">
        <x:v>5692</x:v>
      </x:c>
      <x:c r="B1222" t="s">
        <x:v>5692</x:v>
      </x:c>
      <x:c r="C1222" t="s">
        <x:v>1427</x:v>
      </x:c>
      <x:c r="D1222">
        <x:v>10</x:v>
      </x:c>
      <x:c r="E1222" t="s">
        <x:v>89</x:v>
      </x:c>
      <x:c r="F1222" t="s">
        <x:v>90</x:v>
      </x:c>
      <x:c r="G1222">
        <x:v>45596</x:v>
      </x:c>
      <x:c r="H1222" t="s">
        <x:v>5693</x:v>
      </x:c>
      <x:c r="I1222" t="s">
        <x:v>5694</x:v>
      </x:c>
      <x:c r="J1222" t="s">
        <x:v>5695</x:v>
      </x:c>
    </x:row>
    <x:row r="1223">
      <x:c r="A1223" t="s">
        <x:v>5696</x:v>
      </x:c>
      <x:c r="B1223" t="s">
        <x:v>5696</x:v>
      </x:c>
      <x:c r="C1223" t="s">
        <x:v>983</x:v>
      </x:c>
      <x:c r="D1223">
        <x:v>24</x:v>
      </x:c>
      <x:c r="E1223" t="s">
        <x:v>89</x:v>
      </x:c>
      <x:c r="F1223" t="s">
        <x:v>97</x:v>
      </x:c>
      <x:c r="G1223">
        <x:v>45697</x:v>
      </x:c>
      <x:c r="H1223" t="s">
        <x:v>5697</x:v>
      </x:c>
      <x:c r="I1223" t="s">
        <x:v>5698</x:v>
      </x:c>
      <x:c r="J1223" t="s">
        <x:v>5699</x:v>
      </x:c>
    </x:row>
    <x:row r="1224">
      <x:c r="A1224" t="s">
        <x:v>5700</x:v>
      </x:c>
      <x:c r="B1224" t="s">
        <x:v>5700</x:v>
      </x:c>
      <x:c r="C1224" t="s">
        <x:v>292</x:v>
      </x:c>
      <x:c r="D1224">
        <x:v>17</x:v>
      </x:c>
      <x:c r="E1224" t="s">
        <x:v>198</x:v>
      </x:c>
      <x:c r="F1224" t="s">
        <x:v>90</x:v>
      </x:c>
      <x:c r="G1224">
        <x:v>44629</x:v>
      </x:c>
      <x:c r="H1224" t="s">
        <x:v>5701</x:v>
      </x:c>
      <x:c r="I1224" t="s">
        <x:v>5702</x:v>
      </x:c>
      <x:c r="J1224" t="s">
        <x:v>5703</x:v>
      </x:c>
    </x:row>
    <x:row r="1225">
      <x:c r="A1225" t="s">
        <x:v>5704</x:v>
      </x:c>
      <x:c r="B1225" t="s">
        <x:v>5704</x:v>
      </x:c>
      <x:c r="C1225" t="s">
        <x:v>5705</x:v>
      </x:c>
      <x:c r="D1225">
        <x:v>13</x:v>
      </x:c>
      <x:c r="E1225" t="s">
        <x:v>89</x:v>
      </x:c>
      <x:c r="F1225" t="s">
        <x:v>90</x:v>
      </x:c>
      <x:c r="G1225">
        <x:v>45218</x:v>
      </x:c>
      <x:c r="H1225" t="s">
        <x:v>5706</x:v>
      </x:c>
      <x:c r="I1225" t="s">
        <x:v>5707</x:v>
      </x:c>
      <x:c r="J1225" t="s">
        <x:v>5708</x:v>
      </x:c>
    </x:row>
    <x:row r="1226">
      <x:c r="A1226" t="s">
        <x:v>5709</x:v>
      </x:c>
      <x:c r="B1226" t="s">
        <x:v>5709</x:v>
      </x:c>
      <x:c r="C1226" t="s">
        <x:v>5710</x:v>
      </x:c>
      <x:c r="D1226">
        <x:v>25</x:v>
      </x:c>
      <x:c r="E1226" t="s">
        <x:v>103</x:v>
      </x:c>
      <x:c r="F1226" t="s">
        <x:v>97</x:v>
      </x:c>
      <x:c r="G1226">
        <x:v>42347</x:v>
      </x:c>
      <x:c r="H1226" t="s">
        <x:v>5711</x:v>
      </x:c>
      <x:c r="I1226" t="s">
        <x:v>5712</x:v>
      </x:c>
      <x:c r="J1226" t="s">
        <x:v>5713</x:v>
      </x:c>
    </x:row>
    <x:row r="1227">
      <x:c r="A1227" t="s">
        <x:v>5714</x:v>
      </x:c>
      <x:c r="B1227" t="s">
        <x:v>5714</x:v>
      </x:c>
      <x:c r="C1227" t="s">
        <x:v>5715</x:v>
      </x:c>
      <x:c r="D1227">
        <x:v>4</x:v>
      </x:c>
      <x:c r="E1227" t="s">
        <x:v>257</x:v>
      </x:c>
      <x:c r="F1227" t="s">
        <x:v>97</x:v>
      </x:c>
      <x:c r="G1227">
        <x:v>42257</x:v>
      </x:c>
      <x:c r="H1227" t="s">
        <x:v>5716</x:v>
      </x:c>
      <x:c r="I1227" t="s">
        <x:v>5717</x:v>
      </x:c>
      <x:c r="J1227" t="s">
        <x:v>5718</x:v>
      </x:c>
    </x:row>
    <x:row r="1228">
      <x:c r="A1228" t="s">
        <x:v>5719</x:v>
      </x:c>
      <x:c r="B1228" t="s">
        <x:v>5719</x:v>
      </x:c>
      <x:c r="C1228" t="s">
        <x:v>141</x:v>
      </x:c>
      <x:c r="D1228">
        <x:v>1</x:v>
      </x:c>
      <x:c r="E1228" t="s">
        <x:v>198</x:v>
      </x:c>
      <x:c r="F1228" t="s">
        <x:v>152</x:v>
      </x:c>
      <x:c r="G1228">
        <x:v>45527</x:v>
      </x:c>
      <x:c r="H1228" t="s">
        <x:v>5720</x:v>
      </x:c>
      <x:c r="I1228" t="s">
        <x:v>5721</x:v>
      </x:c>
      <x:c r="J1228" t="s">
        <x:v>5722</x:v>
      </x:c>
    </x:row>
    <x:row r="1229">
      <x:c r="A1229" t="s">
        <x:v>5723</x:v>
      </x:c>
      <x:c r="B1229" t="s">
        <x:v>5723</x:v>
      </x:c>
      <x:c r="C1229" t="s">
        <x:v>5724</x:v>
      </x:c>
      <x:c r="D1229">
        <x:v>11</x:v>
      </x:c>
      <x:c r="E1229" t="s">
        <x:v>198</x:v>
      </x:c>
      <x:c r="F1229" t="s">
        <x:v>90</x:v>
      </x:c>
      <x:c r="G1229">
        <x:v>44972</x:v>
      </x:c>
      <x:c r="H1229" t="s">
        <x:v>5725</x:v>
      </x:c>
      <x:c r="I1229" t="s">
        <x:v>5726</x:v>
      </x:c>
      <x:c r="J1229" t="s">
        <x:v>5727</x:v>
      </x:c>
    </x:row>
    <x:row r="1230">
      <x:c r="A1230" t="s">
        <x:v>5728</x:v>
      </x:c>
      <x:c r="B1230" t="s">
        <x:v>5728</x:v>
      </x:c>
      <x:c r="C1230" t="s">
        <x:v>2817</x:v>
      </x:c>
      <x:c r="D1230">
        <x:v>8</x:v>
      </x:c>
      <x:c r="E1230" t="s">
        <x:v>103</x:v>
      </x:c>
      <x:c r="F1230" t="s">
        <x:v>97</x:v>
      </x:c>
      <x:c r="G1230">
        <x:v>45291</x:v>
      </x:c>
      <x:c r="H1230" t="s">
        <x:v>5729</x:v>
      </x:c>
      <x:c r="I1230" t="s">
        <x:v>5730</x:v>
      </x:c>
      <x:c r="J1230" t="s">
        <x:v>5731</x:v>
      </x:c>
    </x:row>
    <x:row r="1231">
      <x:c r="A1231" t="s">
        <x:v>5732</x:v>
      </x:c>
      <x:c r="B1231" t="s">
        <x:v>5732</x:v>
      </x:c>
      <x:c r="C1231" t="s">
        <x:v>5733</x:v>
      </x:c>
      <x:c r="D1231">
        <x:v>15</x:v>
      </x:c>
      <x:c r="E1231" t="s">
        <x:v>89</x:v>
      </x:c>
      <x:c r="F1231" t="s">
        <x:v>97</x:v>
      </x:c>
      <x:c r="G1231">
        <x:v>43521</x:v>
      </x:c>
      <x:c r="H1231" t="s">
        <x:v>5734</x:v>
      </x:c>
      <x:c r="I1231" t="s">
        <x:v>5735</x:v>
      </x:c>
      <x:c r="J1231" t="s">
        <x:v>5736</x:v>
      </x:c>
    </x:row>
    <x:row r="1232">
      <x:c r="A1232" t="s">
        <x:v>5737</x:v>
      </x:c>
      <x:c r="B1232" t="s">
        <x:v>5737</x:v>
      </x:c>
      <x:c r="C1232" t="s">
        <x:v>5738</x:v>
      </x:c>
      <x:c r="D1232">
        <x:v>15</x:v>
      </x:c>
      <x:c r="E1232" t="s">
        <x:v>103</x:v>
      </x:c>
      <x:c r="F1232" t="s">
        <x:v>97</x:v>
      </x:c>
      <x:c r="G1232">
        <x:v>41480</x:v>
      </x:c>
      <x:c r="H1232" t="s">
        <x:v>5739</x:v>
      </x:c>
      <x:c r="I1232" t="s">
        <x:v>5740</x:v>
      </x:c>
      <x:c r="J1232" t="s">
        <x:v>5741</x:v>
      </x:c>
    </x:row>
    <x:row r="1233">
      <x:c r="A1233" t="s">
        <x:v>5742</x:v>
      </x:c>
      <x:c r="B1233" t="s">
        <x:v>5742</x:v>
      </x:c>
      <x:c r="C1233" t="s">
        <x:v>880</x:v>
      </x:c>
      <x:c r="D1233">
        <x:v>34</x:v>
      </x:c>
      <x:c r="E1233" t="s">
        <x:v>198</x:v>
      </x:c>
      <x:c r="F1233" t="s">
        <x:v>90</x:v>
      </x:c>
      <x:c r="G1233">
        <x:v>46137</x:v>
      </x:c>
      <x:c r="H1233" t="s">
        <x:v>5743</x:v>
      </x:c>
      <x:c r="I1233" t="s">
        <x:v>5744</x:v>
      </x:c>
      <x:c r="J1233" t="s">
        <x:v>5745</x:v>
      </x:c>
    </x:row>
    <x:row r="1234">
      <x:c r="A1234" t="s">
        <x:v>5746</x:v>
      </x:c>
      <x:c r="B1234" t="s">
        <x:v>5746</x:v>
      </x:c>
      <x:c r="C1234" t="s">
        <x:v>409</x:v>
      </x:c>
      <x:c r="D1234">
        <x:v>6</x:v>
      </x:c>
      <x:c r="E1234" t="s">
        <x:v>198</x:v>
      </x:c>
      <x:c r="F1234" t="s">
        <x:v>90</x:v>
      </x:c>
      <x:c r="G1234">
        <x:v>44745</x:v>
      </x:c>
      <x:c r="H1234" t="s">
        <x:v>5747</x:v>
      </x:c>
      <x:c r="I1234" t="s">
        <x:v>5748</x:v>
      </x:c>
      <x:c r="J1234" t="s">
        <x:v>5749</x:v>
      </x:c>
    </x:row>
    <x:row r="1235">
      <x:c r="A1235" t="s">
        <x:v>5750</x:v>
      </x:c>
      <x:c r="B1235" t="s">
        <x:v>5750</x:v>
      </x:c>
      <x:c r="C1235" t="s">
        <x:v>409</x:v>
      </x:c>
      <x:c r="D1235">
        <x:v>5</x:v>
      </x:c>
      <x:c r="E1235" t="s">
        <x:v>96</x:v>
      </x:c>
      <x:c r="F1235" t="s">
        <x:v>90</x:v>
      </x:c>
      <x:c r="G1235">
        <x:v>44772</x:v>
      </x:c>
      <x:c r="H1235" t="s">
        <x:v>5751</x:v>
      </x:c>
      <x:c r="I1235" t="s">
        <x:v>5752</x:v>
      </x:c>
      <x:c r="J1235" t="s">
        <x:v>5753</x:v>
      </x:c>
    </x:row>
    <x:row r="1236">
      <x:c r="A1236" t="s">
        <x:v>5754</x:v>
      </x:c>
      <x:c r="B1236" t="s">
        <x:v>5754</x:v>
      </x:c>
      <x:c r="C1236" t="s">
        <x:v>409</x:v>
      </x:c>
      <x:c r="D1236">
        <x:v>1</x:v>
      </x:c>
      <x:c r="E1236" t="s">
        <x:v>89</x:v>
      </x:c>
      <x:c r="F1236" t="s">
        <x:v>90</x:v>
      </x:c>
      <x:c r="G1236">
        <x:v>44937</x:v>
      </x:c>
      <x:c r="H1236" t="s">
        <x:v>5755</x:v>
      </x:c>
      <x:c r="I1236" t="s">
        <x:v>5756</x:v>
      </x:c>
      <x:c r="J1236" t="s">
        <x:v>5757</x:v>
      </x:c>
    </x:row>
    <x:row r="1237">
      <x:c r="A1237" t="s">
        <x:v>5758</x:v>
      </x:c>
      <x:c r="B1237" t="s">
        <x:v>5758</x:v>
      </x:c>
      <x:c r="C1237" t="s">
        <x:v>5759</x:v>
      </x:c>
      <x:c r="D1237">
        <x:v>7</x:v>
      </x:c>
      <x:c r="E1237" t="s">
        <x:v>198</x:v>
      </x:c>
      <x:c r="F1237" t="s">
        <x:v>90</x:v>
      </x:c>
      <x:c r="G1237">
        <x:v>44930</x:v>
      </x:c>
      <x:c r="H1237" t="s">
        <x:v>5760</x:v>
      </x:c>
      <x:c r="I1237" t="s">
        <x:v>5761</x:v>
      </x:c>
      <x:c r="J1237" t="s">
        <x:v>5762</x:v>
      </x:c>
    </x:row>
    <x:row r="1238">
      <x:c r="A1238" t="s">
        <x:v>5763</x:v>
      </x:c>
      <x:c r="B1238" t="s">
        <x:v>5763</x:v>
      </x:c>
      <x:c r="C1238" t="s">
        <x:v>5764</x:v>
      </x:c>
      <x:c r="D1238">
        <x:v>116</x:v>
      </x:c>
      <x:c r="E1238" t="s">
        <x:v>198</x:v>
      </x:c>
      <x:c r="F1238" t="s">
        <x:v>97</x:v>
      </x:c>
      <x:c r="G1238">
        <x:v>45337</x:v>
      </x:c>
      <x:c r="H1238" t="s">
        <x:v>5765</x:v>
      </x:c>
      <x:c r="I1238" t="s">
        <x:v>5766</x:v>
      </x:c>
      <x:c r="J1238" t="s">
        <x:v>5767</x:v>
      </x:c>
    </x:row>
    <x:row r="1239">
      <x:c r="A1239" t="s">
        <x:v>5768</x:v>
      </x:c>
      <x:c r="B1239" t="s">
        <x:v>5768</x:v>
      </x:c>
      <x:c r="C1239" t="s">
        <x:v>218</x:v>
      </x:c>
      <x:c r="D1239">
        <x:v>12</x:v>
      </x:c>
      <x:c r="E1239" t="s">
        <x:v>198</x:v>
      </x:c>
      <x:c r="F1239" t="s">
        <x:v>90</x:v>
      </x:c>
      <x:c r="G1239">
        <x:v>45042</x:v>
      </x:c>
      <x:c r="H1239" t="s">
        <x:v>5769</x:v>
      </x:c>
      <x:c r="I1239" t="s">
        <x:v>5770</x:v>
      </x:c>
      <x:c r="J1239" t="s">
        <x:v>5771</x:v>
      </x:c>
    </x:row>
    <x:row r="1240">
      <x:c r="A1240" t="s">
        <x:v>5772</x:v>
      </x:c>
      <x:c r="B1240" t="s">
        <x:v>5772</x:v>
      </x:c>
      <x:c r="C1240" t="s">
        <x:v>317</x:v>
      </x:c>
      <x:c r="D1240">
        <x:v>16</x:v>
      </x:c>
      <x:c r="E1240" t="s">
        <x:v>96</x:v>
      </x:c>
      <x:c r="F1240" t="s">
        <x:v>90</x:v>
      </x:c>
      <x:c r="G1240">
        <x:v>45648</x:v>
      </x:c>
      <x:c r="H1240" t="s">
        <x:v>5773</x:v>
      </x:c>
      <x:c r="I1240" t="s">
        <x:v>5774</x:v>
      </x:c>
      <x:c r="J1240" t="s">
        <x:v>5775</x:v>
      </x:c>
    </x:row>
    <x:row r="1241">
      <x:c r="A1241" t="s">
        <x:v>5776</x:v>
      </x:c>
      <x:c r="B1241" t="s">
        <x:v>5776</x:v>
      </x:c>
      <x:c r="C1241" t="s">
        <x:v>5777</x:v>
      </x:c>
      <x:c r="D1241">
        <x:v>8</x:v>
      </x:c>
      <x:c r="E1241" t="s">
        <x:v>103</x:v>
      </x:c>
      <x:c r="F1241" t="s">
        <x:v>97</x:v>
      </x:c>
      <x:c r="G1241">
        <x:v>42225</x:v>
      </x:c>
      <x:c r="H1241" t="s">
        <x:v>5778</x:v>
      </x:c>
      <x:c r="I1241" t="s">
        <x:v>5779</x:v>
      </x:c>
      <x:c r="J1241" t="s">
        <x:v>5780</x:v>
      </x:c>
    </x:row>
    <x:row r="1242">
      <x:c r="A1242" t="s">
        <x:v>5781</x:v>
      </x:c>
      <x:c r="B1242" t="s">
        <x:v>5781</x:v>
      </x:c>
      <x:c r="C1242" t="s">
        <x:v>5782</x:v>
      </x:c>
      <x:c r="D1242">
        <x:v>16</x:v>
      </x:c>
      <x:c r="E1242" t="s">
        <x:v>198</x:v>
      </x:c>
      <x:c r="F1242" t="s">
        <x:v>90</x:v>
      </x:c>
      <x:c r="G1242">
        <x:v>44665</x:v>
      </x:c>
      <x:c r="H1242" t="s">
        <x:v>5783</x:v>
      </x:c>
      <x:c r="I1242" t="s">
        <x:v>5784</x:v>
      </x:c>
      <x:c r="J1242" t="s">
        <x:v>5785</x:v>
      </x:c>
    </x:row>
    <x:row r="1243">
      <x:c r="A1243" t="s">
        <x:v>5786</x:v>
      </x:c>
      <x:c r="B1243" t="s">
        <x:v>5786</x:v>
      </x:c>
      <x:c r="C1243" t="s">
        <x:v>5787</x:v>
      </x:c>
      <x:c r="D1243">
        <x:v>6</x:v>
      </x:c>
      <x:c r="E1243" t="s">
        <x:v>257</x:v>
      </x:c>
      <x:c r="F1243" t="s">
        <x:v>97</x:v>
      </x:c>
      <x:c r="G1243">
        <x:v>42316</x:v>
      </x:c>
      <x:c r="H1243" t="s">
        <x:v>5788</x:v>
      </x:c>
      <x:c r="I1243" t="s">
        <x:v>5789</x:v>
      </x:c>
      <x:c r="J1243" t="s">
        <x:v>5790</x:v>
      </x:c>
    </x:row>
    <x:row r="1244">
      <x:c r="A1244" t="s">
        <x:v>5791</x:v>
      </x:c>
      <x:c r="B1244" t="s">
        <x:v>5791</x:v>
      </x:c>
      <x:c r="C1244" t="s">
        <x:v>5792</x:v>
      </x:c>
      <x:c r="D1244">
        <x:v>8</x:v>
      </x:c>
      <x:c r="E1244" t="s">
        <x:v>103</x:v>
      </x:c>
      <x:c r="F1244" t="s">
        <x:v>97</x:v>
      </x:c>
      <x:c r="G1244">
        <x:v>42825</x:v>
      </x:c>
      <x:c r="H1244" t="s">
        <x:v>5793</x:v>
      </x:c>
      <x:c r="I1244" t="s">
        <x:v>5794</x:v>
      </x:c>
      <x:c r="J1244" t="s">
        <x:v>5795</x:v>
      </x:c>
    </x:row>
    <x:row r="1245">
      <x:c r="A1245" t="s">
        <x:v>5796</x:v>
      </x:c>
      <x:c r="B1245" t="s">
        <x:v>5796</x:v>
      </x:c>
      <x:c r="C1245" t="s">
        <x:v>5797</x:v>
      </x:c>
      <x:c r="D1245">
        <x:v>94</x:v>
      </x:c>
      <x:c r="E1245" t="s">
        <x:v>89</x:v>
      </x:c>
      <x:c r="F1245" t="s">
        <x:v>97</x:v>
      </x:c>
      <x:c r="G1245">
        <x:v>42840</x:v>
      </x:c>
      <x:c r="H1245" t="s">
        <x:v>5798</x:v>
      </x:c>
      <x:c r="I1245" t="s">
        <x:v>5799</x:v>
      </x:c>
      <x:c r="J1245" t="s">
        <x:v>5800</x:v>
      </x:c>
    </x:row>
    <x:row r="1246">
      <x:c r="A1246" t="s">
        <x:v>5801</x:v>
      </x:c>
      <x:c r="B1246" t="s">
        <x:v>5801</x:v>
      </x:c>
      <x:c r="C1246" t="s">
        <x:v>491</x:v>
      </x:c>
      <x:c r="D1246">
        <x:v>1</x:v>
      </x:c>
      <x:c r="E1246" t="s">
        <x:v>89</x:v>
      </x:c>
      <x:c r="F1246" t="s">
        <x:v>90</x:v>
      </x:c>
      <x:c r="G1246">
        <x:v>44992</x:v>
      </x:c>
      <x:c r="H1246" t="s">
        <x:v>5802</x:v>
      </x:c>
      <x:c r="I1246" t="s">
        <x:v>5803</x:v>
      </x:c>
      <x:c r="J1246" t="s">
        <x:v>5804</x:v>
      </x:c>
    </x:row>
    <x:row r="1247">
      <x:c r="A1247" t="s">
        <x:v>5805</x:v>
      </x:c>
      <x:c r="B1247" t="s">
        <x:v>5805</x:v>
      </x:c>
      <x:c r="C1247" t="s">
        <x:v>491</x:v>
      </x:c>
      <x:c r="D1247">
        <x:v>2</x:v>
      </x:c>
      <x:c r="E1247" t="s">
        <x:v>89</x:v>
      </x:c>
      <x:c r="F1247" t="s">
        <x:v>90</x:v>
      </x:c>
      <x:c r="G1247">
        <x:v>45001</x:v>
      </x:c>
      <x:c r="H1247" t="s">
        <x:v>5806</x:v>
      </x:c>
      <x:c r="I1247" t="s">
        <x:v>5807</x:v>
      </x:c>
      <x:c r="J1247" t="s">
        <x:v>5808</x:v>
      </x:c>
    </x:row>
    <x:row r="1248">
      <x:c r="A1248" t="s">
        <x:v>5809</x:v>
      </x:c>
      <x:c r="B1248" t="s">
        <x:v>5809</x:v>
      </x:c>
      <x:c r="C1248" t="s">
        <x:v>491</x:v>
      </x:c>
      <x:c r="D1248">
        <x:v>2</x:v>
      </x:c>
      <x:c r="E1248" t="s">
        <x:v>89</x:v>
      </x:c>
      <x:c r="F1248" t="s">
        <x:v>90</x:v>
      </x:c>
      <x:c r="G1248">
        <x:v>45014</x:v>
      </x:c>
      <x:c r="H1248" t="s">
        <x:v>5810</x:v>
      </x:c>
      <x:c r="I1248" t="s">
        <x:v>5811</x:v>
      </x:c>
      <x:c r="J1248" t="s">
        <x:v>5812</x:v>
      </x:c>
    </x:row>
    <x:row r="1249">
      <x:c r="A1249" t="s">
        <x:v>5813</x:v>
      </x:c>
      <x:c r="B1249" t="s">
        <x:v>5813</x:v>
      </x:c>
      <x:c r="C1249" t="s">
        <x:v>491</x:v>
      </x:c>
      <x:c r="D1249">
        <x:v>2</x:v>
      </x:c>
      <x:c r="E1249" t="s">
        <x:v>89</x:v>
      </x:c>
      <x:c r="F1249" t="s">
        <x:v>90</x:v>
      </x:c>
      <x:c r="G1249">
        <x:v>45035</x:v>
      </x:c>
      <x:c r="H1249" t="s">
        <x:v>5814</x:v>
      </x:c>
      <x:c r="I1249" t="s">
        <x:v>5815</x:v>
      </x:c>
      <x:c r="J1249" t="s">
        <x:v>5816</x:v>
      </x:c>
    </x:row>
    <x:row r="1250">
      <x:c r="A1250" t="s">
        <x:v>5817</x:v>
      </x:c>
      <x:c r="B1250" t="s">
        <x:v>5817</x:v>
      </x:c>
      <x:c r="C1250" t="s">
        <x:v>491</x:v>
      </x:c>
      <x:c r="D1250">
        <x:v>3</x:v>
      </x:c>
      <x:c r="E1250" t="s">
        <x:v>89</x:v>
      </x:c>
      <x:c r="F1250" t="s">
        <x:v>90</x:v>
      </x:c>
      <x:c r="G1250">
        <x:v>45205</x:v>
      </x:c>
      <x:c r="H1250" t="s">
        <x:v>5818</x:v>
      </x:c>
      <x:c r="I1250" t="s">
        <x:v>5819</x:v>
      </x:c>
      <x:c r="J1250" t="s">
        <x:v>5820</x:v>
      </x:c>
    </x:row>
    <x:row r="1251">
      <x:c r="A1251" t="s">
        <x:v>5821</x:v>
      </x:c>
      <x:c r="B1251" t="s">
        <x:v>5821</x:v>
      </x:c>
      <x:c r="C1251" t="s">
        <x:v>5822</x:v>
      </x:c>
      <x:c r="D1251">
        <x:v>32</x:v>
      </x:c>
      <x:c r="E1251" t="s">
        <x:v>103</x:v>
      </x:c>
      <x:c r="F1251" t="s">
        <x:v>97</x:v>
      </x:c>
      <x:c r="G1251">
        <x:v>42226</x:v>
      </x:c>
      <x:c r="H1251" t="s">
        <x:v>5823</x:v>
      </x:c>
      <x:c r="I1251" t="s">
        <x:v>5824</x:v>
      </x:c>
      <x:c r="J1251" t="s">
        <x:v>5825</x:v>
      </x:c>
    </x:row>
    <x:row r="1252">
      <x:c r="A1252" t="s">
        <x:v>5826</x:v>
      </x:c>
      <x:c r="B1252" t="s">
        <x:v>5826</x:v>
      </x:c>
      <x:c r="C1252" t="s">
        <x:v>1055</x:v>
      </x:c>
      <x:c r="D1252">
        <x:v>9</x:v>
      </x:c>
      <x:c r="E1252" t="s">
        <x:v>96</x:v>
      </x:c>
      <x:c r="F1252" t="s">
        <x:v>97</x:v>
      </x:c>
      <x:c r="G1252">
        <x:v>43894</x:v>
      </x:c>
      <x:c r="H1252" t="s">
        <x:v>5827</x:v>
      </x:c>
      <x:c r="I1252" t="s">
        <x:v>5828</x:v>
      </x:c>
      <x:c r="J1252" t="s">
        <x:v>5829</x:v>
      </x:c>
    </x:row>
    <x:row r="1253">
      <x:c r="A1253" t="s">
        <x:v>5830</x:v>
      </x:c>
      <x:c r="B1253" t="s">
        <x:v>5830</x:v>
      </x:c>
      <x:c r="C1253" t="s">
        <x:v>983</x:v>
      </x:c>
      <x:c r="D1253">
        <x:v>14</x:v>
      </x:c>
      <x:c r="E1253" t="s">
        <x:v>198</x:v>
      </x:c>
      <x:c r="F1253" t="s">
        <x:v>90</x:v>
      </x:c>
      <x:c r="G1253">
        <x:v>45267</x:v>
      </x:c>
      <x:c r="H1253" t="s">
        <x:v>5831</x:v>
      </x:c>
      <x:c r="I1253" t="s">
        <x:v>5832</x:v>
      </x:c>
      <x:c r="J1253" t="s">
        <x:v>5833</x:v>
      </x:c>
    </x:row>
    <x:row r="1254">
      <x:c r="A1254" t="s">
        <x:v>5834</x:v>
      </x:c>
      <x:c r="B1254" t="s">
        <x:v>5834</x:v>
      </x:c>
      <x:c r="C1254" t="s">
        <x:v>3379</x:v>
      </x:c>
      <x:c r="D1254">
        <x:v>24</x:v>
      </x:c>
      <x:c r="E1254" t="s">
        <x:v>198</x:v>
      </x:c>
      <x:c r="F1254" t="s">
        <x:v>90</x:v>
      </x:c>
      <x:c r="G1254">
        <x:v>43537</x:v>
      </x:c>
      <x:c r="H1254" t="s">
        <x:v>5835</x:v>
      </x:c>
      <x:c r="I1254" t="s">
        <x:v>5836</x:v>
      </x:c>
      <x:c r="J1254" t="s">
        <x:v>5837</x:v>
      </x:c>
    </x:row>
    <x:row r="1255">
      <x:c r="A1255" t="s">
        <x:v>5838</x:v>
      </x:c>
      <x:c r="B1255" t="s">
        <x:v>5838</x:v>
      </x:c>
      <x:c r="C1255" t="s">
        <x:v>5839</x:v>
      </x:c>
      <x:c r="D1255">
        <x:v>9</x:v>
      </x:c>
      <x:c r="E1255" t="s">
        <x:v>257</x:v>
      </x:c>
      <x:c r="F1255" t="s">
        <x:v>97</x:v>
      </x:c>
      <x:c r="G1255">
        <x:v>42057</x:v>
      </x:c>
      <x:c r="H1255" t="s">
        <x:v>5840</x:v>
      </x:c>
      <x:c r="I1255" t="s">
        <x:v>5841</x:v>
      </x:c>
      <x:c r="J1255" t="s">
        <x:v>5842</x:v>
      </x:c>
    </x:row>
    <x:row r="1256">
      <x:c r="A1256" t="s">
        <x:v>5843</x:v>
      </x:c>
      <x:c r="B1256" t="s">
        <x:v>5843</x:v>
      </x:c>
      <x:c r="C1256" t="s">
        <x:v>5844</x:v>
      </x:c>
      <x:c r="D1256">
        <x:v>21</x:v>
      </x:c>
      <x:c r="E1256" t="s">
        <x:v>103</x:v>
      </x:c>
      <x:c r="F1256" t="s">
        <x:v>97</x:v>
      </x:c>
      <x:c r="G1256">
        <x:v>43051</x:v>
      </x:c>
      <x:c r="H1256" t="s">
        <x:v>5845</x:v>
      </x:c>
      <x:c r="I1256" t="s">
        <x:v>5846</x:v>
      </x:c>
      <x:c r="J1256" t="s">
        <x:v>5847</x:v>
      </x:c>
    </x:row>
    <x:row r="1257">
      <x:c r="A1257" t="s">
        <x:v>5848</x:v>
      </x:c>
      <x:c r="B1257" t="s">
        <x:v>5848</x:v>
      </x:c>
      <x:c r="C1257" t="s">
        <x:v>5849</x:v>
      </x:c>
      <x:c r="D1257">
        <x:v>6</x:v>
      </x:c>
      <x:c r="E1257" t="s">
        <x:v>257</x:v>
      </x:c>
      <x:c r="F1257" t="s">
        <x:v>97</x:v>
      </x:c>
      <x:c r="G1257">
        <x:v>42104</x:v>
      </x:c>
      <x:c r="H1257" t="s">
        <x:v>5850</x:v>
      </x:c>
      <x:c r="I1257" t="s">
        <x:v>5851</x:v>
      </x:c>
      <x:c r="J1257" t="s">
        <x:v>5852</x:v>
      </x:c>
    </x:row>
    <x:row r="1258">
      <x:c r="A1258" t="s">
        <x:v>5853</x:v>
      </x:c>
      <x:c r="B1258" t="s">
        <x:v>5853</x:v>
      </x:c>
      <x:c r="C1258" t="s">
        <x:v>5854</x:v>
      </x:c>
      <x:c r="D1258">
        <x:v>17</x:v>
      </x:c>
      <x:c r="E1258" t="s">
        <x:v>257</x:v>
      </x:c>
      <x:c r="F1258" t="s">
        <x:v>97</x:v>
      </x:c>
      <x:c r="G1258">
        <x:v>42252</x:v>
      </x:c>
      <x:c r="H1258" t="s">
        <x:v>5855</x:v>
      </x:c>
      <x:c r="I1258" t="s">
        <x:v>5856</x:v>
      </x:c>
      <x:c r="J1258" t="s">
        <x:v>5857</x:v>
      </x:c>
    </x:row>
    <x:row r="1259">
      <x:c r="A1259" t="s">
        <x:v>5858</x:v>
      </x:c>
      <x:c r="B1259" t="s">
        <x:v>5858</x:v>
      </x:c>
      <x:c r="C1259" t="s">
        <x:v>1055</x:v>
      </x:c>
      <x:c r="D1259">
        <x:v>11</x:v>
      </x:c>
      <x:c r="E1259" t="s">
        <x:v>96</x:v>
      </x:c>
      <x:c r="F1259" t="s">
        <x:v>97</x:v>
      </x:c>
      <x:c r="G1259">
        <x:v>43701</x:v>
      </x:c>
      <x:c r="H1259" t="s">
        <x:v>5859</x:v>
      </x:c>
      <x:c r="I1259" t="s">
        <x:v>5860</x:v>
      </x:c>
      <x:c r="J1259" t="s">
        <x:v>5861</x:v>
      </x:c>
    </x:row>
    <x:row r="1260">
      <x:c r="A1260" t="s">
        <x:v>5862</x:v>
      </x:c>
      <x:c r="B1260" t="s">
        <x:v>5862</x:v>
      </x:c>
      <x:c r="C1260" t="s">
        <x:v>4197</x:v>
      </x:c>
      <x:c r="D1260">
        <x:v>11</x:v>
      </x:c>
      <x:c r="E1260" t="s">
        <x:v>198</x:v>
      </x:c>
      <x:c r="F1260" t="s">
        <x:v>90</x:v>
      </x:c>
      <x:c r="G1260">
        <x:v>43679</x:v>
      </x:c>
      <x:c r="H1260" t="s">
        <x:v>5863</x:v>
      </x:c>
      <x:c r="I1260" t="s">
        <x:v>5864</x:v>
      </x:c>
      <x:c r="J1260" t="s">
        <x:v>5865</x:v>
      </x:c>
    </x:row>
    <x:row r="1261">
      <x:c r="A1261" t="s">
        <x:v>5866</x:v>
      </x:c>
      <x:c r="B1261" t="s">
        <x:v>5866</x:v>
      </x:c>
      <x:c r="C1261" t="s">
        <x:v>5867</x:v>
      </x:c>
      <x:c r="D1261">
        <x:v>112</x:v>
      </x:c>
      <x:c r="E1261" t="s">
        <x:v>96</x:v>
      </x:c>
      <x:c r="F1261" t="s">
        <x:v>97</x:v>
      </x:c>
      <x:c r="G1261">
        <x:v>42610</x:v>
      </x:c>
      <x:c r="H1261" t="s">
        <x:v>5868</x:v>
      </x:c>
      <x:c r="I1261" t="s">
        <x:v>5869</x:v>
      </x:c>
      <x:c r="J1261" t="s">
        <x:v>5870</x:v>
      </x:c>
    </x:row>
    <x:row r="1262">
      <x:c r="A1262" t="s">
        <x:v>5871</x:v>
      </x:c>
      <x:c r="B1262" t="s">
        <x:v>5871</x:v>
      </x:c>
      <x:c r="C1262" t="s">
        <x:v>5867</x:v>
      </x:c>
      <x:c r="D1262">
        <x:v>112</x:v>
      </x:c>
      <x:c r="E1262" t="s">
        <x:v>96</x:v>
      </x:c>
      <x:c r="F1262" t="s">
        <x:v>97</x:v>
      </x:c>
      <x:c r="G1262">
        <x:v>45184</x:v>
      </x:c>
      <x:c r="H1262" t="s">
        <x:v>5872</x:v>
      </x:c>
      <x:c r="I1262" t="s">
        <x:v>5873</x:v>
      </x:c>
      <x:c r="J1262" t="s">
        <x:v>5874</x:v>
      </x:c>
    </x:row>
    <x:row r="1263">
      <x:c r="A1263" t="s">
        <x:v>5875</x:v>
      </x:c>
      <x:c r="B1263" t="s">
        <x:v>5875</x:v>
      </x:c>
      <x:c r="C1263" t="s">
        <x:v>5867</x:v>
      </x:c>
      <x:c r="D1263">
        <x:v>119</x:v>
      </x:c>
      <x:c r="E1263" t="s">
        <x:v>89</x:v>
      </x:c>
      <x:c r="F1263" t="s">
        <x:v>97</x:v>
      </x:c>
      <x:c r="G1263">
        <x:v>43809</x:v>
      </x:c>
      <x:c r="H1263" t="s">
        <x:v>5876</x:v>
      </x:c>
      <x:c r="I1263" t="s">
        <x:v>5877</x:v>
      </x:c>
      <x:c r="J1263" t="s">
        <x:v>5878</x:v>
      </x:c>
    </x:row>
    <x:row r="1264">
      <x:c r="A1264" t="s">
        <x:v>5879</x:v>
      </x:c>
      <x:c r="B1264" t="s">
        <x:v>5879</x:v>
      </x:c>
      <x:c r="C1264" t="s">
        <x:v>1440</x:v>
      </x:c>
      <x:c r="D1264">
        <x:v>100</x:v>
      </x:c>
      <x:c r="E1264" t="s">
        <x:v>103</x:v>
      </x:c>
      <x:c r="F1264" t="s">
        <x:v>97</x:v>
      </x:c>
      <x:c r="G1264">
        <x:v>45487</x:v>
      </x:c>
      <x:c r="H1264" t="s">
        <x:v>5880</x:v>
      </x:c>
      <x:c r="I1264" t="s">
        <x:v>5881</x:v>
      </x:c>
      <x:c r="J1264" t="s">
        <x:v>5882</x:v>
      </x:c>
    </x:row>
    <x:row r="1265">
      <x:c r="A1265" t="s">
        <x:v>5883</x:v>
      </x:c>
      <x:c r="B1265" t="s">
        <x:v>5883</x:v>
      </x:c>
      <x:c r="C1265" t="s">
        <x:v>5884</x:v>
      </x:c>
      <x:c r="D1265">
        <x:v>15</x:v>
      </x:c>
      <x:c r="E1265" t="s">
        <x:v>103</x:v>
      </x:c>
      <x:c r="F1265" t="s">
        <x:v>97</x:v>
      </x:c>
      <x:c r="G1265">
        <x:v>45020</x:v>
      </x:c>
      <x:c r="H1265" t="s">
        <x:v>5885</x:v>
      </x:c>
      <x:c r="I1265" t="s">
        <x:v>5886</x:v>
      </x:c>
      <x:c r="J1265" t="s">
        <x:v>5887</x:v>
      </x:c>
    </x:row>
    <x:row r="1266">
      <x:c r="A1266" t="s">
        <x:v>5888</x:v>
      </x:c>
      <x:c r="B1266" t="s">
        <x:v>5888</x:v>
      </x:c>
      <x:c r="C1266" t="s">
        <x:v>5889</x:v>
      </x:c>
      <x:c r="D1266">
        <x:v>17</x:v>
      </x:c>
      <x:c r="E1266" t="s">
        <x:v>103</x:v>
      </x:c>
      <x:c r="F1266" t="s">
        <x:v>97</x:v>
      </x:c>
      <x:c r="G1266">
        <x:v>41556</x:v>
      </x:c>
      <x:c r="H1266" t="s">
        <x:v>5890</x:v>
      </x:c>
      <x:c r="I1266" t="s">
        <x:v>5891</x:v>
      </x:c>
      <x:c r="J1266" t="s">
        <x:v>5892</x:v>
      </x:c>
    </x:row>
    <x:row r="1267">
      <x:c r="A1267" t="s">
        <x:v>5893</x:v>
      </x:c>
      <x:c r="B1267" t="s">
        <x:v>5893</x:v>
      </x:c>
      <x:c r="C1267" t="s">
        <x:v>5894</x:v>
      </x:c>
      <x:c r="D1267">
        <x:v>8</x:v>
      </x:c>
      <x:c r="E1267" t="s">
        <x:v>103</x:v>
      </x:c>
      <x:c r="F1267" t="s">
        <x:v>97</x:v>
      </x:c>
      <x:c r="G1267">
        <x:v>43320</x:v>
      </x:c>
      <x:c r="H1267" t="s">
        <x:v>5895</x:v>
      </x:c>
      <x:c r="I1267" t="s">
        <x:v>5896</x:v>
      </x:c>
      <x:c r="J1267" t="s">
        <x:v>5897</x:v>
      </x:c>
    </x:row>
    <x:row r="1268">
      <x:c r="A1268" t="s">
        <x:v>5898</x:v>
      </x:c>
      <x:c r="B1268" t="s">
        <x:v>5898</x:v>
      </x:c>
      <x:c r="C1268" t="s">
        <x:v>586</x:v>
      </x:c>
      <x:c r="D1268">
        <x:v>11</x:v>
      </x:c>
      <x:c r="E1268" t="s">
        <x:v>96</x:v>
      </x:c>
      <x:c r="F1268" t="s">
        <x:v>97</x:v>
      </x:c>
      <x:c r="G1268">
        <x:v>42555</x:v>
      </x:c>
      <x:c r="H1268" t="s">
        <x:v>5899</x:v>
      </x:c>
      <x:c r="I1268" t="s">
        <x:v>5900</x:v>
      </x:c>
      <x:c r="J1268" t="s">
        <x:v>5901</x:v>
      </x:c>
    </x:row>
    <x:row r="1269">
      <x:c r="A1269" t="s">
        <x:v>5902</x:v>
      </x:c>
      <x:c r="B1269" t="s">
        <x:v>5902</x:v>
      </x:c>
      <x:c r="C1269" t="s">
        <x:v>5903</x:v>
      </x:c>
      <x:c r="D1269">
        <x:v>1</x:v>
      </x:c>
      <x:c r="E1269" t="s">
        <x:v>96</x:v>
      </x:c>
      <x:c r="F1269" t="s">
        <x:v>97</x:v>
      </x:c>
      <x:c r="G1269">
        <x:v>43841</x:v>
      </x:c>
      <x:c r="H1269" t="s">
        <x:v>5904</x:v>
      </x:c>
      <x:c r="I1269" t="s">
        <x:v>5905</x:v>
      </x:c>
      <x:c r="J1269" t="s">
        <x:v>5906</x:v>
      </x:c>
    </x:row>
    <x:row r="1270">
      <x:c r="A1270" t="s">
        <x:v>64</x:v>
      </x:c>
      <x:c r="B1270" t="s">
        <x:v>64</x:v>
      </x:c>
      <x:c r="C1270" t="s">
        <x:v>781</x:v>
      </x:c>
      <x:c r="D1270">
        <x:v>11</x:v>
      </x:c>
      <x:c r="E1270" t="s">
        <x:v>89</x:v>
      </x:c>
      <x:c r="F1270" t="s">
        <x:v>90</x:v>
      </x:c>
      <x:c r="G1270">
        <x:v>44573</x:v>
      </x:c>
      <x:c r="H1270" t="s">
        <x:v>5907</x:v>
      </x:c>
      <x:c r="I1270" t="s">
        <x:v>5908</x:v>
      </x:c>
      <x:c r="J1270" t="s">
        <x:v>5909</x:v>
      </x:c>
    </x:row>
    <x:row r="1271">
      <x:c r="A1271" t="s">
        <x:v>5910</x:v>
      </x:c>
      <x:c r="B1271" t="s">
        <x:v>5910</x:v>
      </x:c>
      <x:c r="C1271" t="s">
        <x:v>5911</x:v>
      </x:c>
      <x:c r="D1271">
        <x:v>7</x:v>
      </x:c>
      <x:c r="E1271" t="s">
        <x:v>103</x:v>
      </x:c>
      <x:c r="F1271" t="s">
        <x:v>97</x:v>
      </x:c>
      <x:c r="G1271">
        <x:v>44754</x:v>
      </x:c>
      <x:c r="H1271" t="s">
        <x:v>5912</x:v>
      </x:c>
      <x:c r="I1271" t="s">
        <x:v>5913</x:v>
      </x:c>
      <x:c r="J1271" t="s">
        <x:v>5914</x:v>
      </x:c>
    </x:row>
    <x:row r="1272">
      <x:c r="A1272" t="s">
        <x:v>5915</x:v>
      </x:c>
      <x:c r="B1272" t="s">
        <x:v>5915</x:v>
      </x:c>
      <x:c r="C1272" t="s">
        <x:v>5911</x:v>
      </x:c>
      <x:c r="D1272">
        <x:v>6</x:v>
      </x:c>
      <x:c r="E1272" t="s">
        <x:v>103</x:v>
      </x:c>
      <x:c r="F1272" t="s">
        <x:v>97</x:v>
      </x:c>
      <x:c r="G1272">
        <x:v>44573</x:v>
      </x:c>
      <x:c r="H1272" t="s">
        <x:v>5916</x:v>
      </x:c>
      <x:c r="I1272" t="s">
        <x:v>5917</x:v>
      </x:c>
      <x:c r="J1272" t="s">
        <x:v>5918</x:v>
      </x:c>
    </x:row>
    <x:row r="1273">
      <x:c r="A1273" t="s">
        <x:v>5919</x:v>
      </x:c>
      <x:c r="B1273" t="s">
        <x:v>5919</x:v>
      </x:c>
      <x:c r="C1273" t="s">
        <x:v>5920</x:v>
      </x:c>
      <x:c r="D1273">
        <x:v>6</x:v>
      </x:c>
      <x:c r="E1273" t="s">
        <x:v>96</x:v>
      </x:c>
      <x:c r="F1273" t="s">
        <x:v>90</x:v>
      </x:c>
      <x:c r="G1273">
        <x:v>45975</x:v>
      </x:c>
      <x:c r="H1273" t="s">
        <x:v>5921</x:v>
      </x:c>
      <x:c r="I1273" t="s">
        <x:v>5922</x:v>
      </x:c>
      <x:c r="J1273" t="s">
        <x:v>5923</x:v>
      </x:c>
    </x:row>
    <x:row r="1274">
      <x:c r="A1274" t="s">
        <x:v>5924</x:v>
      </x:c>
      <x:c r="B1274" t="s">
        <x:v>5924</x:v>
      </x:c>
      <x:c r="C1274" t="s">
        <x:v>5920</x:v>
      </x:c>
      <x:c r="D1274">
        <x:v>10</x:v>
      </x:c>
      <x:c r="E1274" t="s">
        <x:v>198</x:v>
      </x:c>
      <x:c r="F1274" t="s">
        <x:v>90</x:v>
      </x:c>
      <x:c r="G1274">
        <x:v>45761</x:v>
      </x:c>
      <x:c r="H1274" t="s">
        <x:v>5925</x:v>
      </x:c>
      <x:c r="I1274" t="s">
        <x:v>5926</x:v>
      </x:c>
      <x:c r="J1274" t="s">
        <x:v>5927</x:v>
      </x:c>
    </x:row>
    <x:row r="1275">
      <x:c r="A1275" t="s">
        <x:v>5928</x:v>
      </x:c>
      <x:c r="B1275" t="s">
        <x:v>5928</x:v>
      </x:c>
      <x:c r="C1275" t="s">
        <x:v>491</x:v>
      </x:c>
      <x:c r="D1275">
        <x:v>0</x:v>
      </x:c>
      <x:c r="E1275" t="s">
        <x:v>96</x:v>
      </x:c>
      <x:c r="F1275" t="s">
        <x:v>90</x:v>
      </x:c>
      <x:c r="G1275">
        <x:v>44331</x:v>
      </x:c>
      <x:c r="H1275" t="s">
        <x:v>5929</x:v>
      </x:c>
      <x:c r="I1275" t="s">
        <x:v>5930</x:v>
      </x:c>
      <x:c r="J1275" t="s">
        <x:v>5931</x:v>
      </x:c>
    </x:row>
    <x:row r="1276">
      <x:c r="A1276" t="s">
        <x:v>5932</x:v>
      </x:c>
      <x:c r="B1276" t="s">
        <x:v>5932</x:v>
      </x:c>
      <x:c r="C1276" t="s">
        <x:v>491</x:v>
      </x:c>
      <x:c r="D1276">
        <x:v>1</x:v>
      </x:c>
      <x:c r="E1276" t="s">
        <x:v>89</x:v>
      </x:c>
      <x:c r="F1276" t="s">
        <x:v>90</x:v>
      </x:c>
      <x:c r="G1276">
        <x:v>45491</x:v>
      </x:c>
      <x:c r="H1276" t="s">
        <x:v>5933</x:v>
      </x:c>
      <x:c r="I1276" t="s">
        <x:v>5934</x:v>
      </x:c>
      <x:c r="J1276" t="s">
        <x:v>5935</x:v>
      </x:c>
    </x:row>
    <x:row r="1277">
      <x:c r="A1277" t="s">
        <x:v>5936</x:v>
      </x:c>
      <x:c r="B1277" t="s">
        <x:v>5936</x:v>
      </x:c>
      <x:c r="C1277" t="s">
        <x:v>491</x:v>
      </x:c>
      <x:c r="D1277">
        <x:v>0</x:v>
      </x:c>
      <x:c r="E1277" t="s">
        <x:v>96</x:v>
      </x:c>
      <x:c r="F1277" t="s">
        <x:v>90</x:v>
      </x:c>
      <x:c r="G1277">
        <x:v>44398</x:v>
      </x:c>
      <x:c r="H1277" t="s">
        <x:v>5937</x:v>
      </x:c>
      <x:c r="I1277" t="s">
        <x:v>5938</x:v>
      </x:c>
      <x:c r="J1277" t="s">
        <x:v>5939</x:v>
      </x:c>
    </x:row>
    <x:row r="1278">
      <x:c r="A1278" t="s">
        <x:v>5940</x:v>
      </x:c>
      <x:c r="B1278" t="s">
        <x:v>5940</x:v>
      </x:c>
      <x:c r="C1278" t="s">
        <x:v>491</x:v>
      </x:c>
      <x:c r="D1278">
        <x:v>0</x:v>
      </x:c>
      <x:c r="E1278" t="s">
        <x:v>96</x:v>
      </x:c>
      <x:c r="F1278" t="s">
        <x:v>90</x:v>
      </x:c>
      <x:c r="G1278">
        <x:v>44398</x:v>
      </x:c>
      <x:c r="H1278" t="s">
        <x:v>5941</x:v>
      </x:c>
      <x:c r="I1278" t="s">
        <x:v>5942</x:v>
      </x:c>
      <x:c r="J1278" t="s">
        <x:v>5943</x:v>
      </x:c>
    </x:row>
    <x:row r="1279">
      <x:c r="A1279" t="s">
        <x:v>5944</x:v>
      </x:c>
      <x:c r="B1279" t="s">
        <x:v>5944</x:v>
      </x:c>
      <x:c r="C1279" t="s">
        <x:v>491</x:v>
      </x:c>
      <x:c r="D1279">
        <x:v>0</x:v>
      </x:c>
      <x:c r="E1279" t="s">
        <x:v>96</x:v>
      </x:c>
      <x:c r="F1279" t="s">
        <x:v>90</x:v>
      </x:c>
      <x:c r="G1279">
        <x:v>44398</x:v>
      </x:c>
      <x:c r="H1279" t="s">
        <x:v>5945</x:v>
      </x:c>
      <x:c r="I1279" t="s">
        <x:v>5946</x:v>
      </x:c>
      <x:c r="J1279" t="s">
        <x:v>5947</x:v>
      </x:c>
    </x:row>
    <x:row r="1280">
      <x:c r="A1280" t="s">
        <x:v>5948</x:v>
      </x:c>
      <x:c r="B1280" t="s">
        <x:v>5948</x:v>
      </x:c>
      <x:c r="C1280" t="s">
        <x:v>491</x:v>
      </x:c>
      <x:c r="D1280">
        <x:v>0</x:v>
      </x:c>
      <x:c r="E1280" t="s">
        <x:v>96</x:v>
      </x:c>
      <x:c r="F1280" t="s">
        <x:v>90</x:v>
      </x:c>
      <x:c r="G1280">
        <x:v>44398</x:v>
      </x:c>
      <x:c r="H1280" t="s">
        <x:v>5949</x:v>
      </x:c>
      <x:c r="I1280" t="s">
        <x:v>5950</x:v>
      </x:c>
      <x:c r="J1280" t="s">
        <x:v>5951</x:v>
      </x:c>
    </x:row>
    <x:row r="1281">
      <x:c r="A1281" t="s">
        <x:v>5952</x:v>
      </x:c>
      <x:c r="B1281" t="s">
        <x:v>5952</x:v>
      </x:c>
      <x:c r="C1281" t="s">
        <x:v>491</x:v>
      </x:c>
      <x:c r="D1281">
        <x:v>1</x:v>
      </x:c>
      <x:c r="E1281" t="s">
        <x:v>89</x:v>
      </x:c>
      <x:c r="F1281" t="s">
        <x:v>90</x:v>
      </x:c>
      <x:c r="G1281">
        <x:v>45458</x:v>
      </x:c>
      <x:c r="H1281" t="s">
        <x:v>5953</x:v>
      </x:c>
      <x:c r="I1281" t="s">
        <x:v>5954</x:v>
      </x:c>
      <x:c r="J1281" t="s">
        <x:v>5955</x:v>
      </x:c>
    </x:row>
    <x:row r="1282">
      <x:c r="A1282" t="s">
        <x:v>5956</x:v>
      </x:c>
      <x:c r="B1282" t="s">
        <x:v>5956</x:v>
      </x:c>
      <x:c r="C1282" t="s">
        <x:v>491</x:v>
      </x:c>
      <x:c r="D1282">
        <x:v>1</x:v>
      </x:c>
      <x:c r="E1282" t="s">
        <x:v>89</x:v>
      </x:c>
      <x:c r="F1282" t="s">
        <x:v>90</x:v>
      </x:c>
      <x:c r="G1282">
        <x:v>45641</x:v>
      </x:c>
      <x:c r="H1282" t="s">
        <x:v>5957</x:v>
      </x:c>
      <x:c r="I1282" t="s">
        <x:v>5958</x:v>
      </x:c>
      <x:c r="J1282" t="s">
        <x:v>5959</x:v>
      </x:c>
    </x:row>
    <x:row r="1283">
      <x:c r="A1283" t="s">
        <x:v>5960</x:v>
      </x:c>
      <x:c r="B1283" t="s">
        <x:v>5960</x:v>
      </x:c>
      <x:c r="C1283" t="s">
        <x:v>491</x:v>
      </x:c>
      <x:c r="D1283">
        <x:v>0</x:v>
      </x:c>
      <x:c r="E1283" t="s">
        <x:v>96</x:v>
      </x:c>
      <x:c r="F1283" t="s">
        <x:v>90</x:v>
      </x:c>
      <x:c r="G1283">
        <x:v>44396</x:v>
      </x:c>
      <x:c r="H1283" t="s">
        <x:v>5961</x:v>
      </x:c>
      <x:c r="I1283" t="s">
        <x:v>5962</x:v>
      </x:c>
      <x:c r="J1283" t="s">
        <x:v>5963</x:v>
      </x:c>
    </x:row>
    <x:row r="1284">
      <x:c r="A1284" t="s">
        <x:v>5964</x:v>
      </x:c>
      <x:c r="B1284" t="s">
        <x:v>5964</x:v>
      </x:c>
      <x:c r="C1284" t="s">
        <x:v>491</x:v>
      </x:c>
      <x:c r="D1284">
        <x:v>0</x:v>
      </x:c>
      <x:c r="E1284" t="s">
        <x:v>96</x:v>
      </x:c>
      <x:c r="F1284" t="s">
        <x:v>90</x:v>
      </x:c>
      <x:c r="G1284">
        <x:v>44396</x:v>
      </x:c>
      <x:c r="H1284" t="s">
        <x:v>5965</x:v>
      </x:c>
      <x:c r="I1284" t="s">
        <x:v>5966</x:v>
      </x:c>
      <x:c r="J1284" t="s">
        <x:v>5967</x:v>
      </x:c>
    </x:row>
    <x:row r="1285">
      <x:c r="A1285" t="s">
        <x:v>5968</x:v>
      </x:c>
      <x:c r="B1285" t="s">
        <x:v>5968</x:v>
      </x:c>
      <x:c r="C1285" t="s">
        <x:v>491</x:v>
      </x:c>
      <x:c r="D1285">
        <x:v>0</x:v>
      </x:c>
      <x:c r="E1285" t="s">
        <x:v>96</x:v>
      </x:c>
      <x:c r="F1285" t="s">
        <x:v>90</x:v>
      </x:c>
      <x:c r="G1285">
        <x:v>44398</x:v>
      </x:c>
      <x:c r="H1285" t="s">
        <x:v>5969</x:v>
      </x:c>
      <x:c r="I1285" t="s">
        <x:v>5970</x:v>
      </x:c>
      <x:c r="J1285" t="s">
        <x:v>5971</x:v>
      </x:c>
    </x:row>
    <x:row r="1286">
      <x:c r="A1286" t="s">
        <x:v>5972</x:v>
      </x:c>
      <x:c r="B1286" t="s">
        <x:v>5972</x:v>
      </x:c>
      <x:c r="C1286" t="s">
        <x:v>491</x:v>
      </x:c>
      <x:c r="D1286">
        <x:v>0</x:v>
      </x:c>
      <x:c r="E1286" t="s">
        <x:v>96</x:v>
      </x:c>
      <x:c r="F1286" t="s">
        <x:v>90</x:v>
      </x:c>
      <x:c r="G1286">
        <x:v>44398</x:v>
      </x:c>
      <x:c r="H1286" t="s">
        <x:v>5973</x:v>
      </x:c>
      <x:c r="I1286" t="s">
        <x:v>5974</x:v>
      </x:c>
      <x:c r="J1286" t="s">
        <x:v>5975</x:v>
      </x:c>
    </x:row>
    <x:row r="1287">
      <x:c r="A1287" t="s">
        <x:v>5976</x:v>
      </x:c>
      <x:c r="B1287" t="s">
        <x:v>5976</x:v>
      </x:c>
      <x:c r="C1287" t="s">
        <x:v>491</x:v>
      </x:c>
      <x:c r="D1287">
        <x:v>0</x:v>
      </x:c>
      <x:c r="E1287" t="s">
        <x:v>96</x:v>
      </x:c>
      <x:c r="F1287" t="s">
        <x:v>90</x:v>
      </x:c>
      <x:c r="G1287">
        <x:v>44398</x:v>
      </x:c>
      <x:c r="H1287" t="s">
        <x:v>5977</x:v>
      </x:c>
      <x:c r="I1287" t="s">
        <x:v>5978</x:v>
      </x:c>
      <x:c r="J1287" t="s">
        <x:v>5979</x:v>
      </x:c>
    </x:row>
    <x:row r="1288">
      <x:c r="A1288" t="s">
        <x:v>5980</x:v>
      </x:c>
      <x:c r="B1288" t="s">
        <x:v>5980</x:v>
      </x:c>
      <x:c r="C1288" t="s">
        <x:v>2252</x:v>
      </x:c>
      <x:c r="D1288">
        <x:v>16</x:v>
      </x:c>
      <x:c r="E1288" t="s">
        <x:v>198</x:v>
      </x:c>
      <x:c r="F1288" t="s">
        <x:v>90</x:v>
      </x:c>
      <x:c r="G1288">
        <x:v>44712</x:v>
      </x:c>
      <x:c r="H1288" t="s">
        <x:v>5981</x:v>
      </x:c>
      <x:c r="I1288" t="s">
        <x:v>5982</x:v>
      </x:c>
      <x:c r="J1288" t="s">
        <x:v>5983</x:v>
      </x:c>
    </x:row>
    <x:row r="1289">
      <x:c r="A1289" t="s">
        <x:v>5984</x:v>
      </x:c>
      <x:c r="B1289" t="s">
        <x:v>5984</x:v>
      </x:c>
      <x:c r="C1289" t="s">
        <x:v>292</x:v>
      </x:c>
      <x:c r="D1289">
        <x:v>16</x:v>
      </x:c>
      <x:c r="E1289" t="s">
        <x:v>89</x:v>
      </x:c>
      <x:c r="F1289" t="s">
        <x:v>90</x:v>
      </x:c>
      <x:c r="G1289">
        <x:v>43386</x:v>
      </x:c>
      <x:c r="H1289" t="s">
        <x:v>5985</x:v>
      </x:c>
      <x:c r="I1289" t="s">
        <x:v>5986</x:v>
      </x:c>
      <x:c r="J1289" t="s">
        <x:v>5987</x:v>
      </x:c>
    </x:row>
    <x:row r="1290">
      <x:c r="A1290" t="s">
        <x:v>5988</x:v>
      </x:c>
      <x:c r="B1290" t="s">
        <x:v>5988</x:v>
      </x:c>
      <x:c r="C1290" t="s">
        <x:v>292</x:v>
      </x:c>
      <x:c r="D1290">
        <x:v>20</x:v>
      </x:c>
      <x:c r="E1290" t="s">
        <x:v>198</x:v>
      </x:c>
      <x:c r="F1290" t="s">
        <x:v>90</x:v>
      </x:c>
      <x:c r="G1290">
        <x:v>43680</x:v>
      </x:c>
      <x:c r="H1290" t="s">
        <x:v>5989</x:v>
      </x:c>
      <x:c r="I1290" t="s">
        <x:v>5990</x:v>
      </x:c>
      <x:c r="J1290" t="s">
        <x:v>5991</x:v>
      </x:c>
    </x:row>
    <x:row r="1291">
      <x:c r="A1291" t="s">
        <x:v>5992</x:v>
      </x:c>
      <x:c r="B1291" t="s">
        <x:v>5992</x:v>
      </x:c>
      <x:c r="C1291" t="s">
        <x:v>292</x:v>
      </x:c>
      <x:c r="D1291">
        <x:v>12</x:v>
      </x:c>
      <x:c r="E1291" t="s">
        <x:v>198</x:v>
      </x:c>
      <x:c r="F1291" t="s">
        <x:v>90</x:v>
      </x:c>
      <x:c r="G1291">
        <x:v>43963</x:v>
      </x:c>
      <x:c r="H1291" t="s">
        <x:v>5993</x:v>
      </x:c>
      <x:c r="I1291" t="s">
        <x:v>5994</x:v>
      </x:c>
      <x:c r="J1291" t="s">
        <x:v>5995</x:v>
      </x:c>
    </x:row>
    <x:row r="1292">
      <x:c r="A1292" t="s">
        <x:v>5996</x:v>
      </x:c>
      <x:c r="B1292" t="s">
        <x:v>5996</x:v>
      </x:c>
      <x:c r="C1292" t="s">
        <x:v>5997</x:v>
      </x:c>
      <x:c r="D1292">
        <x:v>14</x:v>
      </x:c>
      <x:c r="E1292" t="s">
        <x:v>89</x:v>
      </x:c>
      <x:c r="F1292" t="s">
        <x:v>97</x:v>
      </x:c>
      <x:c r="G1292">
        <x:v>46029</x:v>
      </x:c>
      <x:c r="H1292" t="s">
        <x:v>5998</x:v>
      </x:c>
      <x:c r="I1292" t="s">
        <x:v>5999</x:v>
      </x:c>
      <x:c r="J1292" t="s">
        <x:v>6000</x:v>
      </x:c>
    </x:row>
    <x:row r="1293">
      <x:c r="A1293" t="s">
        <x:v>6001</x:v>
      </x:c>
      <x:c r="B1293" t="s">
        <x:v>6001</x:v>
      </x:c>
      <x:c r="C1293" t="s">
        <x:v>491</x:v>
      </x:c>
      <x:c r="D1293">
        <x:v>27</x:v>
      </x:c>
      <x:c r="E1293" t="s">
        <x:v>96</x:v>
      </x:c>
      <x:c r="F1293" t="s">
        <x:v>90</x:v>
      </x:c>
      <x:c r="G1293">
        <x:v>44405</x:v>
      </x:c>
      <x:c r="H1293" t="s">
        <x:v>6002</x:v>
      </x:c>
      <x:c r="I1293" t="s">
        <x:v>6003</x:v>
      </x:c>
      <x:c r="J1293" t="s">
        <x:v>6004</x:v>
      </x:c>
    </x:row>
    <x:row r="1294">
      <x:c r="A1294" t="s">
        <x:v>6005</x:v>
      </x:c>
      <x:c r="B1294" t="s">
        <x:v>6005</x:v>
      </x:c>
      <x:c r="C1294" t="s">
        <x:v>491</x:v>
      </x:c>
      <x:c r="D1294">
        <x:v>19</x:v>
      </x:c>
      <x:c r="E1294" t="s">
        <x:v>198</x:v>
      </x:c>
      <x:c r="F1294" t="s">
        <x:v>90</x:v>
      </x:c>
      <x:c r="G1294">
        <x:v>45305</x:v>
      </x:c>
      <x:c r="H1294" t="s">
        <x:v>6006</x:v>
      </x:c>
      <x:c r="I1294" t="s">
        <x:v>6007</x:v>
      </x:c>
      <x:c r="J1294" t="s">
        <x:v>6008</x:v>
      </x:c>
    </x:row>
    <x:row r="1295">
      <x:c r="A1295" t="s">
        <x:v>6009</x:v>
      </x:c>
      <x:c r="B1295" t="s">
        <x:v>6009</x:v>
      </x:c>
      <x:c r="C1295" t="s">
        <x:v>903</x:v>
      </x:c>
      <x:c r="D1295">
        <x:v>20</x:v>
      </x:c>
      <x:c r="E1295" t="s">
        <x:v>198</x:v>
      </x:c>
      <x:c r="F1295" t="s">
        <x:v>90</x:v>
      </x:c>
      <x:c r="G1295">
        <x:v>46212</x:v>
      </x:c>
      <x:c r="H1295" t="s">
        <x:v>6010</x:v>
      </x:c>
      <x:c r="I1295" t="s">
        <x:v>6011</x:v>
      </x:c>
      <x:c r="J1295" t="s">
        <x:v>6012</x:v>
      </x:c>
    </x:row>
    <x:row r="1296">
      <x:c r="A1296" t="s">
        <x:v>6013</x:v>
      </x:c>
      <x:c r="B1296" t="s">
        <x:v>6013</x:v>
      </x:c>
      <x:c r="C1296" t="s">
        <x:v>6014</x:v>
      </x:c>
      <x:c r="D1296">
        <x:v>17</x:v>
      </x:c>
      <x:c r="E1296" t="s">
        <x:v>198</x:v>
      </x:c>
      <x:c r="F1296" t="s">
        <x:v>90</x:v>
      </x:c>
      <x:c r="G1296">
        <x:v>44445</x:v>
      </x:c>
      <x:c r="H1296" t="s">
        <x:v>6015</x:v>
      </x:c>
      <x:c r="I1296" t="s">
        <x:v>6016</x:v>
      </x:c>
      <x:c r="J1296" t="s">
        <x:v>6017</x:v>
      </x:c>
    </x:row>
    <x:row r="1297">
      <x:c r="A1297" t="s">
        <x:v>6018</x:v>
      </x:c>
      <x:c r="B1297" t="s">
        <x:v>6018</x:v>
      </x:c>
      <x:c r="C1297" t="s">
        <x:v>6019</x:v>
      </x:c>
      <x:c r="D1297">
        <x:v>1</x:v>
      </x:c>
      <x:c r="E1297" t="s">
        <x:v>89</x:v>
      </x:c>
      <x:c r="F1297" t="s">
        <x:v>90</x:v>
      </x:c>
      <x:c r="G1297">
        <x:v>44263</x:v>
      </x:c>
      <x:c r="H1297" t="s">
        <x:v>6020</x:v>
      </x:c>
      <x:c r="I1297" t="s">
        <x:v>6021</x:v>
      </x:c>
      <x:c r="J1297" t="s">
        <x:v>6022</x:v>
      </x:c>
    </x:row>
    <x:row r="1298">
      <x:c r="A1298" t="s">
        <x:v>6023</x:v>
      </x:c>
      <x:c r="B1298" t="s">
        <x:v>6023</x:v>
      </x:c>
      <x:c r="C1298" t="s">
        <x:v>6024</x:v>
      </x:c>
      <x:c r="D1298">
        <x:v>12</x:v>
      </x:c>
      <x:c r="E1298" t="s">
        <x:v>198</x:v>
      </x:c>
      <x:c r="F1298" t="s">
        <x:v>90</x:v>
      </x:c>
      <x:c r="G1298">
        <x:v>44840</x:v>
      </x:c>
      <x:c r="H1298" t="s">
        <x:v>6025</x:v>
      </x:c>
      <x:c r="I1298" t="s">
        <x:v>6026</x:v>
      </x:c>
      <x:c r="J1298" t="s">
        <x:v>6027</x:v>
      </x:c>
    </x:row>
    <x:row r="1299">
      <x:c r="A1299" t="s">
        <x:v>6028</x:v>
      </x:c>
      <x:c r="B1299" t="s">
        <x:v>6028</x:v>
      </x:c>
      <x:c r="C1299" t="s">
        <x:v>742</x:v>
      </x:c>
      <x:c r="D1299">
        <x:v>9</x:v>
      </x:c>
      <x:c r="E1299" t="s">
        <x:v>89</x:v>
      </x:c>
      <x:c r="F1299" t="s">
        <x:v>152</x:v>
      </x:c>
      <x:c r="G1299">
        <x:v>44586</x:v>
      </x:c>
      <x:c r="H1299" t="s">
        <x:v>6029</x:v>
      </x:c>
      <x:c r="I1299" t="s">
        <x:v>6030</x:v>
      </x:c>
      <x:c r="J1299" t="s">
        <x:v>6031</x:v>
      </x:c>
    </x:row>
    <x:row r="1300">
      <x:c r="A1300" t="s">
        <x:v>6032</x:v>
      </x:c>
      <x:c r="B1300" t="s">
        <x:v>6032</x:v>
      </x:c>
      <x:c r="C1300" t="s">
        <x:v>2306</x:v>
      </x:c>
      <x:c r="D1300">
        <x:v>4</x:v>
      </x:c>
      <x:c r="E1300" t="s">
        <x:v>114</x:v>
      </x:c>
      <x:c r="F1300" t="s">
        <x:v>6033</x:v>
      </x:c>
      <x:c r="G1300">
        <x:v>45799</x:v>
      </x:c>
      <x:c r="H1300" t="s">
        <x:v>6034</x:v>
      </x:c>
      <x:c r="I1300" t="s">
        <x:v>6035</x:v>
      </x:c>
      <x:c r="J1300" t="s">
        <x:v>6036</x:v>
      </x:c>
    </x:row>
    <x:row r="1301">
      <x:c r="A1301" t="s">
        <x:v>6037</x:v>
      </x:c>
      <x:c r="B1301" t="s">
        <x:v>6037</x:v>
      </x:c>
      <x:c r="C1301" t="s">
        <x:v>6038</x:v>
      </x:c>
      <x:c r="D1301">
        <x:v>5</x:v>
      </x:c>
      <x:c r="E1301" t="s">
        <x:v>198</x:v>
      </x:c>
      <x:c r="F1301" t="s">
        <x:v>90</x:v>
      </x:c>
      <x:c r="G1301">
        <x:v>45003</x:v>
      </x:c>
      <x:c r="H1301" t="s">
        <x:v>6039</x:v>
      </x:c>
      <x:c r="I1301" t="s">
        <x:v>6040</x:v>
      </x:c>
      <x:c r="J1301" t="s">
        <x:v>6041</x:v>
      </x:c>
    </x:row>
    <x:row r="1302">
      <x:c r="A1302" t="s">
        <x:v>6042</x:v>
      </x:c>
      <x:c r="B1302" t="s">
        <x:v>6042</x:v>
      </x:c>
      <x:c r="C1302" t="s">
        <x:v>908</x:v>
      </x:c>
      <x:c r="D1302">
        <x:v>1</x:v>
      </x:c>
      <x:c r="E1302" t="s">
        <x:v>125</x:v>
      </x:c>
      <x:c r="F1302" t="s">
        <x:v>126</x:v>
      </x:c>
      <x:c r="G1302">
        <x:v>45403</x:v>
      </x:c>
      <x:c r="H1302" t="s">
        <x:v>6043</x:v>
      </x:c>
      <x:c r="I1302" t="s">
        <x:v>6044</x:v>
      </x:c>
      <x:c r="J1302" t="s">
        <x:v>6045</x:v>
      </x:c>
    </x:row>
    <x:row r="1303">
      <x:c r="A1303" t="s">
        <x:v>6046</x:v>
      </x:c>
      <x:c r="B1303" t="s">
        <x:v>6046</x:v>
      </x:c>
      <x:c r="C1303" t="s">
        <x:v>6047</x:v>
      </x:c>
      <x:c r="D1303">
        <x:v>119</x:v>
      </x:c>
      <x:c r="E1303" t="s">
        <x:v>198</x:v>
      </x:c>
      <x:c r="F1303" t="s">
        <x:v>97</x:v>
      </x:c>
      <x:c r="G1303">
        <x:v>45433</x:v>
      </x:c>
      <x:c r="H1303" t="s">
        <x:v>6048</x:v>
      </x:c>
      <x:c r="I1303" t="s">
        <x:v>6049</x:v>
      </x:c>
      <x:c r="J1303" t="s">
        <x:v>6050</x:v>
      </x:c>
    </x:row>
    <x:row r="1304">
      <x:c r="A1304" t="s">
        <x:v>6051</x:v>
      </x:c>
      <x:c r="B1304" t="s">
        <x:v>6051</x:v>
      </x:c>
      <x:c r="C1304" t="s">
        <x:v>1135</x:v>
      </x:c>
      <x:c r="D1304">
        <x:v>20</x:v>
      </x:c>
      <x:c r="E1304" t="s">
        <x:v>96</x:v>
      </x:c>
      <x:c r="F1304" t="s">
        <x:v>97</x:v>
      </x:c>
      <x:c r="G1304">
        <x:v>43136</x:v>
      </x:c>
      <x:c r="H1304" t="s">
        <x:v>6052</x:v>
      </x:c>
      <x:c r="I1304" t="s">
        <x:v>6053</x:v>
      </x:c>
      <x:c r="J1304" t="s">
        <x:v>6054</x:v>
      </x:c>
    </x:row>
    <x:row r="1305">
      <x:c r="A1305" t="s">
        <x:v>6055</x:v>
      </x:c>
      <x:c r="B1305" t="s">
        <x:v>6055</x:v>
      </x:c>
      <x:c r="C1305" t="s">
        <x:v>2179</x:v>
      </x:c>
      <x:c r="D1305">
        <x:v>0</x:v>
      </x:c>
      <x:c r="E1305" t="s">
        <x:v>114</x:v>
      </x:c>
      <x:c r="F1305" t="s">
        <x:v>90</x:v>
      </x:c>
      <x:c r="G1305">
        <x:v>43774</x:v>
      </x:c>
      <x:c r="H1305" t="s">
        <x:v>6056</x:v>
      </x:c>
      <x:c r="I1305" t="s">
        <x:v>6057</x:v>
      </x:c>
      <x:c r="J1305" t="s">
        <x:v>6058</x:v>
      </x:c>
    </x:row>
    <x:row r="1306">
      <x:c r="A1306" t="s">
        <x:v>6059</x:v>
      </x:c>
      <x:c r="B1306" t="s">
        <x:v>6059</x:v>
      </x:c>
      <x:c r="C1306" t="s">
        <x:v>2529</x:v>
      </x:c>
      <x:c r="D1306">
        <x:v>22</x:v>
      </x:c>
      <x:c r="E1306" t="s">
        <x:v>89</x:v>
      </x:c>
      <x:c r="F1306" t="s">
        <x:v>97</x:v>
      </x:c>
      <x:c r="G1306">
        <x:v>43114</x:v>
      </x:c>
      <x:c r="H1306" t="s">
        <x:v>6060</x:v>
      </x:c>
      <x:c r="I1306" t="s">
        <x:v>6061</x:v>
      </x:c>
      <x:c r="J1306" t="s">
        <x:v>6062</x:v>
      </x:c>
    </x:row>
    <x:row r="1307">
      <x:c r="A1307" t="s">
        <x:v>6063</x:v>
      </x:c>
      <x:c r="B1307" t="s">
        <x:v>6063</x:v>
      </x:c>
      <x:c r="C1307" t="s">
        <x:v>6064</x:v>
      </x:c>
      <x:c r="D1307">
        <x:v>19</x:v>
      </x:c>
      <x:c r="E1307" t="s">
        <x:v>96</x:v>
      </x:c>
      <x:c r="F1307" t="s">
        <x:v>97</x:v>
      </x:c>
      <x:c r="G1307">
        <x:v>44266</x:v>
      </x:c>
      <x:c r="H1307" t="s">
        <x:v>6065</x:v>
      </x:c>
      <x:c r="I1307" t="s">
        <x:v>6066</x:v>
      </x:c>
      <x:c r="J1307" t="s">
        <x:v>6067</x:v>
      </x:c>
    </x:row>
    <x:row r="1308">
      <x:c r="A1308" t="s">
        <x:v>6068</x:v>
      </x:c>
      <x:c r="B1308" t="s">
        <x:v>6068</x:v>
      </x:c>
      <x:c r="C1308" t="s">
        <x:v>4665</x:v>
      </x:c>
      <x:c r="D1308">
        <x:v>32</x:v>
      </x:c>
      <x:c r="E1308" t="s">
        <x:v>96</x:v>
      </x:c>
      <x:c r="F1308" t="s">
        <x:v>97</x:v>
      </x:c>
      <x:c r="G1308">
        <x:v>42699</x:v>
      </x:c>
      <x:c r="H1308" t="s">
        <x:v>6069</x:v>
      </x:c>
      <x:c r="I1308" t="s">
        <x:v>6070</x:v>
      </x:c>
      <x:c r="J1308" t="s">
        <x:v>6071</x:v>
      </x:c>
    </x:row>
    <x:row r="1309">
      <x:c r="A1309" t="s">
        <x:v>6072</x:v>
      </x:c>
      <x:c r="B1309" t="s">
        <x:v>6072</x:v>
      </x:c>
      <x:c r="C1309" t="s">
        <x:v>4665</x:v>
      </x:c>
      <x:c r="D1309">
        <x:v>5</x:v>
      </x:c>
      <x:c r="E1309" t="s">
        <x:v>96</x:v>
      </x:c>
      <x:c r="F1309" t="s">
        <x:v>97</x:v>
      </x:c>
      <x:c r="G1309">
        <x:v>42709</x:v>
      </x:c>
      <x:c r="H1309" t="s">
        <x:v>6073</x:v>
      </x:c>
      <x:c r="I1309" t="s">
        <x:v>6074</x:v>
      </x:c>
      <x:c r="J1309" t="s">
        <x:v>6075</x:v>
      </x:c>
    </x:row>
    <x:row r="1310">
      <x:c r="A1310" t="s">
        <x:v>6076</x:v>
      </x:c>
      <x:c r="B1310" t="s">
        <x:v>6076</x:v>
      </x:c>
      <x:c r="C1310" t="s">
        <x:v>272</x:v>
      </x:c>
      <x:c r="D1310">
        <x:v>12</x:v>
      </x:c>
      <x:c r="E1310" t="s">
        <x:v>96</x:v>
      </x:c>
      <x:c r="F1310" t="s">
        <x:v>97</x:v>
      </x:c>
      <x:c r="G1310">
        <x:v>44843</x:v>
      </x:c>
      <x:c r="H1310" t="s">
        <x:v>6077</x:v>
      </x:c>
      <x:c r="I1310" t="s">
        <x:v>6078</x:v>
      </x:c>
      <x:c r="J1310" t="s">
        <x:v>6079</x:v>
      </x:c>
    </x:row>
    <x:row r="1311">
      <x:c r="A1311" t="s">
        <x:v>6080</x:v>
      </x:c>
      <x:c r="B1311" t="s">
        <x:v>6080</x:v>
      </x:c>
      <x:c r="C1311" t="s">
        <x:v>6081</x:v>
      </x:c>
      <x:c r="D1311">
        <x:v>22</x:v>
      </x:c>
      <x:c r="E1311" t="s">
        <x:v>89</x:v>
      </x:c>
      <x:c r="F1311" t="s">
        <x:v>90</x:v>
      </x:c>
      <x:c r="G1311">
        <x:v>45399</x:v>
      </x:c>
      <x:c r="H1311" t="s">
        <x:v>6082</x:v>
      </x:c>
      <x:c r="I1311" t="s">
        <x:v>6083</x:v>
      </x:c>
      <x:c r="J1311" t="s">
        <x:v>6084</x:v>
      </x:c>
    </x:row>
    <x:row r="1312">
      <x:c r="A1312" t="s">
        <x:v>6085</x:v>
      </x:c>
      <x:c r="B1312" t="s">
        <x:v>6085</x:v>
      </x:c>
      <x:c r="C1312" t="s">
        <x:v>4646</x:v>
      </x:c>
      <x:c r="D1312">
        <x:v>39</x:v>
      </x:c>
      <x:c r="E1312" t="s">
        <x:v>89</x:v>
      </x:c>
      <x:c r="F1312" t="s">
        <x:v>97</x:v>
      </x:c>
      <x:c r="G1312">
        <x:v>42671</x:v>
      </x:c>
      <x:c r="H1312" t="s">
        <x:v>6086</x:v>
      </x:c>
      <x:c r="I1312" t="s">
        <x:v>6087</x:v>
      </x:c>
      <x:c r="J1312" t="s">
        <x:v>6088</x:v>
      </x:c>
    </x:row>
    <x:row r="1313">
      <x:c r="A1313" t="s">
        <x:v>6089</x:v>
      </x:c>
      <x:c r="B1313" t="s">
        <x:v>6089</x:v>
      </x:c>
      <x:c r="C1313" t="s">
        <x:v>6090</x:v>
      </x:c>
      <x:c r="D1313">
        <x:v>28</x:v>
      </x:c>
      <x:c r="E1313" t="s">
        <x:v>198</x:v>
      </x:c>
      <x:c r="F1313" t="s">
        <x:v>90</x:v>
      </x:c>
      <x:c r="G1313">
        <x:v>44425</x:v>
      </x:c>
      <x:c r="H1313" t="s">
        <x:v>6091</x:v>
      </x:c>
      <x:c r="I1313" t="s">
        <x:v>6092</x:v>
      </x:c>
      <x:c r="J1313" t="s">
        <x:v>6093</x:v>
      </x:c>
    </x:row>
    <x:row r="1314">
      <x:c r="A1314" t="s">
        <x:v>6094</x:v>
      </x:c>
      <x:c r="B1314" t="s">
        <x:v>6094</x:v>
      </x:c>
      <x:c r="C1314" t="s">
        <x:v>6090</x:v>
      </x:c>
      <x:c r="D1314">
        <x:v>28</x:v>
      </x:c>
      <x:c r="E1314" t="s">
        <x:v>198</x:v>
      </x:c>
      <x:c r="F1314" t="s">
        <x:v>90</x:v>
      </x:c>
      <x:c r="G1314">
        <x:v>44964</x:v>
      </x:c>
      <x:c r="H1314" t="s">
        <x:v>6095</x:v>
      </x:c>
      <x:c r="I1314" t="s">
        <x:v>6096</x:v>
      </x:c>
      <x:c r="J1314" t="s">
        <x:v>6097</x:v>
      </x:c>
    </x:row>
    <x:row r="1315">
      <x:c r="A1315" t="s">
        <x:v>6098</x:v>
      </x:c>
      <x:c r="B1315" t="s">
        <x:v>6098</x:v>
      </x:c>
      <x:c r="C1315" t="s">
        <x:v>6099</x:v>
      </x:c>
      <x:c r="D1315">
        <x:v>15</x:v>
      </x:c>
      <x:c r="E1315" t="s">
        <x:v>198</x:v>
      </x:c>
      <x:c r="F1315" t="s">
        <x:v>90</x:v>
      </x:c>
      <x:c r="G1315">
        <x:v>46173</x:v>
      </x:c>
      <x:c r="H1315" t="s">
        <x:v>6100</x:v>
      </x:c>
      <x:c r="I1315" t="s">
        <x:v>6101</x:v>
      </x:c>
      <x:c r="J1315" t="s">
        <x:v>6102</x:v>
      </x:c>
    </x:row>
    <x:row r="1316">
      <x:c r="A1316" t="s">
        <x:v>6103</x:v>
      </x:c>
      <x:c r="B1316" t="s">
        <x:v>6103</x:v>
      </x:c>
      <x:c r="C1316" t="s">
        <x:v>1344</x:v>
      </x:c>
      <x:c r="D1316">
        <x:v>26</x:v>
      </x:c>
      <x:c r="E1316" t="s">
        <x:v>89</x:v>
      </x:c>
      <x:c r="F1316" t="s">
        <x:v>152</x:v>
      </x:c>
      <x:c r="G1316">
        <x:v>44595</x:v>
      </x:c>
      <x:c r="H1316" t="s">
        <x:v>6104</x:v>
      </x:c>
      <x:c r="I1316" t="s">
        <x:v>6105</x:v>
      </x:c>
      <x:c r="J1316" t="s">
        <x:v>6106</x:v>
      </x:c>
    </x:row>
    <x:row r="1317">
      <x:c r="A1317" t="s">
        <x:v>72</x:v>
      </x:c>
      <x:c r="B1317" t="s">
        <x:v>72</x:v>
      </x:c>
      <x:c r="C1317" t="s">
        <x:v>761</x:v>
      </x:c>
      <x:c r="D1317">
        <x:v>14</x:v>
      </x:c>
      <x:c r="E1317" t="s">
        <x:v>198</x:v>
      </x:c>
      <x:c r="F1317" t="s">
        <x:v>90</x:v>
      </x:c>
      <x:c r="G1317">
        <x:v>46017</x:v>
      </x:c>
      <x:c r="H1317" t="s">
        <x:v>6107</x:v>
      </x:c>
      <x:c r="I1317" t="s">
        <x:v>6108</x:v>
      </x:c>
      <x:c r="J1317" t="s">
        <x:v>6109</x:v>
      </x:c>
    </x:row>
    <x:row r="1318">
      <x:c r="A1318" t="s">
        <x:v>6110</x:v>
      </x:c>
      <x:c r="B1318" t="s">
        <x:v>6110</x:v>
      </x:c>
      <x:c r="C1318" t="s">
        <x:v>6111</x:v>
      </x:c>
      <x:c r="D1318">
        <x:v>7</x:v>
      </x:c>
      <x:c r="E1318" t="s">
        <x:v>96</x:v>
      </x:c>
      <x:c r="F1318" t="s">
        <x:v>90</x:v>
      </x:c>
      <x:c r="G1318">
        <x:v>45317</x:v>
      </x:c>
      <x:c r="H1318" t="s">
        <x:v>6112</x:v>
      </x:c>
      <x:c r="I1318" t="s">
        <x:v>6113</x:v>
      </x:c>
      <x:c r="J1318" t="s">
        <x:v>6114</x:v>
      </x:c>
    </x:row>
    <x:row r="1319">
      <x:c r="A1319" t="s">
        <x:v>6115</x:v>
      </x:c>
      <x:c r="B1319" t="s">
        <x:v>6115</x:v>
      </x:c>
      <x:c r="C1319" t="s">
        <x:v>6116</x:v>
      </x:c>
      <x:c r="D1319">
        <x:v>6</x:v>
      </x:c>
      <x:c r="E1319" t="s">
        <x:v>257</x:v>
      </x:c>
      <x:c r="F1319" t="s">
        <x:v>97</x:v>
      </x:c>
      <x:c r="G1319">
        <x:v>41461</x:v>
      </x:c>
      <x:c r="H1319" t="s">
        <x:v>6117</x:v>
      </x:c>
      <x:c r="I1319" t="s">
        <x:v>6118</x:v>
      </x:c>
      <x:c r="J1319" t="s">
        <x:v>6119</x:v>
      </x:c>
    </x:row>
    <x:row r="1320">
      <x:c r="A1320" t="s">
        <x:v>6120</x:v>
      </x:c>
      <x:c r="B1320" t="s">
        <x:v>6120</x:v>
      </x:c>
      <x:c r="C1320" t="s">
        <x:v>6121</x:v>
      </x:c>
      <x:c r="D1320">
        <x:v>28</x:v>
      </x:c>
      <x:c r="E1320" t="s">
        <x:v>114</x:v>
      </x:c>
      <x:c r="F1320" t="s">
        <x:v>90</x:v>
      </x:c>
      <x:c r="G1320">
        <x:v>45202</x:v>
      </x:c>
      <x:c r="H1320" t="s">
        <x:v>6122</x:v>
      </x:c>
      <x:c r="I1320" t="s">
        <x:v>6123</x:v>
      </x:c>
      <x:c r="J1320" t="s">
        <x:v>6124</x:v>
      </x:c>
    </x:row>
    <x:row r="1321">
      <x:c r="A1321" t="s">
        <x:v>6125</x:v>
      </x:c>
      <x:c r="B1321" t="s">
        <x:v>6125</x:v>
      </x:c>
      <x:c r="C1321" t="s">
        <x:v>6126</x:v>
      </x:c>
      <x:c r="D1321">
        <x:v>26</x:v>
      </x:c>
      <x:c r="E1321" t="s">
        <x:v>114</x:v>
      </x:c>
      <x:c r="F1321" t="s">
        <x:v>90</x:v>
      </x:c>
      <x:c r="G1321">
        <x:v>45654</x:v>
      </x:c>
      <x:c r="H1321" t="s">
        <x:v>6127</x:v>
      </x:c>
      <x:c r="I1321" t="s">
        <x:v>6128</x:v>
      </x:c>
      <x:c r="J1321" t="s">
        <x:v>6129</x:v>
      </x:c>
    </x:row>
    <x:row r="1322">
      <x:c r="A1322" t="s">
        <x:v>6130</x:v>
      </x:c>
      <x:c r="B1322" t="s">
        <x:v>6130</x:v>
      </x:c>
      <x:c r="C1322" t="s">
        <x:v>3061</x:v>
      </x:c>
      <x:c r="D1322">
        <x:v>6</x:v>
      </x:c>
      <x:c r="E1322" t="s">
        <x:v>96</x:v>
      </x:c>
      <x:c r="F1322" t="s">
        <x:v>90</x:v>
      </x:c>
      <x:c r="G1322">
        <x:v>44426</x:v>
      </x:c>
      <x:c r="H1322" t="s">
        <x:v>6131</x:v>
      </x:c>
      <x:c r="I1322" t="s">
        <x:v>6132</x:v>
      </x:c>
      <x:c r="J1322" t="s">
        <x:v>6133</x:v>
      </x:c>
    </x:row>
    <x:row r="1323">
      <x:c r="A1323" t="s">
        <x:v>6134</x:v>
      </x:c>
      <x:c r="B1323" t="s">
        <x:v>6134</x:v>
      </x:c>
      <x:c r="C1323" t="s">
        <x:v>6135</x:v>
      </x:c>
      <x:c r="D1323">
        <x:v>7</x:v>
      </x:c>
      <x:c r="E1323" t="s">
        <x:v>96</x:v>
      </x:c>
      <x:c r="F1323" t="s">
        <x:v>97</x:v>
      </x:c>
      <x:c r="G1323">
        <x:v>44025</x:v>
      </x:c>
      <x:c r="H1323" t="s">
        <x:v>6136</x:v>
      </x:c>
      <x:c r="I1323" t="s">
        <x:v>6137</x:v>
      </x:c>
      <x:c r="J1323" t="s">
        <x:v>6138</x:v>
      </x:c>
    </x:row>
    <x:row r="1324">
      <x:c r="A1324" t="s">
        <x:v>6139</x:v>
      </x:c>
      <x:c r="B1324" t="s">
        <x:v>6139</x:v>
      </x:c>
      <x:c r="C1324" t="s">
        <x:v>3896</x:v>
      </x:c>
      <x:c r="D1324">
        <x:v>3</x:v>
      </x:c>
      <x:c r="E1324" t="s">
        <x:v>114</x:v>
      </x:c>
      <x:c r="F1324" t="s">
        <x:v>90</x:v>
      </x:c>
      <x:c r="G1324">
        <x:v>44673</x:v>
      </x:c>
      <x:c r="H1324" t="s">
        <x:v>6140</x:v>
      </x:c>
      <x:c r="I1324" t="s">
        <x:v>6141</x:v>
      </x:c>
      <x:c r="J1324" t="s">
        <x:v>6142</x:v>
      </x:c>
    </x:row>
    <x:row r="1325">
      <x:c r="A1325" t="s">
        <x:v>6143</x:v>
      </x:c>
      <x:c r="B1325" t="s">
        <x:v>6143</x:v>
      </x:c>
      <x:c r="C1325" t="s">
        <x:v>6144</x:v>
      </x:c>
      <x:c r="D1325">
        <x:v>15</x:v>
      </x:c>
      <x:c r="E1325" t="s">
        <x:v>89</x:v>
      </x:c>
      <x:c r="F1325" t="s">
        <x:v>90</x:v>
      </x:c>
      <x:c r="G1325">
        <x:v>45424</x:v>
      </x:c>
      <x:c r="H1325" t="s">
        <x:v>6145</x:v>
      </x:c>
      <x:c r="I1325" t="s">
        <x:v>6146</x:v>
      </x:c>
      <x:c r="J1325" t="s">
        <x:v>6147</x:v>
      </x:c>
    </x:row>
    <x:row r="1326">
      <x:c r="A1326" t="s">
        <x:v>6148</x:v>
      </x:c>
      <x:c r="B1326" t="s">
        <x:v>6148</x:v>
      </x:c>
      <x:c r="C1326" t="s">
        <x:v>1907</x:v>
      </x:c>
      <x:c r="D1326">
        <x:v>16</x:v>
      </x:c>
      <x:c r="E1326" t="s">
        <x:v>114</x:v>
      </x:c>
      <x:c r="F1326" t="s">
        <x:v>90</x:v>
      </x:c>
      <x:c r="G1326">
        <x:v>45740</x:v>
      </x:c>
      <x:c r="H1326" t="s">
        <x:v>6149</x:v>
      </x:c>
      <x:c r="I1326" t="s">
        <x:v>6150</x:v>
      </x:c>
      <x:c r="J1326" t="s">
        <x:v>6151</x:v>
      </x:c>
    </x:row>
    <x:row r="1327">
      <x:c r="A1327" t="s">
        <x:v>6152</x:v>
      </x:c>
      <x:c r="B1327" t="s">
        <x:v>6152</x:v>
      </x:c>
      <x:c r="C1327" t="s">
        <x:v>2118</x:v>
      </x:c>
      <x:c r="D1327">
        <x:v>6</x:v>
      </x:c>
      <x:c r="E1327" t="s">
        <x:v>89</x:v>
      </x:c>
      <x:c r="F1327" t="s">
        <x:v>90</x:v>
      </x:c>
      <x:c r="G1327">
        <x:v>45468</x:v>
      </x:c>
      <x:c r="H1327" t="s">
        <x:v>6153</x:v>
      </x:c>
      <x:c r="I1327" t="s">
        <x:v>6154</x:v>
      </x:c>
      <x:c r="J1327" t="s">
        <x:v>6155</x:v>
      </x:c>
    </x:row>
    <x:row r="1328">
      <x:c r="A1328" t="s">
        <x:v>6156</x:v>
      </x:c>
      <x:c r="B1328" t="s">
        <x:v>6156</x:v>
      </x:c>
      <x:c r="C1328" t="s">
        <x:v>6157</x:v>
      </x:c>
      <x:c r="D1328">
        <x:v>8</x:v>
      </x:c>
      <x:c r="E1328" t="s">
        <x:v>114</x:v>
      </x:c>
      <x:c r="F1328" t="s">
        <x:v>90</x:v>
      </x:c>
      <x:c r="G1328">
        <x:v>46117</x:v>
      </x:c>
      <x:c r="H1328" t="s">
        <x:v>6158</x:v>
      </x:c>
      <x:c r="I1328" t="s">
        <x:v>6159</x:v>
      </x:c>
      <x:c r="J1328" t="s">
        <x:v>6160</x:v>
      </x:c>
    </x:row>
    <x:row r="1329">
      <x:c r="A1329" t="s">
        <x:v>6161</x:v>
      </x:c>
      <x:c r="B1329" t="s">
        <x:v>6161</x:v>
      </x:c>
      <x:c r="C1329" t="s">
        <x:v>6162</x:v>
      </x:c>
      <x:c r="D1329">
        <x:v>14</x:v>
      </x:c>
      <x:c r="E1329" t="s">
        <x:v>89</x:v>
      </x:c>
      <x:c r="F1329" t="s">
        <x:v>90</x:v>
      </x:c>
      <x:c r="G1329">
        <x:v>45336</x:v>
      </x:c>
      <x:c r="H1329" t="s">
        <x:v>6163</x:v>
      </x:c>
      <x:c r="I1329" t="s">
        <x:v>6164</x:v>
      </x:c>
      <x:c r="J1329" t="s">
        <x:v>6165</x:v>
      </x:c>
    </x:row>
    <x:row r="1330">
      <x:c r="A1330" t="s">
        <x:v>6166</x:v>
      </x:c>
      <x:c r="B1330" t="s">
        <x:v>6166</x:v>
      </x:c>
      <x:c r="C1330" t="s">
        <x:v>1613</x:v>
      </x:c>
      <x:c r="D1330">
        <x:v>14</x:v>
      </x:c>
      <x:c r="E1330" t="s">
        <x:v>89</x:v>
      </x:c>
      <x:c r="F1330" t="s">
        <x:v>90</x:v>
      </x:c>
      <x:c r="G1330">
        <x:v>45885</x:v>
      </x:c>
      <x:c r="H1330" t="s">
        <x:v>6167</x:v>
      </x:c>
      <x:c r="I1330" t="s">
        <x:v>6168</x:v>
      </x:c>
      <x:c r="J1330" t="s">
        <x:v>6169</x:v>
      </x:c>
    </x:row>
    <x:row r="1331">
      <x:c r="A1331" t="s">
        <x:v>6170</x:v>
      </x:c>
      <x:c r="B1331" t="s">
        <x:v>6170</x:v>
      </x:c>
      <x:c r="C1331" t="s">
        <x:v>6171</x:v>
      </x:c>
      <x:c r="D1331">
        <x:v>10</x:v>
      </x:c>
      <x:c r="E1331" t="s">
        <x:v>198</x:v>
      </x:c>
      <x:c r="F1331" t="s">
        <x:v>97</x:v>
      </x:c>
      <x:c r="G1331">
        <x:v>45687</x:v>
      </x:c>
      <x:c r="H1331" t="s">
        <x:v>6172</x:v>
      </x:c>
      <x:c r="I1331" t="s">
        <x:v>6173</x:v>
      </x:c>
      <x:c r="J1331" t="s">
        <x:v>6174</x:v>
      </x:c>
    </x:row>
    <x:row r="1332">
      <x:c r="A1332" t="s">
        <x:v>6175</x:v>
      </x:c>
      <x:c r="B1332" t="s">
        <x:v>6175</x:v>
      </x:c>
      <x:c r="C1332" t="s">
        <x:v>6176</x:v>
      </x:c>
      <x:c r="D1332">
        <x:v>1</x:v>
      </x:c>
      <x:c r="E1332" t="s">
        <x:v>96</x:v>
      </x:c>
      <x:c r="F1332" t="s">
        <x:v>90</x:v>
      </x:c>
      <x:c r="G1332">
        <x:v>43021</x:v>
      </x:c>
      <x:c r="H1332" t="s">
        <x:v>6177</x:v>
      </x:c>
      <x:c r="I1332" t="s">
        <x:v>6178</x:v>
      </x:c>
      <x:c r="J1332" t="s">
        <x:v>6179</x:v>
      </x:c>
    </x:row>
    <x:row r="1333">
      <x:c r="A1333" t="s">
        <x:v>6180</x:v>
      </x:c>
      <x:c r="B1333" t="s">
        <x:v>6180</x:v>
      </x:c>
      <x:c r="C1333" t="s">
        <x:v>2189</x:v>
      </x:c>
      <x:c r="D1333">
        <x:v>46</x:v>
      </x:c>
      <x:c r="E1333" t="s">
        <x:v>96</x:v>
      </x:c>
      <x:c r="F1333" t="s">
        <x:v>97</x:v>
      </x:c>
      <x:c r="G1333">
        <x:v>45649</x:v>
      </x:c>
      <x:c r="H1333" t="s">
        <x:v>6181</x:v>
      </x:c>
      <x:c r="I1333" t="s">
        <x:v>6182</x:v>
      </x:c>
      <x:c r="J1333" t="s">
        <x:v>6183</x:v>
      </x:c>
    </x:row>
    <x:row r="1334">
      <x:c r="A1334" t="s">
        <x:v>6184</x:v>
      </x:c>
      <x:c r="B1334" t="s">
        <x:v>6184</x:v>
      </x:c>
      <x:c r="C1334" t="s">
        <x:v>2189</x:v>
      </x:c>
      <x:c r="D1334">
        <x:v>92</x:v>
      </x:c>
      <x:c r="E1334" t="s">
        <x:v>96</x:v>
      </x:c>
      <x:c r="F1334" t="s">
        <x:v>97</x:v>
      </x:c>
      <x:c r="G1334">
        <x:v>45417</x:v>
      </x:c>
      <x:c r="H1334" t="s">
        <x:v>6185</x:v>
      </x:c>
      <x:c r="I1334" t="s">
        <x:v>6186</x:v>
      </x:c>
      <x:c r="J1334" t="s">
        <x:v>6187</x:v>
      </x:c>
    </x:row>
    <x:row r="1335">
      <x:c r="A1335" t="s">
        <x:v>6188</x:v>
      </x:c>
      <x:c r="B1335" t="s">
        <x:v>6188</x:v>
      </x:c>
      <x:c r="C1335" t="s">
        <x:v>2912</x:v>
      </x:c>
      <x:c r="D1335">
        <x:v>1</x:v>
      </x:c>
      <x:c r="E1335" t="s">
        <x:v>96</x:v>
      </x:c>
      <x:c r="F1335" t="s">
        <x:v>97</x:v>
      </x:c>
      <x:c r="G1335">
        <x:v>45146</x:v>
      </x:c>
      <x:c r="H1335" t="s">
        <x:v>6189</x:v>
      </x:c>
      <x:c r="I1335" t="s">
        <x:v>6190</x:v>
      </x:c>
      <x:c r="J1335" t="s">
        <x:v>6191</x:v>
      </x:c>
    </x:row>
    <x:row r="1336">
      <x:c r="A1336" t="s">
        <x:v>6192</x:v>
      </x:c>
      <x:c r="B1336" t="s">
        <x:v>6192</x:v>
      </x:c>
      <x:c r="C1336" t="s">
        <x:v>6193</x:v>
      </x:c>
      <x:c r="D1336">
        <x:v>18</x:v>
      </x:c>
      <x:c r="E1336" t="s">
        <x:v>257</x:v>
      </x:c>
      <x:c r="F1336" t="s">
        <x:v>97</x:v>
      </x:c>
      <x:c r="G1336">
        <x:v>42381</x:v>
      </x:c>
      <x:c r="H1336" t="s">
        <x:v>6194</x:v>
      </x:c>
      <x:c r="I1336" t="s">
        <x:v>6195</x:v>
      </x:c>
      <x:c r="J1336" t="s">
        <x:v>6196</x:v>
      </x:c>
    </x:row>
    <x:row r="1337">
      <x:c r="A1337" t="s">
        <x:v>6197</x:v>
      </x:c>
      <x:c r="B1337" t="s">
        <x:v>6197</x:v>
      </x:c>
      <x:c r="C1337" t="s">
        <x:v>6198</x:v>
      </x:c>
      <x:c r="D1337">
        <x:v>82</x:v>
      </x:c>
      <x:c r="E1337" t="s">
        <x:v>114</x:v>
      </x:c>
      <x:c r="F1337" t="s">
        <x:v>152</x:v>
      </x:c>
      <x:c r="G1337">
        <x:v>45403</x:v>
      </x:c>
      <x:c r="H1337" t="s">
        <x:v>6199</x:v>
      </x:c>
      <x:c r="I1337" t="s">
        <x:v>6200</x:v>
      </x:c>
      <x:c r="J1337" t="s">
        <x:v>6201</x:v>
      </x:c>
    </x:row>
    <x:row r="1338">
      <x:c r="A1338" t="s">
        <x:v>6202</x:v>
      </x:c>
      <x:c r="B1338" t="s">
        <x:v>6202</x:v>
      </x:c>
      <x:c r="C1338" t="s">
        <x:v>6203</x:v>
      </x:c>
      <x:c r="D1338">
        <x:v>4</x:v>
      </x:c>
      <x:c r="E1338" t="s">
        <x:v>114</x:v>
      </x:c>
      <x:c r="F1338" t="s">
        <x:v>90</x:v>
      </x:c>
      <x:c r="G1338">
        <x:v>43426</x:v>
      </x:c>
      <x:c r="H1338" t="s">
        <x:v>6204</x:v>
      </x:c>
      <x:c r="I1338" t="s">
        <x:v>6205</x:v>
      </x:c>
      <x:c r="J1338" t="s">
        <x:v>6206</x:v>
      </x:c>
    </x:row>
    <x:row r="1339">
      <x:c r="A1339" t="s">
        <x:v>6207</x:v>
      </x:c>
      <x:c r="B1339" t="s">
        <x:v>6207</x:v>
      </x:c>
      <x:c r="C1339" t="s">
        <x:v>533</x:v>
      </x:c>
      <x:c r="D1339">
        <x:v>5</x:v>
      </x:c>
      <x:c r="E1339" t="s">
        <x:v>103</x:v>
      </x:c>
      <x:c r="F1339" t="s">
        <x:v>90</x:v>
      </x:c>
      <x:c r="G1339">
        <x:v>45060</x:v>
      </x:c>
      <x:c r="H1339" t="s">
        <x:v>6208</x:v>
      </x:c>
      <x:c r="I1339" t="s">
        <x:v>6209</x:v>
      </x:c>
      <x:c r="J1339" t="s">
        <x:v>6210</x:v>
      </x:c>
    </x:row>
    <x:row r="1340">
      <x:c r="A1340" t="s">
        <x:v>6211</x:v>
      </x:c>
      <x:c r="B1340" t="s">
        <x:v>6211</x:v>
      </x:c>
      <x:c r="C1340" t="s">
        <x:v>5668</x:v>
      </x:c>
      <x:c r="D1340">
        <x:v>8</x:v>
      </x:c>
      <x:c r="E1340" t="s">
        <x:v>125</x:v>
      </x:c>
      <x:c r="F1340" t="s">
        <x:v>90</x:v>
      </x:c>
      <x:c r="G1340">
        <x:v>44466</x:v>
      </x:c>
      <x:c r="H1340" t="s">
        <x:v>6212</x:v>
      </x:c>
      <x:c r="I1340" t="s">
        <x:v>6213</x:v>
      </x:c>
      <x:c r="J1340" t="s">
        <x:v>6214</x:v>
      </x:c>
    </x:row>
    <x:row r="1341">
      <x:c r="A1341" t="s">
        <x:v>6215</x:v>
      </x:c>
      <x:c r="B1341" t="s">
        <x:v>6215</x:v>
      </x:c>
      <x:c r="C1341" t="s">
        <x:v>3012</x:v>
      </x:c>
      <x:c r="D1341">
        <x:v>7</x:v>
      </x:c>
      <x:c r="E1341" t="s">
        <x:v>89</x:v>
      </x:c>
      <x:c r="F1341" t="s">
        <x:v>90</x:v>
      </x:c>
      <x:c r="G1341">
        <x:v>45779</x:v>
      </x:c>
      <x:c r="H1341" t="s">
        <x:v>6216</x:v>
      </x:c>
      <x:c r="I1341" t="s">
        <x:v>6217</x:v>
      </x:c>
      <x:c r="J1341" t="s">
        <x:v>6218</x:v>
      </x:c>
    </x:row>
    <x:row r="1342">
      <x:c r="A1342" t="s">
        <x:v>6219</x:v>
      </x:c>
      <x:c r="B1342" t="s">
        <x:v>6219</x:v>
      </x:c>
      <x:c r="C1342" t="s">
        <x:v>6220</x:v>
      </x:c>
      <x:c r="D1342">
        <x:v>7</x:v>
      </x:c>
      <x:c r="E1342" t="s">
        <x:v>114</x:v>
      </x:c>
      <x:c r="F1342" t="s">
        <x:v>90</x:v>
      </x:c>
      <x:c r="G1342">
        <x:v>45135</x:v>
      </x:c>
      <x:c r="H1342" t="s">
        <x:v>6221</x:v>
      </x:c>
      <x:c r="I1342" t="s">
        <x:v>6222</x:v>
      </x:c>
      <x:c r="J1342" t="s">
        <x:v>6223</x:v>
      </x:c>
    </x:row>
    <x:row r="1343">
      <x:c r="A1343" t="s">
        <x:v>21</x:v>
      </x:c>
      <x:c r="B1343" t="s">
        <x:v>21</x:v>
      </x:c>
      <x:c r="C1343" t="s">
        <x:v>1613</x:v>
      </x:c>
      <x:c r="D1343">
        <x:v>25</x:v>
      </x:c>
      <x:c r="E1343" t="s">
        <x:v>89</x:v>
      </x:c>
      <x:c r="F1343" t="s">
        <x:v>90</x:v>
      </x:c>
      <x:c r="G1343">
        <x:v>44400</x:v>
      </x:c>
      <x:c r="H1343" t="s">
        <x:v>6224</x:v>
      </x:c>
      <x:c r="I1343" t="s">
        <x:v>6225</x:v>
      </x:c>
      <x:c r="J1343" t="s">
        <x:v>6226</x:v>
      </x:c>
    </x:row>
    <x:row r="1344">
      <x:c r="A1344" t="s">
        <x:v>6227</x:v>
      </x:c>
      <x:c r="B1344" t="s">
        <x:v>6227</x:v>
      </x:c>
      <x:c r="C1344" t="s">
        <x:v>6228</x:v>
      </x:c>
      <x:c r="D1344">
        <x:v>15</x:v>
      </x:c>
      <x:c r="E1344" t="s">
        <x:v>89</x:v>
      </x:c>
      <x:c r="F1344" t="s">
        <x:v>90</x:v>
      </x:c>
      <x:c r="G1344">
        <x:v>44417</x:v>
      </x:c>
      <x:c r="H1344" t="s">
        <x:v>6229</x:v>
      </x:c>
      <x:c r="I1344" t="s">
        <x:v>6230</x:v>
      </x:c>
      <x:c r="J1344" t="s">
        <x:v>6231</x:v>
      </x:c>
    </x:row>
    <x:row r="1345">
      <x:c r="A1345" t="s">
        <x:v>6232</x:v>
      </x:c>
      <x:c r="B1345" t="s">
        <x:v>6232</x:v>
      </x:c>
      <x:c r="C1345" t="s">
        <x:v>237</x:v>
      </x:c>
      <x:c r="D1345">
        <x:v>4</x:v>
      </x:c>
      <x:c r="E1345" t="s">
        <x:v>198</x:v>
      </x:c>
      <x:c r="F1345" t="s">
        <x:v>90</x:v>
      </x:c>
      <x:c r="G1345">
        <x:v>44972</x:v>
      </x:c>
      <x:c r="H1345" t="s">
        <x:v>6233</x:v>
      </x:c>
      <x:c r="I1345" t="s">
        <x:v>6234</x:v>
      </x:c>
      <x:c r="J1345" t="s">
        <x:v>6235</x:v>
      </x:c>
    </x:row>
    <x:row r="1346">
      <x:c r="A1346" t="s">
        <x:v>6236</x:v>
      </x:c>
      <x:c r="B1346" t="s">
        <x:v>6236</x:v>
      </x:c>
      <x:c r="C1346" t="s">
        <x:v>6237</x:v>
      </x:c>
      <x:c r="D1346">
        <x:v>12</x:v>
      </x:c>
      <x:c r="E1346" t="s">
        <x:v>103</x:v>
      </x:c>
      <x:c r="F1346" t="s">
        <x:v>97</x:v>
      </x:c>
      <x:c r="G1346">
        <x:v>42314</x:v>
      </x:c>
      <x:c r="H1346" t="s">
        <x:v>6238</x:v>
      </x:c>
      <x:c r="I1346" t="s">
        <x:v>6239</x:v>
      </x:c>
      <x:c r="J1346" t="s">
        <x:v>6240</x:v>
      </x:c>
    </x:row>
    <x:row r="1347">
      <x:c r="A1347" t="s">
        <x:v>6241</x:v>
      </x:c>
      <x:c r="B1347" t="s">
        <x:v>6241</x:v>
      </x:c>
      <x:c r="C1347" t="s">
        <x:v>742</x:v>
      </x:c>
      <x:c r="D1347">
        <x:v>1</x:v>
      </x:c>
      <x:c r="E1347" t="s">
        <x:v>103</x:v>
      </x:c>
      <x:c r="F1347" t="s">
        <x:v>6242</x:v>
      </x:c>
      <x:c r="G1347">
        <x:v>45512</x:v>
      </x:c>
      <x:c r="H1347" t="s">
        <x:v>6243</x:v>
      </x:c>
      <x:c r="I1347" t="s">
        <x:v>6244</x:v>
      </x:c>
      <x:c r="J1347" t="s">
        <x:v>6245</x:v>
      </x:c>
    </x:row>
    <x:row r="1348">
      <x:c r="A1348" t="s">
        <x:v>6246</x:v>
      </x:c>
      <x:c r="B1348" t="s">
        <x:v>6246</x:v>
      </x:c>
      <x:c r="C1348" t="s">
        <x:v>6247</x:v>
      </x:c>
      <x:c r="D1348">
        <x:v>16</x:v>
      </x:c>
      <x:c r="E1348" t="s">
        <x:v>198</x:v>
      </x:c>
      <x:c r="F1348" t="s">
        <x:v>90</x:v>
      </x:c>
      <x:c r="G1348">
        <x:v>45035</x:v>
      </x:c>
      <x:c r="H1348" t="s">
        <x:v>6248</x:v>
      </x:c>
      <x:c r="I1348" t="s">
        <x:v>6249</x:v>
      </x:c>
      <x:c r="J1348" t="s">
        <x:v>6250</x:v>
      </x:c>
    </x:row>
    <x:row r="1349">
      <x:c r="A1349" t="s">
        <x:v>6251</x:v>
      </x:c>
      <x:c r="B1349" t="s">
        <x:v>6251</x:v>
      </x:c>
      <x:c r="C1349" t="s">
        <x:v>6252</x:v>
      </x:c>
      <x:c r="D1349">
        <x:v>29</x:v>
      </x:c>
      <x:c r="E1349" t="s">
        <x:v>198</x:v>
      </x:c>
      <x:c r="F1349" t="s">
        <x:v>90</x:v>
      </x:c>
      <x:c r="G1349">
        <x:v>46206</x:v>
      </x:c>
      <x:c r="H1349" t="s">
        <x:v>6253</x:v>
      </x:c>
      <x:c r="I1349" t="s">
        <x:v>6254</x:v>
      </x:c>
      <x:c r="J1349" t="s">
        <x:v>6255</x:v>
      </x:c>
    </x:row>
    <x:row r="1350">
      <x:c r="A1350" t="s">
        <x:v>6256</x:v>
      </x:c>
      <x:c r="B1350" t="s">
        <x:v>6256</x:v>
      </x:c>
      <x:c r="C1350" t="s">
        <x:v>742</x:v>
      </x:c>
      <x:c r="D1350">
        <x:v>5</x:v>
      </x:c>
      <x:c r="E1350" t="s">
        <x:v>103</x:v>
      </x:c>
      <x:c r="F1350" t="s">
        <x:v>97</x:v>
      </x:c>
      <x:c r="G1350">
        <x:v>41856</x:v>
      </x:c>
      <x:c r="H1350" t="s">
        <x:v>6257</x:v>
      </x:c>
      <x:c r="I1350" t="s">
        <x:v>6258</x:v>
      </x:c>
      <x:c r="J1350" t="s">
        <x:v>6259</x:v>
      </x:c>
    </x:row>
    <x:row r="1351">
      <x:c r="A1351" t="s">
        <x:v>6260</x:v>
      </x:c>
      <x:c r="B1351" t="s">
        <x:v>6260</x:v>
      </x:c>
      <x:c r="C1351" t="s">
        <x:v>5903</x:v>
      </x:c>
      <x:c r="D1351">
        <x:v>41</x:v>
      </x:c>
      <x:c r="E1351" t="s">
        <x:v>96</x:v>
      </x:c>
      <x:c r="F1351" t="s">
        <x:v>97</x:v>
      </x:c>
      <x:c r="G1351">
        <x:v>44863</x:v>
      </x:c>
      <x:c r="H1351" t="s">
        <x:v>6261</x:v>
      </x:c>
      <x:c r="I1351" t="s">
        <x:v>6262</x:v>
      </x:c>
      <x:c r="J1351" t="s">
        <x:v>6263</x:v>
      </x:c>
    </x:row>
    <x:row r="1352">
      <x:c r="A1352" t="s">
        <x:v>6264</x:v>
      </x:c>
      <x:c r="B1352" t="s">
        <x:v>6264</x:v>
      </x:c>
      <x:c r="C1352" t="s">
        <x:v>629</x:v>
      </x:c>
      <x:c r="D1352">
        <x:v>11</x:v>
      </x:c>
      <x:c r="E1352" t="s">
        <x:v>89</x:v>
      </x:c>
      <x:c r="F1352" t="s">
        <x:v>90</x:v>
      </x:c>
      <x:c r="G1352">
        <x:v>44708</x:v>
      </x:c>
      <x:c r="H1352" t="s">
        <x:v>6265</x:v>
      </x:c>
      <x:c r="I1352" t="s">
        <x:v>6266</x:v>
      </x:c>
      <x:c r="J1352" t="s">
        <x:v>6267</x:v>
      </x:c>
    </x:row>
    <x:row r="1353">
      <x:c r="A1353" t="s">
        <x:v>6268</x:v>
      </x:c>
      <x:c r="B1353" t="s">
        <x:v>6268</x:v>
      </x:c>
      <x:c r="C1353" t="s">
        <x:v>6269</x:v>
      </x:c>
      <x:c r="D1353">
        <x:v>7</x:v>
      </x:c>
      <x:c r="E1353" t="s">
        <x:v>114</x:v>
      </x:c>
      <x:c r="F1353" t="s">
        <x:v>90</x:v>
      </x:c>
      <x:c r="G1353">
        <x:v>45699</x:v>
      </x:c>
      <x:c r="H1353" t="s">
        <x:v>6270</x:v>
      </x:c>
      <x:c r="I1353" t="s">
        <x:v>6271</x:v>
      </x:c>
      <x:c r="J1353" t="s">
        <x:v>6272</x:v>
      </x:c>
    </x:row>
    <x:row r="1354">
      <x:c r="A1354" t="s">
        <x:v>6273</x:v>
      </x:c>
      <x:c r="B1354" t="s">
        <x:v>6273</x:v>
      </x:c>
      <x:c r="C1354" t="s">
        <x:v>1608</x:v>
      </x:c>
      <x:c r="D1354">
        <x:v>2</x:v>
      </x:c>
      <x:c r="E1354" t="s">
        <x:v>114</x:v>
      </x:c>
      <x:c r="F1354" t="s">
        <x:v>90</x:v>
      </x:c>
      <x:c r="G1354">
        <x:v>45740</x:v>
      </x:c>
      <x:c r="H1354" t="s">
        <x:v>6274</x:v>
      </x:c>
      <x:c r="I1354" t="s">
        <x:v>6275</x:v>
      </x:c>
      <x:c r="J1354" t="s">
        <x:v>6276</x:v>
      </x:c>
    </x:row>
    <x:row r="1355">
      <x:c r="A1355" t="s">
        <x:v>6277</x:v>
      </x:c>
      <x:c r="B1355" t="s">
        <x:v>6277</x:v>
      </x:c>
      <x:c r="C1355" t="s">
        <x:v>6278</x:v>
      </x:c>
      <x:c r="D1355">
        <x:v>14</x:v>
      </x:c>
      <x:c r="E1355" t="s">
        <x:v>198</x:v>
      </x:c>
      <x:c r="F1355" t="s">
        <x:v>90</x:v>
      </x:c>
      <x:c r="G1355">
        <x:v>45709</x:v>
      </x:c>
      <x:c r="H1355" t="s">
        <x:v>6279</x:v>
      </x:c>
      <x:c r="I1355" t="s">
        <x:v>6280</x:v>
      </x:c>
      <x:c r="J1355" t="s">
        <x:v>6281</x:v>
      </x:c>
    </x:row>
    <x:row r="1356">
      <x:c r="A1356" t="s">
        <x:v>6282</x:v>
      </x:c>
      <x:c r="B1356" t="s">
        <x:v>6282</x:v>
      </x:c>
      <x:c r="C1356" t="s">
        <x:v>6283</x:v>
      </x:c>
      <x:c r="D1356">
        <x:v>20</x:v>
      </x:c>
      <x:c r="E1356" t="s">
        <x:v>103</x:v>
      </x:c>
      <x:c r="F1356" t="s">
        <x:v>97</x:v>
      </x:c>
      <x:c r="G1356">
        <x:v>42044</x:v>
      </x:c>
      <x:c r="H1356" t="s">
        <x:v>6284</x:v>
      </x:c>
      <x:c r="I1356" t="s">
        <x:v>6285</x:v>
      </x:c>
      <x:c r="J1356" t="s">
        <x:v>6286</x:v>
      </x:c>
    </x:row>
    <x:row r="1357">
      <x:c r="A1357" t="s">
        <x:v>6287</x:v>
      </x:c>
      <x:c r="B1357" t="s">
        <x:v>6287</x:v>
      </x:c>
      <x:c r="C1357" t="s">
        <x:v>6283</x:v>
      </x:c>
      <x:c r="D1357">
        <x:v>42</x:v>
      </x:c>
      <x:c r="E1357" t="s">
        <x:v>96</x:v>
      </x:c>
      <x:c r="F1357" t="s">
        <x:v>97</x:v>
      </x:c>
      <x:c r="G1357">
        <x:v>42224</x:v>
      </x:c>
      <x:c r="H1357" t="s">
        <x:v>6288</x:v>
      </x:c>
      <x:c r="I1357" t="s">
        <x:v>6289</x:v>
      </x:c>
      <x:c r="J1357" t="s">
        <x:v>6290</x:v>
      </x:c>
    </x:row>
    <x:row r="1358">
      <x:c r="A1358" t="s">
        <x:v>6291</x:v>
      </x:c>
      <x:c r="B1358" t="s">
        <x:v>6291</x:v>
      </x:c>
      <x:c r="C1358" t="s">
        <x:v>6292</x:v>
      </x:c>
      <x:c r="D1358">
        <x:v>1</x:v>
      </x:c>
      <x:c r="E1358" t="s">
        <x:v>89</x:v>
      </x:c>
      <x:c r="F1358" t="s">
        <x:v>610</x:v>
      </x:c>
      <x:c r="G1358">
        <x:v>42560</x:v>
      </x:c>
      <x:c r="H1358" t="s">
        <x:v>6293</x:v>
      </x:c>
      <x:c r="I1358" t="s">
        <x:v>6294</x:v>
      </x:c>
      <x:c r="J1358" t="s">
        <x:v>6295</x:v>
      </x:c>
    </x:row>
    <x:row r="1359">
      <x:c r="A1359" t="s">
        <x:v>6296</x:v>
      </x:c>
      <x:c r="B1359" t="s">
        <x:v>6296</x:v>
      </x:c>
      <x:c r="C1359" t="s">
        <x:v>3404</x:v>
      </x:c>
      <x:c r="D1359">
        <x:v>40</x:v>
      </x:c>
      <x:c r="E1359" t="s">
        <x:v>198</x:v>
      </x:c>
      <x:c r="F1359" t="s">
        <x:v>90</x:v>
      </x:c>
      <x:c r="G1359">
        <x:v>43630</x:v>
      </x:c>
      <x:c r="H1359" t="s">
        <x:v>6297</x:v>
      </x:c>
      <x:c r="I1359" t="s">
        <x:v>6298</x:v>
      </x:c>
      <x:c r="J1359" t="s">
        <x:v>6299</x:v>
      </x:c>
    </x:row>
    <x:row r="1360">
      <x:c r="A1360" t="s">
        <x:v>6300</x:v>
      </x:c>
      <x:c r="B1360" t="s">
        <x:v>6300</x:v>
      </x:c>
      <x:c r="C1360" t="s">
        <x:v>6301</x:v>
      </x:c>
      <x:c r="D1360">
        <x:v>58</x:v>
      </x:c>
      <x:c r="E1360" t="s">
        <x:v>103</x:v>
      </x:c>
      <x:c r="F1360" t="s">
        <x:v>97</x:v>
      </x:c>
      <x:c r="G1360">
        <x:v>43882</x:v>
      </x:c>
      <x:c r="H1360" t="s">
        <x:v>6302</x:v>
      </x:c>
      <x:c r="I1360" t="s">
        <x:v>6303</x:v>
      </x:c>
      <x:c r="J1360" t="s">
        <x:v>6304</x:v>
      </x:c>
    </x:row>
    <x:row r="1361">
      <x:c r="A1361" t="s">
        <x:v>6305</x:v>
      </x:c>
      <x:c r="B1361" t="s">
        <x:v>6305</x:v>
      </x:c>
      <x:c r="C1361" t="s">
        <x:v>6301</x:v>
      </x:c>
      <x:c r="D1361">
        <x:v>66</x:v>
      </x:c>
      <x:c r="E1361" t="s">
        <x:v>103</x:v>
      </x:c>
      <x:c r="F1361" t="s">
        <x:v>97</x:v>
      </x:c>
      <x:c r="G1361">
        <x:v>44435</x:v>
      </x:c>
      <x:c r="H1361" t="s">
        <x:v>6306</x:v>
      </x:c>
      <x:c r="I1361" t="s">
        <x:v>6307</x:v>
      </x:c>
      <x:c r="J1361" t="s">
        <x:v>6308</x:v>
      </x:c>
    </x:row>
    <x:row r="1362">
      <x:c r="A1362" t="s">
        <x:v>6309</x:v>
      </x:c>
      <x:c r="B1362" t="s">
        <x:v>6309</x:v>
      </x:c>
      <x:c r="C1362" t="s">
        <x:v>292</x:v>
      </x:c>
      <x:c r="D1362">
        <x:v>14</x:v>
      </x:c>
      <x:c r="E1362" t="s">
        <x:v>198</x:v>
      </x:c>
      <x:c r="F1362" t="s">
        <x:v>90</x:v>
      </x:c>
      <x:c r="G1362">
        <x:v>44409</x:v>
      </x:c>
      <x:c r="H1362" t="s">
        <x:v>6310</x:v>
      </x:c>
      <x:c r="I1362" t="s">
        <x:v>6311</x:v>
      </x:c>
      <x:c r="J1362" t="s">
        <x:v>6312</x:v>
      </x:c>
    </x:row>
    <x:row r="1363">
      <x:c r="A1363" t="s">
        <x:v>6313</x:v>
      </x:c>
      <x:c r="B1363" t="s">
        <x:v>6313</x:v>
      </x:c>
      <x:c r="C1363" t="s">
        <x:v>6314</x:v>
      </x:c>
      <x:c r="D1363">
        <x:v>6</x:v>
      </x:c>
      <x:c r="E1363" t="s">
        <x:v>103</x:v>
      </x:c>
      <x:c r="F1363" t="s">
        <x:v>97</x:v>
      </x:c>
      <x:c r="G1363">
        <x:v>43109</x:v>
      </x:c>
      <x:c r="H1363" t="s">
        <x:v>6315</x:v>
      </x:c>
      <x:c r="I1363" t="s">
        <x:v>6316</x:v>
      </x:c>
      <x:c r="J1363" t="s">
        <x:v>6317</x:v>
      </x:c>
    </x:row>
    <x:row r="1364">
      <x:c r="A1364" t="s">
        <x:v>6318</x:v>
      </x:c>
      <x:c r="B1364" t="s">
        <x:v>6318</x:v>
      </x:c>
      <x:c r="C1364" t="s">
        <x:v>6319</x:v>
      </x:c>
      <x:c r="D1364">
        <x:v>16</x:v>
      </x:c>
      <x:c r="E1364" t="s">
        <x:v>198</x:v>
      </x:c>
      <x:c r="F1364" t="s">
        <x:v>90</x:v>
      </x:c>
      <x:c r="G1364">
        <x:v>45158</x:v>
      </x:c>
      <x:c r="H1364" t="s">
        <x:v>6320</x:v>
      </x:c>
      <x:c r="I1364" t="s">
        <x:v>6321</x:v>
      </x:c>
      <x:c r="J1364" t="s">
        <x:v>6322</x:v>
      </x:c>
    </x:row>
    <x:row r="1365">
      <x:c r="A1365" t="s">
        <x:v>6323</x:v>
      </x:c>
      <x:c r="B1365" t="s">
        <x:v>6323</x:v>
      </x:c>
      <x:c r="C1365" t="s">
        <x:v>3544</x:v>
      </x:c>
      <x:c r="D1365">
        <x:v>22</x:v>
      </x:c>
      <x:c r="E1365" t="s">
        <x:v>89</x:v>
      </x:c>
      <x:c r="F1365" t="s">
        <x:v>97</x:v>
      </x:c>
      <x:c r="G1365">
        <x:v>45898</x:v>
      </x:c>
      <x:c r="H1365" t="s">
        <x:v>6324</x:v>
      </x:c>
      <x:c r="I1365" t="s">
        <x:v>6325</x:v>
      </x:c>
      <x:c r="J1365" t="s">
        <x:v>6326</x:v>
      </x:c>
    </x:row>
    <x:row r="1366">
      <x:c r="A1366" t="s">
        <x:v>6327</x:v>
      </x:c>
      <x:c r="B1366" t="s">
        <x:v>6327</x:v>
      </x:c>
      <x:c r="C1366" t="s">
        <x:v>2146</x:v>
      </x:c>
      <x:c r="D1366">
        <x:v>5</x:v>
      </x:c>
      <x:c r="E1366" t="s">
        <x:v>96</x:v>
      </x:c>
      <x:c r="F1366" t="s">
        <x:v>6328</x:v>
      </x:c>
      <x:c r="G1366">
        <x:v>46092</x:v>
      </x:c>
      <x:c r="H1366" t="s">
        <x:v>6329</x:v>
      </x:c>
      <x:c r="I1366" t="s">
        <x:v>6330</x:v>
      </x:c>
      <x:c r="J1366" t="s">
        <x:v>6331</x:v>
      </x:c>
    </x:row>
    <x:row r="1367">
      <x:c r="A1367" t="s">
        <x:v>6332</x:v>
      </x:c>
      <x:c r="B1367" t="s">
        <x:v>6332</x:v>
      </x:c>
      <x:c r="C1367" t="s">
        <x:v>6144</x:v>
      </x:c>
      <x:c r="D1367">
        <x:v>18</x:v>
      </x:c>
      <x:c r="E1367" t="s">
        <x:v>198</x:v>
      </x:c>
      <x:c r="F1367" t="s">
        <x:v>90</x:v>
      </x:c>
      <x:c r="G1367">
        <x:v>46136</x:v>
      </x:c>
      <x:c r="H1367" t="s">
        <x:v>6333</x:v>
      </x:c>
      <x:c r="I1367" t="s">
        <x:v>6334</x:v>
      </x:c>
      <x:c r="J1367" t="s">
        <x:v>6335</x:v>
      </x:c>
    </x:row>
    <x:row r="1368">
      <x:c r="A1368" t="s">
        <x:v>6336</x:v>
      </x:c>
      <x:c r="B1368" t="s">
        <x:v>6336</x:v>
      </x:c>
      <x:c r="C1368" t="s">
        <x:v>5903</x:v>
      </x:c>
      <x:c r="D1368">
        <x:v>12</x:v>
      </x:c>
      <x:c r="E1368" t="s">
        <x:v>103</x:v>
      </x:c>
      <x:c r="F1368" t="s">
        <x:v>97</x:v>
      </x:c>
      <x:c r="G1368">
        <x:v>43372</x:v>
      </x:c>
      <x:c r="H1368" t="s">
        <x:v>6337</x:v>
      </x:c>
      <x:c r="I1368" t="s">
        <x:v>6338</x:v>
      </x:c>
      <x:c r="J1368" t="s">
        <x:v>6339</x:v>
      </x:c>
    </x:row>
    <x:row r="1369">
      <x:c r="A1369" t="s">
        <x:v>6340</x:v>
      </x:c>
      <x:c r="B1369" t="s">
        <x:v>6340</x:v>
      </x:c>
      <x:c r="C1369" t="s">
        <x:v>6341</x:v>
      </x:c>
      <x:c r="D1369">
        <x:v>7</x:v>
      </x:c>
      <x:c r="E1369" t="s">
        <x:v>103</x:v>
      </x:c>
      <x:c r="F1369" t="s">
        <x:v>97</x:v>
      </x:c>
      <x:c r="G1369">
        <x:v>42255</x:v>
      </x:c>
      <x:c r="H1369" t="s">
        <x:v>6342</x:v>
      </x:c>
      <x:c r="I1369" t="s">
        <x:v>6343</x:v>
      </x:c>
      <x:c r="J1369" t="s">
        <x:v>6344</x:v>
      </x:c>
    </x:row>
    <x:row r="1370">
      <x:c r="A1370" t="s">
        <x:v>6345</x:v>
      </x:c>
      <x:c r="B1370" t="s">
        <x:v>6345</x:v>
      </x:c>
      <x:c r="C1370" t="s">
        <x:v>4337</x:v>
      </x:c>
      <x:c r="D1370">
        <x:v>77</x:v>
      </x:c>
      <x:c r="E1370" t="s">
        <x:v>96</x:v>
      </x:c>
      <x:c r="F1370" t="s">
        <x:v>97</x:v>
      </x:c>
      <x:c r="G1370">
        <x:v>42764</x:v>
      </x:c>
      <x:c r="H1370" t="s">
        <x:v>6346</x:v>
      </x:c>
      <x:c r="I1370" t="s">
        <x:v>6347</x:v>
      </x:c>
      <x:c r="J1370" t="s">
        <x:v>6348</x:v>
      </x:c>
    </x:row>
    <x:row r="1371">
      <x:c r="A1371" t="s">
        <x:v>6349</x:v>
      </x:c>
      <x:c r="B1371" t="s">
        <x:v>6349</x:v>
      </x:c>
      <x:c r="C1371" t="s">
        <x:v>6350</x:v>
      </x:c>
      <x:c r="D1371">
        <x:v>12</x:v>
      </x:c>
      <x:c r="E1371" t="s">
        <x:v>103</x:v>
      </x:c>
      <x:c r="F1371" t="s">
        <x:v>97</x:v>
      </x:c>
      <x:c r="G1371">
        <x:v>42309</x:v>
      </x:c>
      <x:c r="H1371" t="s">
        <x:v>6351</x:v>
      </x:c>
      <x:c r="I1371" t="s">
        <x:v>6352</x:v>
      </x:c>
      <x:c r="J1371" t="s">
        <x:v>6353</x:v>
      </x:c>
    </x:row>
    <x:row r="1372">
      <x:c r="A1372" t="s">
        <x:v>6354</x:v>
      </x:c>
      <x:c r="B1372" t="s">
        <x:v>6354</x:v>
      </x:c>
      <x:c r="C1372" t="s">
        <x:v>6355</x:v>
      </x:c>
      <x:c r="D1372">
        <x:v>29</x:v>
      </x:c>
      <x:c r="E1372" t="s">
        <x:v>198</x:v>
      </x:c>
      <x:c r="F1372" t="s">
        <x:v>90</x:v>
      </x:c>
      <x:c r="G1372">
        <x:v>44054</x:v>
      </x:c>
      <x:c r="H1372" t="s">
        <x:v>6356</x:v>
      </x:c>
      <x:c r="I1372" t="s">
        <x:v>6357</x:v>
      </x:c>
      <x:c r="J1372" t="s">
        <x:v>6358</x:v>
      </x:c>
    </x:row>
    <x:row r="1373">
      <x:c r="A1373" t="s">
        <x:v>6359</x:v>
      </x:c>
      <x:c r="B1373" t="s">
        <x:v>6359</x:v>
      </x:c>
      <x:c r="C1373" t="s">
        <x:v>6355</x:v>
      </x:c>
      <x:c r="D1373">
        <x:v>44</x:v>
      </x:c>
      <x:c r="E1373" t="s">
        <x:v>198</x:v>
      </x:c>
      <x:c r="F1373" t="s">
        <x:v>90</x:v>
      </x:c>
      <x:c r="G1373">
        <x:v>45857</x:v>
      </x:c>
      <x:c r="H1373" t="s">
        <x:v>6360</x:v>
      </x:c>
      <x:c r="I1373" t="s">
        <x:v>6361</x:v>
      </x:c>
      <x:c r="J1373" t="s">
        <x:v>6362</x:v>
      </x:c>
    </x:row>
    <x:row r="1374">
      <x:c r="A1374" t="s">
        <x:v>6363</x:v>
      </x:c>
      <x:c r="B1374" t="s">
        <x:v>6363</x:v>
      </x:c>
      <x:c r="C1374" t="s">
        <x:v>6364</x:v>
      </x:c>
      <x:c r="D1374">
        <x:v>36</x:v>
      </x:c>
      <x:c r="E1374" t="s">
        <x:v>114</x:v>
      </x:c>
      <x:c r="F1374" t="s">
        <x:v>90</x:v>
      </x:c>
      <x:c r="G1374">
        <x:v>45664</x:v>
      </x:c>
      <x:c r="H1374" t="s">
        <x:v>6365</x:v>
      </x:c>
      <x:c r="I1374" t="s">
        <x:v>6366</x:v>
      </x:c>
      <x:c r="J1374" t="s">
        <x:v>6367</x:v>
      </x:c>
    </x:row>
    <x:row r="1375">
      <x:c r="A1375" t="s">
        <x:v>6368</x:v>
      </x:c>
      <x:c r="B1375" t="s">
        <x:v>6368</x:v>
      </x:c>
      <x:c r="C1375" t="s">
        <x:v>4617</x:v>
      </x:c>
      <x:c r="D1375">
        <x:v>8</x:v>
      </x:c>
      <x:c r="E1375" t="s">
        <x:v>114</x:v>
      </x:c>
      <x:c r="F1375" t="s">
        <x:v>610</x:v>
      </x:c>
      <x:c r="G1375">
        <x:v>44561</x:v>
      </x:c>
      <x:c r="H1375" t="s">
        <x:v>6369</x:v>
      </x:c>
      <x:c r="I1375" t="s">
        <x:v>6370</x:v>
      </x:c>
      <x:c r="J1375" t="s">
        <x:v>6371</x:v>
      </x:c>
    </x:row>
    <x:row r="1376">
      <x:c r="A1376" t="s">
        <x:v>6372</x:v>
      </x:c>
      <x:c r="B1376" t="s">
        <x:v>6372</x:v>
      </x:c>
      <x:c r="C1376" t="s">
        <x:v>2418</x:v>
      </x:c>
      <x:c r="D1376">
        <x:v>12</x:v>
      </x:c>
      <x:c r="E1376" t="s">
        <x:v>198</x:v>
      </x:c>
      <x:c r="F1376" t="s">
        <x:v>90</x:v>
      </x:c>
      <x:c r="G1376">
        <x:v>43493</x:v>
      </x:c>
      <x:c r="H1376" t="s">
        <x:v>6373</x:v>
      </x:c>
      <x:c r="I1376" t="s">
        <x:v>6374</x:v>
      </x:c>
      <x:c r="J1376" t="s">
        <x:v>6375</x:v>
      </x:c>
    </x:row>
    <x:row r="1377">
      <x:c r="A1377" t="s">
        <x:v>6376</x:v>
      </x:c>
      <x:c r="B1377" t="s">
        <x:v>6376</x:v>
      </x:c>
      <x:c r="C1377" t="s">
        <x:v>6377</x:v>
      </x:c>
      <x:c r="D1377">
        <x:v>1</x:v>
      </x:c>
      <x:c r="E1377" t="s">
        <x:v>257</x:v>
      </x:c>
      <x:c r="F1377" t="s">
        <x:v>97</x:v>
      </x:c>
      <x:c r="G1377">
        <x:v>41814</x:v>
      </x:c>
      <x:c r="H1377" t="s">
        <x:v>6378</x:v>
      </x:c>
      <x:c r="I1377" t="s">
        <x:v>6379</x:v>
      </x:c>
      <x:c r="J1377" t="s">
        <x:v>6380</x:v>
      </x:c>
    </x:row>
    <x:row r="1378">
      <x:c r="A1378" t="s">
        <x:v>6381</x:v>
      </x:c>
      <x:c r="B1378" t="s">
        <x:v>6381</x:v>
      </x:c>
      <x:c r="C1378" t="s">
        <x:v>586</x:v>
      </x:c>
      <x:c r="D1378">
        <x:v>11</x:v>
      </x:c>
      <x:c r="E1378" t="s">
        <x:v>103</x:v>
      </x:c>
      <x:c r="F1378" t="s">
        <x:v>97</x:v>
      </x:c>
      <x:c r="G1378">
        <x:v>42728</x:v>
      </x:c>
      <x:c r="H1378" t="s">
        <x:v>6382</x:v>
      </x:c>
      <x:c r="I1378" t="s">
        <x:v>6383</x:v>
      </x:c>
      <x:c r="J1378" t="s">
        <x:v>6384</x:v>
      </x:c>
    </x:row>
    <x:row r="1379">
      <x:c r="A1379" t="s">
        <x:v>6385</x:v>
      </x:c>
      <x:c r="B1379" t="s">
        <x:v>6385</x:v>
      </x:c>
      <x:c r="C1379" t="s">
        <x:v>6386</x:v>
      </x:c>
      <x:c r="D1379">
        <x:v>19</x:v>
      </x:c>
      <x:c r="E1379" t="s">
        <x:v>103</x:v>
      </x:c>
      <x:c r="F1379" t="s">
        <x:v>97</x:v>
      </x:c>
      <x:c r="G1379">
        <x:v>42855</x:v>
      </x:c>
      <x:c r="H1379" t="s">
        <x:v>6387</x:v>
      </x:c>
      <x:c r="I1379" t="s">
        <x:v>6388</x:v>
      </x:c>
      <x:c r="J1379" t="s">
        <x:v>6389</x:v>
      </x:c>
    </x:row>
    <x:row r="1380">
      <x:c r="A1380" t="s">
        <x:v>6390</x:v>
      </x:c>
      <x:c r="B1380" t="s">
        <x:v>6390</x:v>
      </x:c>
      <x:c r="C1380" t="s">
        <x:v>88</x:v>
      </x:c>
      <x:c r="D1380">
        <x:v>14</x:v>
      </x:c>
      <x:c r="E1380" t="s">
        <x:v>198</x:v>
      </x:c>
      <x:c r="F1380" t="s">
        <x:v>90</x:v>
      </x:c>
      <x:c r="G1380">
        <x:v>44991</x:v>
      </x:c>
      <x:c r="H1380" t="s">
        <x:v>6391</x:v>
      </x:c>
      <x:c r="I1380" t="s">
        <x:v>6392</x:v>
      </x:c>
      <x:c r="J1380" t="s">
        <x:v>6393</x:v>
      </x:c>
    </x:row>
    <x:row r="1381">
      <x:c r="A1381" t="s">
        <x:v>6394</x:v>
      </x:c>
      <x:c r="B1381" t="s">
        <x:v>6394</x:v>
      </x:c>
      <x:c r="C1381" t="s">
        <x:v>88</x:v>
      </x:c>
      <x:c r="D1381">
        <x:v>25</x:v>
      </x:c>
      <x:c r="E1381" t="s">
        <x:v>198</x:v>
      </x:c>
      <x:c r="F1381" t="s">
        <x:v>90</x:v>
      </x:c>
      <x:c r="G1381">
        <x:v>46143</x:v>
      </x:c>
      <x:c r="H1381" t="s">
        <x:v>6395</x:v>
      </x:c>
      <x:c r="I1381" t="s">
        <x:v>6396</x:v>
      </x:c>
      <x:c r="J1381" t="s">
        <x:v>6397</x:v>
      </x:c>
    </x:row>
    <x:row r="1382">
      <x:c r="A1382" t="s">
        <x:v>6398</x:v>
      </x:c>
      <x:c r="B1382" t="s">
        <x:v>6398</x:v>
      </x:c>
      <x:c r="C1382" t="s">
        <x:v>6399</x:v>
      </x:c>
      <x:c r="D1382">
        <x:v>4</x:v>
      </x:c>
      <x:c r="E1382" t="s">
        <x:v>96</x:v>
      </x:c>
      <x:c r="F1382" t="s">
        <x:v>90</x:v>
      </x:c>
      <x:c r="G1382">
        <x:v>45690</x:v>
      </x:c>
      <x:c r="H1382" t="s">
        <x:v>6400</x:v>
      </x:c>
      <x:c r="I1382" t="s">
        <x:v>6401</x:v>
      </x:c>
      <x:c r="J1382" t="s">
        <x:v>6402</x:v>
      </x:c>
    </x:row>
    <x:row r="1383">
      <x:c r="A1383" t="s">
        <x:v>6403</x:v>
      </x:c>
      <x:c r="B1383" t="s">
        <x:v>6403</x:v>
      </x:c>
      <x:c r="C1383" t="s">
        <x:v>6319</x:v>
      </x:c>
      <x:c r="D1383">
        <x:v>8</x:v>
      </x:c>
      <x:c r="E1383" t="s">
        <x:v>198</x:v>
      </x:c>
      <x:c r="F1383" t="s">
        <x:v>90</x:v>
      </x:c>
      <x:c r="G1383">
        <x:v>45998</x:v>
      </x:c>
      <x:c r="H1383" t="s">
        <x:v>6404</x:v>
      </x:c>
      <x:c r="I1383" t="s">
        <x:v>6405</x:v>
      </x:c>
      <x:c r="J1383" t="s">
        <x:v>6406</x:v>
      </x:c>
    </x:row>
    <x:row r="1384">
      <x:c r="A1384" t="s">
        <x:v>6407</x:v>
      </x:c>
      <x:c r="B1384" t="s">
        <x:v>6407</x:v>
      </x:c>
      <x:c r="C1384" t="s">
        <x:v>2033</x:v>
      </x:c>
      <x:c r="D1384">
        <x:v>21</x:v>
      </x:c>
      <x:c r="E1384" t="s">
        <x:v>96</x:v>
      </x:c>
      <x:c r="F1384" t="s">
        <x:v>97</x:v>
      </x:c>
      <x:c r="G1384">
        <x:v>42784</x:v>
      </x:c>
      <x:c r="H1384" t="s">
        <x:v>6408</x:v>
      </x:c>
      <x:c r="I1384" t="s">
        <x:v>6409</x:v>
      </x:c>
      <x:c r="J1384" t="s">
        <x:v>6410</x:v>
      </x:c>
    </x:row>
    <x:row r="1385">
      <x:c r="A1385" t="s">
        <x:v>6411</x:v>
      </x:c>
      <x:c r="B1385" t="s">
        <x:v>6411</x:v>
      </x:c>
      <x:c r="C1385" t="s">
        <x:v>6412</x:v>
      </x:c>
      <x:c r="D1385">
        <x:v>10</x:v>
      </x:c>
      <x:c r="E1385" t="s">
        <x:v>96</x:v>
      </x:c>
      <x:c r="F1385" t="s">
        <x:v>97</x:v>
      </x:c>
      <x:c r="G1385">
        <x:v>44766</x:v>
      </x:c>
      <x:c r="H1385" t="s">
        <x:v>6413</x:v>
      </x:c>
      <x:c r="I1385" t="s">
        <x:v>6414</x:v>
      </x:c>
      <x:c r="J1385" t="s">
        <x:v>6415</x:v>
      </x:c>
    </x:row>
    <x:row r="1386">
      <x:c r="A1386" t="s">
        <x:v>6416</x:v>
      </x:c>
      <x:c r="B1386" t="s">
        <x:v>6416</x:v>
      </x:c>
      <x:c r="C1386" t="s">
        <x:v>1969</x:v>
      </x:c>
      <x:c r="D1386">
        <x:v>1</x:v>
      </x:c>
      <x:c r="E1386" t="s">
        <x:v>198</x:v>
      </x:c>
      <x:c r="F1386" t="s">
        <x:v>126</x:v>
      </x:c>
      <x:c r="G1386">
        <x:v>44912</x:v>
      </x:c>
      <x:c r="H1386" t="s">
        <x:v>6417</x:v>
      </x:c>
      <x:c r="I1386" t="s">
        <x:v>6418</x:v>
      </x:c>
      <x:c r="J1386" t="s">
        <x:v>6419</x:v>
      </x:c>
    </x:row>
    <x:row r="1387">
      <x:c r="A1387" t="s">
        <x:v>6420</x:v>
      </x:c>
      <x:c r="B1387" t="s">
        <x:v>6420</x:v>
      </x:c>
      <x:c r="C1387" t="s">
        <x:v>6421</x:v>
      </x:c>
      <x:c r="D1387">
        <x:v>1</x:v>
      </x:c>
      <x:c r="E1387" t="s">
        <x:v>125</x:v>
      </x:c>
      <x:c r="F1387" t="s">
        <x:v>126</x:v>
      </x:c>
      <x:c r="G1387">
        <x:v>43458</x:v>
      </x:c>
      <x:c r="H1387" t="s">
        <x:v>6422</x:v>
      </x:c>
      <x:c r="I1387" t="s">
        <x:v>6423</x:v>
      </x:c>
      <x:c r="J1387" t="s">
        <x:v>6424</x:v>
      </x:c>
    </x:row>
    <x:row r="1388">
      <x:c r="A1388" t="s">
        <x:v>6425</x:v>
      </x:c>
      <x:c r="B1388" t="s">
        <x:v>6425</x:v>
      </x:c>
      <x:c r="C1388" t="s">
        <x:v>6426</x:v>
      </x:c>
      <x:c r="D1388">
        <x:v>1</x:v>
      </x:c>
      <x:c r="E1388" t="s">
        <x:v>198</x:v>
      </x:c>
      <x:c r="F1388" t="s">
        <x:v>126</x:v>
      </x:c>
      <x:c r="G1388">
        <x:v>46211</x:v>
      </x:c>
      <x:c r="H1388" t="s">
        <x:v>6427</x:v>
      </x:c>
      <x:c r="I1388" t="s">
        <x:v>6428</x:v>
      </x:c>
      <x:c r="J1388" t="s">
        <x:v>6429</x:v>
      </x:c>
    </x:row>
    <x:row r="1389">
      <x:c r="A1389" t="s">
        <x:v>6430</x:v>
      </x:c>
      <x:c r="B1389" t="s">
        <x:v>6430</x:v>
      </x:c>
      <x:c r="C1389" t="s">
        <x:v>6431</x:v>
      </x:c>
      <x:c r="D1389">
        <x:v>1</x:v>
      </x:c>
      <x:c r="E1389" t="s">
        <x:v>114</x:v>
      </x:c>
      <x:c r="F1389" t="s">
        <x:v>126</x:v>
      </x:c>
      <x:c r="G1389">
        <x:v>43155</x:v>
      </x:c>
      <x:c r="H1389" t="s">
        <x:v>6432</x:v>
      </x:c>
      <x:c r="I1389" t="s">
        <x:v>6433</x:v>
      </x:c>
      <x:c r="J1389" t="s">
        <x:v>6434</x:v>
      </x:c>
    </x:row>
    <x:row r="1390">
      <x:c r="A1390" t="s">
        <x:v>6435</x:v>
      </x:c>
      <x:c r="B1390" t="s">
        <x:v>6435</x:v>
      </x:c>
      <x:c r="C1390" t="s">
        <x:v>6431</x:v>
      </x:c>
      <x:c r="D1390">
        <x:v>1</x:v>
      </x:c>
      <x:c r="E1390" t="s">
        <x:v>125</x:v>
      </x:c>
      <x:c r="F1390" t="s">
        <x:v>126</x:v>
      </x:c>
      <x:c r="G1390">
        <x:v>43109</x:v>
      </x:c>
      <x:c r="H1390" t="s">
        <x:v>6436</x:v>
      </x:c>
      <x:c r="I1390" t="s">
        <x:v>6437</x:v>
      </x:c>
      <x:c r="J1390" t="s">
        <x:v>6438</x:v>
      </x:c>
    </x:row>
    <x:row r="1391">
      <x:c r="A1391" t="s">
        <x:v>6439</x:v>
      </x:c>
      <x:c r="B1391" t="s">
        <x:v>6439</x:v>
      </x:c>
      <x:c r="C1391" t="s">
        <x:v>968</x:v>
      </x:c>
      <x:c r="D1391">
        <x:v>6</x:v>
      </x:c>
      <x:c r="E1391" t="s">
        <x:v>198</x:v>
      </x:c>
      <x:c r="F1391" t="s">
        <x:v>90</x:v>
      </x:c>
      <x:c r="G1391">
        <x:v>45222</x:v>
      </x:c>
      <x:c r="H1391" t="s">
        <x:v>6440</x:v>
      </x:c>
      <x:c r="I1391" t="s">
        <x:v>6441</x:v>
      </x:c>
      <x:c r="J1391" t="s">
        <x:v>6442</x:v>
      </x:c>
    </x:row>
    <x:row r="1392">
      <x:c r="A1392" t="s">
        <x:v>6443</x:v>
      </x:c>
      <x:c r="B1392" t="s">
        <x:v>6443</x:v>
      </x:c>
      <x:c r="C1392" t="s">
        <x:v>3915</x:v>
      </x:c>
      <x:c r="D1392">
        <x:v>9</x:v>
      </x:c>
      <x:c r="E1392" t="s">
        <x:v>198</x:v>
      </x:c>
      <x:c r="F1392" t="s">
        <x:v>90</x:v>
      </x:c>
      <x:c r="G1392">
        <x:v>45420</x:v>
      </x:c>
      <x:c r="H1392" t="s">
        <x:v>6444</x:v>
      </x:c>
      <x:c r="I1392" t="s">
        <x:v>6445</x:v>
      </x:c>
      <x:c r="J1392" t="s">
        <x:v>6446</x:v>
      </x:c>
    </x:row>
    <x:row r="1393">
      <x:c r="A1393" t="s">
        <x:v>6447</x:v>
      </x:c>
      <x:c r="B1393" t="s">
        <x:v>6447</x:v>
      </x:c>
      <x:c r="C1393" t="s">
        <x:v>5648</x:v>
      </x:c>
      <x:c r="D1393">
        <x:v>24</x:v>
      </x:c>
      <x:c r="E1393" t="s">
        <x:v>198</x:v>
      </x:c>
      <x:c r="F1393" t="s">
        <x:v>90</x:v>
      </x:c>
      <x:c r="G1393">
        <x:v>45089</x:v>
      </x:c>
      <x:c r="H1393" t="s">
        <x:v>6448</x:v>
      </x:c>
      <x:c r="I1393" t="s">
        <x:v>6449</x:v>
      </x:c>
      <x:c r="J1393" t="s">
        <x:v>6450</x:v>
      </x:c>
    </x:row>
    <x:row r="1394">
      <x:c r="A1394" t="s">
        <x:v>6451</x:v>
      </x:c>
      <x:c r="B1394" t="s">
        <x:v>6451</x:v>
      </x:c>
      <x:c r="C1394" t="s">
        <x:v>292</x:v>
      </x:c>
      <x:c r="D1394">
        <x:v>9</x:v>
      </x:c>
      <x:c r="E1394" t="s">
        <x:v>198</x:v>
      </x:c>
      <x:c r="F1394" t="s">
        <x:v>90</x:v>
      </x:c>
      <x:c r="G1394">
        <x:v>44901</x:v>
      </x:c>
      <x:c r="H1394" t="s">
        <x:v>6452</x:v>
      </x:c>
      <x:c r="I1394" t="s">
        <x:v>6453</x:v>
      </x:c>
      <x:c r="J1394" t="s">
        <x:v>6454</x:v>
      </x:c>
    </x:row>
    <x:row r="1395">
      <x:c r="A1395" t="s">
        <x:v>6455</x:v>
      </x:c>
      <x:c r="B1395" t="s">
        <x:v>6455</x:v>
      </x:c>
      <x:c r="C1395" t="s">
        <x:v>3295</x:v>
      </x:c>
      <x:c r="D1395">
        <x:v>32</x:v>
      </x:c>
      <x:c r="E1395" t="s">
        <x:v>103</x:v>
      </x:c>
      <x:c r="F1395" t="s">
        <x:v>97</x:v>
      </x:c>
      <x:c r="G1395">
        <x:v>45232</x:v>
      </x:c>
      <x:c r="H1395" t="s">
        <x:v>6456</x:v>
      </x:c>
      <x:c r="I1395" t="s">
        <x:v>6457</x:v>
      </x:c>
      <x:c r="J1395" t="s">
        <x:v>6458</x:v>
      </x:c>
    </x:row>
    <x:row r="1396">
      <x:c r="A1396" t="s">
        <x:v>6459</x:v>
      </x:c>
      <x:c r="B1396" t="s">
        <x:v>6459</x:v>
      </x:c>
      <x:c r="C1396" t="s">
        <x:v>629</x:v>
      </x:c>
      <x:c r="D1396">
        <x:v>6</x:v>
      </x:c>
      <x:c r="E1396" t="s">
        <x:v>103</x:v>
      </x:c>
      <x:c r="F1396" t="s">
        <x:v>90</x:v>
      </x:c>
      <x:c r="G1396">
        <x:v>46066</x:v>
      </x:c>
      <x:c r="H1396" t="s">
        <x:v>6460</x:v>
      </x:c>
      <x:c r="I1396" t="s">
        <x:v>6461</x:v>
      </x:c>
      <x:c r="J1396" t="s">
        <x:v>6462</x:v>
      </x:c>
    </x:row>
    <x:row r="1397">
      <x:c r="A1397" t="s">
        <x:v>6463</x:v>
      </x:c>
      <x:c r="B1397" t="s">
        <x:v>6463</x:v>
      </x:c>
      <x:c r="C1397" t="s">
        <x:v>629</x:v>
      </x:c>
      <x:c r="D1397">
        <x:v>8</x:v>
      </x:c>
      <x:c r="E1397" t="s">
        <x:v>103</x:v>
      </x:c>
      <x:c r="F1397" t="s">
        <x:v>90</x:v>
      </x:c>
      <x:c r="G1397">
        <x:v>46126</x:v>
      </x:c>
      <x:c r="H1397" t="s">
        <x:v>6464</x:v>
      </x:c>
      <x:c r="I1397" t="s">
        <x:v>6465</x:v>
      </x:c>
      <x:c r="J1397" t="s">
        <x:v>6466</x:v>
      </x:c>
    </x:row>
    <x:row r="1398">
      <x:c r="A1398" t="s">
        <x:v>6467</x:v>
      </x:c>
      <x:c r="B1398" t="s">
        <x:v>6467</x:v>
      </x:c>
      <x:c r="C1398" t="s">
        <x:v>1516</x:v>
      </x:c>
      <x:c r="D1398">
        <x:v>17</x:v>
      </x:c>
      <x:c r="E1398" t="s">
        <x:v>198</x:v>
      </x:c>
      <x:c r="F1398" t="s">
        <x:v>90</x:v>
      </x:c>
      <x:c r="G1398">
        <x:v>46196</x:v>
      </x:c>
      <x:c r="H1398" t="s">
        <x:v>6468</x:v>
      </x:c>
      <x:c r="I1398" t="s">
        <x:v>6469</x:v>
      </x:c>
      <x:c r="J1398" t="s">
        <x:v>6470</x:v>
      </x:c>
    </x:row>
    <x:row r="1399">
      <x:c r="A1399" t="s">
        <x:v>6471</x:v>
      </x:c>
      <x:c r="B1399" t="s">
        <x:v>6471</x:v>
      </x:c>
      <x:c r="C1399" t="s">
        <x:v>6472</x:v>
      </x:c>
      <x:c r="D1399">
        <x:v>8</x:v>
      </x:c>
      <x:c r="E1399" t="s">
        <x:v>89</x:v>
      </x:c>
      <x:c r="F1399" t="s">
        <x:v>97</x:v>
      </x:c>
      <x:c r="G1399">
        <x:v>44068</x:v>
      </x:c>
      <x:c r="H1399" t="s">
        <x:v>6473</x:v>
      </x:c>
      <x:c r="I1399" t="s">
        <x:v>6474</x:v>
      </x:c>
      <x:c r="J1399" t="s">
        <x:v>6475</x:v>
      </x:c>
    </x:row>
    <x:row r="1400">
      <x:c r="A1400" t="s">
        <x:v>6476</x:v>
      </x:c>
      <x:c r="B1400" t="s">
        <x:v>6476</x:v>
      </x:c>
      <x:c r="C1400" t="s">
        <x:v>6477</x:v>
      </x:c>
      <x:c r="D1400">
        <x:v>12</x:v>
      </x:c>
      <x:c r="E1400" t="s">
        <x:v>257</x:v>
      </x:c>
      <x:c r="F1400" t="s">
        <x:v>97</x:v>
      </x:c>
      <x:c r="G1400">
        <x:v>42742</x:v>
      </x:c>
      <x:c r="H1400" t="s">
        <x:v>6478</x:v>
      </x:c>
      <x:c r="I1400" t="s">
        <x:v>6479</x:v>
      </x:c>
      <x:c r="J1400" t="s">
        <x:v>6480</x:v>
      </x:c>
    </x:row>
    <x:row r="1401">
      <x:c r="A1401" t="s">
        <x:v>6481</x:v>
      </x:c>
      <x:c r="B1401" t="s">
        <x:v>6481</x:v>
      </x:c>
      <x:c r="C1401" t="s">
        <x:v>6482</x:v>
      </x:c>
      <x:c r="D1401">
        <x:v>12</x:v>
      </x:c>
      <x:c r="E1401" t="s">
        <x:v>89</x:v>
      </x:c>
      <x:c r="F1401" t="s">
        <x:v>90</x:v>
      </x:c>
      <x:c r="G1401">
        <x:v>46219</x:v>
      </x:c>
      <x:c r="H1401" t="s">
        <x:v>6483</x:v>
      </x:c>
      <x:c r="I1401" t="s">
        <x:v>6484</x:v>
      </x:c>
      <x:c r="J1401" t="s">
        <x:v>6485</x:v>
      </x:c>
    </x:row>
    <x:row r="1402">
      <x:c r="A1402" t="s">
        <x:v>6486</x:v>
      </x:c>
      <x:c r="B1402" t="s">
        <x:v>6486</x:v>
      </x:c>
      <x:c r="C1402" t="s">
        <x:v>6487</x:v>
      </x:c>
      <x:c r="D1402">
        <x:v>3</x:v>
      </x:c>
      <x:c r="E1402" t="s">
        <x:v>96</x:v>
      </x:c>
      <x:c r="F1402" t="s">
        <x:v>152</x:v>
      </x:c>
      <x:c r="G1402">
        <x:v>45699</x:v>
      </x:c>
      <x:c r="H1402" t="s">
        <x:v>6488</x:v>
      </x:c>
      <x:c r="I1402" t="s">
        <x:v>6489</x:v>
      </x:c>
      <x:c r="J1402" t="s">
        <x:v>6490</x:v>
      </x:c>
    </x:row>
    <x:row r="1403">
      <x:c r="A1403" t="s">
        <x:v>6491</x:v>
      </x:c>
      <x:c r="B1403" t="s">
        <x:v>6491</x:v>
      </x:c>
      <x:c r="C1403" t="s">
        <x:v>447</x:v>
      </x:c>
      <x:c r="D1403">
        <x:v>7</x:v>
      </x:c>
      <x:c r="E1403" t="s">
        <x:v>257</x:v>
      </x:c>
      <x:c r="F1403" t="s">
        <x:v>97</x:v>
      </x:c>
      <x:c r="G1403">
        <x:v>41464</x:v>
      </x:c>
      <x:c r="H1403" t="s">
        <x:v>6492</x:v>
      </x:c>
      <x:c r="I1403" t="s">
        <x:v>6493</x:v>
      </x:c>
      <x:c r="J1403" t="s">
        <x:v>6494</x:v>
      </x:c>
    </x:row>
    <x:row r="1404">
      <x:c r="A1404" t="s">
        <x:v>6495</x:v>
      </x:c>
      <x:c r="B1404" t="s">
        <x:v>6495</x:v>
      </x:c>
      <x:c r="C1404" t="s">
        <x:v>5738</x:v>
      </x:c>
      <x:c r="D1404">
        <x:v>50</x:v>
      </x:c>
      <x:c r="E1404" t="s">
        <x:v>103</x:v>
      </x:c>
      <x:c r="F1404" t="s">
        <x:v>97</x:v>
      </x:c>
      <x:c r="G1404">
        <x:v>42286</x:v>
      </x:c>
      <x:c r="H1404" t="s">
        <x:v>6496</x:v>
      </x:c>
      <x:c r="I1404" t="s">
        <x:v>6497</x:v>
      </x:c>
      <x:c r="J1404" t="s">
        <x:v>6498</x:v>
      </x:c>
    </x:row>
    <x:row r="1405">
      <x:c r="A1405" t="s">
        <x:v>6499</x:v>
      </x:c>
      <x:c r="B1405" t="s">
        <x:v>6499</x:v>
      </x:c>
      <x:c r="C1405" t="s">
        <x:v>6500</x:v>
      </x:c>
      <x:c r="D1405">
        <x:v>24</x:v>
      </x:c>
      <x:c r="E1405" t="s">
        <x:v>89</x:v>
      </x:c>
      <x:c r="F1405" t="s">
        <x:v>152</x:v>
      </x:c>
      <x:c r="G1405">
        <x:v>44423</x:v>
      </x:c>
      <x:c r="H1405" t="s">
        <x:v>6501</x:v>
      </x:c>
      <x:c r="I1405" t="s">
        <x:v>6502</x:v>
      </x:c>
      <x:c r="J1405" t="s">
        <x:v>6503</x:v>
      </x:c>
    </x:row>
    <x:row r="1406">
      <x:c r="A1406" t="s">
        <x:v>6504</x:v>
      </x:c>
      <x:c r="B1406" t="s">
        <x:v>6504</x:v>
      </x:c>
      <x:c r="C1406" t="s">
        <x:v>6505</x:v>
      </x:c>
      <x:c r="D1406">
        <x:v>75</x:v>
      </x:c>
      <x:c r="E1406" t="s">
        <x:v>125</x:v>
      </x:c>
      <x:c r="F1406" t="s">
        <x:v>90</x:v>
      </x:c>
      <x:c r="G1406">
        <x:v>45474</x:v>
      </x:c>
      <x:c r="H1406" t="s">
        <x:v>6506</x:v>
      </x:c>
      <x:c r="I1406" t="s">
        <x:v>6507</x:v>
      </x:c>
      <x:c r="J1406" t="s">
        <x:v>6508</x:v>
      </x:c>
    </x:row>
    <x:row r="1407">
      <x:c r="A1407" t="s">
        <x:v>6509</x:v>
      </x:c>
      <x:c r="B1407" t="s">
        <x:v>6509</x:v>
      </x:c>
      <x:c r="C1407" t="s">
        <x:v>6510</x:v>
      </x:c>
      <x:c r="D1407">
        <x:v>1</x:v>
      </x:c>
      <x:c r="E1407" t="s">
        <x:v>114</x:v>
      </x:c>
      <x:c r="F1407" t="s">
        <x:v>90</x:v>
      </x:c>
      <x:c r="G1407">
        <x:v>45500</x:v>
      </x:c>
      <x:c r="H1407" t="s">
        <x:v>6511</x:v>
      </x:c>
      <x:c r="I1407" t="s">
        <x:v>6512</x:v>
      </x:c>
      <x:c r="J1407" t="s">
        <x:v>6513</x:v>
      </x:c>
    </x:row>
    <x:row r="1408">
      <x:c r="A1408" t="s">
        <x:v>6514</x:v>
      </x:c>
      <x:c r="B1408" t="s">
        <x:v>6514</x:v>
      </x:c>
      <x:c r="C1408" t="s">
        <x:v>1107</x:v>
      </x:c>
      <x:c r="D1408">
        <x:v>5</x:v>
      </x:c>
      <x:c r="E1408" t="s">
        <x:v>89</x:v>
      </x:c>
      <x:c r="F1408" t="s">
        <x:v>90</x:v>
      </x:c>
      <x:c r="G1408">
        <x:v>44628</x:v>
      </x:c>
      <x:c r="H1408" t="s">
        <x:v>6515</x:v>
      </x:c>
      <x:c r="I1408" t="s">
        <x:v>6516</x:v>
      </x:c>
      <x:c r="J1408" t="s">
        <x:v>6517</x:v>
      </x:c>
    </x:row>
    <x:row r="1409">
      <x:c r="A1409" t="s">
        <x:v>6518</x:v>
      </x:c>
      <x:c r="B1409" t="s">
        <x:v>6518</x:v>
      </x:c>
      <x:c r="C1409" t="s">
        <x:v>1107</x:v>
      </x:c>
      <x:c r="D1409">
        <x:v>10</x:v>
      </x:c>
      <x:c r="E1409" t="s">
        <x:v>89</x:v>
      </x:c>
      <x:c r="F1409" t="s">
        <x:v>90</x:v>
      </x:c>
      <x:c r="G1409">
        <x:v>44677</x:v>
      </x:c>
      <x:c r="H1409" t="s">
        <x:v>6519</x:v>
      </x:c>
      <x:c r="I1409" t="s">
        <x:v>6520</x:v>
      </x:c>
      <x:c r="J1409" t="s">
        <x:v>6521</x:v>
      </x:c>
    </x:row>
    <x:row r="1410">
      <x:c r="A1410" t="s">
        <x:v>6522</x:v>
      </x:c>
      <x:c r="B1410" t="s">
        <x:v>6522</x:v>
      </x:c>
      <x:c r="C1410" t="s">
        <x:v>1417</x:v>
      </x:c>
      <x:c r="D1410">
        <x:v>9</x:v>
      </x:c>
      <x:c r="E1410" t="s">
        <x:v>89</x:v>
      </x:c>
      <x:c r="F1410" t="s">
        <x:v>90</x:v>
      </x:c>
      <x:c r="G1410">
        <x:v>45673</x:v>
      </x:c>
      <x:c r="H1410" t="s">
        <x:v>6523</x:v>
      </x:c>
      <x:c r="I1410" t="s">
        <x:v>6524</x:v>
      </x:c>
      <x:c r="J1410" t="s">
        <x:v>6525</x:v>
      </x:c>
    </x:row>
    <x:row r="1411">
      <x:c r="A1411" t="s">
        <x:v>6526</x:v>
      </x:c>
      <x:c r="B1411" t="s">
        <x:v>6526</x:v>
      </x:c>
      <x:c r="C1411" t="s">
        <x:v>2156</x:v>
      </x:c>
      <x:c r="D1411">
        <x:v>30</x:v>
      </x:c>
      <x:c r="E1411" t="s">
        <x:v>96</x:v>
      </x:c>
      <x:c r="F1411" t="s">
        <x:v>97</x:v>
      </x:c>
      <x:c r="G1411">
        <x:v>45153</x:v>
      </x:c>
      <x:c r="H1411" t="s">
        <x:v>6527</x:v>
      </x:c>
      <x:c r="I1411" t="s">
        <x:v>6528</x:v>
      </x:c>
      <x:c r="J1411" t="s">
        <x:v>6529</x:v>
      </x:c>
    </x:row>
    <x:row r="1412">
      <x:c r="A1412" t="s">
        <x:v>6530</x:v>
      </x:c>
      <x:c r="B1412" t="s">
        <x:v>6530</x:v>
      </x:c>
      <x:c r="C1412" t="s">
        <x:v>4737</x:v>
      </x:c>
      <x:c r="D1412">
        <x:v>12</x:v>
      </x:c>
      <x:c r="E1412" t="s">
        <x:v>96</x:v>
      </x:c>
      <x:c r="F1412" t="s">
        <x:v>97</x:v>
      </x:c>
      <x:c r="G1412">
        <x:v>44173</x:v>
      </x:c>
      <x:c r="H1412" t="s">
        <x:v>6531</x:v>
      </x:c>
      <x:c r="I1412" t="s">
        <x:v>6532</x:v>
      </x:c>
      <x:c r="J1412" t="s">
        <x:v>6533</x:v>
      </x:c>
    </x:row>
    <x:row r="1413">
      <x:c r="A1413" t="s">
        <x:v>6534</x:v>
      </x:c>
      <x:c r="B1413" t="s">
        <x:v>6534</x:v>
      </x:c>
      <x:c r="C1413" t="s">
        <x:v>6535</x:v>
      </x:c>
      <x:c r="D1413">
        <x:v>2</x:v>
      </x:c>
      <x:c r="E1413" t="s">
        <x:v>96</x:v>
      </x:c>
      <x:c r="F1413" t="s">
        <x:v>90</x:v>
      </x:c>
      <x:c r="G1413">
        <x:v>45397</x:v>
      </x:c>
      <x:c r="H1413" t="s">
        <x:v>6536</x:v>
      </x:c>
      <x:c r="I1413" t="s">
        <x:v>6537</x:v>
      </x:c>
      <x:c r="J1413" t="s">
        <x:v>6538</x:v>
      </x:c>
    </x:row>
    <x:row r="1414">
      <x:c r="A1414" t="s">
        <x:v>6539</x:v>
      </x:c>
      <x:c r="B1414" t="s">
        <x:v>6539</x:v>
      </x:c>
      <x:c r="C1414" t="s">
        <x:v>6540</x:v>
      </x:c>
      <x:c r="D1414">
        <x:v>15</x:v>
      </x:c>
      <x:c r="E1414" t="s">
        <x:v>103</x:v>
      </x:c>
      <x:c r="F1414" t="s">
        <x:v>97</x:v>
      </x:c>
      <x:c r="G1414">
        <x:v>42288</x:v>
      </x:c>
      <x:c r="H1414" t="s">
        <x:v>6541</x:v>
      </x:c>
      <x:c r="I1414" t="s">
        <x:v>6542</x:v>
      </x:c>
      <x:c r="J1414" t="s">
        <x:v>6543</x:v>
      </x:c>
    </x:row>
    <x:row r="1415">
      <x:c r="A1415" t="s">
        <x:v>6544</x:v>
      </x:c>
      <x:c r="B1415" t="s">
        <x:v>6544</x:v>
      </x:c>
      <x:c r="C1415" t="s">
        <x:v>124</x:v>
      </x:c>
      <x:c r="D1415">
        <x:v>1</x:v>
      </x:c>
      <x:c r="E1415" t="s">
        <x:v>125</x:v>
      </x:c>
      <x:c r="F1415" t="s">
        <x:v>126</x:v>
      </x:c>
      <x:c r="G1415">
        <x:v>42839</x:v>
      </x:c>
      <x:c r="H1415" t="s">
        <x:v>6545</x:v>
      </x:c>
      <x:c r="I1415" t="s">
        <x:v>6546</x:v>
      </x:c>
      <x:c r="J1415" t="s">
        <x:v>6547</x:v>
      </x:c>
    </x:row>
    <x:row r="1416">
      <x:c r="A1416" t="s">
        <x:v>6548</x:v>
      </x:c>
      <x:c r="B1416" t="s">
        <x:v>6548</x:v>
      </x:c>
      <x:c r="C1416" t="s">
        <x:v>968</x:v>
      </x:c>
      <x:c r="D1416">
        <x:v>3</x:v>
      </x:c>
      <x:c r="E1416" t="s">
        <x:v>114</x:v>
      </x:c>
      <x:c r="F1416" t="s">
        <x:v>90</x:v>
      </x:c>
      <x:c r="G1416">
        <x:v>43892</x:v>
      </x:c>
      <x:c r="H1416" t="s">
        <x:v>6549</x:v>
      </x:c>
      <x:c r="I1416" t="s">
        <x:v>6550</x:v>
      </x:c>
      <x:c r="J1416" t="s">
        <x:v>6551</x:v>
      </x:c>
    </x:row>
    <x:row r="1417">
      <x:c r="A1417" t="s">
        <x:v>6552</x:v>
      </x:c>
      <x:c r="B1417" t="s">
        <x:v>6552</x:v>
      </x:c>
      <x:c r="C1417" t="s">
        <x:v>968</x:v>
      </x:c>
      <x:c r="D1417">
        <x:v>7</x:v>
      </x:c>
      <x:c r="E1417" t="s">
        <x:v>114</x:v>
      </x:c>
      <x:c r="F1417" t="s">
        <x:v>90</x:v>
      </x:c>
      <x:c r="G1417">
        <x:v>46137</x:v>
      </x:c>
      <x:c r="H1417" t="s">
        <x:v>6553</x:v>
      </x:c>
      <x:c r="I1417" t="s">
        <x:v>6554</x:v>
      </x:c>
      <x:c r="J1417" t="s">
        <x:v>6555</x:v>
      </x:c>
    </x:row>
    <x:row r="1418">
      <x:c r="A1418" t="s">
        <x:v>6556</x:v>
      </x:c>
      <x:c r="B1418" t="s">
        <x:v>6556</x:v>
      </x:c>
      <x:c r="C1418" t="s">
        <x:v>6557</x:v>
      </x:c>
      <x:c r="D1418">
        <x:v>9</x:v>
      </x:c>
      <x:c r="E1418" t="s">
        <x:v>89</x:v>
      </x:c>
      <x:c r="F1418" t="s">
        <x:v>90</x:v>
      </x:c>
      <x:c r="G1418">
        <x:v>45334</x:v>
      </x:c>
      <x:c r="H1418" t="s">
        <x:v>6558</x:v>
      </x:c>
      <x:c r="I1418" t="s">
        <x:v>6559</x:v>
      </x:c>
      <x:c r="J1418" t="s">
        <x:v>6560</x:v>
      </x:c>
    </x:row>
    <x:row r="1419">
      <x:c r="A1419" t="s">
        <x:v>6561</x:v>
      </x:c>
      <x:c r="B1419" t="s">
        <x:v>6561</x:v>
      </x:c>
      <x:c r="C1419" t="s">
        <x:v>6562</x:v>
      </x:c>
      <x:c r="D1419">
        <x:v>44</x:v>
      </x:c>
      <x:c r="E1419" t="s">
        <x:v>257</x:v>
      </x:c>
      <x:c r="F1419" t="s">
        <x:v>97</x:v>
      </x:c>
      <x:c r="G1419">
        <x:v>42275</x:v>
      </x:c>
      <x:c r="H1419" t="s">
        <x:v>6563</x:v>
      </x:c>
      <x:c r="I1419" t="s">
        <x:v>6564</x:v>
      </x:c>
      <x:c r="J1419" t="s">
        <x:v>6565</x:v>
      </x:c>
    </x:row>
    <x:row r="1420">
      <x:c r="A1420" t="s">
        <x:v>6566</x:v>
      </x:c>
      <x:c r="B1420" t="s">
        <x:v>6566</x:v>
      </x:c>
      <x:c r="C1420" t="s">
        <x:v>2377</x:v>
      </x:c>
      <x:c r="D1420">
        <x:v>18</x:v>
      </x:c>
      <x:c r="E1420" t="s">
        <x:v>114</x:v>
      </x:c>
      <x:c r="F1420" t="s">
        <x:v>90</x:v>
      </x:c>
      <x:c r="G1420">
        <x:v>44870</x:v>
      </x:c>
      <x:c r="H1420" t="s">
        <x:v>6567</x:v>
      </x:c>
      <x:c r="I1420" t="s">
        <x:v>6568</x:v>
      </x:c>
      <x:c r="J1420" t="s">
        <x:v>6569</x:v>
      </x:c>
    </x:row>
    <x:row r="1421">
      <x:c r="A1421" t="s">
        <x:v>6570</x:v>
      </x:c>
      <x:c r="B1421" t="s">
        <x:v>6570</x:v>
      </x:c>
      <x:c r="C1421" t="s">
        <x:v>6571</x:v>
      </x:c>
      <x:c r="D1421">
        <x:v>14</x:v>
      </x:c>
      <x:c r="E1421" t="s">
        <x:v>89</x:v>
      </x:c>
      <x:c r="F1421" t="s">
        <x:v>90</x:v>
      </x:c>
      <x:c r="G1421">
        <x:v>43274</x:v>
      </x:c>
      <x:c r="H1421" t="s">
        <x:v>6572</x:v>
      </x:c>
      <x:c r="I1421" t="s">
        <x:v>6573</x:v>
      </x:c>
      <x:c r="J1421" t="s">
        <x:v>6574</x:v>
      </x:c>
    </x:row>
    <x:row r="1422">
      <x:c r="A1422" t="s">
        <x:v>6575</x:v>
      </x:c>
      <x:c r="B1422" t="s">
        <x:v>6575</x:v>
      </x:c>
      <x:c r="C1422" t="s">
        <x:v>756</x:v>
      </x:c>
      <x:c r="D1422">
        <x:v>1</x:v>
      </x:c>
      <x:c r="E1422" t="s">
        <x:v>114</x:v>
      </x:c>
      <x:c r="F1422" t="s">
        <x:v>90</x:v>
      </x:c>
      <x:c r="G1422">
        <x:v>43775</x:v>
      </x:c>
      <x:c r="H1422" t="s">
        <x:v>6576</x:v>
      </x:c>
      <x:c r="I1422" t="s">
        <x:v>6577</x:v>
      </x:c>
      <x:c r="J1422" t="s">
        <x:v>6578</x:v>
      </x:c>
    </x:row>
    <x:row r="1423">
      <x:c r="A1423" t="s">
        <x:v>6579</x:v>
      </x:c>
      <x:c r="B1423" t="s">
        <x:v>6579</x:v>
      </x:c>
      <x:c r="C1423" t="s">
        <x:v>2297</x:v>
      </x:c>
      <x:c r="D1423">
        <x:v>8</x:v>
      </x:c>
      <x:c r="E1423" t="s">
        <x:v>103</x:v>
      </x:c>
      <x:c r="F1423" t="s">
        <x:v>97</x:v>
      </x:c>
      <x:c r="G1423">
        <x:v>44509</x:v>
      </x:c>
      <x:c r="H1423" t="s">
        <x:v>6580</x:v>
      </x:c>
      <x:c r="I1423" t="s">
        <x:v>6581</x:v>
      </x:c>
      <x:c r="J1423" t="s">
        <x:v>6582</x:v>
      </x:c>
    </x:row>
    <x:row r="1424">
      <x:c r="A1424" t="s">
        <x:v>6583</x:v>
      </x:c>
      <x:c r="B1424" t="s">
        <x:v>6583</x:v>
      </x:c>
      <x:c r="C1424" t="s">
        <x:v>6584</x:v>
      </x:c>
      <x:c r="D1424">
        <x:v>16</x:v>
      </x:c>
      <x:c r="E1424" t="s">
        <x:v>103</x:v>
      </x:c>
      <x:c r="F1424" t="s">
        <x:v>97</x:v>
      </x:c>
      <x:c r="G1424">
        <x:v>43464</x:v>
      </x:c>
      <x:c r="H1424" t="s">
        <x:v>6585</x:v>
      </x:c>
      <x:c r="I1424" t="s">
        <x:v>6586</x:v>
      </x:c>
      <x:c r="J1424" t="s">
        <x:v>6587</x:v>
      </x:c>
    </x:row>
    <x:row r="1425">
      <x:c r="A1425" t="s">
        <x:v>6588</x:v>
      </x:c>
      <x:c r="B1425" t="s">
        <x:v>6588</x:v>
      </x:c>
      <x:c r="C1425" t="s">
        <x:v>6584</x:v>
      </x:c>
      <x:c r="D1425">
        <x:v>39</x:v>
      </x:c>
      <x:c r="E1425" t="s">
        <x:v>96</x:v>
      </x:c>
      <x:c r="F1425" t="s">
        <x:v>97</x:v>
      </x:c>
      <x:c r="G1425">
        <x:v>43308</x:v>
      </x:c>
      <x:c r="H1425" t="s">
        <x:v>6589</x:v>
      </x:c>
      <x:c r="I1425" t="s">
        <x:v>6590</x:v>
      </x:c>
      <x:c r="J1425" t="s">
        <x:v>6591</x:v>
      </x:c>
    </x:row>
    <x:row r="1426">
      <x:c r="A1426" t="s">
        <x:v>6592</x:v>
      </x:c>
      <x:c r="B1426" t="s">
        <x:v>6592</x:v>
      </x:c>
      <x:c r="C1426" t="s">
        <x:v>6593</x:v>
      </x:c>
      <x:c r="D1426">
        <x:v>5</x:v>
      </x:c>
      <x:c r="E1426" t="s">
        <x:v>103</x:v>
      </x:c>
      <x:c r="F1426" t="s">
        <x:v>97</x:v>
      </x:c>
      <x:c r="G1426">
        <x:v>43081</x:v>
      </x:c>
      <x:c r="H1426" t="s">
        <x:v>6594</x:v>
      </x:c>
      <x:c r="I1426" t="s">
        <x:v>6595</x:v>
      </x:c>
      <x:c r="J1426" t="s">
        <x:v>6596</x:v>
      </x:c>
    </x:row>
    <x:row r="1427">
      <x:c r="A1427" t="s">
        <x:v>6597</x:v>
      </x:c>
      <x:c r="B1427" t="s">
        <x:v>6597</x:v>
      </x:c>
      <x:c r="C1427" t="s">
        <x:v>6598</x:v>
      </x:c>
      <x:c r="D1427">
        <x:v>10</x:v>
      </x:c>
      <x:c r="E1427" t="s">
        <x:v>103</x:v>
      </x:c>
      <x:c r="F1427" t="s">
        <x:v>97</x:v>
      </x:c>
      <x:c r="G1427">
        <x:v>44446</x:v>
      </x:c>
      <x:c r="H1427" t="s">
        <x:v>6599</x:v>
      </x:c>
      <x:c r="I1427" t="s">
        <x:v>6600</x:v>
      </x:c>
      <x:c r="J1427" t="s">
        <x:v>6601</x:v>
      </x:c>
    </x:row>
    <x:row r="1428">
      <x:c r="A1428" t="s">
        <x:v>6602</x:v>
      </x:c>
      <x:c r="B1428" t="s">
        <x:v>6602</x:v>
      </x:c>
      <x:c r="C1428" t="s">
        <x:v>6603</x:v>
      </x:c>
      <x:c r="D1428">
        <x:v>17</x:v>
      </x:c>
      <x:c r="E1428" t="s">
        <x:v>96</x:v>
      </x:c>
      <x:c r="F1428" t="s">
        <x:v>97</x:v>
      </x:c>
      <x:c r="G1428">
        <x:v>45731</x:v>
      </x:c>
      <x:c r="H1428" t="s">
        <x:v>6604</x:v>
      </x:c>
      <x:c r="I1428" t="s">
        <x:v>6605</x:v>
      </x:c>
      <x:c r="J1428" t="s">
        <x:v>6606</x:v>
      </x:c>
    </x:row>
    <x:row r="1429">
      <x:c r="A1429" t="s">
        <x:v>6607</x:v>
      </x:c>
      <x:c r="B1429" t="s">
        <x:v>6607</x:v>
      </x:c>
      <x:c r="C1429" t="s">
        <x:v>533</x:v>
      </x:c>
      <x:c r="D1429">
        <x:v>0</x:v>
      </x:c>
      <x:c r="E1429" t="s">
        <x:v>114</x:v>
      </x:c>
      <x:c r="F1429" t="s">
        <x:v>90</x:v>
      </x:c>
      <x:c r="G1429">
        <x:v>45307</x:v>
      </x:c>
      <x:c r="H1429" t="s">
        <x:v>6608</x:v>
      </x:c>
      <x:c r="I1429" t="s">
        <x:v>6609</x:v>
      </x:c>
      <x:c r="J1429" t="s">
        <x:v>6610</x:v>
      </x:c>
    </x:row>
    <x:row r="1430">
      <x:c r="A1430" t="s">
        <x:v>6611</x:v>
      </x:c>
      <x:c r="B1430" t="s">
        <x:v>6611</x:v>
      </x:c>
      <x:c r="C1430" t="s">
        <x:v>3800</x:v>
      </x:c>
      <x:c r="D1430">
        <x:v>1</x:v>
      </x:c>
      <x:c r="E1430" t="s">
        <x:v>198</x:v>
      </x:c>
      <x:c r="F1430" t="s">
        <x:v>90</x:v>
      </x:c>
      <x:c r="G1430">
        <x:v>43404</x:v>
      </x:c>
      <x:c r="H1430" t="s">
        <x:v>6612</x:v>
      </x:c>
      <x:c r="I1430" t="s">
        <x:v>6613</x:v>
      </x:c>
      <x:c r="J1430" t="s">
        <x:v>6614</x:v>
      </x:c>
    </x:row>
    <x:row r="1431">
      <x:c r="A1431" t="s">
        <x:v>6615</x:v>
      </x:c>
      <x:c r="B1431" t="s">
        <x:v>6615</x:v>
      </x:c>
      <x:c r="C1431" t="s">
        <x:v>1821</x:v>
      </x:c>
      <x:c r="D1431">
        <x:v>2</x:v>
      </x:c>
      <x:c r="E1431" t="s">
        <x:v>89</x:v>
      </x:c>
      <x:c r="F1431" t="s">
        <x:v>610</x:v>
      </x:c>
      <x:c r="G1431">
        <x:v>42199</x:v>
      </x:c>
      <x:c r="H1431" t="s">
        <x:v>6616</x:v>
      </x:c>
      <x:c r="I1431" t="s">
        <x:v>6617</x:v>
      </x:c>
      <x:c r="J1431" t="s">
        <x:v>6618</x:v>
      </x:c>
    </x:row>
    <x:row r="1432">
      <x:c r="A1432" t="s">
        <x:v>6619</x:v>
      </x:c>
      <x:c r="B1432" t="s">
        <x:v>6619</x:v>
      </x:c>
      <x:c r="C1432" t="s">
        <x:v>1821</x:v>
      </x:c>
      <x:c r="D1432">
        <x:v>1</x:v>
      </x:c>
      <x:c r="E1432" t="s">
        <x:v>89</x:v>
      </x:c>
      <x:c r="F1432" t="s">
        <x:v>610</x:v>
      </x:c>
      <x:c r="G1432">
        <x:v>45158</x:v>
      </x:c>
      <x:c r="H1432" t="s">
        <x:v>6620</x:v>
      </x:c>
      <x:c r="I1432" t="s">
        <x:v>6621</x:v>
      </x:c>
      <x:c r="J1432" t="s">
        <x:v>6622</x:v>
      </x:c>
    </x:row>
    <x:row r="1433">
      <x:c r="A1433" t="s">
        <x:v>6623</x:v>
      </x:c>
      <x:c r="B1433" t="s">
        <x:v>6623</x:v>
      </x:c>
      <x:c r="C1433" t="s">
        <x:v>146</x:v>
      </x:c>
      <x:c r="D1433">
        <x:v>21</x:v>
      </x:c>
      <x:c r="E1433" t="s">
        <x:v>198</x:v>
      </x:c>
      <x:c r="F1433" t="s">
        <x:v>90</x:v>
      </x:c>
      <x:c r="G1433">
        <x:v>44462</x:v>
      </x:c>
      <x:c r="H1433" t="s">
        <x:v>6624</x:v>
      </x:c>
      <x:c r="I1433" t="s">
        <x:v>6625</x:v>
      </x:c>
      <x:c r="J1433" t="s">
        <x:v>6626</x:v>
      </x:c>
    </x:row>
    <x:row r="1434">
      <x:c r="A1434" t="s">
        <x:v>6627</x:v>
      </x:c>
      <x:c r="B1434" t="s">
        <x:v>6627</x:v>
      </x:c>
      <x:c r="C1434" t="s">
        <x:v>6628</x:v>
      </x:c>
      <x:c r="D1434">
        <x:v>18</x:v>
      </x:c>
      <x:c r="E1434" t="s">
        <x:v>89</x:v>
      </x:c>
      <x:c r="F1434" t="s">
        <x:v>90</x:v>
      </x:c>
      <x:c r="G1434">
        <x:v>44168</x:v>
      </x:c>
      <x:c r="H1434" t="s">
        <x:v>6629</x:v>
      </x:c>
      <x:c r="I1434" t="s">
        <x:v>6630</x:v>
      </x:c>
      <x:c r="J1434" t="s">
        <x:v>6631</x:v>
      </x:c>
    </x:row>
    <x:row r="1435">
      <x:c r="A1435" t="s">
        <x:v>6632</x:v>
      </x:c>
      <x:c r="B1435" t="s">
        <x:v>6632</x:v>
      </x:c>
      <x:c r="C1435" t="s">
        <x:v>491</x:v>
      </x:c>
      <x:c r="D1435">
        <x:v>6</x:v>
      </x:c>
      <x:c r="E1435" t="s">
        <x:v>96</x:v>
      </x:c>
      <x:c r="F1435" t="s">
        <x:v>90</x:v>
      </x:c>
      <x:c r="G1435">
        <x:v>44868</x:v>
      </x:c>
      <x:c r="H1435" t="s">
        <x:v>6633</x:v>
      </x:c>
      <x:c r="I1435" t="s">
        <x:v>6634</x:v>
      </x:c>
      <x:c r="J1435" t="s">
        <x:v>6635</x:v>
      </x:c>
    </x:row>
    <x:row r="1436">
      <x:c r="A1436" t="s">
        <x:v>6636</x:v>
      </x:c>
      <x:c r="B1436" t="s">
        <x:v>6636</x:v>
      </x:c>
      <x:c r="C1436" t="s">
        <x:v>6637</x:v>
      </x:c>
      <x:c r="D1436">
        <x:v>4</x:v>
      </x:c>
      <x:c r="E1436" t="s">
        <x:v>89</x:v>
      </x:c>
      <x:c r="F1436" t="s">
        <x:v>90</x:v>
      </x:c>
      <x:c r="G1436">
        <x:v>44196</x:v>
      </x:c>
      <x:c r="H1436" t="s">
        <x:v>6638</x:v>
      </x:c>
      <x:c r="I1436" t="s">
        <x:v>6639</x:v>
      </x:c>
      <x:c r="J1436" t="s">
        <x:v>6640</x:v>
      </x:c>
    </x:row>
    <x:row r="1437">
      <x:c r="A1437" t="s">
        <x:v>6641</x:v>
      </x:c>
      <x:c r="B1437" t="s">
        <x:v>6641</x:v>
      </x:c>
      <x:c r="C1437" t="s">
        <x:v>6642</x:v>
      </x:c>
      <x:c r="D1437">
        <x:v>23</x:v>
      </x:c>
      <x:c r="E1437" t="s">
        <x:v>96</x:v>
      </x:c>
      <x:c r="F1437" t="s">
        <x:v>97</x:v>
      </x:c>
      <x:c r="G1437">
        <x:v>42227</x:v>
      </x:c>
      <x:c r="H1437" t="s">
        <x:v>6643</x:v>
      </x:c>
      <x:c r="I1437" t="s">
        <x:v>6644</x:v>
      </x:c>
      <x:c r="J1437" t="s">
        <x:v>6645</x:v>
      </x:c>
    </x:row>
    <x:row r="1438">
      <x:c r="A1438" t="s">
        <x:v>6646</x:v>
      </x:c>
      <x:c r="B1438" t="s">
        <x:v>6646</x:v>
      </x:c>
      <x:c r="C1438" t="s">
        <x:v>6647</x:v>
      </x:c>
      <x:c r="D1438">
        <x:v>32</x:v>
      </x:c>
      <x:c r="E1438" t="s">
        <x:v>96</x:v>
      </x:c>
      <x:c r="F1438" t="s">
        <x:v>97</x:v>
      </x:c>
      <x:c r="G1438">
        <x:v>41530</x:v>
      </x:c>
      <x:c r="H1438" t="s">
        <x:v>6648</x:v>
      </x:c>
      <x:c r="I1438" t="s">
        <x:v>6649</x:v>
      </x:c>
      <x:c r="J1438" t="s">
        <x:v>6650</x:v>
      </x:c>
    </x:row>
    <x:row r="1439">
      <x:c r="A1439" t="s">
        <x:v>6651</x:v>
      </x:c>
      <x:c r="B1439" t="s">
        <x:v>6651</x:v>
      </x:c>
      <x:c r="C1439" t="s">
        <x:v>6652</x:v>
      </x:c>
      <x:c r="D1439">
        <x:v>32</x:v>
      </x:c>
      <x:c r="E1439" t="s">
        <x:v>96</x:v>
      </x:c>
      <x:c r="F1439" t="s">
        <x:v>97</x:v>
      </x:c>
      <x:c r="G1439">
        <x:v>45138</x:v>
      </x:c>
      <x:c r="H1439" t="s">
        <x:v>6653</x:v>
      </x:c>
      <x:c r="I1439" t="s">
        <x:v>6654</x:v>
      </x:c>
      <x:c r="J1439" t="s">
        <x:v>6655</x:v>
      </x:c>
    </x:row>
    <x:row r="1440">
      <x:c r="A1440" t="s">
        <x:v>6656</x:v>
      </x:c>
      <x:c r="B1440" t="s">
        <x:v>6656</x:v>
      </x:c>
      <x:c r="C1440" t="s">
        <x:v>6657</x:v>
      </x:c>
      <x:c r="D1440">
        <x:v>4</x:v>
      </x:c>
      <x:c r="E1440" t="s">
        <x:v>103</x:v>
      </x:c>
      <x:c r="F1440" t="s">
        <x:v>97</x:v>
      </x:c>
      <x:c r="G1440">
        <x:v>42276</x:v>
      </x:c>
      <x:c r="H1440" t="s">
        <x:v>6658</x:v>
      </x:c>
      <x:c r="I1440" t="s">
        <x:v>6659</x:v>
      </x:c>
      <x:c r="J1440" t="s">
        <x:v>6660</x:v>
      </x:c>
    </x:row>
    <x:row r="1441">
      <x:c r="A1441" t="s">
        <x:v>34</x:v>
      </x:c>
      <x:c r="B1441" t="s">
        <x:v>34</x:v>
      </x:c>
      <x:c r="C1441" t="s">
        <x:v>6661</x:v>
      </x:c>
      <x:c r="D1441">
        <x:v>14</x:v>
      </x:c>
      <x:c r="E1441" t="s">
        <x:v>89</x:v>
      </x:c>
      <x:c r="F1441" t="s">
        <x:v>90</x:v>
      </x:c>
      <x:c r="G1441">
        <x:v>43214</x:v>
      </x:c>
      <x:c r="H1441" t="s">
        <x:v>6662</x:v>
      </x:c>
      <x:c r="I1441" t="s">
        <x:v>6663</x:v>
      </x:c>
      <x:c r="J1441" t="s">
        <x:v>6664</x:v>
      </x:c>
    </x:row>
    <x:row r="1442">
      <x:c r="A1442" t="s">
        <x:v>36</x:v>
      </x:c>
      <x:c r="B1442" t="s">
        <x:v>36</x:v>
      </x:c>
      <x:c r="C1442" t="s">
        <x:v>6661</x:v>
      </x:c>
      <x:c r="D1442">
        <x:v>22</x:v>
      </x:c>
      <x:c r="E1442" t="s">
        <x:v>96</x:v>
      </x:c>
      <x:c r="F1442" t="s">
        <x:v>90</x:v>
      </x:c>
      <x:c r="G1442">
        <x:v>43532</x:v>
      </x:c>
      <x:c r="H1442" t="s">
        <x:v>6665</x:v>
      </x:c>
      <x:c r="I1442" t="s">
        <x:v>6666</x:v>
      </x:c>
      <x:c r="J1442" t="s">
        <x:v>6667</x:v>
      </x:c>
    </x:row>
    <x:row r="1443">
      <x:c r="A1443" t="s">
        <x:v>6668</x:v>
      </x:c>
      <x:c r="B1443" t="s">
        <x:v>6668</x:v>
      </x:c>
      <x:c r="C1443" t="s">
        <x:v>6661</x:v>
      </x:c>
      <x:c r="D1443">
        <x:v>9</x:v>
      </x:c>
      <x:c r="E1443" t="s">
        <x:v>89</x:v>
      </x:c>
      <x:c r="F1443" t="s">
        <x:v>90</x:v>
      </x:c>
      <x:c r="G1443">
        <x:v>44599</x:v>
      </x:c>
      <x:c r="H1443" t="s">
        <x:v>6669</x:v>
      </x:c>
      <x:c r="I1443" t="s">
        <x:v>6670</x:v>
      </x:c>
      <x:c r="J1443" t="s">
        <x:v>6671</x:v>
      </x:c>
    </x:row>
    <x:row r="1444">
      <x:c r="A1444" t="s">
        <x:v>6672</x:v>
      </x:c>
      <x:c r="B1444" t="s">
        <x:v>6672</x:v>
      </x:c>
      <x:c r="C1444" t="s">
        <x:v>6673</x:v>
      </x:c>
      <x:c r="D1444">
        <x:v>20</x:v>
      </x:c>
      <x:c r="E1444" t="s">
        <x:v>103</x:v>
      </x:c>
      <x:c r="F1444" t="s">
        <x:v>97</x:v>
      </x:c>
      <x:c r="G1444">
        <x:v>45379</x:v>
      </x:c>
      <x:c r="H1444" t="s">
        <x:v>6674</x:v>
      </x:c>
      <x:c r="I1444" t="s">
        <x:v>6675</x:v>
      </x:c>
      <x:c r="J1444" t="s">
        <x:v>6676</x:v>
      </x:c>
    </x:row>
    <x:row r="1445">
      <x:c r="A1445" t="s">
        <x:v>6677</x:v>
      </x:c>
      <x:c r="B1445" t="s">
        <x:v>6677</x:v>
      </x:c>
      <x:c r="C1445" t="s">
        <x:v>6678</x:v>
      </x:c>
      <x:c r="D1445">
        <x:v>50</x:v>
      </x:c>
      <x:c r="E1445" t="s">
        <x:v>89</x:v>
      </x:c>
      <x:c r="F1445" t="s">
        <x:v>97</x:v>
      </x:c>
      <x:c r="G1445">
        <x:v>44334</x:v>
      </x:c>
      <x:c r="H1445" t="s">
        <x:v>6679</x:v>
      </x:c>
      <x:c r="I1445" t="s">
        <x:v>6680</x:v>
      </x:c>
      <x:c r="J1445" t="s">
        <x:v>6681</x:v>
      </x:c>
    </x:row>
    <x:row r="1446">
      <x:c r="A1446" t="s">
        <x:v>6682</x:v>
      </x:c>
      <x:c r="B1446" t="s">
        <x:v>6682</x:v>
      </x:c>
      <x:c r="C1446" t="s">
        <x:v>491</x:v>
      </x:c>
      <x:c r="D1446">
        <x:v>0</x:v>
      </x:c>
      <x:c r="E1446" t="s">
        <x:v>89</x:v>
      </x:c>
      <x:c r="F1446" t="s">
        <x:v>90</x:v>
      </x:c>
      <x:c r="G1446">
        <x:v>44894</x:v>
      </x:c>
      <x:c r="H1446" t="s">
        <x:v>6683</x:v>
      </x:c>
      <x:c r="I1446" t="s">
        <x:v>6684</x:v>
      </x:c>
      <x:c r="J1446" t="s">
        <x:v>6685</x:v>
      </x:c>
    </x:row>
    <x:row r="1447">
      <x:c r="A1447" t="s">
        <x:v>6686</x:v>
      </x:c>
      <x:c r="B1447" t="s">
        <x:v>6686</x:v>
      </x:c>
      <x:c r="C1447" t="s">
        <x:v>6687</x:v>
      </x:c>
      <x:c r="D1447">
        <x:v>13</x:v>
      </x:c>
      <x:c r="E1447" t="s">
        <x:v>103</x:v>
      </x:c>
      <x:c r="F1447" t="s">
        <x:v>97</x:v>
      </x:c>
      <x:c r="G1447">
        <x:v>42293</x:v>
      </x:c>
      <x:c r="H1447" t="s">
        <x:v>6688</x:v>
      </x:c>
      <x:c r="I1447" t="s">
        <x:v>6689</x:v>
      </x:c>
      <x:c r="J1447" t="s">
        <x:v>6690</x:v>
      </x:c>
    </x:row>
    <x:row r="1448">
      <x:c r="A1448" t="s">
        <x:v>6691</x:v>
      </x:c>
      <x:c r="B1448" t="s">
        <x:v>6691</x:v>
      </x:c>
      <x:c r="C1448" t="s">
        <x:v>6692</x:v>
      </x:c>
      <x:c r="D1448">
        <x:v>85</x:v>
      </x:c>
      <x:c r="E1448" t="s">
        <x:v>125</x:v>
      </x:c>
      <x:c r="F1448" t="s">
        <x:v>152</x:v>
      </x:c>
      <x:c r="G1448">
        <x:v>44722</x:v>
      </x:c>
      <x:c r="H1448" t="s">
        <x:v>6693</x:v>
      </x:c>
      <x:c r="I1448" t="s">
        <x:v>6694</x:v>
      </x:c>
      <x:c r="J1448" t="s">
        <x:v>6695</x:v>
      </x:c>
    </x:row>
    <x:row r="1449">
      <x:c r="A1449" t="s">
        <x:v>6696</x:v>
      </x:c>
      <x:c r="B1449" t="s">
        <x:v>6696</x:v>
      </x:c>
      <x:c r="C1449" t="s">
        <x:v>5777</x:v>
      </x:c>
      <x:c r="D1449">
        <x:v>8</x:v>
      </x:c>
      <x:c r="E1449" t="s">
        <x:v>103</x:v>
      </x:c>
      <x:c r="F1449" t="s">
        <x:v>97</x:v>
      </x:c>
      <x:c r="G1449">
        <x:v>42104</x:v>
      </x:c>
      <x:c r="H1449" t="s">
        <x:v>6697</x:v>
      </x:c>
      <x:c r="I1449" t="s">
        <x:v>6698</x:v>
      </x:c>
      <x:c r="J1449" t="s">
        <x:v>6699</x:v>
      </x:c>
    </x:row>
    <x:row r="1450">
      <x:c r="A1450" t="s">
        <x:v>6700</x:v>
      </x:c>
      <x:c r="B1450" t="s">
        <x:v>6700</x:v>
      </x:c>
      <x:c r="C1450" t="s">
        <x:v>6701</x:v>
      </x:c>
      <x:c r="D1450">
        <x:v>5</x:v>
      </x:c>
      <x:c r="E1450" t="s">
        <x:v>114</x:v>
      </x:c>
      <x:c r="F1450" t="s">
        <x:v>97</x:v>
      </x:c>
      <x:c r="G1450">
        <x:v>45450</x:v>
      </x:c>
      <x:c r="H1450" t="s">
        <x:v>6702</x:v>
      </x:c>
      <x:c r="I1450" t="s">
        <x:v>6703</x:v>
      </x:c>
      <x:c r="J1450" t="s">
        <x:v>6704</x:v>
      </x:c>
    </x:row>
    <x:row r="1451">
      <x:c r="A1451" t="s">
        <x:v>6705</x:v>
      </x:c>
      <x:c r="B1451" t="s">
        <x:v>6705</x:v>
      </x:c>
      <x:c r="C1451" t="s">
        <x:v>5920</x:v>
      </x:c>
      <x:c r="D1451">
        <x:v>12</x:v>
      </x:c>
      <x:c r="E1451" t="s">
        <x:v>114</x:v>
      </x:c>
      <x:c r="F1451" t="s">
        <x:v>90</x:v>
      </x:c>
      <x:c r="G1451">
        <x:v>45219</x:v>
      </x:c>
      <x:c r="H1451" t="s">
        <x:v>6706</x:v>
      </x:c>
      <x:c r="I1451" t="s">
        <x:v>6707</x:v>
      </x:c>
      <x:c r="J1451" t="s">
        <x:v>6708</x:v>
      </x:c>
    </x:row>
    <x:row r="1452">
      <x:c r="A1452" t="s">
        <x:v>6709</x:v>
      </x:c>
      <x:c r="B1452" t="s">
        <x:v>6709</x:v>
      </x:c>
      <x:c r="C1452" t="s">
        <x:v>6710</x:v>
      </x:c>
      <x:c r="D1452">
        <x:v>10</x:v>
      </x:c>
      <x:c r="E1452" t="s">
        <x:v>198</x:v>
      </x:c>
      <x:c r="F1452" t="s">
        <x:v>90</x:v>
      </x:c>
      <x:c r="G1452">
        <x:v>45092</x:v>
      </x:c>
      <x:c r="H1452" t="s">
        <x:v>6711</x:v>
      </x:c>
      <x:c r="I1452" t="s">
        <x:v>6712</x:v>
      </x:c>
      <x:c r="J1452" t="s">
        <x:v>6713</x:v>
      </x:c>
    </x:row>
    <x:row r="1453">
      <x:c r="A1453" t="s">
        <x:v>6714</x:v>
      </x:c>
      <x:c r="B1453" t="s">
        <x:v>6714</x:v>
      </x:c>
      <x:c r="C1453" t="s">
        <x:v>6715</x:v>
      </x:c>
      <x:c r="D1453">
        <x:v>14</x:v>
      </x:c>
      <x:c r="E1453" t="s">
        <x:v>125</x:v>
      </x:c>
      <x:c r="F1453" t="s">
        <x:v>152</x:v>
      </x:c>
      <x:c r="G1453">
        <x:v>46099</x:v>
      </x:c>
      <x:c r="H1453" t="s">
        <x:v>6716</x:v>
      </x:c>
      <x:c r="I1453" t="s">
        <x:v>6717</x:v>
      </x:c>
      <x:c r="J1453" t="s">
        <x:v>6718</x:v>
      </x:c>
    </x:row>
    <x:row r="1454">
      <x:c r="A1454" t="s">
        <x:v>6719</x:v>
      </x:c>
      <x:c r="B1454" t="s">
        <x:v>6719</x:v>
      </x:c>
      <x:c r="C1454" t="s">
        <x:v>1995</x:v>
      </x:c>
      <x:c r="D1454">
        <x:v>7</x:v>
      </x:c>
      <x:c r="E1454" t="s">
        <x:v>114</x:v>
      </x:c>
      <x:c r="F1454" t="s">
        <x:v>90</x:v>
      </x:c>
      <x:c r="G1454">
        <x:v>45279</x:v>
      </x:c>
      <x:c r="H1454" t="s">
        <x:v>6720</x:v>
      </x:c>
      <x:c r="I1454" t="s">
        <x:v>6721</x:v>
      </x:c>
      <x:c r="J1454" t="s">
        <x:v>6722</x:v>
      </x:c>
    </x:row>
    <x:row r="1455">
      <x:c r="A1455" t="s">
        <x:v>6723</x:v>
      </x:c>
      <x:c r="B1455" t="s">
        <x:v>6723</x:v>
      </x:c>
      <x:c r="C1455" t="s">
        <x:v>2557</x:v>
      </x:c>
      <x:c r="D1455">
        <x:v>29</x:v>
      </x:c>
      <x:c r="E1455" t="s">
        <x:v>198</x:v>
      </x:c>
      <x:c r="F1455" t="s">
        <x:v>90</x:v>
      </x:c>
      <x:c r="G1455">
        <x:v>45348</x:v>
      </x:c>
      <x:c r="H1455" t="s">
        <x:v>6724</x:v>
      </x:c>
      <x:c r="I1455" t="s">
        <x:v>6725</x:v>
      </x:c>
      <x:c r="J1455" t="s">
        <x:v>6726</x:v>
      </x:c>
    </x:row>
    <x:row r="1456">
      <x:c r="A1456" t="s">
        <x:v>6727</x:v>
      </x:c>
      <x:c r="B1456" t="s">
        <x:v>6727</x:v>
      </x:c>
      <x:c r="C1456" t="s">
        <x:v>2557</x:v>
      </x:c>
      <x:c r="D1456">
        <x:v>20</x:v>
      </x:c>
      <x:c r="E1456" t="s">
        <x:v>198</x:v>
      </x:c>
      <x:c r="F1456" t="s">
        <x:v>90</x:v>
      </x:c>
      <x:c r="G1456">
        <x:v>45007</x:v>
      </x:c>
      <x:c r="H1456" t="s">
        <x:v>6728</x:v>
      </x:c>
      <x:c r="I1456" t="s">
        <x:v>6729</x:v>
      </x:c>
      <x:c r="J1456" t="s">
        <x:v>6730</x:v>
      </x:c>
    </x:row>
    <x:row r="1457">
      <x:c r="A1457" t="s">
        <x:v>6731</x:v>
      </x:c>
      <x:c r="B1457" t="s">
        <x:v>6731</x:v>
      </x:c>
      <x:c r="C1457" t="s">
        <x:v>2557</x:v>
      </x:c>
      <x:c r="D1457">
        <x:v>17</x:v>
      </x:c>
      <x:c r="E1457" t="s">
        <x:v>198</x:v>
      </x:c>
      <x:c r="F1457" t="s">
        <x:v>90</x:v>
      </x:c>
      <x:c r="G1457">
        <x:v>45152</x:v>
      </x:c>
      <x:c r="H1457" t="s">
        <x:v>6732</x:v>
      </x:c>
      <x:c r="I1457" t="s">
        <x:v>6733</x:v>
      </x:c>
      <x:c r="J1457" t="s">
        <x:v>6734</x:v>
      </x:c>
    </x:row>
    <x:row r="1458">
      <x:c r="A1458" t="s">
        <x:v>6735</x:v>
      </x:c>
      <x:c r="B1458" t="s">
        <x:v>6735</x:v>
      </x:c>
      <x:c r="C1458" t="s">
        <x:v>6736</x:v>
      </x:c>
      <x:c r="D1458">
        <x:v>4</x:v>
      </x:c>
      <x:c r="E1458" t="s">
        <x:v>103</x:v>
      </x:c>
      <x:c r="F1458" t="s">
        <x:v>97</x:v>
      </x:c>
      <x:c r="G1458">
        <x:v>42333</x:v>
      </x:c>
      <x:c r="H1458" t="s">
        <x:v>6737</x:v>
      </x:c>
      <x:c r="I1458" t="s">
        <x:v>6738</x:v>
      </x:c>
      <x:c r="J1458" t="s">
        <x:v>6739</x:v>
      </x:c>
    </x:row>
    <x:row r="1459">
      <x:c r="A1459" t="s">
        <x:v>6740</x:v>
      </x:c>
      <x:c r="B1459" t="s">
        <x:v>6740</x:v>
      </x:c>
      <x:c r="C1459" t="s">
        <x:v>4542</x:v>
      </x:c>
      <x:c r="D1459">
        <x:v>1</x:v>
      </x:c>
      <x:c r="E1459" t="s">
        <x:v>96</x:v>
      </x:c>
      <x:c r="F1459" t="s">
        <x:v>97</x:v>
      </x:c>
      <x:c r="G1459">
        <x:v>45291</x:v>
      </x:c>
      <x:c r="H1459" t="s">
        <x:v>6741</x:v>
      </x:c>
      <x:c r="I1459" t="s">
        <x:v>6742</x:v>
      </x:c>
      <x:c r="J1459" t="s">
        <x:v>6743</x:v>
      </x:c>
    </x:row>
    <x:row r="1460">
      <x:c r="A1460" t="s">
        <x:v>6744</x:v>
      </x:c>
      <x:c r="B1460" t="s">
        <x:v>6744</x:v>
      </x:c>
      <x:c r="C1460" t="s">
        <x:v>6745</x:v>
      </x:c>
      <x:c r="D1460">
        <x:v>1</x:v>
      </x:c>
      <x:c r="E1460" t="s">
        <x:v>96</x:v>
      </x:c>
      <x:c r="F1460" t="s">
        <x:v>97</x:v>
      </x:c>
      <x:c r="G1460">
        <x:v>42057</x:v>
      </x:c>
      <x:c r="H1460" t="s">
        <x:v>6746</x:v>
      </x:c>
      <x:c r="I1460" t="s">
        <x:v>6747</x:v>
      </x:c>
      <x:c r="J1460" t="s">
        <x:v>6748</x:v>
      </x:c>
    </x:row>
    <x:row r="1461">
      <x:c r="A1461" t="s">
        <x:v>6749</x:v>
      </x:c>
      <x:c r="B1461" t="s">
        <x:v>6749</x:v>
      </x:c>
      <x:c r="C1461" t="s">
        <x:v>466</x:v>
      </x:c>
      <x:c r="D1461">
        <x:v>1</x:v>
      </x:c>
      <x:c r="E1461" t="s">
        <x:v>114</x:v>
      </x:c>
      <x:c r="F1461" t="s">
        <x:v>90</x:v>
      </x:c>
      <x:c r="G1461">
        <x:v>44317</x:v>
      </x:c>
      <x:c r="H1461" t="s">
        <x:v>6750</x:v>
      </x:c>
      <x:c r="I1461" t="s">
        <x:v>6751</x:v>
      </x:c>
      <x:c r="J1461" t="s">
        <x:v>6752</x:v>
      </x:c>
    </x:row>
    <x:row r="1462">
      <x:c r="A1462" t="s">
        <x:v>6753</x:v>
      </x:c>
      <x:c r="B1462" t="s">
        <x:v>6753</x:v>
      </x:c>
      <x:c r="C1462" t="s">
        <x:v>6754</x:v>
      </x:c>
      <x:c r="D1462">
        <x:v>12</x:v>
      </x:c>
      <x:c r="E1462" t="s">
        <x:v>198</x:v>
      </x:c>
      <x:c r="F1462" t="s">
        <x:v>90</x:v>
      </x:c>
      <x:c r="G1462">
        <x:v>45532</x:v>
      </x:c>
      <x:c r="H1462" t="s">
        <x:v>6755</x:v>
      </x:c>
      <x:c r="I1462" t="s">
        <x:v>6756</x:v>
      </x:c>
      <x:c r="J1462" t="s">
        <x:v>6757</x:v>
      </x:c>
    </x:row>
    <x:row r="1463">
      <x:c r="A1463" t="s">
        <x:v>6758</x:v>
      </x:c>
      <x:c r="B1463" t="s">
        <x:v>6758</x:v>
      </x:c>
      <x:c r="C1463" t="s">
        <x:v>3322</x:v>
      </x:c>
      <x:c r="D1463">
        <x:v>10</x:v>
      </x:c>
      <x:c r="E1463" t="s">
        <x:v>103</x:v>
      </x:c>
      <x:c r="F1463" t="s">
        <x:v>97</x:v>
      </x:c>
      <x:c r="G1463">
        <x:v>42010</x:v>
      </x:c>
      <x:c r="H1463" t="s">
        <x:v>6759</x:v>
      </x:c>
      <x:c r="I1463" t="s">
        <x:v>6760</x:v>
      </x:c>
      <x:c r="J1463" t="s">
        <x:v>6761</x:v>
      </x:c>
    </x:row>
    <x:row r="1464">
      <x:c r="A1464" t="s">
        <x:v>6762</x:v>
      </x:c>
      <x:c r="B1464" t="s">
        <x:v>6762</x:v>
      </x:c>
      <x:c r="C1464" t="s">
        <x:v>2396</x:v>
      </x:c>
      <x:c r="D1464">
        <x:v>11</x:v>
      </x:c>
      <x:c r="E1464" t="s">
        <x:v>198</x:v>
      </x:c>
      <x:c r="F1464" t="s">
        <x:v>90</x:v>
      </x:c>
      <x:c r="G1464">
        <x:v>45993</x:v>
      </x:c>
      <x:c r="H1464" t="s">
        <x:v>6763</x:v>
      </x:c>
      <x:c r="I1464" t="s">
        <x:v>6764</x:v>
      </x:c>
      <x:c r="J1464" t="s">
        <x:v>6765</x:v>
      </x:c>
    </x:row>
    <x:row r="1465">
      <x:c r="A1465" t="s">
        <x:v>6766</x:v>
      </x:c>
      <x:c r="B1465" t="s">
        <x:v>6766</x:v>
      </x:c>
      <x:c r="C1465" t="s">
        <x:v>6767</x:v>
      </x:c>
      <x:c r="D1465">
        <x:v>80</x:v>
      </x:c>
      <x:c r="E1465" t="s">
        <x:v>103</x:v>
      </x:c>
      <x:c r="F1465" t="s">
        <x:v>97</x:v>
      </x:c>
      <x:c r="G1465">
        <x:v>42217</x:v>
      </x:c>
      <x:c r="H1465" t="s">
        <x:v>6768</x:v>
      </x:c>
      <x:c r="I1465" t="s">
        <x:v>6769</x:v>
      </x:c>
      <x:c r="J1465" t="s">
        <x:v>6770</x:v>
      </x:c>
    </x:row>
    <x:row r="1466">
      <x:c r="A1466" t="s">
        <x:v>6771</x:v>
      </x:c>
      <x:c r="B1466" t="s">
        <x:v>6771</x:v>
      </x:c>
      <x:c r="C1466" t="s">
        <x:v>6772</x:v>
      </x:c>
      <x:c r="D1466">
        <x:v>5</x:v>
      </x:c>
      <x:c r="E1466" t="s">
        <x:v>257</x:v>
      </x:c>
      <x:c r="F1466" t="s">
        <x:v>97</x:v>
      </x:c>
      <x:c r="G1466">
        <x:v>42280</x:v>
      </x:c>
      <x:c r="H1466" t="s">
        <x:v>6773</x:v>
      </x:c>
      <x:c r="I1466" t="s">
        <x:v>6774</x:v>
      </x:c>
      <x:c r="J1466" t="s">
        <x:v>6775</x:v>
      </x:c>
    </x:row>
    <x:row r="1467">
      <x:c r="A1467" t="s">
        <x:v>6776</x:v>
      </x:c>
      <x:c r="B1467" t="s">
        <x:v>6776</x:v>
      </x:c>
      <x:c r="C1467" t="s">
        <x:v>6777</x:v>
      </x:c>
      <x:c r="D1467">
        <x:v>32</x:v>
      </x:c>
      <x:c r="E1467" t="s">
        <x:v>257</x:v>
      </x:c>
      <x:c r="F1467" t="s">
        <x:v>97</x:v>
      </x:c>
      <x:c r="G1467">
        <x:v>42384</x:v>
      </x:c>
      <x:c r="H1467" t="s">
        <x:v>6778</x:v>
      </x:c>
      <x:c r="I1467" t="s">
        <x:v>6779</x:v>
      </x:c>
      <x:c r="J1467" t="s">
        <x:v>6780</x:v>
      </x:c>
    </x:row>
    <x:row r="1468">
      <x:c r="A1468" t="s">
        <x:v>6781</x:v>
      </x:c>
      <x:c r="B1468" t="s">
        <x:v>6781</x:v>
      </x:c>
      <x:c r="C1468" t="s">
        <x:v>6782</x:v>
      </x:c>
      <x:c r="D1468">
        <x:v>10</x:v>
      </x:c>
      <x:c r="E1468" t="s">
        <x:v>89</x:v>
      </x:c>
      <x:c r="F1468" t="s">
        <x:v>90</x:v>
      </x:c>
      <x:c r="G1468">
        <x:v>45572</x:v>
      </x:c>
      <x:c r="H1468" t="s">
        <x:v>6783</x:v>
      </x:c>
      <x:c r="I1468" t="s">
        <x:v>6784</x:v>
      </x:c>
      <x:c r="J1468" t="s">
        <x:v>6785</x:v>
      </x:c>
    </x:row>
    <x:row r="1469">
      <x:c r="A1469" t="s">
        <x:v>6786</x:v>
      </x:c>
      <x:c r="B1469" t="s">
        <x:v>6786</x:v>
      </x:c>
      <x:c r="C1469" t="s">
        <x:v>533</x:v>
      </x:c>
      <x:c r="D1469">
        <x:v>0</x:v>
      </x:c>
      <x:c r="E1469" t="s">
        <x:v>198</x:v>
      </x:c>
      <x:c r="F1469" t="s">
        <x:v>90</x:v>
      </x:c>
      <x:c r="G1469">
        <x:v>45198</x:v>
      </x:c>
      <x:c r="H1469" t="s">
        <x:v>6787</x:v>
      </x:c>
      <x:c r="I1469" t="s">
        <x:v>6788</x:v>
      </x:c>
      <x:c r="J1469" t="s">
        <x:v>6789</x:v>
      </x:c>
    </x:row>
    <x:row r="1470">
      <x:c r="A1470" t="s">
        <x:v>6790</x:v>
      </x:c>
      <x:c r="B1470" t="s">
        <x:v>6790</x:v>
      </x:c>
      <x:c r="C1470" t="s">
        <x:v>1723</x:v>
      </x:c>
      <x:c r="D1470">
        <x:v>5</x:v>
      </x:c>
      <x:c r="E1470" t="s">
        <x:v>257</x:v>
      </x:c>
      <x:c r="F1470" t="s">
        <x:v>97</x:v>
      </x:c>
      <x:c r="G1470">
        <x:v>42565</x:v>
      </x:c>
      <x:c r="H1470" t="s">
        <x:v>6791</x:v>
      </x:c>
      <x:c r="I1470" t="s">
        <x:v>6792</x:v>
      </x:c>
      <x:c r="J1470" t="s">
        <x:v>6793</x:v>
      </x:c>
    </x:row>
    <x:row r="1471">
      <x:c r="A1471" t="s">
        <x:v>6794</x:v>
      </x:c>
      <x:c r="B1471" t="s">
        <x:v>6794</x:v>
      </x:c>
      <x:c r="C1471" t="s">
        <x:v>4646</x:v>
      </x:c>
      <x:c r="D1471">
        <x:v>28</x:v>
      </x:c>
      <x:c r="E1471" t="s">
        <x:v>96</x:v>
      </x:c>
      <x:c r="F1471" t="s">
        <x:v>97</x:v>
      </x:c>
      <x:c r="G1471">
        <x:v>42614</x:v>
      </x:c>
      <x:c r="H1471" t="s">
        <x:v>6795</x:v>
      </x:c>
      <x:c r="I1471" t="s">
        <x:v>6796</x:v>
      </x:c>
      <x:c r="J1471" t="s">
        <x:v>6797</x:v>
      </x:c>
    </x:row>
    <x:row r="1472">
      <x:c r="A1472" t="s">
        <x:v>6798</x:v>
      </x:c>
      <x:c r="B1472" t="s">
        <x:v>6798</x:v>
      </x:c>
      <x:c r="C1472" t="s">
        <x:v>102</x:v>
      </x:c>
      <x:c r="D1472">
        <x:v>33</x:v>
      </x:c>
      <x:c r="E1472" t="s">
        <x:v>96</x:v>
      </x:c>
      <x:c r="F1472" t="s">
        <x:v>97</x:v>
      </x:c>
      <x:c r="G1472">
        <x:v>43896</x:v>
      </x:c>
      <x:c r="H1472" t="s">
        <x:v>6799</x:v>
      </x:c>
      <x:c r="I1472" t="s">
        <x:v>6800</x:v>
      </x:c>
      <x:c r="J1472" t="s">
        <x:v>6801</x:v>
      </x:c>
    </x:row>
    <x:row r="1473">
      <x:c r="A1473" t="s">
        <x:v>6802</x:v>
      </x:c>
      <x:c r="B1473" t="s">
        <x:v>6802</x:v>
      </x:c>
      <x:c r="C1473" t="s">
        <x:v>5454</x:v>
      </x:c>
      <x:c r="D1473">
        <x:v>9</x:v>
      </x:c>
      <x:c r="E1473" t="s">
        <x:v>257</x:v>
      </x:c>
      <x:c r="F1473" t="s">
        <x:v>97</x:v>
      </x:c>
      <x:c r="G1473">
        <x:v>41501</x:v>
      </x:c>
      <x:c r="H1473" t="s">
        <x:v>6803</x:v>
      </x:c>
      <x:c r="I1473" t="s">
        <x:v>6804</x:v>
      </x:c>
      <x:c r="J1473" t="s">
        <x:v>6805</x:v>
      </x:c>
    </x:row>
    <x:row r="1474">
      <x:c r="A1474" t="s">
        <x:v>6806</x:v>
      </x:c>
      <x:c r="B1474" t="s">
        <x:v>6806</x:v>
      </x:c>
      <x:c r="C1474" t="s">
        <x:v>6807</x:v>
      </x:c>
      <x:c r="D1474">
        <x:v>4</x:v>
      </x:c>
      <x:c r="E1474" t="s">
        <x:v>89</x:v>
      </x:c>
      <x:c r="F1474" t="s">
        <x:v>97</x:v>
      </x:c>
      <x:c r="G1474">
        <x:v>45702</x:v>
      </x:c>
      <x:c r="H1474" t="s">
        <x:v>6808</x:v>
      </x:c>
      <x:c r="I1474" t="s">
        <x:v>6809</x:v>
      </x:c>
      <x:c r="J1474" t="s">
        <x:v>6810</x:v>
      </x:c>
    </x:row>
    <x:row r="1475">
      <x:c r="A1475" t="s">
        <x:v>6811</x:v>
      </x:c>
      <x:c r="B1475" t="s">
        <x:v>6811</x:v>
      </x:c>
      <x:c r="C1475" t="s">
        <x:v>6812</x:v>
      </x:c>
      <x:c r="D1475">
        <x:v>2</x:v>
      </x:c>
      <x:c r="E1475" t="s">
        <x:v>103</x:v>
      </x:c>
      <x:c r="F1475" t="s">
        <x:v>2469</x:v>
      </x:c>
      <x:c r="G1475">
        <x:v>46005</x:v>
      </x:c>
      <x:c r="H1475" t="s">
        <x:v>6813</x:v>
      </x:c>
      <x:c r="I1475" t="s">
        <x:v>6814</x:v>
      </x:c>
      <x:c r="J1475" t="s">
        <x:v>6815</x:v>
      </x:c>
    </x:row>
    <x:row r="1476">
      <x:c r="A1476" t="s">
        <x:v>6816</x:v>
      </x:c>
      <x:c r="B1476" t="s">
        <x:v>6816</x:v>
      </x:c>
      <x:c r="C1476" t="s">
        <x:v>6817</x:v>
      </x:c>
      <x:c r="D1476">
        <x:v>32</x:v>
      </x:c>
      <x:c r="E1476" t="s">
        <x:v>114</x:v>
      </x:c>
      <x:c r="F1476" t="s">
        <x:v>90</x:v>
      </x:c>
      <x:c r="G1476">
        <x:v>44226</x:v>
      </x:c>
      <x:c r="H1476" t="s">
        <x:v>6818</x:v>
      </x:c>
      <x:c r="I1476" t="s">
        <x:v>6819</x:v>
      </x:c>
      <x:c r="J1476" t="s">
        <x:v>6820</x:v>
      </x:c>
    </x:row>
    <x:row r="1477">
      <x:c r="A1477" t="s">
        <x:v>6821</x:v>
      </x:c>
      <x:c r="B1477" t="s">
        <x:v>6821</x:v>
      </x:c>
      <x:c r="C1477" t="s">
        <x:v>703</x:v>
      </x:c>
      <x:c r="D1477">
        <x:v>12</x:v>
      </x:c>
      <x:c r="E1477" t="s">
        <x:v>114</x:v>
      </x:c>
      <x:c r="F1477" t="s">
        <x:v>90</x:v>
      </x:c>
      <x:c r="G1477">
        <x:v>44859</x:v>
      </x:c>
      <x:c r="H1477" t="s">
        <x:v>6822</x:v>
      </x:c>
      <x:c r="I1477" t="s">
        <x:v>6823</x:v>
      </x:c>
      <x:c r="J1477" t="s">
        <x:v>6824</x:v>
      </x:c>
    </x:row>
    <x:row r="1478">
      <x:c r="A1478" t="s">
        <x:v>6825</x:v>
      </x:c>
      <x:c r="B1478" t="s">
        <x:v>6825</x:v>
      </x:c>
      <x:c r="C1478" t="s">
        <x:v>2656</x:v>
      </x:c>
      <x:c r="D1478">
        <x:v>2</x:v>
      </x:c>
      <x:c r="E1478" t="s">
        <x:v>96</x:v>
      </x:c>
      <x:c r="F1478" t="s">
        <x:v>610</x:v>
      </x:c>
      <x:c r="G1478">
        <x:v>44802</x:v>
      </x:c>
      <x:c r="H1478" t="s">
        <x:v>6826</x:v>
      </x:c>
      <x:c r="I1478" t="s">
        <x:v>6827</x:v>
      </x:c>
      <x:c r="J1478" t="s">
        <x:v>6828</x:v>
      </x:c>
    </x:row>
    <x:row r="1479">
      <x:c r="A1479" t="s">
        <x:v>6829</x:v>
      </x:c>
      <x:c r="B1479" t="s">
        <x:v>6829</x:v>
      </x:c>
      <x:c r="C1479" t="s">
        <x:v>6830</x:v>
      </x:c>
      <x:c r="D1479">
        <x:v>53</x:v>
      </x:c>
      <x:c r="E1479" t="s">
        <x:v>96</x:v>
      </x:c>
      <x:c r="F1479" t="s">
        <x:v>97</x:v>
      </x:c>
      <x:c r="G1479">
        <x:v>41870</x:v>
      </x:c>
      <x:c r="H1479" t="s">
        <x:v>6831</x:v>
      </x:c>
      <x:c r="I1479" t="s">
        <x:v>6832</x:v>
      </x:c>
      <x:c r="J1479" t="s">
        <x:v>6833</x:v>
      </x:c>
    </x:row>
    <x:row r="1480">
      <x:c r="A1480" t="s">
        <x:v>6834</x:v>
      </x:c>
      <x:c r="B1480" t="s">
        <x:v>6834</x:v>
      </x:c>
      <x:c r="C1480" t="s">
        <x:v>6835</x:v>
      </x:c>
      <x:c r="D1480">
        <x:v>18</x:v>
      </x:c>
      <x:c r="E1480" t="s">
        <x:v>89</x:v>
      </x:c>
      <x:c r="F1480" t="s">
        <x:v>90</x:v>
      </x:c>
      <x:c r="G1480">
        <x:v>43921</x:v>
      </x:c>
      <x:c r="H1480" t="s">
        <x:v>6836</x:v>
      </x:c>
      <x:c r="I1480" t="s">
        <x:v>6837</x:v>
      </x:c>
      <x:c r="J1480" t="s">
        <x:v>6838</x:v>
      </x:c>
    </x:row>
    <x:row r="1481">
      <x:c r="A1481" t="s">
        <x:v>6839</x:v>
      </x:c>
      <x:c r="B1481" t="s">
        <x:v>6839</x:v>
      </x:c>
      <x:c r="C1481" t="s">
        <x:v>1646</x:v>
      </x:c>
      <x:c r="D1481">
        <x:v>5</x:v>
      </x:c>
      <x:c r="E1481" t="s">
        <x:v>96</x:v>
      </x:c>
      <x:c r="F1481" t="s">
        <x:v>90</x:v>
      </x:c>
      <x:c r="G1481">
        <x:v>44821</x:v>
      </x:c>
      <x:c r="H1481" t="s">
        <x:v>6840</x:v>
      </x:c>
      <x:c r="I1481" t="s">
        <x:v>6841</x:v>
      </x:c>
      <x:c r="J1481" t="s">
        <x:v>6842</x:v>
      </x:c>
    </x:row>
    <x:row r="1482">
      <x:c r="A1482" t="s">
        <x:v>6843</x:v>
      </x:c>
      <x:c r="B1482" t="s">
        <x:v>6843</x:v>
      </x:c>
      <x:c r="C1482" t="s">
        <x:v>6844</x:v>
      </x:c>
      <x:c r="D1482">
        <x:v>84</x:v>
      </x:c>
      <x:c r="E1482" t="s">
        <x:v>103</x:v>
      </x:c>
      <x:c r="F1482" t="s">
        <x:v>97</x:v>
      </x:c>
      <x:c r="G1482">
        <x:v>42221</x:v>
      </x:c>
      <x:c r="H1482" t="s">
        <x:v>6845</x:v>
      </x:c>
      <x:c r="I1482" t="s">
        <x:v>6846</x:v>
      </x:c>
      <x:c r="J1482" t="s">
        <x:v>6847</x:v>
      </x:c>
    </x:row>
    <x:row r="1483">
      <x:c r="A1483" t="s">
        <x:v>6848</x:v>
      </x:c>
      <x:c r="B1483" t="s">
        <x:v>6848</x:v>
      </x:c>
      <x:c r="C1483" t="s">
        <x:v>6844</x:v>
      </x:c>
      <x:c r="D1483">
        <x:v>84</x:v>
      </x:c>
      <x:c r="E1483" t="s">
        <x:v>103</x:v>
      </x:c>
      <x:c r="F1483" t="s">
        <x:v>97</x:v>
      </x:c>
      <x:c r="G1483">
        <x:v>42221</x:v>
      </x:c>
      <x:c r="H1483" t="s">
        <x:v>6849</x:v>
      </x:c>
      <x:c r="I1483" t="s">
        <x:v>6850</x:v>
      </x:c>
      <x:c r="J1483" t="s">
        <x:v>6851</x:v>
      </x:c>
    </x:row>
    <x:row r="1484">
      <x:c r="A1484" t="s">
        <x:v>6852</x:v>
      </x:c>
      <x:c r="B1484" t="s">
        <x:v>6852</x:v>
      </x:c>
      <x:c r="C1484" t="s">
        <x:v>6853</x:v>
      </x:c>
      <x:c r="D1484">
        <x:v>14</x:v>
      </x:c>
      <x:c r="E1484" t="s">
        <x:v>96</x:v>
      </x:c>
      <x:c r="F1484" t="s">
        <x:v>90</x:v>
      </x:c>
      <x:c r="G1484">
        <x:v>43629</x:v>
      </x:c>
      <x:c r="H1484" t="s">
        <x:v>6854</x:v>
      </x:c>
      <x:c r="I1484" t="s">
        <x:v>6855</x:v>
      </x:c>
      <x:c r="J1484" t="s">
        <x:v>6856</x:v>
      </x:c>
    </x:row>
    <x:row r="1485">
      <x:c r="A1485" t="s">
        <x:v>6857</x:v>
      </x:c>
      <x:c r="B1485" t="s">
        <x:v>6857</x:v>
      </x:c>
      <x:c r="C1485" t="s">
        <x:v>6858</x:v>
      </x:c>
      <x:c r="D1485">
        <x:v>15</x:v>
      </x:c>
      <x:c r="E1485" t="s">
        <x:v>198</x:v>
      </x:c>
      <x:c r="F1485" t="s">
        <x:v>90</x:v>
      </x:c>
      <x:c r="G1485">
        <x:v>44369</x:v>
      </x:c>
      <x:c r="H1485" t="s">
        <x:v>6859</x:v>
      </x:c>
      <x:c r="I1485" t="s">
        <x:v>6860</x:v>
      </x:c>
      <x:c r="J1485" t="s">
        <x:v>6861</x:v>
      </x:c>
    </x:row>
    <x:row r="1486">
      <x:c r="A1486" t="s">
        <x:v>6862</x:v>
      </x:c>
      <x:c r="B1486" t="s">
        <x:v>6862</x:v>
      </x:c>
      <x:c r="C1486" t="s">
        <x:v>1107</x:v>
      </x:c>
      <x:c r="D1486">
        <x:v>14</x:v>
      </x:c>
      <x:c r="E1486" t="s">
        <x:v>198</x:v>
      </x:c>
      <x:c r="F1486" t="s">
        <x:v>90</x:v>
      </x:c>
      <x:c r="G1486">
        <x:v>45079</x:v>
      </x:c>
      <x:c r="H1486" t="s">
        <x:v>6863</x:v>
      </x:c>
      <x:c r="I1486" t="s">
        <x:v>6864</x:v>
      </x:c>
      <x:c r="J1486" t="s">
        <x:v>6865</x:v>
      </x:c>
    </x:row>
    <x:row r="1487">
      <x:c r="A1487" t="s">
        <x:v>6866</x:v>
      </x:c>
      <x:c r="B1487" t="s">
        <x:v>6866</x:v>
      </x:c>
      <x:c r="C1487" t="s">
        <x:v>2912</x:v>
      </x:c>
      <x:c r="D1487">
        <x:v>14</x:v>
      </x:c>
      <x:c r="E1487" t="s">
        <x:v>89</x:v>
      </x:c>
      <x:c r="F1487" t="s">
        <x:v>90</x:v>
      </x:c>
      <x:c r="G1487">
        <x:v>45343</x:v>
      </x:c>
      <x:c r="H1487" t="s">
        <x:v>6867</x:v>
      </x:c>
      <x:c r="I1487" t="s">
        <x:v>6868</x:v>
      </x:c>
      <x:c r="J1487" t="s">
        <x:v>6869</x:v>
      </x:c>
    </x:row>
    <x:row r="1488">
      <x:c r="A1488" t="s">
        <x:v>6870</x:v>
      </x:c>
      <x:c r="B1488" t="s">
        <x:v>6870</x:v>
      </x:c>
      <x:c r="C1488" t="s">
        <x:v>2327</x:v>
      </x:c>
      <x:c r="D1488">
        <x:v>13</x:v>
      </x:c>
      <x:c r="E1488" t="s">
        <x:v>198</x:v>
      </x:c>
      <x:c r="F1488" t="s">
        <x:v>90</x:v>
      </x:c>
      <x:c r="G1488">
        <x:v>46213</x:v>
      </x:c>
      <x:c r="H1488" t="s">
        <x:v>6871</x:v>
      </x:c>
      <x:c r="I1488" t="s">
        <x:v>6872</x:v>
      </x:c>
      <x:c r="J1488" t="s">
        <x:v>6873</x:v>
      </x:c>
    </x:row>
    <x:row r="1489">
      <x:c r="A1489" t="s">
        <x:v>6874</x:v>
      </x:c>
      <x:c r="B1489" t="s">
        <x:v>6874</x:v>
      </x:c>
      <x:c r="C1489" t="s">
        <x:v>6875</x:v>
      </x:c>
      <x:c r="D1489">
        <x:v>15</x:v>
      </x:c>
      <x:c r="E1489" t="s">
        <x:v>198</x:v>
      </x:c>
      <x:c r="F1489" t="s">
        <x:v>90</x:v>
      </x:c>
      <x:c r="G1489">
        <x:v>43573</x:v>
      </x:c>
      <x:c r="H1489" t="s">
        <x:v>6876</x:v>
      </x:c>
      <x:c r="I1489" t="s">
        <x:v>6877</x:v>
      </x:c>
      <x:c r="J1489" t="s">
        <x:v>6878</x:v>
      </x:c>
    </x:row>
    <x:row r="1490">
      <x:c r="A1490" t="s">
        <x:v>6879</x:v>
      </x:c>
      <x:c r="B1490" t="s">
        <x:v>6879</x:v>
      </x:c>
      <x:c r="C1490" t="s">
        <x:v>6875</x:v>
      </x:c>
      <x:c r="D1490">
        <x:v>13</x:v>
      </x:c>
      <x:c r="E1490" t="s">
        <x:v>198</x:v>
      </x:c>
      <x:c r="F1490" t="s">
        <x:v>90</x:v>
      </x:c>
      <x:c r="G1490">
        <x:v>43573</x:v>
      </x:c>
      <x:c r="H1490" t="s">
        <x:v>6880</x:v>
      </x:c>
      <x:c r="I1490" t="s">
        <x:v>6881</x:v>
      </x:c>
      <x:c r="J1490" t="s">
        <x:v>6882</x:v>
      </x:c>
    </x:row>
    <x:row r="1491">
      <x:c r="A1491" t="s">
        <x:v>6883</x:v>
      </x:c>
      <x:c r="B1491" t="s">
        <x:v>6883</x:v>
      </x:c>
      <x:c r="C1491" t="s">
        <x:v>6875</x:v>
      </x:c>
      <x:c r="D1491">
        <x:v>13</x:v>
      </x:c>
      <x:c r="E1491" t="s">
        <x:v>198</x:v>
      </x:c>
      <x:c r="F1491" t="s">
        <x:v>90</x:v>
      </x:c>
      <x:c r="G1491">
        <x:v>43703</x:v>
      </x:c>
      <x:c r="H1491" t="s">
        <x:v>6884</x:v>
      </x:c>
      <x:c r="I1491" t="s">
        <x:v>6885</x:v>
      </x:c>
      <x:c r="J1491" t="s">
        <x:v>6886</x:v>
      </x:c>
    </x:row>
    <x:row r="1492">
      <x:c r="A1492" t="s">
        <x:v>6887</x:v>
      </x:c>
      <x:c r="B1492" t="s">
        <x:v>6887</x:v>
      </x:c>
      <x:c r="C1492" t="s">
        <x:v>6875</x:v>
      </x:c>
      <x:c r="D1492">
        <x:v>12</x:v>
      </x:c>
      <x:c r="E1492" t="s">
        <x:v>198</x:v>
      </x:c>
      <x:c r="F1492" t="s">
        <x:v>90</x:v>
      </x:c>
      <x:c r="G1492">
        <x:v>43875</x:v>
      </x:c>
      <x:c r="H1492" t="s">
        <x:v>6888</x:v>
      </x:c>
      <x:c r="I1492" t="s">
        <x:v>6889</x:v>
      </x:c>
      <x:c r="J1492" t="s">
        <x:v>6890</x:v>
      </x:c>
    </x:row>
    <x:row r="1493">
      <x:c r="A1493" t="s">
        <x:v>6891</x:v>
      </x:c>
      <x:c r="B1493" t="s">
        <x:v>6891</x:v>
      </x:c>
      <x:c r="C1493" t="s">
        <x:v>3388</x:v>
      </x:c>
      <x:c r="D1493">
        <x:v>23</x:v>
      </x:c>
      <x:c r="E1493" t="s">
        <x:v>198</x:v>
      </x:c>
      <x:c r="F1493" t="s">
        <x:v>90</x:v>
      </x:c>
      <x:c r="G1493">
        <x:v>44366</x:v>
      </x:c>
      <x:c r="H1493" t="s">
        <x:v>6892</x:v>
      </x:c>
      <x:c r="I1493" t="s">
        <x:v>6893</x:v>
      </x:c>
      <x:c r="J1493" t="s">
        <x:v>6894</x:v>
      </x:c>
    </x:row>
    <x:row r="1494">
      <x:c r="A1494" t="s">
        <x:v>6895</x:v>
      </x:c>
      <x:c r="B1494" t="s">
        <x:v>6895</x:v>
      </x:c>
      <x:c r="C1494" t="s">
        <x:v>1502</x:v>
      </x:c>
      <x:c r="D1494">
        <x:v>1</x:v>
      </x:c>
      <x:c r="E1494" t="s">
        <x:v>96</x:v>
      </x:c>
      <x:c r="F1494" t="s">
        <x:v>90</x:v>
      </x:c>
      <x:c r="G1494">
        <x:v>46060</x:v>
      </x:c>
      <x:c r="H1494" t="s">
        <x:v>6896</x:v>
      </x:c>
      <x:c r="I1494" t="s">
        <x:v>6897</x:v>
      </x:c>
      <x:c r="J1494" t="s">
        <x:v>6898</x:v>
      </x:c>
    </x:row>
    <x:row r="1495">
      <x:c r="A1495" t="s">
        <x:v>6899</x:v>
      </x:c>
      <x:c r="B1495" t="s">
        <x:v>6899</x:v>
      </x:c>
      <x:c r="C1495" t="s">
        <x:v>968</x:v>
      </x:c>
      <x:c r="D1495">
        <x:v>1</x:v>
      </x:c>
      <x:c r="E1495" t="s">
        <x:v>198</x:v>
      </x:c>
      <x:c r="F1495" t="s">
        <x:v>90</x:v>
      </x:c>
      <x:c r="G1495">
        <x:v>45216</x:v>
      </x:c>
      <x:c r="H1495" t="s">
        <x:v>6900</x:v>
      </x:c>
      <x:c r="I1495" t="s">
        <x:v>6901</x:v>
      </x:c>
      <x:c r="J1495" t="s">
        <x:v>6902</x:v>
      </x:c>
    </x:row>
    <x:row r="1496">
      <x:c r="A1496" t="s">
        <x:v>6903</x:v>
      </x:c>
      <x:c r="B1496" t="s">
        <x:v>6903</x:v>
      </x:c>
      <x:c r="C1496" t="s">
        <x:v>6904</x:v>
      </x:c>
      <x:c r="D1496">
        <x:v>44</x:v>
      </x:c>
      <x:c r="E1496" t="s">
        <x:v>96</x:v>
      </x:c>
      <x:c r="F1496" t="s">
        <x:v>97</x:v>
      </x:c>
      <x:c r="G1496">
        <x:v>46146</x:v>
      </x:c>
      <x:c r="H1496" t="s">
        <x:v>6905</x:v>
      </x:c>
      <x:c r="I1496" t="s">
        <x:v>6906</x:v>
      </x:c>
      <x:c r="J1496" t="s">
        <x:v>6907</x:v>
      </x:c>
    </x:row>
    <x:row r="1497">
      <x:c r="A1497" t="s">
        <x:v>6908</x:v>
      </x:c>
      <x:c r="B1497" t="s">
        <x:v>6908</x:v>
      </x:c>
      <x:c r="C1497" t="s">
        <x:v>3313</x:v>
      </x:c>
      <x:c r="D1497">
        <x:v>5</x:v>
      </x:c>
      <x:c r="E1497" t="s">
        <x:v>96</x:v>
      </x:c>
      <x:c r="F1497" t="s">
        <x:v>90</x:v>
      </x:c>
      <x:c r="G1497">
        <x:v>45214</x:v>
      </x:c>
      <x:c r="H1497" t="s">
        <x:v>6909</x:v>
      </x:c>
      <x:c r="I1497" t="s">
        <x:v>6910</x:v>
      </x:c>
      <x:c r="J1497" t="s">
        <x:v>6911</x:v>
      </x:c>
    </x:row>
    <x:row r="1498">
      <x:c r="A1498" t="s">
        <x:v>6912</x:v>
      </x:c>
      <x:c r="B1498" t="s">
        <x:v>6912</x:v>
      </x:c>
      <x:c r="C1498" t="s">
        <x:v>3606</x:v>
      </x:c>
      <x:c r="D1498">
        <x:v>18</x:v>
      </x:c>
      <x:c r="E1498" t="s">
        <x:v>103</x:v>
      </x:c>
      <x:c r="F1498" t="s">
        <x:v>97</x:v>
      </x:c>
      <x:c r="G1498">
        <x:v>42284</x:v>
      </x:c>
      <x:c r="H1498" t="s">
        <x:v>6913</x:v>
      </x:c>
      <x:c r="I1498" t="s">
        <x:v>6914</x:v>
      </x:c>
      <x:c r="J1498" t="s">
        <x:v>6915</x:v>
      </x:c>
    </x:row>
    <x:row r="1499">
      <x:c r="A1499" t="s">
        <x:v>6916</x:v>
      </x:c>
      <x:c r="B1499" t="s">
        <x:v>6916</x:v>
      </x:c>
      <x:c r="C1499" t="s">
        <x:v>6917</x:v>
      </x:c>
      <x:c r="D1499">
        <x:v>5</x:v>
      </x:c>
      <x:c r="E1499" t="s">
        <x:v>103</x:v>
      </x:c>
      <x:c r="F1499" t="s">
        <x:v>97</x:v>
      </x:c>
      <x:c r="G1499">
        <x:v>42057</x:v>
      </x:c>
      <x:c r="H1499" t="s">
        <x:v>6918</x:v>
      </x:c>
      <x:c r="I1499" t="s">
        <x:v>6919</x:v>
      </x:c>
      <x:c r="J1499" t="s">
        <x:v>6920</x:v>
      </x:c>
    </x:row>
    <x:row r="1500">
      <x:c r="A1500" t="s">
        <x:v>6921</x:v>
      </x:c>
      <x:c r="B1500" t="s">
        <x:v>6921</x:v>
      </x:c>
      <x:c r="C1500" t="s">
        <x:v>1969</x:v>
      </x:c>
      <x:c r="D1500">
        <x:v>1</x:v>
      </x:c>
      <x:c r="E1500" t="s">
        <x:v>114</x:v>
      </x:c>
      <x:c r="F1500" t="s">
        <x:v>90</x:v>
      </x:c>
      <x:c r="G1500">
        <x:v>44683</x:v>
      </x:c>
      <x:c r="H1500" t="s">
        <x:v>6922</x:v>
      </x:c>
      <x:c r="I1500" t="s">
        <x:v>6923</x:v>
      </x:c>
      <x:c r="J1500" t="s">
        <x:v>6924</x:v>
      </x:c>
    </x:row>
    <x:row r="1501">
      <x:c r="A1501" t="s">
        <x:v>6925</x:v>
      </x:c>
      <x:c r="B1501" t="s">
        <x:v>6925</x:v>
      </x:c>
      <x:c r="C1501" t="s">
        <x:v>1969</x:v>
      </x:c>
      <x:c r="D1501">
        <x:v>0</x:v>
      </x:c>
      <x:c r="E1501" t="s">
        <x:v>114</x:v>
      </x:c>
      <x:c r="F1501" t="s">
        <x:v>90</x:v>
      </x:c>
      <x:c r="G1501">
        <x:v>44736</x:v>
      </x:c>
      <x:c r="H1501" t="s">
        <x:v>6926</x:v>
      </x:c>
      <x:c r="I1501" t="s">
        <x:v>6927</x:v>
      </x:c>
      <x:c r="J1501" t="s">
        <x:v>6928</x:v>
      </x:c>
    </x:row>
    <x:row r="1502">
      <x:c r="A1502" t="s">
        <x:v>6929</x:v>
      </x:c>
      <x:c r="B1502" t="s">
        <x:v>6929</x:v>
      </x:c>
      <x:c r="C1502" t="s">
        <x:v>1969</x:v>
      </x:c>
      <x:c r="D1502">
        <x:v>1</x:v>
      </x:c>
      <x:c r="E1502" t="s">
        <x:v>114</x:v>
      </x:c>
      <x:c r="F1502" t="s">
        <x:v>90</x:v>
      </x:c>
      <x:c r="G1502">
        <x:v>44739</x:v>
      </x:c>
      <x:c r="H1502" t="s">
        <x:v>6930</x:v>
      </x:c>
      <x:c r="I1502" t="s">
        <x:v>6931</x:v>
      </x:c>
      <x:c r="J1502" t="s">
        <x:v>6932</x:v>
      </x:c>
    </x:row>
    <x:row r="1503">
      <x:c r="A1503" t="s">
        <x:v>6933</x:v>
      </x:c>
      <x:c r="B1503" t="s">
        <x:v>6933</x:v>
      </x:c>
      <x:c r="C1503" t="s">
        <x:v>282</x:v>
      </x:c>
      <x:c r="D1503">
        <x:v>10</x:v>
      </x:c>
      <x:c r="E1503" t="s">
        <x:v>96</x:v>
      </x:c>
      <x:c r="F1503" t="s">
        <x:v>97</x:v>
      </x:c>
      <x:c r="G1503">
        <x:v>46101</x:v>
      </x:c>
      <x:c r="H1503" t="s">
        <x:v>6934</x:v>
      </x:c>
      <x:c r="I1503" t="s">
        <x:v>6935</x:v>
      </x:c>
      <x:c r="J1503" t="s">
        <x:v>6936</x:v>
      </x:c>
    </x:row>
    <x:row r="1504">
      <x:c r="A1504" t="s">
        <x:v>6937</x:v>
      </x:c>
      <x:c r="B1504" t="s">
        <x:v>6937</x:v>
      </x:c>
      <x:c r="C1504" t="s">
        <x:v>6938</x:v>
      </x:c>
      <x:c r="D1504">
        <x:v>5</x:v>
      </x:c>
      <x:c r="E1504" t="s">
        <x:v>125</x:v>
      </x:c>
      <x:c r="F1504" t="s">
        <x:v>97</x:v>
      </x:c>
      <x:c r="G1504">
        <x:v>46074</x:v>
      </x:c>
      <x:c r="H1504" t="s">
        <x:v>6939</x:v>
      </x:c>
      <x:c r="I1504" t="s">
        <x:v>6940</x:v>
      </x:c>
      <x:c r="J1504" t="s">
        <x:v>6941</x:v>
      </x:c>
    </x:row>
    <x:row r="1505">
      <x:c r="A1505" t="s">
        <x:v>6942</x:v>
      </x:c>
      <x:c r="B1505" t="s">
        <x:v>6942</x:v>
      </x:c>
      <x:c r="C1505" t="s">
        <x:v>6943</x:v>
      </x:c>
      <x:c r="D1505">
        <x:v>11</x:v>
      </x:c>
      <x:c r="E1505" t="s">
        <x:v>198</x:v>
      </x:c>
      <x:c r="F1505" t="s">
        <x:v>90</x:v>
      </x:c>
      <x:c r="G1505">
        <x:v>44384</x:v>
      </x:c>
      <x:c r="H1505" t="s">
        <x:v>6944</x:v>
      </x:c>
      <x:c r="I1505" t="s">
        <x:v>6945</x:v>
      </x:c>
      <x:c r="J1505" t="s">
        <x:v>6946</x:v>
      </x:c>
    </x:row>
    <x:row r="1506">
      <x:c r="A1506" t="s">
        <x:v>6947</x:v>
      </x:c>
      <x:c r="B1506" t="s">
        <x:v>6947</x:v>
      </x:c>
      <x:c r="C1506" t="s">
        <x:v>6943</x:v>
      </x:c>
      <x:c r="D1506">
        <x:v>14</x:v>
      </x:c>
      <x:c r="E1506" t="s">
        <x:v>198</x:v>
      </x:c>
      <x:c r="F1506" t="s">
        <x:v>90</x:v>
      </x:c>
      <x:c r="G1506">
        <x:v>45026</x:v>
      </x:c>
      <x:c r="H1506" t="s">
        <x:v>6948</x:v>
      </x:c>
      <x:c r="I1506" t="s">
        <x:v>6949</x:v>
      </x:c>
      <x:c r="J1506" t="s">
        <x:v>6950</x:v>
      </x:c>
    </x:row>
    <x:row r="1507">
      <x:c r="A1507" t="s">
        <x:v>6951</x:v>
      </x:c>
      <x:c r="B1507" t="s">
        <x:v>6951</x:v>
      </x:c>
      <x:c r="C1507" t="s">
        <x:v>680</x:v>
      </x:c>
      <x:c r="D1507">
        <x:v>14</x:v>
      </x:c>
      <x:c r="E1507" t="s">
        <x:v>114</x:v>
      </x:c>
      <x:c r="F1507" t="s">
        <x:v>90</x:v>
      </x:c>
      <x:c r="G1507">
        <x:v>44515</x:v>
      </x:c>
      <x:c r="H1507" t="s">
        <x:v>6952</x:v>
      </x:c>
      <x:c r="I1507" t="s">
        <x:v>6953</x:v>
      </x:c>
      <x:c r="J1507" t="s">
        <x:v>6954</x:v>
      </x:c>
    </x:row>
    <x:row r="1508">
      <x:c r="A1508" t="s">
        <x:v>6955</x:v>
      </x:c>
      <x:c r="B1508" t="s">
        <x:v>6955</x:v>
      </x:c>
      <x:c r="C1508" t="s">
        <x:v>6956</x:v>
      </x:c>
      <x:c r="D1508">
        <x:v>118</x:v>
      </x:c>
      <x:c r="E1508" t="s">
        <x:v>96</x:v>
      </x:c>
      <x:c r="F1508" t="s">
        <x:v>97</x:v>
      </x:c>
      <x:c r="G1508">
        <x:v>45416</x:v>
      </x:c>
      <x:c r="H1508" t="s">
        <x:v>6957</x:v>
      </x:c>
      <x:c r="I1508" t="s">
        <x:v>6958</x:v>
      </x:c>
      <x:c r="J1508" t="s">
        <x:v>6959</x:v>
      </x:c>
    </x:row>
    <x:row r="1509">
      <x:c r="A1509" t="s">
        <x:v>6960</x:v>
      </x:c>
      <x:c r="B1509" t="s">
        <x:v>6960</x:v>
      </x:c>
      <x:c r="C1509" t="s">
        <x:v>533</x:v>
      </x:c>
      <x:c r="D1509">
        <x:v>1</x:v>
      </x:c>
      <x:c r="E1509" t="s">
        <x:v>125</x:v>
      </x:c>
      <x:c r="F1509" t="s">
        <x:v>90</x:v>
      </x:c>
      <x:c r="G1509">
        <x:v>45483</x:v>
      </x:c>
      <x:c r="H1509" t="s">
        <x:v>6961</x:v>
      </x:c>
      <x:c r="I1509" t="s">
        <x:v>6962</x:v>
      </x:c>
      <x:c r="J1509" t="s">
        <x:v>6963</x:v>
      </x:c>
    </x:row>
    <x:row r="1510">
      <x:c r="A1510" t="s">
        <x:v>6964</x:v>
      </x:c>
      <x:c r="B1510" t="s">
        <x:v>6964</x:v>
      </x:c>
      <x:c r="C1510" t="s">
        <x:v>6965</x:v>
      </x:c>
      <x:c r="D1510">
        <x:v>20</x:v>
      </x:c>
      <x:c r="E1510" t="s">
        <x:v>198</x:v>
      </x:c>
      <x:c r="F1510" t="s">
        <x:v>90</x:v>
      </x:c>
      <x:c r="G1510">
        <x:v>46141</x:v>
      </x:c>
      <x:c r="H1510" t="s">
        <x:v>6966</x:v>
      </x:c>
      <x:c r="I1510" t="s">
        <x:v>6967</x:v>
      </x:c>
      <x:c r="J1510" t="s">
        <x:v>6968</x:v>
      </x:c>
    </x:row>
    <x:row r="1511">
      <x:c r="A1511" t="s">
        <x:v>6969</x:v>
      </x:c>
      <x:c r="B1511" t="s">
        <x:v>6969</x:v>
      </x:c>
      <x:c r="C1511" t="s">
        <x:v>6970</x:v>
      </x:c>
      <x:c r="D1511">
        <x:v>22</x:v>
      </x:c>
      <x:c r="E1511" t="s">
        <x:v>114</x:v>
      </x:c>
      <x:c r="F1511" t="s">
        <x:v>90</x:v>
      </x:c>
      <x:c r="G1511">
        <x:v>43210</x:v>
      </x:c>
      <x:c r="H1511" t="s">
        <x:v>6971</x:v>
      </x:c>
      <x:c r="I1511" t="s">
        <x:v>6972</x:v>
      </x:c>
      <x:c r="J1511" t="s">
        <x:v>6973</x:v>
      </x:c>
    </x:row>
    <x:row r="1512">
      <x:c r="A1512" t="s">
        <x:v>6974</x:v>
      </x:c>
      <x:c r="B1512" t="s">
        <x:v>6974</x:v>
      </x:c>
      <x:c r="C1512" t="s">
        <x:v>4579</x:v>
      </x:c>
      <x:c r="D1512">
        <x:v>92</x:v>
      </x:c>
      <x:c r="E1512" t="s">
        <x:v>96</x:v>
      </x:c>
      <x:c r="F1512" t="s">
        <x:v>97</x:v>
      </x:c>
      <x:c r="G1512">
        <x:v>44062</x:v>
      </x:c>
      <x:c r="H1512" t="s">
        <x:v>6975</x:v>
      </x:c>
      <x:c r="I1512" t="s">
        <x:v>6976</x:v>
      </x:c>
      <x:c r="J1512" t="s">
        <x:v>6977</x:v>
      </x:c>
    </x:row>
    <x:row r="1513">
      <x:c r="A1513" t="s">
        <x:v>6978</x:v>
      </x:c>
      <x:c r="B1513" t="s">
        <x:v>6978</x:v>
      </x:c>
      <x:c r="C1513" t="s">
        <x:v>113</x:v>
      </x:c>
      <x:c r="D1513">
        <x:v>22</x:v>
      </x:c>
      <x:c r="E1513" t="s">
        <x:v>198</x:v>
      </x:c>
      <x:c r="F1513" t="s">
        <x:v>90</x:v>
      </x:c>
      <x:c r="G1513">
        <x:v>43884</x:v>
      </x:c>
      <x:c r="H1513" t="s">
        <x:v>6979</x:v>
      </x:c>
      <x:c r="I1513" t="s">
        <x:v>6980</x:v>
      </x:c>
      <x:c r="J1513" t="s">
        <x:v>6981</x:v>
      </x:c>
    </x:row>
    <x:row r="1514">
      <x:c r="A1514" t="s">
        <x:v>6982</x:v>
      </x:c>
      <x:c r="B1514" t="s">
        <x:v>6982</x:v>
      </x:c>
      <x:c r="C1514" t="s">
        <x:v>1502</x:v>
      </x:c>
      <x:c r="D1514">
        <x:v>4</x:v>
      </x:c>
      <x:c r="E1514" t="s">
        <x:v>89</x:v>
      </x:c>
      <x:c r="F1514" t="s">
        <x:v>90</x:v>
      </x:c>
      <x:c r="G1514">
        <x:v>45679</x:v>
      </x:c>
      <x:c r="H1514" t="s">
        <x:v>6983</x:v>
      </x:c>
      <x:c r="I1514" t="s">
        <x:v>6984</x:v>
      </x:c>
      <x:c r="J1514" t="s">
        <x:v>6985</x:v>
      </x:c>
    </x:row>
    <x:row r="1515">
      <x:c r="A1515" t="s">
        <x:v>6986</x:v>
      </x:c>
      <x:c r="B1515" t="s">
        <x:v>6986</x:v>
      </x:c>
      <x:c r="C1515" t="s">
        <x:v>1502</x:v>
      </x:c>
      <x:c r="D1515">
        <x:v>4</x:v>
      </x:c>
      <x:c r="E1515" t="s">
        <x:v>198</x:v>
      </x:c>
      <x:c r="F1515" t="s">
        <x:v>90</x:v>
      </x:c>
      <x:c r="G1515">
        <x:v>45754</x:v>
      </x:c>
      <x:c r="H1515" t="s">
        <x:v>6987</x:v>
      </x:c>
      <x:c r="I1515" t="s">
        <x:v>6988</x:v>
      </x:c>
      <x:c r="J1515" t="s">
        <x:v>6989</x:v>
      </x:c>
    </x:row>
    <x:row r="1516">
      <x:c r="A1516" t="s">
        <x:v>52</x:v>
      </x:c>
      <x:c r="B1516" t="s">
        <x:v>52</x:v>
      </x:c>
      <x:c r="C1516" t="s">
        <x:v>6990</x:v>
      </x:c>
      <x:c r="D1516">
        <x:v>15</x:v>
      </x:c>
      <x:c r="E1516" t="s">
        <x:v>89</x:v>
      </x:c>
      <x:c r="F1516" t="s">
        <x:v>90</x:v>
      </x:c>
      <x:c r="G1516">
        <x:v>45335</x:v>
      </x:c>
      <x:c r="H1516" t="s">
        <x:v>6991</x:v>
      </x:c>
      <x:c r="I1516" t="s">
        <x:v>6992</x:v>
      </x:c>
      <x:c r="J1516" t="s">
        <x:v>6993</x:v>
      </x:c>
    </x:row>
    <x:row r="1517">
      <x:c r="A1517" t="s">
        <x:v>54</x:v>
      </x:c>
      <x:c r="B1517" t="s">
        <x:v>54</x:v>
      </x:c>
      <x:c r="C1517" t="s">
        <x:v>6990</x:v>
      </x:c>
      <x:c r="D1517">
        <x:v>21</x:v>
      </x:c>
      <x:c r="E1517" t="s">
        <x:v>198</x:v>
      </x:c>
      <x:c r="F1517" t="s">
        <x:v>90</x:v>
      </x:c>
      <x:c r="G1517">
        <x:v>46081</x:v>
      </x:c>
      <x:c r="H1517" t="s">
        <x:v>6994</x:v>
      </x:c>
      <x:c r="I1517" t="s">
        <x:v>6995</x:v>
      </x:c>
      <x:c r="J1517" t="s">
        <x:v>6996</x:v>
      </x:c>
    </x:row>
    <x:row r="1518">
      <x:c r="A1518" t="s">
        <x:v>6997</x:v>
      </x:c>
      <x:c r="B1518" t="s">
        <x:v>6997</x:v>
      </x:c>
      <x:c r="C1518" t="s">
        <x:v>3782</x:v>
      </x:c>
      <x:c r="D1518">
        <x:v>30</x:v>
      </x:c>
      <x:c r="E1518" t="s">
        <x:v>198</x:v>
      </x:c>
      <x:c r="F1518" t="s">
        <x:v>90</x:v>
      </x:c>
      <x:c r="G1518">
        <x:v>44260</x:v>
      </x:c>
      <x:c r="H1518" t="s">
        <x:v>6998</x:v>
      </x:c>
      <x:c r="I1518" t="s">
        <x:v>6999</x:v>
      </x:c>
      <x:c r="J1518" t="s">
        <x:v>7000</x:v>
      </x:c>
    </x:row>
    <x:row r="1519">
      <x:c r="A1519" t="s">
        <x:v>7001</x:v>
      </x:c>
      <x:c r="B1519" t="s">
        <x:v>7001</x:v>
      </x:c>
      <x:c r="C1519" t="s">
        <x:v>7002</x:v>
      </x:c>
      <x:c r="D1519">
        <x:v>13</x:v>
      </x:c>
      <x:c r="E1519" t="s">
        <x:v>89</x:v>
      </x:c>
      <x:c r="F1519" t="s">
        <x:v>90</x:v>
      </x:c>
      <x:c r="G1519">
        <x:v>45114</x:v>
      </x:c>
      <x:c r="H1519" t="s">
        <x:v>7003</x:v>
      </x:c>
      <x:c r="I1519" t="s">
        <x:v>7004</x:v>
      </x:c>
      <x:c r="J1519" t="s">
        <x:v>7005</x:v>
      </x:c>
    </x:row>
    <x:row r="1520">
      <x:c r="A1520" t="s">
        <x:v>7006</x:v>
      </x:c>
      <x:c r="B1520" t="s">
        <x:v>7006</x:v>
      </x:c>
      <x:c r="C1520" t="s">
        <x:v>113</x:v>
      </x:c>
      <x:c r="D1520">
        <x:v>13</x:v>
      </x:c>
      <x:c r="E1520" t="s">
        <x:v>198</x:v>
      </x:c>
      <x:c r="F1520" t="s">
        <x:v>90</x:v>
      </x:c>
      <x:c r="G1520">
        <x:v>44108</x:v>
      </x:c>
      <x:c r="H1520" t="s">
        <x:v>7007</x:v>
      </x:c>
      <x:c r="I1520" t="s">
        <x:v>7008</x:v>
      </x:c>
      <x:c r="J1520" t="s">
        <x:v>7009</x:v>
      </x:c>
    </x:row>
    <x:row r="1521">
      <x:c r="A1521" t="s">
        <x:v>7010</x:v>
      </x:c>
      <x:c r="B1521" t="s">
        <x:v>7010</x:v>
      </x:c>
      <x:c r="C1521" t="s">
        <x:v>113</x:v>
      </x:c>
      <x:c r="D1521">
        <x:v>16</x:v>
      </x:c>
      <x:c r="E1521" t="s">
        <x:v>114</x:v>
      </x:c>
      <x:c r="F1521" t="s">
        <x:v>90</x:v>
      </x:c>
      <x:c r="G1521">
        <x:v>44749</x:v>
      </x:c>
      <x:c r="H1521" t="s">
        <x:v>7011</x:v>
      </x:c>
      <x:c r="I1521" t="s">
        <x:v>7012</x:v>
      </x:c>
      <x:c r="J1521" t="s">
        <x:v>7013</x:v>
      </x:c>
    </x:row>
    <x:row r="1522">
      <x:c r="A1522" t="s">
        <x:v>7014</x:v>
      </x:c>
      <x:c r="B1522" t="s">
        <x:v>7014</x:v>
      </x:c>
      <x:c r="C1522" t="s">
        <x:v>6135</x:v>
      </x:c>
      <x:c r="D1522">
        <x:v>10</x:v>
      </x:c>
      <x:c r="E1522" t="s">
        <x:v>89</x:v>
      </x:c>
      <x:c r="F1522" t="s">
        <x:v>152</x:v>
      </x:c>
      <x:c r="G1522">
        <x:v>44585</x:v>
      </x:c>
      <x:c r="H1522" t="s">
        <x:v>7015</x:v>
      </x:c>
      <x:c r="I1522" t="s">
        <x:v>7016</x:v>
      </x:c>
      <x:c r="J1522" t="s">
        <x:v>7017</x:v>
      </x:c>
    </x:row>
    <x:row r="1523">
      <x:c r="A1523" t="s">
        <x:v>7018</x:v>
      </x:c>
      <x:c r="B1523" t="s">
        <x:v>7018</x:v>
      </x:c>
      <x:c r="C1523" t="s">
        <x:v>3924</x:v>
      </x:c>
      <x:c r="D1523">
        <x:v>32</x:v>
      </x:c>
      <x:c r="E1523" t="s">
        <x:v>96</x:v>
      </x:c>
      <x:c r="F1523" t="s">
        <x:v>97</x:v>
      </x:c>
      <x:c r="G1523">
        <x:v>45655</x:v>
      </x:c>
      <x:c r="H1523" t="s">
        <x:v>7019</x:v>
      </x:c>
      <x:c r="I1523" t="s">
        <x:v>7020</x:v>
      </x:c>
      <x:c r="J1523" t="s">
        <x:v>7021</x:v>
      </x:c>
    </x:row>
    <x:row r="1524">
      <x:c r="A1524" t="s">
        <x:v>7022</x:v>
      </x:c>
      <x:c r="B1524" t="s">
        <x:v>7022</x:v>
      </x:c>
      <x:c r="C1524" t="s">
        <x:v>4075</x:v>
      </x:c>
      <x:c r="D1524">
        <x:v>7</x:v>
      </x:c>
      <x:c r="E1524" t="s">
        <x:v>257</x:v>
      </x:c>
      <x:c r="F1524" t="s">
        <x:v>97</x:v>
      </x:c>
      <x:c r="G1524">
        <x:v>42246</x:v>
      </x:c>
      <x:c r="H1524" t="s">
        <x:v>7023</x:v>
      </x:c>
      <x:c r="I1524" t="s">
        <x:v>7024</x:v>
      </x:c>
      <x:c r="J1524" t="s">
        <x:v>7025</x:v>
      </x:c>
    </x:row>
    <x:row r="1525">
      <x:c r="A1525" t="s">
        <x:v>7026</x:v>
      </x:c>
      <x:c r="B1525" t="s">
        <x:v>7026</x:v>
      </x:c>
      <x:c r="C1525" t="s">
        <x:v>292</x:v>
      </x:c>
      <x:c r="D1525">
        <x:v>19</x:v>
      </x:c>
      <x:c r="E1525" t="s">
        <x:v>198</x:v>
      </x:c>
      <x:c r="F1525" t="s">
        <x:v>90</x:v>
      </x:c>
      <x:c r="G1525">
        <x:v>45389</x:v>
      </x:c>
      <x:c r="H1525" t="s">
        <x:v>7027</x:v>
      </x:c>
      <x:c r="I1525" t="s">
        <x:v>7028</x:v>
      </x:c>
      <x:c r="J1525" t="s">
        <x:v>7029</x:v>
      </x:c>
    </x:row>
    <x:row r="1526">
      <x:c r="A1526" t="s">
        <x:v>7030</x:v>
      </x:c>
      <x:c r="B1526" t="s">
        <x:v>7030</x:v>
      </x:c>
      <x:c r="C1526" t="s">
        <x:v>7031</x:v>
      </x:c>
      <x:c r="D1526">
        <x:v>0</x:v>
      </x:c>
      <x:c r="E1526" t="s">
        <x:v>89</x:v>
      </x:c>
      <x:c r="F1526" t="s">
        <x:v>90</x:v>
      </x:c>
      <x:c r="G1526">
        <x:v>43641</x:v>
      </x:c>
      <x:c r="H1526" t="s">
        <x:v>7032</x:v>
      </x:c>
      <x:c r="I1526" t="s">
        <x:v>7033</x:v>
      </x:c>
      <x:c r="J1526" t="s">
        <x:v>7034</x:v>
      </x:c>
    </x:row>
    <x:row r="1527">
      <x:c r="A1527" t="s">
        <x:v>7035</x:v>
      </x:c>
      <x:c r="B1527" t="s">
        <x:v>7035</x:v>
      </x:c>
      <x:c r="C1527" t="s">
        <x:v>146</x:v>
      </x:c>
      <x:c r="D1527">
        <x:v>15</x:v>
      </x:c>
      <x:c r="E1527" t="s">
        <x:v>103</x:v>
      </x:c>
      <x:c r="F1527" t="s">
        <x:v>2469</x:v>
      </x:c>
      <x:c r="G1527">
        <x:v>45049</x:v>
      </x:c>
      <x:c r="H1527" t="s">
        <x:v>7036</x:v>
      </x:c>
      <x:c r="I1527" t="s">
        <x:v>7037</x:v>
      </x:c>
      <x:c r="J1527" t="s">
        <x:v>7038</x:v>
      </x:c>
    </x:row>
    <x:row r="1528">
      <x:c r="A1528" t="s">
        <x:v>7039</x:v>
      </x:c>
      <x:c r="B1528" t="s">
        <x:v>7039</x:v>
      </x:c>
      <x:c r="C1528" t="s">
        <x:v>7040</x:v>
      </x:c>
      <x:c r="D1528">
        <x:v>24</x:v>
      </x:c>
      <x:c r="E1528" t="s">
        <x:v>114</x:v>
      </x:c>
      <x:c r="F1528" t="s">
        <x:v>90</x:v>
      </x:c>
      <x:c r="G1528">
        <x:v>44592</x:v>
      </x:c>
      <x:c r="H1528" t="s">
        <x:v>7041</x:v>
      </x:c>
      <x:c r="I1528" t="s">
        <x:v>7042</x:v>
      </x:c>
      <x:c r="J1528" t="s">
        <x:v>7043</x:v>
      </x:c>
    </x:row>
    <x:row r="1529">
      <x:c r="A1529" t="s">
        <x:v>7044</x:v>
      </x:c>
      <x:c r="B1529" t="s">
        <x:v>7044</x:v>
      </x:c>
      <x:c r="C1529" t="s">
        <x:v>7045</x:v>
      </x:c>
      <x:c r="D1529">
        <x:v>27</x:v>
      </x:c>
      <x:c r="E1529" t="s">
        <x:v>96</x:v>
      </x:c>
      <x:c r="F1529" t="s">
        <x:v>97</x:v>
      </x:c>
      <x:c r="G1529">
        <x:v>41580</x:v>
      </x:c>
      <x:c r="H1529" t="s">
        <x:v>7046</x:v>
      </x:c>
      <x:c r="I1529" t="s">
        <x:v>7047</x:v>
      </x:c>
      <x:c r="J1529" t="s">
        <x:v>7048</x:v>
      </x:c>
    </x:row>
    <x:row r="1530">
      <x:c r="A1530" t="s">
        <x:v>7049</x:v>
      </x:c>
      <x:c r="B1530" t="s">
        <x:v>7049</x:v>
      </x:c>
      <x:c r="C1530" t="s">
        <x:v>2346</x:v>
      </x:c>
      <x:c r="D1530">
        <x:v>14</x:v>
      </x:c>
      <x:c r="E1530" t="s">
        <x:v>89</x:v>
      </x:c>
      <x:c r="F1530" t="s">
        <x:v>90</x:v>
      </x:c>
      <x:c r="G1530">
        <x:v>45634</x:v>
      </x:c>
      <x:c r="H1530" t="s">
        <x:v>7050</x:v>
      </x:c>
      <x:c r="I1530" t="s">
        <x:v>7051</x:v>
      </x:c>
      <x:c r="J1530" t="s">
        <x:v>7052</x:v>
      </x:c>
    </x:row>
    <x:row r="1531">
      <x:c r="A1531" t="s">
        <x:v>7053</x:v>
      </x:c>
      <x:c r="B1531" t="s">
        <x:v>7053</x:v>
      </x:c>
      <x:c r="C1531" t="s">
        <x:v>7054</x:v>
      </x:c>
      <x:c r="D1531">
        <x:v>10</x:v>
      </x:c>
      <x:c r="E1531" t="s">
        <x:v>103</x:v>
      </x:c>
      <x:c r="F1531" t="s">
        <x:v>97</x:v>
      </x:c>
      <x:c r="G1531">
        <x:v>41451</x:v>
      </x:c>
      <x:c r="H1531" t="s">
        <x:v>7055</x:v>
      </x:c>
      <x:c r="I1531" t="s">
        <x:v>7056</x:v>
      </x:c>
      <x:c r="J1531" t="s">
        <x:v>7057</x:v>
      </x:c>
    </x:row>
    <x:row r="1532">
      <x:c r="A1532" t="s">
        <x:v>7058</x:v>
      </x:c>
      <x:c r="B1532" t="s">
        <x:v>7058</x:v>
      </x:c>
      <x:c r="C1532" t="s">
        <x:v>586</x:v>
      </x:c>
      <x:c r="D1532">
        <x:v>9</x:v>
      </x:c>
      <x:c r="E1532" t="s">
        <x:v>96</x:v>
      </x:c>
      <x:c r="F1532" t="s">
        <x:v>97</x:v>
      </x:c>
      <x:c r="G1532">
        <x:v>45352</x:v>
      </x:c>
      <x:c r="H1532" t="s">
        <x:v>7059</x:v>
      </x:c>
      <x:c r="I1532" t="s">
        <x:v>7060</x:v>
      </x:c>
      <x:c r="J1532" t="s">
        <x:v>7061</x:v>
      </x:c>
    </x:row>
    <x:row r="1533">
      <x:c r="A1533" t="s">
        <x:v>7062</x:v>
      </x:c>
      <x:c r="B1533" t="s">
        <x:v>7062</x:v>
      </x:c>
      <x:c r="C1533" t="s">
        <x:v>1427</x:v>
      </x:c>
      <x:c r="D1533">
        <x:v>17</x:v>
      </x:c>
      <x:c r="E1533" t="s">
        <x:v>89</x:v>
      </x:c>
      <x:c r="F1533" t="s">
        <x:v>90</x:v>
      </x:c>
      <x:c r="G1533">
        <x:v>45938</x:v>
      </x:c>
      <x:c r="H1533" t="s">
        <x:v>7063</x:v>
      </x:c>
      <x:c r="I1533" t="s">
        <x:v>7064</x:v>
      </x:c>
      <x:c r="J1533" t="s">
        <x:v>7065</x:v>
      </x:c>
    </x:row>
    <x:row r="1534">
      <x:c r="A1534" t="s">
        <x:v>7066</x:v>
      </x:c>
      <x:c r="B1534" t="s">
        <x:v>7066</x:v>
      </x:c>
      <x:c r="C1534" t="s">
        <x:v>7067</x:v>
      </x:c>
      <x:c r="D1534">
        <x:v>5</x:v>
      </x:c>
      <x:c r="E1534" t="s">
        <x:v>198</x:v>
      </x:c>
      <x:c r="F1534" t="s">
        <x:v>90</x:v>
      </x:c>
      <x:c r="G1534">
        <x:v>44565</x:v>
      </x:c>
      <x:c r="H1534" t="s">
        <x:v>7068</x:v>
      </x:c>
      <x:c r="I1534" t="s">
        <x:v>7069</x:v>
      </x:c>
      <x:c r="J1534" t="s">
        <x:v>7070</x:v>
      </x:c>
    </x:row>
    <x:row r="1535">
      <x:c r="A1535" t="s">
        <x:v>7071</x:v>
      </x:c>
      <x:c r="B1535" t="s">
        <x:v>7071</x:v>
      </x:c>
      <x:c r="C1535" t="s">
        <x:v>3221</x:v>
      </x:c>
      <x:c r="D1535">
        <x:v>1</x:v>
      </x:c>
      <x:c r="E1535" t="s">
        <x:v>114</x:v>
      </x:c>
      <x:c r="F1535" t="s">
        <x:v>90</x:v>
      </x:c>
      <x:c r="G1535">
        <x:v>44412</x:v>
      </x:c>
      <x:c r="H1535" t="s">
        <x:v>7072</x:v>
      </x:c>
      <x:c r="I1535" t="s">
        <x:v>7073</x:v>
      </x:c>
      <x:c r="J1535" t="s">
        <x:v>7074</x:v>
      </x:c>
    </x:row>
    <x:row r="1536">
      <x:c r="A1536" t="s">
        <x:v>7075</x:v>
      </x:c>
      <x:c r="B1536" t="s">
        <x:v>7075</x:v>
      </x:c>
      <x:c r="C1536" t="s">
        <x:v>3221</x:v>
      </x:c>
      <x:c r="D1536">
        <x:v>1</x:v>
      </x:c>
      <x:c r="E1536" t="s">
        <x:v>198</x:v>
      </x:c>
      <x:c r="F1536" t="s">
        <x:v>90</x:v>
      </x:c>
      <x:c r="G1536">
        <x:v>44853</x:v>
      </x:c>
      <x:c r="H1536" t="s">
        <x:v>7076</x:v>
      </x:c>
      <x:c r="I1536" t="s">
        <x:v>7077</x:v>
      </x:c>
      <x:c r="J1536" t="s">
        <x:v>7078</x:v>
      </x:c>
    </x:row>
    <x:row r="1537">
      <x:c r="A1537" t="s">
        <x:v>7079</x:v>
      </x:c>
      <x:c r="B1537" t="s">
        <x:v>7079</x:v>
      </x:c>
      <x:c r="C1537" t="s">
        <x:v>203</x:v>
      </x:c>
      <x:c r="D1537">
        <x:v>5</x:v>
      </x:c>
      <x:c r="E1537" t="s">
        <x:v>198</x:v>
      </x:c>
      <x:c r="F1537" t="s">
        <x:v>90</x:v>
      </x:c>
      <x:c r="G1537">
        <x:v>44557</x:v>
      </x:c>
      <x:c r="H1537" t="s">
        <x:v>7080</x:v>
      </x:c>
      <x:c r="I1537" t="s">
        <x:v>7081</x:v>
      </x:c>
      <x:c r="J1537" t="s">
        <x:v>7082</x:v>
      </x:c>
    </x:row>
    <x:row r="1538">
      <x:c r="A1538" t="s">
        <x:v>7083</x:v>
      </x:c>
      <x:c r="B1538" t="s">
        <x:v>7083</x:v>
      </x:c>
      <x:c r="C1538" t="s">
        <x:v>680</x:v>
      </x:c>
      <x:c r="D1538">
        <x:v>0</x:v>
      </x:c>
      <x:c r="E1538" t="s">
        <x:v>114</x:v>
      </x:c>
      <x:c r="F1538" t="s">
        <x:v>97</x:v>
      </x:c>
      <x:c r="G1538">
        <x:v>45182</x:v>
      </x:c>
      <x:c r="H1538" t="s">
        <x:v>7084</x:v>
      </x:c>
      <x:c r="I1538" t="s">
        <x:v>7085</x:v>
      </x:c>
      <x:c r="J1538" t="s">
        <x:v>7086</x:v>
      </x:c>
    </x:row>
    <x:row r="1539">
      <x:c r="A1539" t="s">
        <x:v>7087</x:v>
      </x:c>
      <x:c r="B1539" t="s">
        <x:v>7087</x:v>
      </x:c>
      <x:c r="C1539" t="s">
        <x:v>1969</x:v>
      </x:c>
      <x:c r="D1539">
        <x:v>8</x:v>
      </x:c>
      <x:c r="E1539" t="s">
        <x:v>114</x:v>
      </x:c>
      <x:c r="F1539" t="s">
        <x:v>90</x:v>
      </x:c>
      <x:c r="G1539">
        <x:v>44613</x:v>
      </x:c>
      <x:c r="H1539" t="s">
        <x:v>7088</x:v>
      </x:c>
      <x:c r="I1539" t="s">
        <x:v>7089</x:v>
      </x:c>
      <x:c r="J1539" t="s">
        <x:v>7090</x:v>
      </x:c>
    </x:row>
    <x:row r="1540">
      <x:c r="A1540" t="s">
        <x:v>7091</x:v>
      </x:c>
      <x:c r="B1540" t="s">
        <x:v>7091</x:v>
      </x:c>
      <x:c r="C1540" t="s">
        <x:v>1608</x:v>
      </x:c>
      <x:c r="D1540">
        <x:v>8</x:v>
      </x:c>
      <x:c r="E1540" t="s">
        <x:v>198</x:v>
      </x:c>
      <x:c r="F1540" t="s">
        <x:v>90</x:v>
      </x:c>
      <x:c r="G1540">
        <x:v>44216</x:v>
      </x:c>
      <x:c r="H1540" t="s">
        <x:v>7092</x:v>
      </x:c>
      <x:c r="I1540" t="s">
        <x:v>7093</x:v>
      </x:c>
      <x:c r="J1540" t="s">
        <x:v>7094</x:v>
      </x:c>
    </x:row>
    <x:row r="1541">
      <x:c r="A1541" t="s">
        <x:v>7095</x:v>
      </x:c>
      <x:c r="B1541" t="s">
        <x:v>7095</x:v>
      </x:c>
      <x:c r="C1541" t="s">
        <x:v>7096</x:v>
      </x:c>
      <x:c r="D1541">
        <x:v>1</x:v>
      </x:c>
      <x:c r="E1541" t="s">
        <x:v>89</x:v>
      </x:c>
      <x:c r="F1541" t="s">
        <x:v>90</x:v>
      </x:c>
      <x:c r="G1541">
        <x:v>46004</x:v>
      </x:c>
      <x:c r="H1541" t="s">
        <x:v>7097</x:v>
      </x:c>
      <x:c r="I1541" t="s">
        <x:v>7098</x:v>
      </x:c>
      <x:c r="J1541" t="s">
        <x:v>7099</x:v>
      </x:c>
    </x:row>
    <x:row r="1542">
      <x:c r="A1542" t="s">
        <x:v>7100</x:v>
      </x:c>
      <x:c r="B1542" t="s">
        <x:v>7100</x:v>
      </x:c>
      <x:c r="C1542" t="s">
        <x:v>2287</x:v>
      </x:c>
      <x:c r="D1542">
        <x:v>15</x:v>
      </x:c>
      <x:c r="E1542" t="s">
        <x:v>114</x:v>
      </x:c>
      <x:c r="F1542" t="s">
        <x:v>90</x:v>
      </x:c>
      <x:c r="G1542">
        <x:v>46157</x:v>
      </x:c>
      <x:c r="H1542" t="s">
        <x:v>7101</x:v>
      </x:c>
      <x:c r="I1542" t="s">
        <x:v>7102</x:v>
      </x:c>
      <x:c r="J1542" t="s">
        <x:v>7103</x:v>
      </x:c>
    </x:row>
    <x:row r="1543">
      <x:c r="A1543" t="s">
        <x:v>7104</x:v>
      </x:c>
      <x:c r="B1543" t="s">
        <x:v>7104</x:v>
      </x:c>
      <x:c r="C1543" t="s">
        <x:v>2391</x:v>
      </x:c>
      <x:c r="D1543">
        <x:v>1</x:v>
      </x:c>
      <x:c r="E1543" t="s">
        <x:v>198</x:v>
      </x:c>
      <x:c r="F1543" t="s">
        <x:v>90</x:v>
      </x:c>
      <x:c r="G1543">
        <x:v>44198</x:v>
      </x:c>
      <x:c r="H1543" t="s">
        <x:v>7105</x:v>
      </x:c>
      <x:c r="I1543" t="s">
        <x:v>7106</x:v>
      </x:c>
      <x:c r="J1543" t="s">
        <x:v>7107</x:v>
      </x:c>
    </x:row>
    <x:row r="1544">
      <x:c r="A1544" t="s">
        <x:v>7108</x:v>
      </x:c>
      <x:c r="B1544" t="s">
        <x:v>7108</x:v>
      </x:c>
      <x:c r="C1544" t="s">
        <x:v>7109</x:v>
      </x:c>
      <x:c r="D1544">
        <x:v>6</x:v>
      </x:c>
      <x:c r="E1544" t="s">
        <x:v>114</x:v>
      </x:c>
      <x:c r="F1544" t="s">
        <x:v>90</x:v>
      </x:c>
      <x:c r="G1544">
        <x:v>45492</x:v>
      </x:c>
      <x:c r="H1544" t="s">
        <x:v>7110</x:v>
      </x:c>
      <x:c r="I1544" t="s">
        <x:v>7111</x:v>
      </x:c>
      <x:c r="J1544" t="s">
        <x:v>7112</x:v>
      </x:c>
    </x:row>
    <x:row r="1545">
      <x:c r="A1545" t="s">
        <x:v>7113</x:v>
      </x:c>
      <x:c r="B1545" t="s">
        <x:v>7113</x:v>
      </x:c>
      <x:c r="C1545" t="s">
        <x:v>7114</x:v>
      </x:c>
      <x:c r="D1545">
        <x:v>4</x:v>
      </x:c>
      <x:c r="E1545" t="s">
        <x:v>198</x:v>
      </x:c>
      <x:c r="F1545" t="s">
        <x:v>90</x:v>
      </x:c>
      <x:c r="G1545">
        <x:v>46041</x:v>
      </x:c>
      <x:c r="H1545" t="s">
        <x:v>7115</x:v>
      </x:c>
      <x:c r="I1545" t="s">
        <x:v>7116</x:v>
      </x:c>
      <x:c r="J1545" t="s">
        <x:v>7117</x:v>
      </x:c>
    </x:row>
    <x:row r="1546">
      <x:c r="A1546" t="s">
        <x:v>7118</x:v>
      </x:c>
      <x:c r="B1546" t="s">
        <x:v>7118</x:v>
      </x:c>
      <x:c r="C1546" t="s">
        <x:v>7119</x:v>
      </x:c>
      <x:c r="D1546">
        <x:v>12</x:v>
      </x:c>
      <x:c r="E1546" t="s">
        <x:v>198</x:v>
      </x:c>
      <x:c r="F1546" t="s">
        <x:v>90</x:v>
      </x:c>
      <x:c r="G1546">
        <x:v>44096</x:v>
      </x:c>
      <x:c r="H1546" t="s">
        <x:v>7120</x:v>
      </x:c>
      <x:c r="I1546" t="s">
        <x:v>7121</x:v>
      </x:c>
      <x:c r="J1546" t="s">
        <x:v>7122</x:v>
      </x:c>
    </x:row>
    <x:row r="1547">
      <x:c r="A1547" t="s">
        <x:v>7123</x:v>
      </x:c>
      <x:c r="B1547" t="s">
        <x:v>7123</x:v>
      </x:c>
      <x:c r="C1547" t="s">
        <x:v>7119</x:v>
      </x:c>
      <x:c r="D1547">
        <x:v>7</x:v>
      </x:c>
      <x:c r="E1547" t="s">
        <x:v>198</x:v>
      </x:c>
      <x:c r="F1547" t="s">
        <x:v>90</x:v>
      </x:c>
      <x:c r="G1547">
        <x:v>43486</x:v>
      </x:c>
      <x:c r="H1547" t="s">
        <x:v>7124</x:v>
      </x:c>
      <x:c r="I1547" t="s">
        <x:v>7125</x:v>
      </x:c>
      <x:c r="J1547" t="s">
        <x:v>7126</x:v>
      </x:c>
    </x:row>
    <x:row r="1548">
      <x:c r="A1548" t="s">
        <x:v>7127</x:v>
      </x:c>
      <x:c r="B1548" t="s">
        <x:v>7127</x:v>
      </x:c>
      <x:c r="C1548" t="s">
        <x:v>3611</x:v>
      </x:c>
      <x:c r="D1548">
        <x:v>14</x:v>
      </x:c>
      <x:c r="E1548" t="s">
        <x:v>198</x:v>
      </x:c>
      <x:c r="F1548" t="s">
        <x:v>90</x:v>
      </x:c>
      <x:c r="G1548">
        <x:v>46180</x:v>
      </x:c>
      <x:c r="H1548" t="s">
        <x:v>7128</x:v>
      </x:c>
      <x:c r="I1548" t="s">
        <x:v>7129</x:v>
      </x:c>
      <x:c r="J1548" t="s">
        <x:v>7130</x:v>
      </x:c>
    </x:row>
    <x:row r="1549">
      <x:c r="A1549" t="s">
        <x:v>7131</x:v>
      </x:c>
      <x:c r="B1549" t="s">
        <x:v>7131</x:v>
      </x:c>
      <x:c r="C1549" t="s">
        <x:v>7132</x:v>
      </x:c>
      <x:c r="D1549">
        <x:v>10</x:v>
      </x:c>
      <x:c r="E1549" t="s">
        <x:v>198</x:v>
      </x:c>
      <x:c r="F1549" t="s">
        <x:v>90</x:v>
      </x:c>
      <x:c r="G1549">
        <x:v>45977</x:v>
      </x:c>
      <x:c r="H1549" t="s">
        <x:v>7133</x:v>
      </x:c>
      <x:c r="I1549" t="s">
        <x:v>7134</x:v>
      </x:c>
      <x:c r="J1549" t="s">
        <x:v>7135</x:v>
      </x:c>
    </x:row>
    <x:row r="1550">
      <x:c r="A1550" t="s">
        <x:v>7136</x:v>
      </x:c>
      <x:c r="B1550" t="s">
        <x:v>7136</x:v>
      </x:c>
      <x:c r="C1550" t="s">
        <x:v>2013</x:v>
      </x:c>
      <x:c r="D1550">
        <x:v>7</x:v>
      </x:c>
      <x:c r="E1550" t="s">
        <x:v>198</x:v>
      </x:c>
      <x:c r="F1550" t="s">
        <x:v>90</x:v>
      </x:c>
      <x:c r="G1550">
        <x:v>44317</x:v>
      </x:c>
      <x:c r="H1550" t="s">
        <x:v>7137</x:v>
      </x:c>
      <x:c r="I1550" t="s">
        <x:v>7138</x:v>
      </x:c>
      <x:c r="J1550" t="s">
        <x:v>7139</x:v>
      </x:c>
    </x:row>
    <x:row r="1551">
      <x:c r="A1551" t="s">
        <x:v>7140</x:v>
      </x:c>
      <x:c r="B1551" t="s">
        <x:v>7140</x:v>
      </x:c>
      <x:c r="C1551" t="s">
        <x:v>1502</x:v>
      </x:c>
      <x:c r="D1551">
        <x:v>11</x:v>
      </x:c>
      <x:c r="E1551" t="s">
        <x:v>89</x:v>
      </x:c>
      <x:c r="F1551" t="s">
        <x:v>90</x:v>
      </x:c>
      <x:c r="G1551">
        <x:v>45935</x:v>
      </x:c>
      <x:c r="H1551" t="s">
        <x:v>7141</x:v>
      </x:c>
      <x:c r="I1551" t="s">
        <x:v>7142</x:v>
      </x:c>
      <x:c r="J1551" t="s">
        <x:v>7143</x:v>
      </x:c>
    </x:row>
    <x:row r="1552">
      <x:c r="A1552" t="s">
        <x:v>7144</x:v>
      </x:c>
      <x:c r="B1552" t="s">
        <x:v>7144</x:v>
      </x:c>
      <x:c r="C1552" t="s">
        <x:v>1189</x:v>
      </x:c>
      <x:c r="D1552">
        <x:v>12</x:v>
      </x:c>
      <x:c r="E1552" t="s">
        <x:v>198</x:v>
      </x:c>
      <x:c r="F1552" t="s">
        <x:v>90</x:v>
      </x:c>
      <x:c r="G1552">
        <x:v>45516</x:v>
      </x:c>
      <x:c r="H1552" t="s">
        <x:v>7145</x:v>
      </x:c>
      <x:c r="I1552" t="s">
        <x:v>7146</x:v>
      </x:c>
      <x:c r="J1552" t="s">
        <x:v>7147</x:v>
      </x:c>
    </x:row>
    <x:row r="1553">
      <x:c r="A1553" t="s">
        <x:v>7148</x:v>
      </x:c>
      <x:c r="B1553" t="s">
        <x:v>7148</x:v>
      </x:c>
      <x:c r="C1553" t="s">
        <x:v>7149</x:v>
      </x:c>
      <x:c r="D1553">
        <x:v>10</x:v>
      </x:c>
      <x:c r="E1553" t="s">
        <x:v>89</x:v>
      </x:c>
      <x:c r="F1553" t="s">
        <x:v>90</x:v>
      </x:c>
      <x:c r="G1553">
        <x:v>44900</x:v>
      </x:c>
      <x:c r="H1553" t="s">
        <x:v>7150</x:v>
      </x:c>
      <x:c r="I1553" t="s">
        <x:v>7151</x:v>
      </x:c>
      <x:c r="J1553" t="s">
        <x:v>7152</x:v>
      </x:c>
    </x:row>
    <x:row r="1554">
      <x:c r="A1554" t="s">
        <x:v>7153</x:v>
      </x:c>
      <x:c r="B1554" t="s">
        <x:v>7153</x:v>
      </x:c>
      <x:c r="C1554" t="s">
        <x:v>2170</x:v>
      </x:c>
      <x:c r="D1554">
        <x:v>8</x:v>
      </x:c>
      <x:c r="E1554" t="s">
        <x:v>198</x:v>
      </x:c>
      <x:c r="F1554" t="s">
        <x:v>90</x:v>
      </x:c>
      <x:c r="G1554">
        <x:v>45079</x:v>
      </x:c>
      <x:c r="H1554" t="s">
        <x:v>7154</x:v>
      </x:c>
      <x:c r="I1554" t="s">
        <x:v>7155</x:v>
      </x:c>
      <x:c r="J1554" t="s">
        <x:v>7156</x:v>
      </x:c>
    </x:row>
    <x:row r="1555">
      <x:c r="A1555" t="s">
        <x:v>7157</x:v>
      </x:c>
      <x:c r="B1555" t="s">
        <x:v>7157</x:v>
      </x:c>
      <x:c r="C1555" t="s">
        <x:v>409</x:v>
      </x:c>
      <x:c r="D1555">
        <x:v>8</x:v>
      </x:c>
      <x:c r="E1555" t="s">
        <x:v>89</x:v>
      </x:c>
      <x:c r="F1555" t="s">
        <x:v>90</x:v>
      </x:c>
      <x:c r="G1555">
        <x:v>44185</x:v>
      </x:c>
      <x:c r="H1555" t="s">
        <x:v>7158</x:v>
      </x:c>
      <x:c r="I1555" t="s">
        <x:v>7159</x:v>
      </x:c>
      <x:c r="J1555" t="s">
        <x:v>7160</x:v>
      </x:c>
    </x:row>
    <x:row r="1556">
      <x:c r="A1556" t="s">
        <x:v>7161</x:v>
      </x:c>
      <x:c r="B1556" t="s">
        <x:v>7161</x:v>
      </x:c>
      <x:c r="C1556" t="s">
        <x:v>1502</x:v>
      </x:c>
      <x:c r="D1556">
        <x:v>10</x:v>
      </x:c>
      <x:c r="E1556" t="s">
        <x:v>96</x:v>
      </x:c>
      <x:c r="F1556" t="s">
        <x:v>90</x:v>
      </x:c>
      <x:c r="G1556">
        <x:v>45436</x:v>
      </x:c>
      <x:c r="H1556" t="s">
        <x:v>7162</x:v>
      </x:c>
      <x:c r="I1556" t="s">
        <x:v>7163</x:v>
      </x:c>
      <x:c r="J1556" t="s">
        <x:v>7164</x:v>
      </x:c>
    </x:row>
    <x:row r="1557">
      <x:c r="A1557" t="s">
        <x:v>7165</x:v>
      </x:c>
      <x:c r="B1557" t="s">
        <x:v>7165</x:v>
      </x:c>
      <x:c r="C1557" t="s">
        <x:v>1502</x:v>
      </x:c>
      <x:c r="D1557">
        <x:v>10</x:v>
      </x:c>
      <x:c r="E1557" t="s">
        <x:v>89</x:v>
      </x:c>
      <x:c r="F1557" t="s">
        <x:v>90</x:v>
      </x:c>
      <x:c r="G1557">
        <x:v>45429</x:v>
      </x:c>
      <x:c r="H1557" t="s">
        <x:v>7166</x:v>
      </x:c>
      <x:c r="I1557" t="s">
        <x:v>7167</x:v>
      </x:c>
      <x:c r="J1557" t="s">
        <x:v>7168</x:v>
      </x:c>
    </x:row>
    <x:row r="1558">
      <x:c r="A1558" t="s">
        <x:v>7169</x:v>
      </x:c>
      <x:c r="B1558" t="s">
        <x:v>7169</x:v>
      </x:c>
      <x:c r="C1558" t="s">
        <x:v>7096</x:v>
      </x:c>
      <x:c r="D1558">
        <x:v>9</x:v>
      </x:c>
      <x:c r="E1558" t="s">
        <x:v>125</x:v>
      </x:c>
      <x:c r="F1558" t="s">
        <x:v>90</x:v>
      </x:c>
      <x:c r="G1558">
        <x:v>46083</x:v>
      </x:c>
      <x:c r="H1558" t="s">
        <x:v>7170</x:v>
      </x:c>
      <x:c r="I1558" t="s">
        <x:v>7171</x:v>
      </x:c>
      <x:c r="J1558" t="s">
        <x:v>7172</x:v>
      </x:c>
    </x:row>
    <x:row r="1559">
      <x:c r="A1559" t="s">
        <x:v>7173</x:v>
      </x:c>
      <x:c r="B1559" t="s">
        <x:v>7173</x:v>
      </x:c>
      <x:c r="C1559" t="s">
        <x:v>7174</x:v>
      </x:c>
      <x:c r="D1559">
        <x:v>9</x:v>
      </x:c>
      <x:c r="E1559" t="s">
        <x:v>89</x:v>
      </x:c>
      <x:c r="F1559" t="s">
        <x:v>90</x:v>
      </x:c>
      <x:c r="G1559">
        <x:v>44991</x:v>
      </x:c>
      <x:c r="H1559" t="s">
        <x:v>7175</x:v>
      </x:c>
      <x:c r="I1559" t="s">
        <x:v>7176</x:v>
      </x:c>
      <x:c r="J1559" t="s">
        <x:v>7177</x:v>
      </x:c>
    </x:row>
    <x:row r="1560">
      <x:c r="A1560" t="s">
        <x:v>7178</x:v>
      </x:c>
      <x:c r="B1560" t="s">
        <x:v>7178</x:v>
      </x:c>
      <x:c r="C1560" t="s">
        <x:v>7179</x:v>
      </x:c>
      <x:c r="D1560">
        <x:v>9</x:v>
      </x:c>
      <x:c r="E1560" t="s">
        <x:v>198</x:v>
      </x:c>
      <x:c r="F1560" t="s">
        <x:v>90</x:v>
      </x:c>
      <x:c r="G1560">
        <x:v>45698</x:v>
      </x:c>
      <x:c r="H1560" t="s">
        <x:v>7180</x:v>
      </x:c>
      <x:c r="I1560" t="s">
        <x:v>7181</x:v>
      </x:c>
      <x:c r="J1560" t="s">
        <x:v>7182</x:v>
      </x:c>
    </x:row>
    <x:row r="1561">
      <x:c r="A1561" t="s">
        <x:v>7183</x:v>
      </x:c>
      <x:c r="B1561" t="s">
        <x:v>7183</x:v>
      </x:c>
      <x:c r="C1561" t="s">
        <x:v>7184</x:v>
      </x:c>
      <x:c r="D1561">
        <x:v>9</x:v>
      </x:c>
      <x:c r="E1561" t="s">
        <x:v>198</x:v>
      </x:c>
      <x:c r="F1561" t="s">
        <x:v>90</x:v>
      </x:c>
      <x:c r="G1561">
        <x:v>44931</x:v>
      </x:c>
      <x:c r="H1561" t="s">
        <x:v>7185</x:v>
      </x:c>
      <x:c r="I1561" t="s">
        <x:v>7186</x:v>
      </x:c>
      <x:c r="J1561" t="s">
        <x:v>7187</x:v>
      </x:c>
    </x:row>
    <x:row r="1562">
      <x:c r="A1562" t="s">
        <x:v>7188</x:v>
      </x:c>
      <x:c r="B1562" t="s">
        <x:v>7188</x:v>
      </x:c>
      <x:c r="C1562" t="s">
        <x:v>7189</x:v>
      </x:c>
      <x:c r="D1562">
        <x:v>12</x:v>
      </x:c>
      <x:c r="E1562" t="s">
        <x:v>198</x:v>
      </x:c>
      <x:c r="F1562" t="s">
        <x:v>90</x:v>
      </x:c>
      <x:c r="G1562">
        <x:v>45749</x:v>
      </x:c>
      <x:c r="H1562" t="s">
        <x:v>7190</x:v>
      </x:c>
      <x:c r="I1562" t="s">
        <x:v>7191</x:v>
      </x:c>
      <x:c r="J1562" t="s">
        <x:v>7192</x:v>
      </x:c>
    </x:row>
    <x:row r="1563">
      <x:c r="A1563" t="s">
        <x:v>7193</x:v>
      </x:c>
      <x:c r="B1563" t="s">
        <x:v>7193</x:v>
      </x:c>
      <x:c r="C1563" t="s">
        <x:v>7194</x:v>
      </x:c>
      <x:c r="D1563">
        <x:v>24</x:v>
      </x:c>
      <x:c r="E1563" t="s">
        <x:v>103</x:v>
      </x:c>
      <x:c r="F1563" t="s">
        <x:v>97</x:v>
      </x:c>
      <x:c r="G1563">
        <x:v>41629</x:v>
      </x:c>
      <x:c r="H1563" t="s">
        <x:v>7195</x:v>
      </x:c>
      <x:c r="I1563" t="s">
        <x:v>7196</x:v>
      </x:c>
      <x:c r="J1563" t="s">
        <x:v>7197</x:v>
      </x:c>
    </x:row>
    <x:row r="1564">
      <x:c r="A1564" t="s">
        <x:v>7198</x:v>
      </x:c>
      <x:c r="B1564" t="s">
        <x:v>7198</x:v>
      </x:c>
      <x:c r="C1564" t="s">
        <x:v>850</x:v>
      </x:c>
      <x:c r="D1564">
        <x:v>10</x:v>
      </x:c>
      <x:c r="E1564" t="s">
        <x:v>198</x:v>
      </x:c>
      <x:c r="F1564" t="s">
        <x:v>90</x:v>
      </x:c>
      <x:c r="G1564">
        <x:v>45484</x:v>
      </x:c>
      <x:c r="H1564" t="s">
        <x:v>7199</x:v>
      </x:c>
      <x:c r="I1564" t="s">
        <x:v>7200</x:v>
      </x:c>
      <x:c r="J1564" t="s">
        <x:v>7201</x:v>
      </x:c>
    </x:row>
    <x:row r="1565">
      <x:c r="A1565" t="s">
        <x:v>7202</x:v>
      </x:c>
      <x:c r="B1565" t="s">
        <x:v>7202</x:v>
      </x:c>
      <x:c r="C1565" t="s">
        <x:v>3012</x:v>
      </x:c>
      <x:c r="D1565">
        <x:v>7</x:v>
      </x:c>
      <x:c r="E1565" t="s">
        <x:v>96</x:v>
      </x:c>
      <x:c r="F1565" t="s">
        <x:v>90</x:v>
      </x:c>
      <x:c r="G1565">
        <x:v>44409</x:v>
      </x:c>
      <x:c r="H1565" t="s">
        <x:v>7203</x:v>
      </x:c>
      <x:c r="I1565" t="s">
        <x:v>7204</x:v>
      </x:c>
      <x:c r="J1565" t="s">
        <x:v>7205</x:v>
      </x:c>
    </x:row>
    <x:row r="1566">
      <x:c r="A1566" t="s">
        <x:v>7206</x:v>
      </x:c>
      <x:c r="B1566" t="s">
        <x:v>7206</x:v>
      </x:c>
      <x:c r="C1566" t="s">
        <x:v>708</x:v>
      </x:c>
      <x:c r="D1566">
        <x:v>19</x:v>
      </x:c>
      <x:c r="E1566" t="s">
        <x:v>114</x:v>
      </x:c>
      <x:c r="F1566" t="s">
        <x:v>90</x:v>
      </x:c>
      <x:c r="G1566">
        <x:v>44933</x:v>
      </x:c>
      <x:c r="H1566" t="s">
        <x:v>7207</x:v>
      </x:c>
      <x:c r="I1566" t="s">
        <x:v>7208</x:v>
      </x:c>
      <x:c r="J1566" t="s">
        <x:v>7209</x:v>
      </x:c>
    </x:row>
    <x:row r="1567">
      <x:c r="A1567" t="s">
        <x:v>7210</x:v>
      </x:c>
      <x:c r="B1567" t="s">
        <x:v>7210</x:v>
      </x:c>
      <x:c r="C1567" t="s">
        <x:v>1511</x:v>
      </x:c>
      <x:c r="D1567">
        <x:v>11</x:v>
      </x:c>
      <x:c r="E1567" t="s">
        <x:v>89</x:v>
      </x:c>
      <x:c r="F1567" t="s">
        <x:v>90</x:v>
      </x:c>
      <x:c r="G1567">
        <x:v>44502</x:v>
      </x:c>
      <x:c r="H1567" t="s">
        <x:v>7211</x:v>
      </x:c>
      <x:c r="I1567" t="s">
        <x:v>7212</x:v>
      </x:c>
      <x:c r="J1567" t="s">
        <x:v>7213</x:v>
      </x:c>
    </x:row>
    <x:row r="1568">
      <x:c r="A1568" t="s">
        <x:v>7214</x:v>
      </x:c>
      <x:c r="B1568" t="s">
        <x:v>7214</x:v>
      </x:c>
      <x:c r="C1568" t="s">
        <x:v>486</x:v>
      </x:c>
      <x:c r="D1568">
        <x:v>5</x:v>
      </x:c>
      <x:c r="E1568" t="s">
        <x:v>114</x:v>
      </x:c>
      <x:c r="F1568" t="s">
        <x:v>90</x:v>
      </x:c>
      <x:c r="G1568">
        <x:v>45240</x:v>
      </x:c>
      <x:c r="H1568" t="s">
        <x:v>7215</x:v>
      </x:c>
      <x:c r="I1568" t="s">
        <x:v>7216</x:v>
      </x:c>
      <x:c r="J1568" t="s">
        <x:v>7217</x:v>
      </x:c>
    </x:row>
    <x:row r="1569">
      <x:c r="A1569" t="s">
        <x:v>7218</x:v>
      </x:c>
      <x:c r="B1569" t="s">
        <x:v>7218</x:v>
      </x:c>
      <x:c r="C1569" t="s">
        <x:v>7219</x:v>
      </x:c>
      <x:c r="D1569">
        <x:v>7</x:v>
      </x:c>
      <x:c r="E1569" t="s">
        <x:v>257</x:v>
      </x:c>
      <x:c r="F1569" t="s">
        <x:v>97</x:v>
      </x:c>
      <x:c r="G1569">
        <x:v>43305</x:v>
      </x:c>
      <x:c r="H1569" t="s">
        <x:v>7220</x:v>
      </x:c>
      <x:c r="I1569" t="s">
        <x:v>7221</x:v>
      </x:c>
      <x:c r="J1569" t="s">
        <x:v>7222</x:v>
      </x:c>
    </x:row>
    <x:row r="1570">
      <x:c r="A1570" t="s">
        <x:v>7223</x:v>
      </x:c>
      <x:c r="B1570" t="s">
        <x:v>7223</x:v>
      </x:c>
      <x:c r="C1570" t="s">
        <x:v>2109</x:v>
      </x:c>
      <x:c r="D1570">
        <x:v>30</x:v>
      </x:c>
      <x:c r="E1570" t="s">
        <x:v>89</x:v>
      </x:c>
      <x:c r="F1570" t="s">
        <x:v>97</x:v>
      </x:c>
      <x:c r="G1570">
        <x:v>45929</x:v>
      </x:c>
      <x:c r="H1570" t="s">
        <x:v>7224</x:v>
      </x:c>
      <x:c r="I1570" t="s">
        <x:v>7225</x:v>
      </x:c>
      <x:c r="J1570" t="s">
        <x:v>7226</x:v>
      </x:c>
    </x:row>
    <x:row r="1571">
      <x:c r="A1571" t="s">
        <x:v>7227</x:v>
      </x:c>
      <x:c r="B1571" t="s">
        <x:v>7227</x:v>
      </x:c>
      <x:c r="C1571" t="s">
        <x:v>7228</x:v>
      </x:c>
      <x:c r="D1571">
        <x:v>5</x:v>
      </x:c>
      <x:c r="E1571" t="s">
        <x:v>103</x:v>
      </x:c>
      <x:c r="F1571" t="s">
        <x:v>97</x:v>
      </x:c>
      <x:c r="G1571">
        <x:v>41527</x:v>
      </x:c>
      <x:c r="H1571" t="s">
        <x:v>7229</x:v>
      </x:c>
      <x:c r="I1571" t="s">
        <x:v>7230</x:v>
      </x:c>
      <x:c r="J1571" t="s">
        <x:v>7231</x:v>
      </x:c>
    </x:row>
    <x:row r="1572">
      <x:c r="A1572" t="s">
        <x:v>7232</x:v>
      </x:c>
      <x:c r="B1572" t="s">
        <x:v>7232</x:v>
      </x:c>
      <x:c r="C1572" t="s">
        <x:v>7233</x:v>
      </x:c>
      <x:c r="D1572">
        <x:v>6</x:v>
      </x:c>
      <x:c r="E1572" t="s">
        <x:v>103</x:v>
      </x:c>
      <x:c r="F1572" t="s">
        <x:v>97</x:v>
      </x:c>
      <x:c r="G1572">
        <x:v>42329</x:v>
      </x:c>
      <x:c r="H1572" t="s">
        <x:v>7234</x:v>
      </x:c>
      <x:c r="I1572" t="s">
        <x:v>7235</x:v>
      </x:c>
      <x:c r="J1572" t="s">
        <x:v>7236</x:v>
      </x:c>
    </x:row>
    <x:row r="1573">
      <x:c r="A1573" t="s">
        <x:v>7237</x:v>
      </x:c>
      <x:c r="B1573" t="s">
        <x:v>7237</x:v>
      </x:c>
      <x:c r="C1573" t="s">
        <x:v>7238</x:v>
      </x:c>
      <x:c r="D1573">
        <x:v>8</x:v>
      </x:c>
      <x:c r="E1573" t="s">
        <x:v>198</x:v>
      </x:c>
      <x:c r="F1573" t="s">
        <x:v>90</x:v>
      </x:c>
      <x:c r="G1573">
        <x:v>44211</x:v>
      </x:c>
      <x:c r="H1573" t="s">
        <x:v>7239</x:v>
      </x:c>
      <x:c r="I1573" t="s">
        <x:v>7240</x:v>
      </x:c>
      <x:c r="J1573" t="s">
        <x:v>7241</x:v>
      </x:c>
    </x:row>
    <x:row r="1574">
      <x:c r="A1574" t="s">
        <x:v>7242</x:v>
      </x:c>
      <x:c r="B1574" t="s">
        <x:v>7242</x:v>
      </x:c>
      <x:c r="C1574" t="s">
        <x:v>7238</x:v>
      </x:c>
      <x:c r="D1574">
        <x:v>20</x:v>
      </x:c>
      <x:c r="E1574" t="s">
        <x:v>198</x:v>
      </x:c>
      <x:c r="F1574" t="s">
        <x:v>90</x:v>
      </x:c>
      <x:c r="G1574">
        <x:v>44593</x:v>
      </x:c>
      <x:c r="H1574" t="s">
        <x:v>7243</x:v>
      </x:c>
      <x:c r="I1574" t="s">
        <x:v>7244</x:v>
      </x:c>
      <x:c r="J1574" t="s">
        <x:v>7245</x:v>
      </x:c>
    </x:row>
    <x:row r="1575">
      <x:c r="A1575" t="s">
        <x:v>7246</x:v>
      </x:c>
      <x:c r="B1575" t="s">
        <x:v>7246</x:v>
      </x:c>
      <x:c r="C1575" t="s">
        <x:v>3586</x:v>
      </x:c>
      <x:c r="D1575">
        <x:v>35</x:v>
      </x:c>
      <x:c r="E1575" t="s">
        <x:v>103</x:v>
      </x:c>
      <x:c r="F1575" t="s">
        <x:v>97</x:v>
      </x:c>
      <x:c r="G1575">
        <x:v>41609</x:v>
      </x:c>
      <x:c r="H1575" t="s">
        <x:v>7247</x:v>
      </x:c>
      <x:c r="I1575" t="s">
        <x:v>7248</x:v>
      </x:c>
      <x:c r="J1575" t="s">
        <x:v>7249</x:v>
      </x:c>
    </x:row>
    <x:row r="1576">
      <x:c r="A1576" t="s">
        <x:v>7250</x:v>
      </x:c>
      <x:c r="B1576" t="s">
        <x:v>7250</x:v>
      </x:c>
      <x:c r="C1576" t="s">
        <x:v>3586</x:v>
      </x:c>
      <x:c r="D1576">
        <x:v>46</x:v>
      </x:c>
      <x:c r="E1576" t="s">
        <x:v>96</x:v>
      </x:c>
      <x:c r="F1576" t="s">
        <x:v>97</x:v>
      </x:c>
      <x:c r="G1576">
        <x:v>44862</x:v>
      </x:c>
      <x:c r="H1576" t="s">
        <x:v>7251</x:v>
      </x:c>
      <x:c r="I1576" t="s">
        <x:v>7252</x:v>
      </x:c>
      <x:c r="J1576" t="s">
        <x:v>7253</x:v>
      </x:c>
    </x:row>
    <x:row r="1577">
      <x:c r="A1577" t="s">
        <x:v>7254</x:v>
      </x:c>
      <x:c r="B1577" t="s">
        <x:v>7254</x:v>
      </x:c>
      <x:c r="C1577" t="s">
        <x:v>3586</x:v>
      </x:c>
      <x:c r="D1577">
        <x:v>68</x:v>
      </x:c>
      <x:c r="E1577" t="s">
        <x:v>96</x:v>
      </x:c>
      <x:c r="F1577" t="s">
        <x:v>97</x:v>
      </x:c>
      <x:c r="G1577">
        <x:v>44236</x:v>
      </x:c>
      <x:c r="H1577" t="s">
        <x:v>7255</x:v>
      </x:c>
      <x:c r="I1577" t="s">
        <x:v>7256</x:v>
      </x:c>
      <x:c r="J1577" t="s">
        <x:v>7257</x:v>
      </x:c>
    </x:row>
    <x:row r="1578">
      <x:c r="A1578" t="s">
        <x:v>7258</x:v>
      </x:c>
      <x:c r="B1578" t="s">
        <x:v>7258</x:v>
      </x:c>
      <x:c r="C1578" t="s">
        <x:v>7259</x:v>
      </x:c>
      <x:c r="D1578">
        <x:v>17</x:v>
      </x:c>
      <x:c r="E1578" t="s">
        <x:v>198</x:v>
      </x:c>
      <x:c r="F1578" t="s">
        <x:v>90</x:v>
      </x:c>
      <x:c r="G1578">
        <x:v>44643</x:v>
      </x:c>
      <x:c r="H1578" t="s">
        <x:v>7260</x:v>
      </x:c>
      <x:c r="I1578" t="s">
        <x:v>7261</x:v>
      </x:c>
      <x:c r="J1578" t="s">
        <x:v>7262</x:v>
      </x:c>
    </x:row>
    <x:row r="1579">
      <x:c r="A1579" t="s">
        <x:v>7263</x:v>
      </x:c>
      <x:c r="B1579" t="s">
        <x:v>7263</x:v>
      </x:c>
      <x:c r="C1579" t="s">
        <x:v>685</x:v>
      </x:c>
      <x:c r="D1579">
        <x:v>6</x:v>
      </x:c>
      <x:c r="E1579" t="s">
        <x:v>198</x:v>
      </x:c>
      <x:c r="F1579" t="s">
        <x:v>90</x:v>
      </x:c>
      <x:c r="G1579">
        <x:v>45597</x:v>
      </x:c>
      <x:c r="H1579" t="s">
        <x:v>7264</x:v>
      </x:c>
      <x:c r="I1579" t="s">
        <x:v>7265</x:v>
      </x:c>
      <x:c r="J1579" t="s">
        <x:v>7266</x:v>
      </x:c>
    </x:row>
    <x:row r="1580">
      <x:c r="A1580" t="s">
        <x:v>7267</x:v>
      </x:c>
      <x:c r="B1580" t="s">
        <x:v>7267</x:v>
      </x:c>
      <x:c r="C1580" t="s">
        <x:v>2396</x:v>
      </x:c>
      <x:c r="D1580">
        <x:v>20</x:v>
      </x:c>
      <x:c r="E1580" t="s">
        <x:v>198</x:v>
      </x:c>
      <x:c r="F1580" t="s">
        <x:v>90</x:v>
      </x:c>
      <x:c r="G1580">
        <x:v>44354</x:v>
      </x:c>
      <x:c r="H1580" t="s">
        <x:v>7268</x:v>
      </x:c>
      <x:c r="I1580" t="s">
        <x:v>7269</x:v>
      </x:c>
      <x:c r="J1580" t="s">
        <x:v>7270</x:v>
      </x:c>
    </x:row>
    <x:row r="1581">
      <x:c r="A1581" t="s">
        <x:v>7271</x:v>
      </x:c>
      <x:c r="B1581" t="s">
        <x:v>7271</x:v>
      </x:c>
      <x:c r="C1581" t="s">
        <x:v>3504</x:v>
      </x:c>
      <x:c r="D1581">
        <x:v>7</x:v>
      </x:c>
      <x:c r="E1581" t="s">
        <x:v>103</x:v>
      </x:c>
      <x:c r="F1581" t="s">
        <x:v>97</x:v>
      </x:c>
      <x:c r="G1581">
        <x:v>44782</x:v>
      </x:c>
      <x:c r="H1581" t="s">
        <x:v>7272</x:v>
      </x:c>
      <x:c r="I1581" t="s">
        <x:v>7273</x:v>
      </x:c>
      <x:c r="J1581" t="s">
        <x:v>7274</x:v>
      </x:c>
    </x:row>
    <x:row r="1582">
      <x:c r="A1582" t="s">
        <x:v>49</x:v>
      </x:c>
      <x:c r="B1582" t="s">
        <x:v>49</x:v>
      </x:c>
      <x:c r="C1582" t="s">
        <x:v>7275</x:v>
      </x:c>
      <x:c r="D1582">
        <x:v>26</x:v>
      </x:c>
      <x:c r="E1582" t="s">
        <x:v>114</x:v>
      </x:c>
      <x:c r="F1582" t="s">
        <x:v>90</x:v>
      </x:c>
      <x:c r="G1582">
        <x:v>45613</x:v>
      </x:c>
      <x:c r="H1582" t="s">
        <x:v>7276</x:v>
      </x:c>
      <x:c r="I1582" t="s">
        <x:v>7277</x:v>
      </x:c>
      <x:c r="J1582" t="s">
        <x:v>7278</x:v>
      </x:c>
    </x:row>
    <x:row r="1583">
      <x:c r="A1583" t="s">
        <x:v>7279</x:v>
      </x:c>
      <x:c r="B1583" t="s">
        <x:v>7279</x:v>
      </x:c>
      <x:c r="C1583" t="s">
        <x:v>3747</x:v>
      </x:c>
      <x:c r="D1583">
        <x:v>11</x:v>
      </x:c>
      <x:c r="E1583" t="s">
        <x:v>114</x:v>
      </x:c>
      <x:c r="F1583" t="s">
        <x:v>90</x:v>
      </x:c>
      <x:c r="G1583">
        <x:v>45449</x:v>
      </x:c>
      <x:c r="H1583" t="s">
        <x:v>7280</x:v>
      </x:c>
      <x:c r="I1583" t="s">
        <x:v>7281</x:v>
      </x:c>
      <x:c r="J1583" t="s">
        <x:v>7282</x:v>
      </x:c>
    </x:row>
    <x:row r="1584">
      <x:c r="A1584" t="s">
        <x:v>7283</x:v>
      </x:c>
      <x:c r="B1584" t="s">
        <x:v>7283</x:v>
      </x:c>
      <x:c r="C1584" t="s">
        <x:v>4692</x:v>
      </x:c>
      <x:c r="D1584">
        <x:v>11</x:v>
      </x:c>
      <x:c r="E1584" t="s">
        <x:v>89</x:v>
      </x:c>
      <x:c r="F1584" t="s">
        <x:v>97</x:v>
      </x:c>
      <x:c r="G1584">
        <x:v>46072</x:v>
      </x:c>
      <x:c r="H1584" t="s">
        <x:v>7284</x:v>
      </x:c>
      <x:c r="I1584" t="s">
        <x:v>7285</x:v>
      </x:c>
      <x:c r="J1584" t="s">
        <x:v>7286</x:v>
      </x:c>
    </x:row>
    <x:row r="1585">
      <x:c r="A1585" t="s">
        <x:v>7287</x:v>
      </x:c>
      <x:c r="B1585" t="s">
        <x:v>7287</x:v>
      </x:c>
      <x:c r="C1585" t="s">
        <x:v>1407</x:v>
      </x:c>
      <x:c r="D1585">
        <x:v>11</x:v>
      </x:c>
      <x:c r="E1585" t="s">
        <x:v>96</x:v>
      </x:c>
      <x:c r="F1585" t="s">
        <x:v>90</x:v>
      </x:c>
      <x:c r="G1585">
        <x:v>46215</x:v>
      </x:c>
      <x:c r="H1585" t="s">
        <x:v>7288</x:v>
      </x:c>
      <x:c r="I1585" t="s">
        <x:v>7289</x:v>
      </x:c>
      <x:c r="J1585" t="s">
        <x:v>7290</x:v>
      </x:c>
    </x:row>
    <x:row r="1586">
      <x:c r="A1586" t="s">
        <x:v>7291</x:v>
      </x:c>
      <x:c r="B1586" t="s">
        <x:v>7291</x:v>
      </x:c>
      <x:c r="C1586" t="s">
        <x:v>3623</x:v>
      </x:c>
      <x:c r="D1586">
        <x:v>1</x:v>
      </x:c>
      <x:c r="E1586" t="s">
        <x:v>198</x:v>
      </x:c>
      <x:c r="F1586" t="s">
        <x:v>90</x:v>
      </x:c>
      <x:c r="G1586">
        <x:v>44146</x:v>
      </x:c>
      <x:c r="H1586" t="s">
        <x:v>7292</x:v>
      </x:c>
      <x:c r="I1586" t="s">
        <x:v>7293</x:v>
      </x:c>
      <x:c r="J1586" t="s">
        <x:v>7294</x:v>
      </x:c>
    </x:row>
    <x:row r="1587">
      <x:c r="A1587" t="s">
        <x:v>7295</x:v>
      </x:c>
      <x:c r="B1587" t="s">
        <x:v>7295</x:v>
      </x:c>
      <x:c r="C1587" t="s">
        <x:v>6692</x:v>
      </x:c>
      <x:c r="D1587">
        <x:v>0</x:v>
      </x:c>
      <x:c r="E1587" t="s">
        <x:v>96</x:v>
      </x:c>
      <x:c r="F1587" t="s">
        <x:v>97</x:v>
      </x:c>
      <x:c r="G1587">
        <x:v>45146</x:v>
      </x:c>
      <x:c r="H1587" t="s">
        <x:v>7296</x:v>
      </x:c>
      <x:c r="I1587" t="s">
        <x:v>7297</x:v>
      </x:c>
      <x:c r="J1587" t="s">
        <x:v>7298</x:v>
      </x:c>
    </x:row>
    <x:row r="1588">
      <x:c r="A1588" t="s">
        <x:v>7299</x:v>
      </x:c>
      <x:c r="B1588" t="s">
        <x:v>7299</x:v>
      </x:c>
      <x:c r="C1588" t="s">
        <x:v>7300</x:v>
      </x:c>
      <x:c r="D1588">
        <x:v>1</x:v>
      </x:c>
      <x:c r="E1588" t="s">
        <x:v>198</x:v>
      </x:c>
      <x:c r="F1588" t="s">
        <x:v>90</x:v>
      </x:c>
      <x:c r="G1588">
        <x:v>44474</x:v>
      </x:c>
      <x:c r="H1588" t="s">
        <x:v>7301</x:v>
      </x:c>
      <x:c r="I1588" t="s">
        <x:v>7302</x:v>
      </x:c>
      <x:c r="J1588" t="s">
        <x:v>7303</x:v>
      </x:c>
    </x:row>
    <x:row r="1589">
      <x:c r="A1589" t="s">
        <x:v>7304</x:v>
      </x:c>
      <x:c r="B1589" t="s">
        <x:v>7304</x:v>
      </x:c>
      <x:c r="C1589" t="s">
        <x:v>1969</x:v>
      </x:c>
      <x:c r="D1589">
        <x:v>9</x:v>
      </x:c>
      <x:c r="E1589" t="s">
        <x:v>96</x:v>
      </x:c>
      <x:c r="F1589" t="s">
        <x:v>610</x:v>
      </x:c>
      <x:c r="G1589">
        <x:v>44854</x:v>
      </x:c>
      <x:c r="H1589" t="s">
        <x:v>7305</x:v>
      </x:c>
      <x:c r="I1589" t="s">
        <x:v>7306</x:v>
      </x:c>
      <x:c r="J1589" t="s">
        <x:v>7307</x:v>
      </x:c>
    </x:row>
    <x:row r="1590">
      <x:c r="A1590" t="s">
        <x:v>7308</x:v>
      </x:c>
      <x:c r="B1590" t="s">
        <x:v>7308</x:v>
      </x:c>
      <x:c r="C1590" t="s">
        <x:v>7309</x:v>
      </x:c>
      <x:c r="D1590">
        <x:v>622</x:v>
      </x:c>
      <x:c r="E1590" t="s">
        <x:v>89</x:v>
      </x:c>
      <x:c r="F1590" t="s">
        <x:v>97</x:v>
      </x:c>
      <x:c r="G1590">
        <x:v>45328</x:v>
      </x:c>
      <x:c r="H1590" t="s">
        <x:v>7310</x:v>
      </x:c>
      <x:c r="I1590" t="s">
        <x:v>7311</x:v>
      </x:c>
      <x:c r="J1590" t="s">
        <x:v>7312</x:v>
      </x:c>
    </x:row>
    <x:row r="1591">
      <x:c r="A1591" t="s">
        <x:v>7313</x:v>
      </x:c>
      <x:c r="B1591" t="s">
        <x:v>7313</x:v>
      </x:c>
      <x:c r="C1591" t="s">
        <x:v>7314</x:v>
      </x:c>
      <x:c r="D1591">
        <x:v>9</x:v>
      </x:c>
      <x:c r="E1591" t="s">
        <x:v>89</x:v>
      </x:c>
      <x:c r="F1591" t="s">
        <x:v>90</x:v>
      </x:c>
      <x:c r="G1591">
        <x:v>45353</x:v>
      </x:c>
      <x:c r="H1591" t="s">
        <x:v>7315</x:v>
      </x:c>
      <x:c r="I1591" t="s">
        <x:v>7316</x:v>
      </x:c>
      <x:c r="J1591" t="s">
        <x:v>7317</x:v>
      </x:c>
    </x:row>
    <x:row r="1592">
      <x:c r="A1592" t="s">
        <x:v>7318</x:v>
      </x:c>
      <x:c r="B1592" t="s">
        <x:v>7318</x:v>
      </x:c>
      <x:c r="C1592" t="s">
        <x:v>4109</x:v>
      </x:c>
      <x:c r="D1592">
        <x:v>15</x:v>
      </x:c>
      <x:c r="E1592" t="s">
        <x:v>89</x:v>
      </x:c>
      <x:c r="F1592" t="s">
        <x:v>90</x:v>
      </x:c>
      <x:c r="G1592">
        <x:v>44511</x:v>
      </x:c>
      <x:c r="H1592" t="s">
        <x:v>7319</x:v>
      </x:c>
      <x:c r="I1592" t="s">
        <x:v>7320</x:v>
      </x:c>
      <x:c r="J1592" t="s">
        <x:v>7321</x:v>
      </x:c>
    </x:row>
    <x:row r="1593">
      <x:c r="A1593" t="s">
        <x:v>7322</x:v>
      </x:c>
      <x:c r="B1593" t="s">
        <x:v>7322</x:v>
      </x:c>
      <x:c r="C1593" t="s">
        <x:v>7323</x:v>
      </x:c>
      <x:c r="D1593">
        <x:v>6</x:v>
      </x:c>
      <x:c r="E1593" t="s">
        <x:v>198</x:v>
      </x:c>
      <x:c r="F1593" t="s">
        <x:v>90</x:v>
      </x:c>
      <x:c r="G1593">
        <x:v>45159</x:v>
      </x:c>
      <x:c r="H1593" t="s">
        <x:v>7324</x:v>
      </x:c>
      <x:c r="I1593" t="s">
        <x:v>7325</x:v>
      </x:c>
      <x:c r="J1593" t="s">
        <x:v>7326</x:v>
      </x:c>
    </x:row>
    <x:row r="1594">
      <x:c r="A1594" t="s">
        <x:v>7327</x:v>
      </x:c>
      <x:c r="B1594" t="s">
        <x:v>7327</x:v>
      </x:c>
      <x:c r="C1594" t="s">
        <x:v>4692</x:v>
      </x:c>
      <x:c r="D1594">
        <x:v>9</x:v>
      </x:c>
      <x:c r="E1594" t="s">
        <x:v>89</x:v>
      </x:c>
      <x:c r="F1594" t="s">
        <x:v>97</x:v>
      </x:c>
      <x:c r="G1594">
        <x:v>43835</x:v>
      </x:c>
      <x:c r="H1594" t="s">
        <x:v>7328</x:v>
      </x:c>
      <x:c r="I1594" t="s">
        <x:v>7329</x:v>
      </x:c>
      <x:c r="J1594" t="s">
        <x:v>7330</x:v>
      </x:c>
    </x:row>
    <x:row r="1595">
      <x:c r="A1595" t="s">
        <x:v>7331</x:v>
      </x:c>
      <x:c r="B1595" t="s">
        <x:v>7331</x:v>
      </x:c>
      <x:c r="C1595" t="s">
        <x:v>3087</x:v>
      </x:c>
      <x:c r="D1595">
        <x:v>13</x:v>
      </x:c>
      <x:c r="E1595" t="s">
        <x:v>89</x:v>
      </x:c>
      <x:c r="F1595" t="s">
        <x:v>90</x:v>
      </x:c>
      <x:c r="G1595">
        <x:v>44445</x:v>
      </x:c>
      <x:c r="H1595" t="s">
        <x:v>7332</x:v>
      </x:c>
      <x:c r="I1595" t="s">
        <x:v>7333</x:v>
      </x:c>
      <x:c r="J1595" t="s">
        <x:v>7334</x:v>
      </x:c>
    </x:row>
    <x:row r="1596">
      <x:c r="A1596" t="s">
        <x:v>7335</x:v>
      </x:c>
      <x:c r="B1596" t="s">
        <x:v>7335</x:v>
      </x:c>
      <x:c r="C1596" t="s">
        <x:v>1472</x:v>
      </x:c>
      <x:c r="D1596">
        <x:v>7</x:v>
      </x:c>
      <x:c r="E1596" t="s">
        <x:v>96</x:v>
      </x:c>
      <x:c r="F1596" t="s">
        <x:v>152</x:v>
      </x:c>
      <x:c r="G1596">
        <x:v>46212</x:v>
      </x:c>
      <x:c r="H1596" t="s">
        <x:v>7336</x:v>
      </x:c>
      <x:c r="I1596" t="s">
        <x:v>7337</x:v>
      </x:c>
      <x:c r="J1596" t="s">
        <x:v>7338</x:v>
      </x:c>
    </x:row>
    <x:row r="1597">
      <x:c r="A1597" t="s">
        <x:v>7339</x:v>
      </x:c>
      <x:c r="B1597" t="s">
        <x:v>7339</x:v>
      </x:c>
      <x:c r="C1597" t="s">
        <x:v>1472</x:v>
      </x:c>
      <x:c r="D1597">
        <x:v>28</x:v>
      </x:c>
      <x:c r="E1597" t="s">
        <x:v>96</x:v>
      </x:c>
      <x:c r="F1597" t="s">
        <x:v>90</x:v>
      </x:c>
      <x:c r="G1597">
        <x:v>46219</x:v>
      </x:c>
      <x:c r="H1597" t="s">
        <x:v>7340</x:v>
      </x:c>
      <x:c r="I1597" t="s">
        <x:v>7341</x:v>
      </x:c>
      <x:c r="J1597" t="s">
        <x:v>7342</x:v>
      </x:c>
    </x:row>
    <x:row r="1598">
      <x:c r="A1598" t="s">
        <x:v>7343</x:v>
      </x:c>
      <x:c r="B1598" t="s">
        <x:v>7343</x:v>
      </x:c>
      <x:c r="C1598" t="s">
        <x:v>1472</x:v>
      </x:c>
      <x:c r="D1598">
        <x:v>28</x:v>
      </x:c>
      <x:c r="E1598" t="s">
        <x:v>89</x:v>
      </x:c>
      <x:c r="F1598" t="s">
        <x:v>90</x:v>
      </x:c>
      <x:c r="G1598">
        <x:v>45374</x:v>
      </x:c>
      <x:c r="H1598" t="s">
        <x:v>7344</x:v>
      </x:c>
      <x:c r="I1598" t="s">
        <x:v>7345</x:v>
      </x:c>
      <x:c r="J1598" t="s">
        <x:v>7346</x:v>
      </x:c>
    </x:row>
    <x:row r="1599">
      <x:c r="A1599" t="s">
        <x:v>7347</x:v>
      </x:c>
      <x:c r="B1599" t="s">
        <x:v>7347</x:v>
      </x:c>
      <x:c r="C1599" t="s">
        <x:v>1782</x:v>
      </x:c>
      <x:c r="D1599">
        <x:v>7</x:v>
      </x:c>
      <x:c r="E1599" t="s">
        <x:v>198</x:v>
      </x:c>
      <x:c r="F1599" t="s">
        <x:v>90</x:v>
      </x:c>
      <x:c r="G1599">
        <x:v>44585</x:v>
      </x:c>
      <x:c r="H1599" t="s">
        <x:v>7348</x:v>
      </x:c>
      <x:c r="I1599" t="s">
        <x:v>7349</x:v>
      </x:c>
      <x:c r="J1599" t="s">
        <x:v>7350</x:v>
      </x:c>
    </x:row>
    <x:row r="1600">
      <x:c r="A1600" t="s">
        <x:v>7351</x:v>
      </x:c>
      <x:c r="B1600" t="s">
        <x:v>7351</x:v>
      </x:c>
      <x:c r="C1600" t="s">
        <x:v>4210</x:v>
      </x:c>
      <x:c r="D1600">
        <x:v>42</x:v>
      </x:c>
      <x:c r="E1600" t="s">
        <x:v>103</x:v>
      </x:c>
      <x:c r="F1600" t="s">
        <x:v>97</x:v>
      </x:c>
      <x:c r="G1600">
        <x:v>42213</x:v>
      </x:c>
      <x:c r="H1600" t="s">
        <x:v>7352</x:v>
      </x:c>
      <x:c r="I1600" t="s">
        <x:v>7353</x:v>
      </x:c>
      <x:c r="J1600" t="s">
        <x:v>7354</x:v>
      </x:c>
    </x:row>
    <x:row r="1601">
      <x:c r="A1601" t="s">
        <x:v>7355</x:v>
      </x:c>
      <x:c r="B1601" t="s">
        <x:v>7355</x:v>
      </x:c>
      <x:c r="C1601" t="s">
        <x:v>5389</x:v>
      </x:c>
      <x:c r="D1601">
        <x:v>4</x:v>
      </x:c>
      <x:c r="E1601" t="s">
        <x:v>257</x:v>
      </x:c>
      <x:c r="F1601" t="s">
        <x:v>97</x:v>
      </x:c>
      <x:c r="G1601">
        <x:v>42279</x:v>
      </x:c>
      <x:c r="H1601" t="s">
        <x:v>7356</x:v>
      </x:c>
      <x:c r="I1601" t="s">
        <x:v>7357</x:v>
      </x:c>
      <x:c r="J1601" t="s">
        <x:v>7358</x:v>
      </x:c>
    </x:row>
    <x:row r="1602">
      <x:c r="A1602" t="s">
        <x:v>7359</x:v>
      </x:c>
      <x:c r="B1602" t="s">
        <x:v>7359</x:v>
      </x:c>
      <x:c r="C1602" t="s">
        <x:v>4947</x:v>
      </x:c>
      <x:c r="D1602">
        <x:v>15</x:v>
      </x:c>
      <x:c r="E1602" t="s">
        <x:v>103</x:v>
      </x:c>
      <x:c r="F1602" t="s">
        <x:v>97</x:v>
      </x:c>
      <x:c r="G1602">
        <x:v>44303</x:v>
      </x:c>
      <x:c r="H1602" t="s">
        <x:v>7360</x:v>
      </x:c>
      <x:c r="I1602" t="s">
        <x:v>7361</x:v>
      </x:c>
      <x:c r="J1602" t="s">
        <x:v>7362</x:v>
      </x:c>
    </x:row>
    <x:row r="1603">
      <x:c r="A1603" t="s">
        <x:v>7363</x:v>
      </x:c>
      <x:c r="B1603" t="s">
        <x:v>7363</x:v>
      </x:c>
      <x:c r="C1603" t="s">
        <x:v>7364</x:v>
      </x:c>
      <x:c r="D1603">
        <x:v>20</x:v>
      </x:c>
      <x:c r="E1603" t="s">
        <x:v>257</x:v>
      </x:c>
      <x:c r="F1603" t="s">
        <x:v>97</x:v>
      </x:c>
      <x:c r="G1603">
        <x:v>44907</x:v>
      </x:c>
      <x:c r="H1603" t="s">
        <x:v>7365</x:v>
      </x:c>
      <x:c r="I1603" t="s">
        <x:v>7366</x:v>
      </x:c>
      <x:c r="J1603" t="s">
        <x:v>7367</x:v>
      </x:c>
    </x:row>
    <x:row r="1604">
      <x:c r="A1604" t="s">
        <x:v>7368</x:v>
      </x:c>
      <x:c r="B1604" t="s">
        <x:v>7368</x:v>
      </x:c>
      <x:c r="C1604" t="s">
        <x:v>1751</x:v>
      </x:c>
      <x:c r="D1604">
        <x:v>118</x:v>
      </x:c>
      <x:c r="E1604" t="s">
        <x:v>96</x:v>
      </x:c>
      <x:c r="F1604" t="s">
        <x:v>97</x:v>
      </x:c>
      <x:c r="G1604">
        <x:v>46023</x:v>
      </x:c>
      <x:c r="H1604" t="s">
        <x:v>7369</x:v>
      </x:c>
      <x:c r="I1604" t="s">
        <x:v>7370</x:v>
      </x:c>
      <x:c r="J1604" t="s">
        <x:v>7371</x:v>
      </x:c>
    </x:row>
    <x:row r="1605">
      <x:c r="A1605" t="s">
        <x:v>7372</x:v>
      </x:c>
      <x:c r="B1605" t="s">
        <x:v>7372</x:v>
      </x:c>
      <x:c r="C1605" t="s">
        <x:v>553</x:v>
      </x:c>
      <x:c r="D1605">
        <x:v>14</x:v>
      </x:c>
      <x:c r="E1605" t="s">
        <x:v>103</x:v>
      </x:c>
      <x:c r="F1605" t="s">
        <x:v>97</x:v>
      </x:c>
      <x:c r="G1605">
        <x:v>43429</x:v>
      </x:c>
      <x:c r="H1605" t="s">
        <x:v>7373</x:v>
      </x:c>
      <x:c r="I1605" t="s">
        <x:v>7374</x:v>
      </x:c>
      <x:c r="J1605" t="s">
        <x:v>7375</x:v>
      </x:c>
    </x:row>
    <x:row r="1606">
      <x:c r="A1606" t="s">
        <x:v>7376</x:v>
      </x:c>
      <x:c r="B1606" t="s">
        <x:v>7376</x:v>
      </x:c>
      <x:c r="C1606" t="s">
        <x:v>7377</x:v>
      </x:c>
      <x:c r="D1606">
        <x:v>12</x:v>
      </x:c>
      <x:c r="E1606" t="s">
        <x:v>257</x:v>
      </x:c>
      <x:c r="F1606" t="s">
        <x:v>97</x:v>
      </x:c>
      <x:c r="G1606">
        <x:v>41959</x:v>
      </x:c>
      <x:c r="H1606" t="s">
        <x:v>7378</x:v>
      </x:c>
      <x:c r="I1606" t="s">
        <x:v>7379</x:v>
      </x:c>
      <x:c r="J1606" t="s">
        <x:v>7380</x:v>
      </x:c>
    </x:row>
    <x:row r="1607">
      <x:c r="A1607" t="s">
        <x:v>7381</x:v>
      </x:c>
      <x:c r="B1607" t="s">
        <x:v>7381</x:v>
      </x:c>
      <x:c r="C1607" t="s">
        <x:v>7382</x:v>
      </x:c>
      <x:c r="D1607">
        <x:v>21</x:v>
      </x:c>
      <x:c r="E1607" t="s">
        <x:v>103</x:v>
      </x:c>
      <x:c r="F1607" t="s">
        <x:v>97</x:v>
      </x:c>
      <x:c r="G1607">
        <x:v>42185</x:v>
      </x:c>
      <x:c r="H1607" t="s">
        <x:v>7383</x:v>
      </x:c>
      <x:c r="I1607" t="s">
        <x:v>7384</x:v>
      </x:c>
      <x:c r="J1607" t="s">
        <x:v>7385</x:v>
      </x:c>
    </x:row>
    <x:row r="1608">
      <x:c r="A1608" t="s">
        <x:v>7386</x:v>
      </x:c>
      <x:c r="B1608" t="s">
        <x:v>7386</x:v>
      </x:c>
      <x:c r="C1608" t="s">
        <x:v>5884</x:v>
      </x:c>
      <x:c r="D1608">
        <x:v>64</x:v>
      </x:c>
      <x:c r="E1608" t="s">
        <x:v>96</x:v>
      </x:c>
      <x:c r="F1608" t="s">
        <x:v>97</x:v>
      </x:c>
      <x:c r="G1608">
        <x:v>44775</x:v>
      </x:c>
      <x:c r="H1608" t="s">
        <x:v>7387</x:v>
      </x:c>
      <x:c r="I1608" t="s">
        <x:v>7388</x:v>
      </x:c>
      <x:c r="J1608" t="s">
        <x:v>7389</x:v>
      </x:c>
    </x:row>
    <x:row r="1609">
      <x:c r="A1609" t="s">
        <x:v>7390</x:v>
      </x:c>
      <x:c r="B1609" t="s">
        <x:v>7390</x:v>
      </x:c>
      <x:c r="C1609" t="s">
        <x:v>7391</x:v>
      </x:c>
      <x:c r="D1609">
        <x:v>20</x:v>
      </x:c>
      <x:c r="E1609" t="s">
        <x:v>89</x:v>
      </x:c>
      <x:c r="F1609" t="s">
        <x:v>97</x:v>
      </x:c>
      <x:c r="G1609">
        <x:v>42195</x:v>
      </x:c>
      <x:c r="H1609" t="s">
        <x:v>7392</x:v>
      </x:c>
      <x:c r="I1609" t="s">
        <x:v>7393</x:v>
      </x:c>
      <x:c r="J1609" t="s">
        <x:v>7394</x:v>
      </x:c>
    </x:row>
    <x:row r="1610">
      <x:c r="A1610" t="s">
        <x:v>7395</x:v>
      </x:c>
      <x:c r="B1610" t="s">
        <x:v>7395</x:v>
      </x:c>
      <x:c r="C1610" t="s">
        <x:v>1751</x:v>
      </x:c>
      <x:c r="D1610">
        <x:v>98</x:v>
      </x:c>
      <x:c r="E1610" t="s">
        <x:v>96</x:v>
      </x:c>
      <x:c r="F1610" t="s">
        <x:v>97</x:v>
      </x:c>
      <x:c r="G1610">
        <x:v>44606</x:v>
      </x:c>
      <x:c r="H1610" t="s">
        <x:v>7396</x:v>
      </x:c>
      <x:c r="I1610" t="s">
        <x:v>7397</x:v>
      </x:c>
      <x:c r="J1610" t="s">
        <x:v>7398</x:v>
      </x:c>
    </x:row>
    <x:row r="1611">
      <x:c r="A1611" t="s">
        <x:v>7399</x:v>
      </x:c>
      <x:c r="B1611" t="s">
        <x:v>7399</x:v>
      </x:c>
      <x:c r="C1611" t="s">
        <x:v>6692</x:v>
      </x:c>
      <x:c r="D1611">
        <x:v>96</x:v>
      </x:c>
      <x:c r="E1611" t="s">
        <x:v>103</x:v>
      </x:c>
      <x:c r="F1611" t="s">
        <x:v>97</x:v>
      </x:c>
      <x:c r="G1611">
        <x:v>44522</x:v>
      </x:c>
      <x:c r="H1611" t="s">
        <x:v>7400</x:v>
      </x:c>
      <x:c r="I1611" t="s">
        <x:v>7401</x:v>
      </x:c>
      <x:c r="J1611" t="s">
        <x:v>7402</x:v>
      </x:c>
    </x:row>
    <x:row r="1612">
      <x:c r="A1612" t="s">
        <x:v>7403</x:v>
      </x:c>
      <x:c r="B1612" t="s">
        <x:v>7403</x:v>
      </x:c>
      <x:c r="C1612" t="s">
        <x:v>7404</x:v>
      </x:c>
      <x:c r="D1612">
        <x:v>55</x:v>
      </x:c>
      <x:c r="E1612" t="s">
        <x:v>96</x:v>
      </x:c>
      <x:c r="F1612" t="s">
        <x:v>97</x:v>
      </x:c>
      <x:c r="G1612">
        <x:v>42213</x:v>
      </x:c>
      <x:c r="H1612" t="s">
        <x:v>7405</x:v>
      </x:c>
      <x:c r="I1612" t="s">
        <x:v>7406</x:v>
      </x:c>
      <x:c r="J1612" t="s">
        <x:v>7407</x:v>
      </x:c>
    </x:row>
    <x:row r="1613">
      <x:c r="A1613" t="s">
        <x:v>7408</x:v>
      </x:c>
      <x:c r="B1613" t="s">
        <x:v>7408</x:v>
      </x:c>
      <x:c r="C1613" t="s">
        <x:v>7404</x:v>
      </x:c>
      <x:c r="D1613">
        <x:v>73</x:v>
      </x:c>
      <x:c r="E1613" t="s">
        <x:v>103</x:v>
      </x:c>
      <x:c r="F1613" t="s">
        <x:v>97</x:v>
      </x:c>
      <x:c r="G1613">
        <x:v>41465</x:v>
      </x:c>
      <x:c r="H1613" t="s">
        <x:v>7409</x:v>
      </x:c>
      <x:c r="I1613" t="s">
        <x:v>7410</x:v>
      </x:c>
      <x:c r="J1613" t="s">
        <x:v>7411</x:v>
      </x:c>
    </x:row>
    <x:row r="1614">
      <x:c r="A1614" t="s">
        <x:v>7412</x:v>
      </x:c>
      <x:c r="B1614" t="s">
        <x:v>7412</x:v>
      </x:c>
      <x:c r="C1614" t="s">
        <x:v>7413</x:v>
      </x:c>
      <x:c r="D1614">
        <x:v>48</x:v>
      </x:c>
      <x:c r="E1614" t="s">
        <x:v>103</x:v>
      </x:c>
      <x:c r="F1614" t="s">
        <x:v>97</x:v>
      </x:c>
      <x:c r="G1614">
        <x:v>42211</x:v>
      </x:c>
      <x:c r="H1614" t="s">
        <x:v>7414</x:v>
      </x:c>
      <x:c r="I1614" t="s">
        <x:v>7415</x:v>
      </x:c>
      <x:c r="J1614" t="s">
        <x:v>7416</x:v>
      </x:c>
    </x:row>
    <x:row r="1615">
      <x:c r="A1615" t="s">
        <x:v>7417</x:v>
      </x:c>
      <x:c r="B1615" t="s">
        <x:v>7417</x:v>
      </x:c>
      <x:c r="C1615" t="s">
        <x:v>2306</x:v>
      </x:c>
      <x:c r="D1615">
        <x:v>12</x:v>
      </x:c>
      <x:c r="E1615" t="s">
        <x:v>198</x:v>
      </x:c>
      <x:c r="F1615" t="s">
        <x:v>610</x:v>
      </x:c>
      <x:c r="G1615">
        <x:v>43567</x:v>
      </x:c>
      <x:c r="H1615" t="s">
        <x:v>7418</x:v>
      </x:c>
      <x:c r="I1615" t="s">
        <x:v>7419</x:v>
      </x:c>
      <x:c r="J1615" t="s">
        <x:v>7420</x:v>
      </x:c>
    </x:row>
    <x:row r="1616">
      <x:c r="A1616" t="s">
        <x:v>7421</x:v>
      </x:c>
      <x:c r="B1616" t="s">
        <x:v>7421</x:v>
      </x:c>
      <x:c r="C1616" t="s">
        <x:v>2306</x:v>
      </x:c>
      <x:c r="D1616">
        <x:v>3</x:v>
      </x:c>
      <x:c r="E1616" t="s">
        <x:v>198</x:v>
      </x:c>
      <x:c r="F1616" t="s">
        <x:v>610</x:v>
      </x:c>
      <x:c r="G1616">
        <x:v>43948</x:v>
      </x:c>
      <x:c r="H1616" t="s">
        <x:v>7422</x:v>
      </x:c>
      <x:c r="I1616" t="s">
        <x:v>7423</x:v>
      </x:c>
      <x:c r="J1616" t="s">
        <x:v>7424</x:v>
      </x:c>
    </x:row>
    <x:row r="1617">
      <x:c r="A1617" t="s">
        <x:v>7425</x:v>
      </x:c>
      <x:c r="B1617" t="s">
        <x:v>7425</x:v>
      </x:c>
      <x:c r="C1617" t="s">
        <x:v>4210</x:v>
      </x:c>
      <x:c r="D1617">
        <x:v>16</x:v>
      </x:c>
      <x:c r="E1617" t="s">
        <x:v>96</x:v>
      </x:c>
      <x:c r="F1617" t="s">
        <x:v>97</x:v>
      </x:c>
      <x:c r="G1617">
        <x:v>42283</x:v>
      </x:c>
      <x:c r="H1617" t="s">
        <x:v>7426</x:v>
      </x:c>
      <x:c r="I1617" t="s">
        <x:v>7427</x:v>
      </x:c>
      <x:c r="J1617" t="s">
        <x:v>7428</x:v>
      </x:c>
    </x:row>
    <x:row r="1618">
      <x:c r="A1618" t="s">
        <x:v>7429</x:v>
      </x:c>
      <x:c r="B1618" t="s">
        <x:v>7429</x:v>
      </x:c>
      <x:c r="C1618" t="s">
        <x:v>1751</x:v>
      </x:c>
      <x:c r="D1618">
        <x:v>112</x:v>
      </x:c>
      <x:c r="E1618" t="s">
        <x:v>96</x:v>
      </x:c>
      <x:c r="F1618" t="s">
        <x:v>97</x:v>
      </x:c>
      <x:c r="G1618">
        <x:v>44464</x:v>
      </x:c>
      <x:c r="H1618" t="s">
        <x:v>7430</x:v>
      </x:c>
      <x:c r="I1618" t="s">
        <x:v>7431</x:v>
      </x:c>
      <x:c r="J1618" t="s">
        <x:v>7432</x:v>
      </x:c>
    </x:row>
    <x:row r="1619">
      <x:c r="A1619" t="s">
        <x:v>7433</x:v>
      </x:c>
      <x:c r="B1619" t="s">
        <x:v>7433</x:v>
      </x:c>
      <x:c r="C1619" t="s">
        <x:v>7434</x:v>
      </x:c>
      <x:c r="D1619">
        <x:v>22</x:v>
      </x:c>
      <x:c r="E1619" t="s">
        <x:v>103</x:v>
      </x:c>
      <x:c r="F1619" t="s">
        <x:v>97</x:v>
      </x:c>
      <x:c r="G1619">
        <x:v>42311</x:v>
      </x:c>
      <x:c r="H1619" t="s">
        <x:v>7435</x:v>
      </x:c>
      <x:c r="I1619" t="s">
        <x:v>7436</x:v>
      </x:c>
      <x:c r="J1619" t="s">
        <x:v>7437</x:v>
      </x:c>
    </x:row>
    <x:row r="1620">
      <x:c r="A1620" t="s">
        <x:v>7438</x:v>
      </x:c>
      <x:c r="B1620" t="s">
        <x:v>7438</x:v>
      </x:c>
      <x:c r="C1620" t="s">
        <x:v>1751</x:v>
      </x:c>
      <x:c r="D1620">
        <x:v>116</x:v>
      </x:c>
      <x:c r="E1620" t="s">
        <x:v>96</x:v>
      </x:c>
      <x:c r="F1620" t="s">
        <x:v>97</x:v>
      </x:c>
      <x:c r="G1620">
        <x:v>44752</x:v>
      </x:c>
      <x:c r="H1620" t="s">
        <x:v>7439</x:v>
      </x:c>
      <x:c r="I1620" t="s">
        <x:v>7440</x:v>
      </x:c>
      <x:c r="J1620" t="s">
        <x:v>7441</x:v>
      </x:c>
    </x:row>
    <x:row r="1621">
      <x:c r="A1621" t="s">
        <x:v>7442</x:v>
      </x:c>
      <x:c r="B1621" t="s">
        <x:v>7442</x:v>
      </x:c>
      <x:c r="C1621" t="s">
        <x:v>1751</x:v>
      </x:c>
      <x:c r="D1621">
        <x:v>116</x:v>
      </x:c>
      <x:c r="E1621" t="s">
        <x:v>96</x:v>
      </x:c>
      <x:c r="F1621" t="s">
        <x:v>97</x:v>
      </x:c>
      <x:c r="G1621">
        <x:v>44777</x:v>
      </x:c>
      <x:c r="H1621" t="s">
        <x:v>7443</x:v>
      </x:c>
      <x:c r="I1621" t="s">
        <x:v>7444</x:v>
      </x:c>
      <x:c r="J1621" t="s">
        <x:v>7445</x:v>
      </x:c>
    </x:row>
    <x:row r="1622">
      <x:c r="A1622" t="s">
        <x:v>7446</x:v>
      </x:c>
      <x:c r="B1622" t="s">
        <x:v>7446</x:v>
      </x:c>
      <x:c r="C1622" t="s">
        <x:v>1751</x:v>
      </x:c>
      <x:c r="D1622">
        <x:v>120</x:v>
      </x:c>
      <x:c r="E1622" t="s">
        <x:v>96</x:v>
      </x:c>
      <x:c r="F1622" t="s">
        <x:v>97</x:v>
      </x:c>
      <x:c r="G1622">
        <x:v>45267</x:v>
      </x:c>
      <x:c r="H1622" t="s">
        <x:v>7447</x:v>
      </x:c>
      <x:c r="I1622" t="s">
        <x:v>7448</x:v>
      </x:c>
      <x:c r="J1622" t="s">
        <x:v>7449</x:v>
      </x:c>
    </x:row>
    <x:row r="1623">
      <x:c r="A1623" t="s">
        <x:v>7450</x:v>
      </x:c>
      <x:c r="B1623" t="s">
        <x:v>7450</x:v>
      </x:c>
      <x:c r="C1623" t="s">
        <x:v>7451</x:v>
      </x:c>
      <x:c r="D1623">
        <x:v>11</x:v>
      </x:c>
      <x:c r="E1623" t="s">
        <x:v>96</x:v>
      </x:c>
      <x:c r="F1623" t="s">
        <x:v>97</x:v>
      </x:c>
      <x:c r="G1623">
        <x:v>43959</x:v>
      </x:c>
      <x:c r="H1623" t="s">
        <x:v>7452</x:v>
      </x:c>
      <x:c r="I1623" t="s">
        <x:v>7453</x:v>
      </x:c>
      <x:c r="J1623" t="s">
        <x:v>7454</x:v>
      </x:c>
    </x:row>
    <x:row r="1624">
      <x:c r="A1624" t="s">
        <x:v>7455</x:v>
      </x:c>
      <x:c r="B1624" t="s">
        <x:v>7455</x:v>
      </x:c>
      <x:c r="C1624" t="s">
        <x:v>7456</x:v>
      </x:c>
      <x:c r="D1624">
        <x:v>96</x:v>
      </x:c>
      <x:c r="E1624" t="s">
        <x:v>103</x:v>
      </x:c>
      <x:c r="F1624" t="s">
        <x:v>97</x:v>
      </x:c>
      <x:c r="G1624">
        <x:v>42902</x:v>
      </x:c>
      <x:c r="H1624" t="s">
        <x:v>7457</x:v>
      </x:c>
      <x:c r="I1624" t="s">
        <x:v>7458</x:v>
      </x:c>
      <x:c r="J1624" t="s">
        <x:v>7459</x:v>
      </x:c>
    </x:row>
    <x:row r="1625">
      <x:c r="A1625" t="s">
        <x:v>7460</x:v>
      </x:c>
      <x:c r="B1625" t="s">
        <x:v>7460</x:v>
      </x:c>
      <x:c r="C1625" t="s">
        <x:v>6904</x:v>
      </x:c>
      <x:c r="D1625">
        <x:v>92</x:v>
      </x:c>
      <x:c r="E1625" t="s">
        <x:v>103</x:v>
      </x:c>
      <x:c r="F1625" t="s">
        <x:v>97</x:v>
      </x:c>
      <x:c r="G1625">
        <x:v>44864</x:v>
      </x:c>
      <x:c r="H1625" t="s">
        <x:v>7461</x:v>
      </x:c>
      <x:c r="I1625" t="s">
        <x:v>7462</x:v>
      </x:c>
      <x:c r="J1625" t="s">
        <x:v>7463</x:v>
      </x:c>
    </x:row>
    <x:row r="1626">
      <x:c r="A1626" t="s">
        <x:v>7464</x:v>
      </x:c>
      <x:c r="B1626" t="s">
        <x:v>7464</x:v>
      </x:c>
      <x:c r="C1626" t="s">
        <x:v>7465</x:v>
      </x:c>
      <x:c r="D1626">
        <x:v>96</x:v>
      </x:c>
      <x:c r="E1626" t="s">
        <x:v>103</x:v>
      </x:c>
      <x:c r="F1626" t="s">
        <x:v>97</x:v>
      </x:c>
      <x:c r="G1626">
        <x:v>44871</x:v>
      </x:c>
      <x:c r="H1626" t="s">
        <x:v>7466</x:v>
      </x:c>
      <x:c r="I1626" t="s">
        <x:v>7467</x:v>
      </x:c>
      <x:c r="J1626" t="s">
        <x:v>7468</x:v>
      </x:c>
    </x:row>
    <x:row r="1627">
      <x:c r="A1627" t="s">
        <x:v>7469</x:v>
      </x:c>
      <x:c r="B1627" t="s">
        <x:v>7469</x:v>
      </x:c>
      <x:c r="C1627" t="s">
        <x:v>7465</x:v>
      </x:c>
      <x:c r="D1627">
        <x:v>76</x:v>
      </x:c>
      <x:c r="E1627" t="s">
        <x:v>257</x:v>
      </x:c>
      <x:c r="F1627" t="s">
        <x:v>97</x:v>
      </x:c>
      <x:c r="G1627">
        <x:v>45061</x:v>
      </x:c>
      <x:c r="H1627" t="s">
        <x:v>7470</x:v>
      </x:c>
      <x:c r="I1627" t="s">
        <x:v>7471</x:v>
      </x:c>
      <x:c r="J1627" t="s">
        <x:v>7472</x:v>
      </x:c>
    </x:row>
    <x:row r="1628">
      <x:c r="A1628" t="s">
        <x:v>7473</x:v>
      </x:c>
      <x:c r="B1628" t="s">
        <x:v>7473</x:v>
      </x:c>
      <x:c r="C1628" t="s">
        <x:v>7474</x:v>
      </x:c>
      <x:c r="D1628">
        <x:v>19</x:v>
      </x:c>
      <x:c r="E1628" t="s">
        <x:v>103</x:v>
      </x:c>
      <x:c r="F1628" t="s">
        <x:v>97</x:v>
      </x:c>
      <x:c r="G1628">
        <x:v>44880</x:v>
      </x:c>
      <x:c r="H1628" t="s">
        <x:v>7475</x:v>
      </x:c>
      <x:c r="I1628" t="s">
        <x:v>7476</x:v>
      </x:c>
      <x:c r="J1628" t="s">
        <x:v>7477</x:v>
      </x:c>
    </x:row>
    <x:row r="1629">
      <x:c r="A1629" t="s">
        <x:v>7478</x:v>
      </x:c>
      <x:c r="B1629" t="s">
        <x:v>7478</x:v>
      </x:c>
      <x:c r="C1629" t="s">
        <x:v>7479</x:v>
      </x:c>
      <x:c r="D1629">
        <x:v>5</x:v>
      </x:c>
      <x:c r="E1629" t="s">
        <x:v>96</x:v>
      </x:c>
      <x:c r="F1629" t="s">
        <x:v>97</x:v>
      </x:c>
      <x:c r="G1629">
        <x:v>43219</x:v>
      </x:c>
      <x:c r="H1629" t="s">
        <x:v>7480</x:v>
      </x:c>
      <x:c r="I1629" t="s">
        <x:v>7481</x:v>
      </x:c>
      <x:c r="J1629" t="s">
        <x:v>7482</x:v>
      </x:c>
    </x:row>
    <x:row r="1630">
      <x:c r="A1630" t="s">
        <x:v>7483</x:v>
      </x:c>
      <x:c r="B1630" t="s">
        <x:v>7483</x:v>
      </x:c>
      <x:c r="C1630" t="s">
        <x:v>7484</x:v>
      </x:c>
      <x:c r="D1630">
        <x:v>5</x:v>
      </x:c>
      <x:c r="E1630" t="s">
        <x:v>257</x:v>
      </x:c>
      <x:c r="F1630" t="s">
        <x:v>97</x:v>
      </x:c>
      <x:c r="G1630">
        <x:v>42298</x:v>
      </x:c>
      <x:c r="H1630" t="s">
        <x:v>7485</x:v>
      </x:c>
      <x:c r="I1630" t="s">
        <x:v>7486</x:v>
      </x:c>
      <x:c r="J1630" t="s">
        <x:v>7487</x:v>
      </x:c>
    </x:row>
    <x:row r="1631">
      <x:c r="A1631" t="s">
        <x:v>7488</x:v>
      </x:c>
      <x:c r="B1631" t="s">
        <x:v>7488</x:v>
      </x:c>
      <x:c r="C1631" t="s">
        <x:v>1167</x:v>
      </x:c>
      <x:c r="D1631">
        <x:v>45</x:v>
      </x:c>
      <x:c r="E1631" t="s">
        <x:v>103</x:v>
      </x:c>
      <x:c r="F1631" t="s">
        <x:v>97</x:v>
      </x:c>
      <x:c r="G1631">
        <x:v>44190</x:v>
      </x:c>
      <x:c r="H1631" t="s">
        <x:v>7489</x:v>
      </x:c>
      <x:c r="I1631" t="s">
        <x:v>7490</x:v>
      </x:c>
      <x:c r="J1631" t="s">
        <x:v>7491</x:v>
      </x:c>
    </x:row>
    <x:row r="1632">
      <x:c r="A1632" t="s">
        <x:v>7492</x:v>
      </x:c>
      <x:c r="B1632" t="s">
        <x:v>7492</x:v>
      </x:c>
      <x:c r="C1632" t="s">
        <x:v>7493</x:v>
      </x:c>
      <x:c r="D1632">
        <x:v>124</x:v>
      </x:c>
      <x:c r="E1632" t="s">
        <x:v>198</x:v>
      </x:c>
      <x:c r="F1632" t="s">
        <x:v>97</x:v>
      </x:c>
      <x:c r="G1632">
        <x:v>44300</x:v>
      </x:c>
      <x:c r="H1632" t="s">
        <x:v>7494</x:v>
      </x:c>
      <x:c r="I1632" t="s">
        <x:v>7495</x:v>
      </x:c>
      <x:c r="J1632" t="s">
        <x:v>7496</x:v>
      </x:c>
    </x:row>
    <x:row r="1633">
      <x:c r="A1633" t="s">
        <x:v>7497</x:v>
      </x:c>
      <x:c r="B1633" t="s">
        <x:v>7497</x:v>
      </x:c>
      <x:c r="C1633" t="s">
        <x:v>6904</x:v>
      </x:c>
      <x:c r="D1633">
        <x:v>31</x:v>
      </x:c>
      <x:c r="E1633" t="s">
        <x:v>96</x:v>
      </x:c>
      <x:c r="F1633" t="s">
        <x:v>97</x:v>
      </x:c>
      <x:c r="G1633">
        <x:v>46032</x:v>
      </x:c>
      <x:c r="H1633" t="s">
        <x:v>7498</x:v>
      </x:c>
      <x:c r="I1633" t="s">
        <x:v>7499</x:v>
      </x:c>
      <x:c r="J1633" t="s">
        <x:v>7500</x:v>
      </x:c>
    </x:row>
    <x:row r="1634">
      <x:c r="A1634" t="s">
        <x:v>7501</x:v>
      </x:c>
      <x:c r="B1634" t="s">
        <x:v>7501</x:v>
      </x:c>
      <x:c r="C1634" t="s">
        <x:v>7502</x:v>
      </x:c>
      <x:c r="D1634">
        <x:v>17</x:v>
      </x:c>
      <x:c r="E1634" t="s">
        <x:v>257</x:v>
      </x:c>
      <x:c r="F1634" t="s">
        <x:v>97</x:v>
      </x:c>
      <x:c r="G1634">
        <x:v>42294</x:v>
      </x:c>
      <x:c r="H1634" t="s">
        <x:v>7503</x:v>
      </x:c>
      <x:c r="I1634" t="s">
        <x:v>7504</x:v>
      </x:c>
      <x:c r="J1634" t="s">
        <x:v>7505</x:v>
      </x:c>
    </x:row>
    <x:row r="1635">
      <x:c r="A1635" t="s">
        <x:v>7506</x:v>
      </x:c>
      <x:c r="B1635" t="s">
        <x:v>7506</x:v>
      </x:c>
      <x:c r="C1635" t="s">
        <x:v>5619</x:v>
      </x:c>
      <x:c r="D1635">
        <x:v>40</x:v>
      </x:c>
      <x:c r="E1635" t="s">
        <x:v>257</x:v>
      </x:c>
      <x:c r="F1635" t="s">
        <x:v>97</x:v>
      </x:c>
      <x:c r="G1635">
        <x:v>41870</x:v>
      </x:c>
      <x:c r="H1635" t="s">
        <x:v>7507</x:v>
      </x:c>
      <x:c r="I1635" t="s">
        <x:v>7508</x:v>
      </x:c>
      <x:c r="J1635" t="s">
        <x:v>7509</x:v>
      </x:c>
    </x:row>
    <x:row r="1636">
      <x:c r="A1636" t="s">
        <x:v>7510</x:v>
      </x:c>
      <x:c r="B1636" t="s">
        <x:v>7510</x:v>
      </x:c>
      <x:c r="C1636" t="s">
        <x:v>7511</x:v>
      </x:c>
      <x:c r="D1636">
        <x:v>44</x:v>
      </x:c>
      <x:c r="E1636" t="s">
        <x:v>103</x:v>
      </x:c>
      <x:c r="F1636" t="s">
        <x:v>97</x:v>
      </x:c>
      <x:c r="G1636">
        <x:v>45684</x:v>
      </x:c>
      <x:c r="H1636" t="s">
        <x:v>7512</x:v>
      </x:c>
      <x:c r="I1636" t="s">
        <x:v>7513</x:v>
      </x:c>
      <x:c r="J1636" t="s">
        <x:v>7514</x:v>
      </x:c>
    </x:row>
    <x:row r="1637">
      <x:c r="A1637" t="s">
        <x:v>7515</x:v>
      </x:c>
      <x:c r="B1637" t="s">
        <x:v>7515</x:v>
      </x:c>
      <x:c r="C1637" t="s">
        <x:v>7516</x:v>
      </x:c>
      <x:c r="D1637">
        <x:v>12</x:v>
      </x:c>
      <x:c r="E1637" t="s">
        <x:v>103</x:v>
      </x:c>
      <x:c r="F1637" t="s">
        <x:v>97</x:v>
      </x:c>
      <x:c r="G1637">
        <x:v>42043</x:v>
      </x:c>
      <x:c r="H1637" t="s">
        <x:v>7517</x:v>
      </x:c>
      <x:c r="I1637" t="s">
        <x:v>7518</x:v>
      </x:c>
      <x:c r="J1637" t="s">
        <x:v>7519</x:v>
      </x:c>
    </x:row>
    <x:row r="1638">
      <x:c r="A1638" t="s">
        <x:v>7520</x:v>
      </x:c>
      <x:c r="B1638" t="s">
        <x:v>7520</x:v>
      </x:c>
      <x:c r="C1638" t="s">
        <x:v>7521</x:v>
      </x:c>
      <x:c r="D1638">
        <x:v>10</x:v>
      </x:c>
      <x:c r="E1638" t="s">
        <x:v>96</x:v>
      </x:c>
      <x:c r="F1638" t="s">
        <x:v>97</x:v>
      </x:c>
      <x:c r="G1638">
        <x:v>42639</x:v>
      </x:c>
      <x:c r="H1638" t="s">
        <x:v>7522</x:v>
      </x:c>
      <x:c r="I1638" t="s">
        <x:v>7523</x:v>
      </x:c>
      <x:c r="J1638" t="s">
        <x:v>7524</x:v>
      </x:c>
    </x:row>
    <x:row r="1639">
      <x:c r="A1639" t="s">
        <x:v>7525</x:v>
      </x:c>
      <x:c r="B1639" t="s">
        <x:v>7525</x:v>
      </x:c>
      <x:c r="C1639" t="s">
        <x:v>7526</x:v>
      </x:c>
      <x:c r="D1639">
        <x:v>20</x:v>
      </x:c>
      <x:c r="E1639" t="s">
        <x:v>96</x:v>
      </x:c>
      <x:c r="F1639" t="s">
        <x:v>97</x:v>
      </x:c>
      <x:c r="G1639">
        <x:v>44118</x:v>
      </x:c>
      <x:c r="H1639" t="s">
        <x:v>7527</x:v>
      </x:c>
      <x:c r="I1639" t="s">
        <x:v>7528</x:v>
      </x:c>
      <x:c r="J1639" t="s">
        <x:v>7529</x:v>
      </x:c>
    </x:row>
    <x:row r="1640">
      <x:c r="A1640" t="s">
        <x:v>7530</x:v>
      </x:c>
      <x:c r="B1640" t="s">
        <x:v>7530</x:v>
      </x:c>
      <x:c r="C1640" t="s">
        <x:v>7531</x:v>
      </x:c>
      <x:c r="D1640">
        <x:v>6</x:v>
      </x:c>
      <x:c r="E1640" t="s">
        <x:v>103</x:v>
      </x:c>
      <x:c r="F1640" t="s">
        <x:v>97</x:v>
      </x:c>
      <x:c r="G1640">
        <x:v>41543</x:v>
      </x:c>
      <x:c r="H1640" t="s">
        <x:v>7532</x:v>
      </x:c>
      <x:c r="I1640" t="s">
        <x:v>7533</x:v>
      </x:c>
      <x:c r="J1640" t="s">
        <x:v>7534</x:v>
      </x:c>
    </x:row>
    <x:row r="1641">
      <x:c r="A1641" t="s">
        <x:v>7535</x:v>
      </x:c>
      <x:c r="B1641" t="s">
        <x:v>7535</x:v>
      </x:c>
      <x:c r="C1641" t="s">
        <x:v>1688</x:v>
      </x:c>
      <x:c r="D1641">
        <x:v>12</x:v>
      </x:c>
      <x:c r="E1641" t="s">
        <x:v>89</x:v>
      </x:c>
      <x:c r="F1641" t="s">
        <x:v>90</x:v>
      </x:c>
      <x:c r="G1641">
        <x:v>44005</x:v>
      </x:c>
      <x:c r="H1641" t="s">
        <x:v>7536</x:v>
      </x:c>
      <x:c r="I1641" t="s">
        <x:v>7537</x:v>
      </x:c>
      <x:c r="J1641" t="s">
        <x:v>7538</x:v>
      </x:c>
    </x:row>
    <x:row r="1642">
      <x:c r="A1642" t="s">
        <x:v>7539</x:v>
      </x:c>
      <x:c r="B1642" t="s">
        <x:v>7539</x:v>
      </x:c>
      <x:c r="C1642" t="s">
        <x:v>933</x:v>
      </x:c>
      <x:c r="D1642">
        <x:v>1</x:v>
      </x:c>
      <x:c r="E1642" t="s">
        <x:v>96</x:v>
      </x:c>
      <x:c r="F1642" t="s">
        <x:v>97</x:v>
      </x:c>
      <x:c r="G1642">
        <x:v>42972</x:v>
      </x:c>
      <x:c r="H1642" t="s">
        <x:v>7540</x:v>
      </x:c>
      <x:c r="I1642" t="s">
        <x:v>7541</x:v>
      </x:c>
      <x:c r="J1642" t="s">
        <x:v>7542</x:v>
      </x:c>
    </x:row>
    <x:row r="1643">
      <x:c r="A1643" t="s">
        <x:v>7543</x:v>
      </x:c>
      <x:c r="B1643" t="s">
        <x:v>7543</x:v>
      </x:c>
      <x:c r="C1643" t="s">
        <x:v>7544</x:v>
      </x:c>
      <x:c r="D1643">
        <x:v>5</x:v>
      </x:c>
      <x:c r="E1643" t="s">
        <x:v>89</x:v>
      </x:c>
      <x:c r="F1643" t="s">
        <x:v>90</x:v>
      </x:c>
      <x:c r="G1643">
        <x:v>43856</x:v>
      </x:c>
      <x:c r="H1643" t="s">
        <x:v>7545</x:v>
      </x:c>
      <x:c r="I1643" t="s">
        <x:v>7546</x:v>
      </x:c>
      <x:c r="J1643" t="s">
        <x:v>7547</x:v>
      </x:c>
    </x:row>
    <x:row r="1644">
      <x:c r="A1644" t="s">
        <x:v>7548</x:v>
      </x:c>
      <x:c r="B1644" t="s">
        <x:v>7548</x:v>
      </x:c>
      <x:c r="C1644" t="s">
        <x:v>7549</x:v>
      </x:c>
      <x:c r="D1644">
        <x:v>47</x:v>
      </x:c>
      <x:c r="E1644" t="s">
        <x:v>96</x:v>
      </x:c>
      <x:c r="F1644" t="s">
        <x:v>97</x:v>
      </x:c>
      <x:c r="G1644">
        <x:v>44585</x:v>
      </x:c>
      <x:c r="H1644" t="s">
        <x:v>7550</x:v>
      </x:c>
      <x:c r="I1644" t="s">
        <x:v>7551</x:v>
      </x:c>
      <x:c r="J1644" t="s">
        <x:v>7552</x:v>
      </x:c>
    </x:row>
    <x:row r="1645">
      <x:c r="A1645" t="s">
        <x:v>7553</x:v>
      </x:c>
      <x:c r="B1645" t="s">
        <x:v>7553</x:v>
      </x:c>
      <x:c r="C1645" t="s">
        <x:v>7549</x:v>
      </x:c>
      <x:c r="D1645">
        <x:v>69</x:v>
      </x:c>
      <x:c r="E1645" t="s">
        <x:v>89</x:v>
      </x:c>
      <x:c r="F1645" t="s">
        <x:v>97</x:v>
      </x:c>
      <x:c r="G1645">
        <x:v>41691</x:v>
      </x:c>
      <x:c r="H1645" t="s">
        <x:v>7554</x:v>
      </x:c>
      <x:c r="I1645" t="s">
        <x:v>7555</x:v>
      </x:c>
      <x:c r="J1645" t="s">
        <x:v>7556</x:v>
      </x:c>
    </x:row>
    <x:row r="1646">
      <x:c r="A1646" t="s">
        <x:v>7557</x:v>
      </x:c>
      <x:c r="B1646" t="s">
        <x:v>7557</x:v>
      </x:c>
      <x:c r="C1646" t="s">
        <x:v>7558</x:v>
      </x:c>
      <x:c r="D1646">
        <x:v>9</x:v>
      </x:c>
      <x:c r="E1646" t="s">
        <x:v>198</x:v>
      </x:c>
      <x:c r="F1646" t="s">
        <x:v>90</x:v>
      </x:c>
      <x:c r="G1646">
        <x:v>46073</x:v>
      </x:c>
      <x:c r="H1646" t="s">
        <x:v>7559</x:v>
      </x:c>
      <x:c r="I1646" t="s">
        <x:v>7560</x:v>
      </x:c>
      <x:c r="J1646" t="s">
        <x:v>7561</x:v>
      </x:c>
    </x:row>
    <x:row r="1647">
      <x:c r="A1647" t="s">
        <x:v>7562</x:v>
      </x:c>
      <x:c r="B1647" t="s">
        <x:v>7562</x:v>
      </x:c>
      <x:c r="C1647" t="s">
        <x:v>983</x:v>
      </x:c>
      <x:c r="D1647">
        <x:v>8</x:v>
      </x:c>
      <x:c r="E1647" t="s">
        <x:v>198</x:v>
      </x:c>
      <x:c r="F1647" t="s">
        <x:v>90</x:v>
      </x:c>
      <x:c r="G1647">
        <x:v>45428</x:v>
      </x:c>
      <x:c r="H1647" t="s">
        <x:v>7563</x:v>
      </x:c>
      <x:c r="I1647" t="s">
        <x:v>7564</x:v>
      </x:c>
      <x:c r="J1647" t="s">
        <x:v>7565</x:v>
      </x:c>
    </x:row>
    <x:row r="1648">
      <x:c r="A1648" t="s">
        <x:v>7566</x:v>
      </x:c>
      <x:c r="B1648" t="s">
        <x:v>7566</x:v>
      </x:c>
      <x:c r="C1648" t="s">
        <x:v>983</x:v>
      </x:c>
      <x:c r="D1648">
        <x:v>21</x:v>
      </x:c>
      <x:c r="E1648" t="s">
        <x:v>198</x:v>
      </x:c>
      <x:c r="F1648" t="s">
        <x:v>90</x:v>
      </x:c>
      <x:c r="G1648">
        <x:v>46197</x:v>
      </x:c>
      <x:c r="H1648" t="s">
        <x:v>7567</x:v>
      </x:c>
      <x:c r="I1648" t="s">
        <x:v>7568</x:v>
      </x:c>
      <x:c r="J1648" t="s">
        <x:v>7569</x:v>
      </x:c>
    </x:row>
    <x:row r="1649">
      <x:c r="A1649" t="s">
        <x:v>7570</x:v>
      </x:c>
      <x:c r="B1649" t="s">
        <x:v>7570</x:v>
      </x:c>
      <x:c r="C1649" t="s">
        <x:v>983</x:v>
      </x:c>
      <x:c r="D1649">
        <x:v>22</x:v>
      </x:c>
      <x:c r="E1649" t="s">
        <x:v>198</x:v>
      </x:c>
      <x:c r="F1649" t="s">
        <x:v>90</x:v>
      </x:c>
      <x:c r="G1649">
        <x:v>45437</x:v>
      </x:c>
      <x:c r="H1649" t="s">
        <x:v>7571</x:v>
      </x:c>
      <x:c r="I1649" t="s">
        <x:v>7572</x:v>
      </x:c>
      <x:c r="J1649" t="s">
        <x:v>7573</x:v>
      </x:c>
    </x:row>
    <x:row r="1650">
      <x:c r="A1650" t="s">
        <x:v>7574</x:v>
      </x:c>
      <x:c r="B1650" t="s">
        <x:v>7574</x:v>
      </x:c>
      <x:c r="C1650" t="s">
        <x:v>983</x:v>
      </x:c>
      <x:c r="D1650">
        <x:v>19</x:v>
      </x:c>
      <x:c r="E1650" t="s">
        <x:v>198</x:v>
      </x:c>
      <x:c r="F1650" t="s">
        <x:v>90</x:v>
      </x:c>
      <x:c r="G1650">
        <x:v>45702</x:v>
      </x:c>
      <x:c r="H1650" t="s">
        <x:v>7575</x:v>
      </x:c>
      <x:c r="I1650" t="s">
        <x:v>7576</x:v>
      </x:c>
      <x:c r="J1650" t="s">
        <x:v>7577</x:v>
      </x:c>
    </x:row>
    <x:row r="1651">
      <x:c r="A1651" t="s">
        <x:v>7578</x:v>
      </x:c>
      <x:c r="B1651" t="s">
        <x:v>7578</x:v>
      </x:c>
      <x:c r="C1651" t="s">
        <x:v>7579</x:v>
      </x:c>
      <x:c r="D1651">
        <x:v>13</x:v>
      </x:c>
      <x:c r="E1651" t="s">
        <x:v>96</x:v>
      </x:c>
      <x:c r="F1651" t="s">
        <x:v>90</x:v>
      </x:c>
      <x:c r="G1651">
        <x:v>44503</x:v>
      </x:c>
      <x:c r="H1651" t="s">
        <x:v>7580</x:v>
      </x:c>
      <x:c r="I1651" t="s">
        <x:v>7581</x:v>
      </x:c>
      <x:c r="J1651" t="s">
        <x:v>7582</x:v>
      </x:c>
    </x:row>
    <x:row r="1652">
      <x:c r="A1652" t="s">
        <x:v>7583</x:v>
      </x:c>
      <x:c r="B1652" t="s">
        <x:v>7583</x:v>
      </x:c>
      <x:c r="C1652" t="s">
        <x:v>7584</x:v>
      </x:c>
      <x:c r="D1652">
        <x:v>15</x:v>
      </x:c>
      <x:c r="E1652" t="s">
        <x:v>198</x:v>
      </x:c>
      <x:c r="F1652" t="s">
        <x:v>90</x:v>
      </x:c>
      <x:c r="G1652">
        <x:v>44369</x:v>
      </x:c>
      <x:c r="H1652" t="s">
        <x:v>7585</x:v>
      </x:c>
      <x:c r="I1652" t="s">
        <x:v>7586</x:v>
      </x:c>
      <x:c r="J1652" t="s">
        <x:v>7587</x:v>
      </x:c>
    </x:row>
    <x:row r="1653">
      <x:c r="A1653" t="s">
        <x:v>7588</x:v>
      </x:c>
      <x:c r="B1653" t="s">
        <x:v>7588</x:v>
      </x:c>
      <x:c r="C1653" t="s">
        <x:v>7589</x:v>
      </x:c>
      <x:c r="D1653">
        <x:v>19</x:v>
      </x:c>
      <x:c r="E1653" t="s">
        <x:v>125</x:v>
      </x:c>
      <x:c r="F1653" t="s">
        <x:v>90</x:v>
      </x:c>
      <x:c r="G1653">
        <x:v>44863</x:v>
      </x:c>
      <x:c r="H1653" t="s">
        <x:v>7590</x:v>
      </x:c>
      <x:c r="I1653" t="s">
        <x:v>7591</x:v>
      </x:c>
      <x:c r="J1653" t="s">
        <x:v>7592</x:v>
      </x:c>
    </x:row>
    <x:row r="1654">
      <x:c r="A1654" t="s">
        <x:v>7593</x:v>
      </x:c>
      <x:c r="B1654" t="s">
        <x:v>7593</x:v>
      </x:c>
      <x:c r="C1654" t="s">
        <x:v>2179</x:v>
      </x:c>
      <x:c r="D1654">
        <x:v>9</x:v>
      </x:c>
      <x:c r="E1654" t="s">
        <x:v>114</x:v>
      </x:c>
      <x:c r="F1654" t="s">
        <x:v>90</x:v>
      </x:c>
      <x:c r="G1654">
        <x:v>44822</x:v>
      </x:c>
      <x:c r="H1654" t="s">
        <x:v>7594</x:v>
      </x:c>
      <x:c r="I1654" t="s">
        <x:v>7595</x:v>
      </x:c>
      <x:c r="J1654" t="s">
        <x:v>7596</x:v>
      </x:c>
    </x:row>
    <x:row r="1655">
      <x:c r="A1655" t="s">
        <x:v>7597</x:v>
      </x:c>
      <x:c r="B1655" t="s">
        <x:v>7597</x:v>
      </x:c>
      <x:c r="C1655" t="s">
        <x:v>466</x:v>
      </x:c>
      <x:c r="D1655">
        <x:v>14</x:v>
      </x:c>
      <x:c r="E1655" t="s">
        <x:v>89</x:v>
      </x:c>
      <x:c r="F1655" t="s">
        <x:v>90</x:v>
      </x:c>
      <x:c r="G1655">
        <x:v>43839</x:v>
      </x:c>
      <x:c r="H1655" t="s">
        <x:v>7598</x:v>
      </x:c>
      <x:c r="I1655" t="s">
        <x:v>7599</x:v>
      </x:c>
      <x:c r="J1655" t="s">
        <x:v>7600</x:v>
      </x:c>
    </x:row>
    <x:row r="1656">
      <x:c r="A1656" t="s">
        <x:v>7601</x:v>
      </x:c>
      <x:c r="B1656" t="s">
        <x:v>7601</x:v>
      </x:c>
      <x:c r="C1656" t="s">
        <x:v>6121</x:v>
      </x:c>
      <x:c r="D1656">
        <x:v>1</x:v>
      </x:c>
      <x:c r="E1656" t="s">
        <x:v>198</x:v>
      </x:c>
      <x:c r="F1656" t="s">
        <x:v>3171</x:v>
      </x:c>
      <x:c r="G1656">
        <x:v>44599</x:v>
      </x:c>
      <x:c r="H1656" t="s">
        <x:v>7602</x:v>
      </x:c>
      <x:c r="I1656" t="s">
        <x:v>7603</x:v>
      </x:c>
      <x:c r="J1656" t="s">
        <x:v>7604</x:v>
      </x:c>
    </x:row>
    <x:row r="1657">
      <x:c r="A1657" t="s">
        <x:v>7605</x:v>
      </x:c>
      <x:c r="B1657" t="s">
        <x:v>7605</x:v>
      </x:c>
      <x:c r="C1657" t="s">
        <x:v>7606</x:v>
      </x:c>
      <x:c r="D1657">
        <x:v>6</x:v>
      </x:c>
      <x:c r="E1657" t="s">
        <x:v>89</x:v>
      </x:c>
      <x:c r="F1657" t="s">
        <x:v>90</x:v>
      </x:c>
      <x:c r="G1657">
        <x:v>46004</x:v>
      </x:c>
      <x:c r="H1657" t="s">
        <x:v>7607</x:v>
      </x:c>
      <x:c r="I1657" t="s">
        <x:v>7608</x:v>
      </x:c>
      <x:c r="J1657" t="s">
        <x:v>7609</x:v>
      </x:c>
    </x:row>
    <x:row r="1658">
      <x:c r="A1658" t="s">
        <x:v>7610</x:v>
      </x:c>
      <x:c r="B1658" t="s">
        <x:v>7610</x:v>
      </x:c>
      <x:c r="C1658" t="s">
        <x:v>394</x:v>
      </x:c>
      <x:c r="D1658">
        <x:v>60</x:v>
      </x:c>
      <x:c r="E1658" t="s">
        <x:v>96</x:v>
      </x:c>
      <x:c r="F1658" t="s">
        <x:v>97</x:v>
      </x:c>
      <x:c r="G1658">
        <x:v>45470</x:v>
      </x:c>
      <x:c r="H1658" t="s">
        <x:v>7611</x:v>
      </x:c>
      <x:c r="I1658" t="s">
        <x:v>7612</x:v>
      </x:c>
      <x:c r="J1658" t="s">
        <x:v>7613</x:v>
      </x:c>
    </x:row>
    <x:row r="1659">
      <x:c r="A1659" t="s">
        <x:v>7614</x:v>
      </x:c>
      <x:c r="B1659" t="s">
        <x:v>7614</x:v>
      </x:c>
      <x:c r="C1659" t="s">
        <x:v>7615</x:v>
      </x:c>
      <x:c r="D1659">
        <x:v>5</x:v>
      </x:c>
      <x:c r="E1659" t="s">
        <x:v>125</x:v>
      </x:c>
      <x:c r="F1659" t="s">
        <x:v>90</x:v>
      </x:c>
      <x:c r="G1659">
        <x:v>46063</x:v>
      </x:c>
      <x:c r="H1659" t="s">
        <x:v>7616</x:v>
      </x:c>
      <x:c r="I1659" t="s">
        <x:v>7617</x:v>
      </x:c>
      <x:c r="J1659" t="s">
        <x:v>7618</x:v>
      </x:c>
    </x:row>
    <x:row r="1660">
      <x:c r="A1660" t="s">
        <x:v>7619</x:v>
      </x:c>
      <x:c r="B1660" t="s">
        <x:v>7619</x:v>
      </x:c>
      <x:c r="C1660" t="s">
        <x:v>1417</x:v>
      </x:c>
      <x:c r="D1660">
        <x:v>5</x:v>
      </x:c>
      <x:c r="E1660" t="s">
        <x:v>89</x:v>
      </x:c>
      <x:c r="F1660" t="s">
        <x:v>90</x:v>
      </x:c>
      <x:c r="G1660">
        <x:v>46023</x:v>
      </x:c>
      <x:c r="H1660" t="s">
        <x:v>7620</x:v>
      </x:c>
      <x:c r="I1660" t="s">
        <x:v>7621</x:v>
      </x:c>
      <x:c r="J1660" t="s">
        <x:v>7622</x:v>
      </x:c>
    </x:row>
    <x:row r="1661">
      <x:c r="A1661" t="s">
        <x:v>7623</x:v>
      </x:c>
      <x:c r="B1661" t="s">
        <x:v>7623</x:v>
      </x:c>
      <x:c r="C1661" t="s">
        <x:v>4099</x:v>
      </x:c>
      <x:c r="D1661">
        <x:v>8</x:v>
      </x:c>
      <x:c r="E1661" t="s">
        <x:v>103</x:v>
      </x:c>
      <x:c r="F1661" t="s">
        <x:v>97</x:v>
      </x:c>
      <x:c r="G1661">
        <x:v>42207</x:v>
      </x:c>
      <x:c r="H1661" t="s">
        <x:v>7624</x:v>
      </x:c>
      <x:c r="I1661" t="s">
        <x:v>7625</x:v>
      </x:c>
      <x:c r="J1661" t="s">
        <x:v>7626</x:v>
      </x:c>
    </x:row>
    <x:row r="1662">
      <x:c r="A1662" t="s">
        <x:v>7627</x:v>
      </x:c>
      <x:c r="B1662" t="s">
        <x:v>7627</x:v>
      </x:c>
      <x:c r="C1662" t="s">
        <x:v>5303</x:v>
      </x:c>
      <x:c r="D1662">
        <x:v>5</x:v>
      </x:c>
      <x:c r="E1662" t="s">
        <x:v>96</x:v>
      </x:c>
      <x:c r="F1662" t="s">
        <x:v>610</x:v>
      </x:c>
      <x:c r="G1662">
        <x:v>41824</x:v>
      </x:c>
      <x:c r="H1662" t="s">
        <x:v>7628</x:v>
      </x:c>
      <x:c r="I1662" t="s">
        <x:v>7629</x:v>
      </x:c>
      <x:c r="J1662" t="s">
        <x:v>7630</x:v>
      </x:c>
    </x:row>
    <x:row r="1663">
      <x:c r="A1663" t="s">
        <x:v>7631</x:v>
      </x:c>
      <x:c r="B1663" t="s">
        <x:v>7631</x:v>
      </x:c>
      <x:c r="C1663" t="s">
        <x:v>6754</x:v>
      </x:c>
      <x:c r="D1663">
        <x:v>1</x:v>
      </x:c>
      <x:c r="E1663" t="s">
        <x:v>198</x:v>
      </x:c>
      <x:c r="F1663" t="s">
        <x:v>90</x:v>
      </x:c>
      <x:c r="G1663">
        <x:v>44264</x:v>
      </x:c>
      <x:c r="H1663" t="s">
        <x:v>7632</x:v>
      </x:c>
      <x:c r="I1663" t="s">
        <x:v>7633</x:v>
      </x:c>
      <x:c r="J1663" t="s">
        <x:v>7634</x:v>
      </x:c>
    </x:row>
    <x:row r="1664">
      <x:c r="A1664" t="s">
        <x:v>7635</x:v>
      </x:c>
      <x:c r="B1664" t="s">
        <x:v>7635</x:v>
      </x:c>
      <x:c r="C1664" t="s">
        <x:v>723</x:v>
      </x:c>
      <x:c r="D1664">
        <x:v>8</x:v>
      </x:c>
      <x:c r="E1664" t="s">
        <x:v>96</x:v>
      </x:c>
      <x:c r="F1664" t="s">
        <x:v>97</x:v>
      </x:c>
      <x:c r="G1664">
        <x:v>44763</x:v>
      </x:c>
      <x:c r="H1664" t="s">
        <x:v>7636</x:v>
      </x:c>
      <x:c r="I1664" t="s">
        <x:v>7637</x:v>
      </x:c>
      <x:c r="J1664" t="s">
        <x:v>7638</x:v>
      </x:c>
    </x:row>
    <x:row r="1665">
      <x:c r="A1665" t="s">
        <x:v>7639</x:v>
      </x:c>
      <x:c r="B1665" t="s">
        <x:v>7639</x:v>
      </x:c>
      <x:c r="C1665" t="s">
        <x:v>723</x:v>
      </x:c>
      <x:c r="D1665">
        <x:v>24</x:v>
      </x:c>
      <x:c r="E1665" t="s">
        <x:v>96</x:v>
      </x:c>
      <x:c r="F1665" t="s">
        <x:v>97</x:v>
      </x:c>
      <x:c r="G1665">
        <x:v>45893</x:v>
      </x:c>
      <x:c r="H1665" t="s">
        <x:v>7640</x:v>
      </x:c>
      <x:c r="I1665" t="s">
        <x:v>7641</x:v>
      </x:c>
      <x:c r="J1665" t="s">
        <x:v>7642</x:v>
      </x:c>
    </x:row>
    <x:row r="1666">
      <x:c r="A1666" t="s">
        <x:v>7643</x:v>
      </x:c>
      <x:c r="B1666" t="s">
        <x:v>7643</x:v>
      </x:c>
      <x:c r="C1666" t="s">
        <x:v>7644</x:v>
      </x:c>
      <x:c r="D1666">
        <x:v>8</x:v>
      </x:c>
      <x:c r="E1666" t="s">
        <x:v>103</x:v>
      </x:c>
      <x:c r="F1666" t="s">
        <x:v>97</x:v>
      </x:c>
      <x:c r="G1666">
        <x:v>41545</x:v>
      </x:c>
      <x:c r="H1666" t="s">
        <x:v>7645</x:v>
      </x:c>
      <x:c r="I1666" t="s">
        <x:v>7646</x:v>
      </x:c>
      <x:c r="J1666" t="s">
        <x:v>7647</x:v>
      </x:c>
    </x:row>
    <x:row r="1667">
      <x:c r="A1667" t="s">
        <x:v>7648</x:v>
      </x:c>
      <x:c r="B1667" t="s">
        <x:v>7648</x:v>
      </x:c>
      <x:c r="C1667" t="s">
        <x:v>7644</x:v>
      </x:c>
      <x:c r="D1667">
        <x:v>12</x:v>
      </x:c>
      <x:c r="E1667" t="s">
        <x:v>96</x:v>
      </x:c>
      <x:c r="F1667" t="s">
        <x:v>97</x:v>
      </x:c>
      <x:c r="G1667">
        <x:v>42699</x:v>
      </x:c>
      <x:c r="H1667" t="s">
        <x:v>7649</x:v>
      </x:c>
      <x:c r="I1667" t="s">
        <x:v>7650</x:v>
      </x:c>
      <x:c r="J1667" t="s">
        <x:v>7651</x:v>
      </x:c>
    </x:row>
    <x:row r="1668">
      <x:c r="A1668" t="s">
        <x:v>7652</x:v>
      </x:c>
      <x:c r="B1668" t="s">
        <x:v>7652</x:v>
      </x:c>
      <x:c r="C1668" t="s">
        <x:v>1344</x:v>
      </x:c>
      <x:c r="D1668">
        <x:v>69</x:v>
      </x:c>
      <x:c r="E1668" t="s">
        <x:v>198</x:v>
      </x:c>
      <x:c r="F1668" t="s">
        <x:v>152</x:v>
      </x:c>
      <x:c r="G1668">
        <x:v>45512</x:v>
      </x:c>
      <x:c r="H1668" t="s">
        <x:v>7653</x:v>
      </x:c>
      <x:c r="I1668" t="s">
        <x:v>7654</x:v>
      </x:c>
      <x:c r="J1668" t="s">
        <x:v>7655</x:v>
      </x:c>
    </x:row>
    <x:row r="1669">
      <x:c r="A1669" t="s">
        <x:v>7656</x:v>
      </x:c>
      <x:c r="B1669" t="s">
        <x:v>7656</x:v>
      </x:c>
      <x:c r="C1669" t="s">
        <x:v>7657</x:v>
      </x:c>
      <x:c r="D1669">
        <x:v>4</x:v>
      </x:c>
      <x:c r="E1669" t="s">
        <x:v>96</x:v>
      </x:c>
      <x:c r="F1669" t="s">
        <x:v>97</x:v>
      </x:c>
      <x:c r="G1669">
        <x:v>45527</x:v>
      </x:c>
      <x:c r="H1669" t="s">
        <x:v>7658</x:v>
      </x:c>
      <x:c r="I1669" t="s">
        <x:v>7659</x:v>
      </x:c>
      <x:c r="J1669" t="s">
        <x:v>7660</x:v>
      </x:c>
    </x:row>
    <x:row r="1670">
      <x:c r="A1670" t="s">
        <x:v>7661</x:v>
      </x:c>
      <x:c r="B1670" t="s">
        <x:v>7661</x:v>
      </x:c>
      <x:c r="C1670" t="s">
        <x:v>272</x:v>
      </x:c>
      <x:c r="D1670">
        <x:v>12</x:v>
      </x:c>
      <x:c r="E1670" t="s">
        <x:v>89</x:v>
      </x:c>
      <x:c r="F1670" t="s">
        <x:v>97</x:v>
      </x:c>
      <x:c r="G1670">
        <x:v>45349</x:v>
      </x:c>
      <x:c r="H1670" t="s">
        <x:v>7662</x:v>
      </x:c>
      <x:c r="I1670" t="s">
        <x:v>7663</x:v>
      </x:c>
      <x:c r="J1670" t="s">
        <x:v>7664</x:v>
      </x:c>
    </x:row>
    <x:row r="1671">
      <x:c r="A1671" t="s">
        <x:v>7665</x:v>
      </x:c>
      <x:c r="B1671" t="s">
        <x:v>7665</x:v>
      </x:c>
      <x:c r="C1671" t="s">
        <x:v>1861</x:v>
      </x:c>
      <x:c r="D1671">
        <x:v>96</x:v>
      </x:c>
      <x:c r="E1671" t="s">
        <x:v>89</x:v>
      </x:c>
      <x:c r="F1671" t="s">
        <x:v>152</x:v>
      </x:c>
      <x:c r="G1671">
        <x:v>45401</x:v>
      </x:c>
      <x:c r="H1671" t="s">
        <x:v>7666</x:v>
      </x:c>
      <x:c r="I1671" t="s">
        <x:v>7667</x:v>
      </x:c>
      <x:c r="J1671" t="s">
        <x:v>7668</x:v>
      </x:c>
    </x:row>
    <x:row r="1672">
      <x:c r="A1672" t="s">
        <x:v>7669</x:v>
      </x:c>
      <x:c r="B1672" t="s">
        <x:v>7669</x:v>
      </x:c>
      <x:c r="C1672" t="s">
        <x:v>4392</x:v>
      </x:c>
      <x:c r="D1672">
        <x:v>9</x:v>
      </x:c>
      <x:c r="E1672" t="s">
        <x:v>198</x:v>
      </x:c>
      <x:c r="F1672" t="s">
        <x:v>90</x:v>
      </x:c>
      <x:c r="G1672">
        <x:v>43922</x:v>
      </x:c>
      <x:c r="H1672" t="s">
        <x:v>7670</x:v>
      </x:c>
      <x:c r="I1672" t="s">
        <x:v>7671</x:v>
      </x:c>
      <x:c r="J1672" t="s">
        <x:v>7672</x:v>
      </x:c>
    </x:row>
    <x:row r="1673">
      <x:c r="A1673" t="s">
        <x:v>7673</x:v>
      </x:c>
      <x:c r="B1673" t="s">
        <x:v>7673</x:v>
      </x:c>
      <x:c r="C1673" t="s">
        <x:v>3170</x:v>
      </x:c>
      <x:c r="D1673">
        <x:v>6</x:v>
      </x:c>
      <x:c r="E1673" t="s">
        <x:v>198</x:v>
      </x:c>
      <x:c r="F1673" t="s">
        <x:v>90</x:v>
      </x:c>
      <x:c r="G1673">
        <x:v>45565</x:v>
      </x:c>
      <x:c r="H1673" t="s">
        <x:v>7674</x:v>
      </x:c>
      <x:c r="I1673" t="s">
        <x:v>7675</x:v>
      </x:c>
      <x:c r="J1673" t="s">
        <x:v>7676</x:v>
      </x:c>
    </x:row>
    <x:row r="1674">
      <x:c r="A1674" t="s">
        <x:v>7677</x:v>
      </x:c>
      <x:c r="B1674" t="s">
        <x:v>7677</x:v>
      </x:c>
      <x:c r="C1674" t="s">
        <x:v>2567</x:v>
      </x:c>
      <x:c r="D1674">
        <x:v>14</x:v>
      </x:c>
      <x:c r="E1674" t="s">
        <x:v>114</x:v>
      </x:c>
      <x:c r="F1674" t="s">
        <x:v>90</x:v>
      </x:c>
      <x:c r="G1674">
        <x:v>44476</x:v>
      </x:c>
      <x:c r="H1674" t="s">
        <x:v>7678</x:v>
      </x:c>
      <x:c r="I1674" t="s">
        <x:v>7679</x:v>
      </x:c>
      <x:c r="J1674" t="s">
        <x:v>7680</x:v>
      </x:c>
    </x:row>
    <x:row r="1675">
      <x:c r="A1675" t="s">
        <x:v>7681</x:v>
      </x:c>
      <x:c r="B1675" t="s">
        <x:v>7681</x:v>
      </x:c>
      <x:c r="C1675" t="s">
        <x:v>491</x:v>
      </x:c>
      <x:c r="D1675">
        <x:v>1</x:v>
      </x:c>
      <x:c r="E1675" t="s">
        <x:v>89</x:v>
      </x:c>
      <x:c r="F1675" t="s">
        <x:v>90</x:v>
      </x:c>
      <x:c r="G1675">
        <x:v>45722</x:v>
      </x:c>
      <x:c r="H1675" t="s">
        <x:v>7682</x:v>
      </x:c>
      <x:c r="I1675" t="s">
        <x:v>7683</x:v>
      </x:c>
      <x:c r="J1675" t="s">
        <x:v>7684</x:v>
      </x:c>
    </x:row>
    <x:row r="1676">
      <x:c r="A1676" t="s">
        <x:v>7685</x:v>
      </x:c>
      <x:c r="B1676" t="s">
        <x:v>7685</x:v>
      </x:c>
      <x:c r="C1676" t="s">
        <x:v>7686</x:v>
      </x:c>
      <x:c r="D1676">
        <x:v>8</x:v>
      </x:c>
      <x:c r="E1676" t="s">
        <x:v>96</x:v>
      </x:c>
      <x:c r="F1676" t="s">
        <x:v>97</x:v>
      </x:c>
      <x:c r="G1676">
        <x:v>46025</x:v>
      </x:c>
      <x:c r="H1676" t="s">
        <x:v>7687</x:v>
      </x:c>
      <x:c r="I1676" t="s">
        <x:v>7688</x:v>
      </x:c>
      <x:c r="J1676" t="s">
        <x:v>7689</x:v>
      </x:c>
    </x:row>
    <x:row r="1677">
      <x:c r="A1677" t="s">
        <x:v>7690</x:v>
      </x:c>
      <x:c r="B1677" t="s">
        <x:v>7690</x:v>
      </x:c>
      <x:c r="C1677" t="s">
        <x:v>2562</x:v>
      </x:c>
      <x:c r="D1677">
        <x:v>10</x:v>
      </x:c>
      <x:c r="E1677" t="s">
        <x:v>114</x:v>
      </x:c>
      <x:c r="F1677" t="s">
        <x:v>90</x:v>
      </x:c>
      <x:c r="G1677">
        <x:v>44067</x:v>
      </x:c>
      <x:c r="H1677" t="s">
        <x:v>7691</x:v>
      </x:c>
      <x:c r="I1677" t="s">
        <x:v>7692</x:v>
      </x:c>
      <x:c r="J1677" t="s">
        <x:v>7693</x:v>
      </x:c>
    </x:row>
    <x:row r="1678">
      <x:c r="A1678" t="s">
        <x:v>7694</x:v>
      </x:c>
      <x:c r="B1678" t="s">
        <x:v>7694</x:v>
      </x:c>
      <x:c r="C1678" t="s">
        <x:v>7695</x:v>
      </x:c>
      <x:c r="D1678">
        <x:v>4</x:v>
      </x:c>
      <x:c r="E1678" t="s">
        <x:v>103</x:v>
      </x:c>
      <x:c r="F1678" t="s">
        <x:v>97</x:v>
      </x:c>
      <x:c r="G1678">
        <x:v>44012</x:v>
      </x:c>
      <x:c r="H1678" t="s">
        <x:v>7696</x:v>
      </x:c>
      <x:c r="I1678" t="s">
        <x:v>7697</x:v>
      </x:c>
      <x:c r="J1678" t="s">
        <x:v>7698</x:v>
      </x:c>
    </x:row>
    <x:row r="1679">
      <x:c r="A1679" t="s">
        <x:v>7699</x:v>
      </x:c>
      <x:c r="B1679" t="s">
        <x:v>7699</x:v>
      </x:c>
      <x:c r="C1679" t="s">
        <x:v>3791</x:v>
      </x:c>
      <x:c r="D1679">
        <x:v>4</x:v>
      </x:c>
      <x:c r="E1679" t="s">
        <x:v>89</x:v>
      </x:c>
      <x:c r="F1679" t="s">
        <x:v>90</x:v>
      </x:c>
      <x:c r="G1679">
        <x:v>44326</x:v>
      </x:c>
      <x:c r="H1679" t="s">
        <x:v>7700</x:v>
      </x:c>
      <x:c r="I1679" t="s">
        <x:v>7701</x:v>
      </x:c>
      <x:c r="J1679" t="s">
        <x:v>7702</x:v>
      </x:c>
    </x:row>
    <x:row r="1680">
      <x:c r="A1680" t="s">
        <x:v>7703</x:v>
      </x:c>
      <x:c r="B1680" t="s">
        <x:v>7703</x:v>
      </x:c>
      <x:c r="C1680" t="s">
        <x:v>1502</x:v>
      </x:c>
      <x:c r="D1680">
        <x:v>5</x:v>
      </x:c>
      <x:c r="E1680" t="s">
        <x:v>96</x:v>
      </x:c>
      <x:c r="F1680" t="s">
        <x:v>90</x:v>
      </x:c>
      <x:c r="G1680">
        <x:v>45895</x:v>
      </x:c>
      <x:c r="H1680" t="s">
        <x:v>7704</x:v>
      </x:c>
      <x:c r="I1680" t="s">
        <x:v>7705</x:v>
      </x:c>
      <x:c r="J1680" t="s">
        <x:v>7706</x:v>
      </x:c>
    </x:row>
    <x:row r="1681">
      <x:c r="A1681" t="s">
        <x:v>7707</x:v>
      </x:c>
      <x:c r="B1681" t="s">
        <x:v>7707</x:v>
      </x:c>
      <x:c r="C1681" t="s">
        <x:v>1502</x:v>
      </x:c>
      <x:c r="D1681">
        <x:v>10</x:v>
      </x:c>
      <x:c r="E1681" t="s">
        <x:v>96</x:v>
      </x:c>
      <x:c r="F1681" t="s">
        <x:v>90</x:v>
      </x:c>
      <x:c r="G1681">
        <x:v>46179</x:v>
      </x:c>
      <x:c r="H1681" t="s">
        <x:v>7708</x:v>
      </x:c>
      <x:c r="I1681" t="s">
        <x:v>7709</x:v>
      </x:c>
      <x:c r="J1681" t="s">
        <x:v>7710</x:v>
      </x:c>
    </x:row>
    <x:row r="1682">
      <x:c r="A1682" t="s">
        <x:v>76</x:v>
      </x:c>
      <x:c r="B1682" t="s">
        <x:v>76</x:v>
      </x:c>
      <x:c r="C1682" t="s">
        <x:v>7711</x:v>
      </x:c>
      <x:c r="D1682">
        <x:v>22</x:v>
      </x:c>
      <x:c r="E1682" t="s">
        <x:v>198</x:v>
      </x:c>
      <x:c r="F1682" t="s">
        <x:v>90</x:v>
      </x:c>
      <x:c r="G1682">
        <x:v>46032</x:v>
      </x:c>
      <x:c r="H1682" t="s">
        <x:v>7712</x:v>
      </x:c>
      <x:c r="I1682" t="s">
        <x:v>7713</x:v>
      </x:c>
      <x:c r="J1682" t="s">
        <x:v>7714</x:v>
      </x:c>
    </x:row>
    <x:row r="1683">
      <x:c r="A1683" t="s">
        <x:v>7715</x:v>
      </x:c>
      <x:c r="B1683" t="s">
        <x:v>7715</x:v>
      </x:c>
      <x:c r="C1683" t="s">
        <x:v>4751</x:v>
      </x:c>
      <x:c r="D1683">
        <x:v>7</x:v>
      </x:c>
      <x:c r="E1683" t="s">
        <x:v>257</x:v>
      </x:c>
      <x:c r="F1683" t="s">
        <x:v>97</x:v>
      </x:c>
      <x:c r="G1683">
        <x:v>44749</x:v>
      </x:c>
      <x:c r="H1683" t="s">
        <x:v>7716</x:v>
      </x:c>
      <x:c r="I1683" t="s">
        <x:v>7717</x:v>
      </x:c>
      <x:c r="J1683" t="s">
        <x:v>7718</x:v>
      </x:c>
    </x:row>
    <x:row r="1684">
      <x:c r="A1684" t="s">
        <x:v>7719</x:v>
      </x:c>
      <x:c r="B1684" t="s">
        <x:v>7719</x:v>
      </x:c>
      <x:c r="C1684" t="s">
        <x:v>7720</x:v>
      </x:c>
      <x:c r="D1684">
        <x:v>8</x:v>
      </x:c>
      <x:c r="E1684" t="s">
        <x:v>103</x:v>
      </x:c>
      <x:c r="F1684" t="s">
        <x:v>97</x:v>
      </x:c>
      <x:c r="G1684">
        <x:v>45010</x:v>
      </x:c>
      <x:c r="H1684" t="s">
        <x:v>7721</x:v>
      </x:c>
      <x:c r="I1684" t="s">
        <x:v>7722</x:v>
      </x:c>
      <x:c r="J1684" t="s">
        <x:v>7723</x:v>
      </x:c>
    </x:row>
    <x:row r="1685">
      <x:c r="A1685" t="s">
        <x:v>7724</x:v>
      </x:c>
      <x:c r="B1685" t="s">
        <x:v>7724</x:v>
      </x:c>
      <x:c r="C1685" t="s">
        <x:v>3924</x:v>
      </x:c>
      <x:c r="D1685">
        <x:v>23</x:v>
      </x:c>
      <x:c r="E1685" t="s">
        <x:v>103</x:v>
      </x:c>
      <x:c r="F1685" t="s">
        <x:v>97</x:v>
      </x:c>
      <x:c r="G1685">
        <x:v>45224</x:v>
      </x:c>
      <x:c r="H1685" t="s">
        <x:v>7725</x:v>
      </x:c>
      <x:c r="I1685" t="s">
        <x:v>7726</x:v>
      </x:c>
      <x:c r="J1685" t="s">
        <x:v>7727</x:v>
      </x:c>
    </x:row>
    <x:row r="1686">
      <x:c r="A1686" t="s">
        <x:v>7728</x:v>
      </x:c>
      <x:c r="B1686" t="s">
        <x:v>7728</x:v>
      </x:c>
      <x:c r="C1686" t="s">
        <x:v>7729</x:v>
      </x:c>
      <x:c r="D1686">
        <x:v>19</x:v>
      </x:c>
      <x:c r="E1686" t="s">
        <x:v>89</x:v>
      </x:c>
      <x:c r="F1686" t="s">
        <x:v>97</x:v>
      </x:c>
      <x:c r="G1686">
        <x:v>43140</x:v>
      </x:c>
      <x:c r="H1686" t="s">
        <x:v>7730</x:v>
      </x:c>
      <x:c r="I1686" t="s">
        <x:v>7731</x:v>
      </x:c>
      <x:c r="J1686" t="s">
        <x:v>7732</x:v>
      </x:c>
    </x:row>
    <x:row r="1687">
      <x:c r="A1687" t="s">
        <x:v>7733</x:v>
      </x:c>
      <x:c r="B1687" t="s">
        <x:v>7733</x:v>
      </x:c>
      <x:c r="C1687" t="s">
        <x:v>2798</x:v>
      </x:c>
      <x:c r="D1687">
        <x:v>0</x:v>
      </x:c>
      <x:c r="E1687" t="s">
        <x:v>198</x:v>
      </x:c>
      <x:c r="F1687" t="s">
        <x:v>90</x:v>
      </x:c>
      <x:c r="G1687">
        <x:v>45054</x:v>
      </x:c>
      <x:c r="H1687" t="s">
        <x:v>7734</x:v>
      </x:c>
      <x:c r="I1687" t="s">
        <x:v>7735</x:v>
      </x:c>
      <x:c r="J1687" t="s">
        <x:v>7736</x:v>
      </x:c>
    </x:row>
    <x:row r="1688">
      <x:c r="A1688" t="s">
        <x:v>7737</x:v>
      </x:c>
      <x:c r="B1688" t="s">
        <x:v>7737</x:v>
      </x:c>
      <x:c r="C1688" t="s">
        <x:v>2179</x:v>
      </x:c>
      <x:c r="D1688">
        <x:v>17</x:v>
      </x:c>
      <x:c r="E1688" t="s">
        <x:v>114</x:v>
      </x:c>
      <x:c r="F1688" t="s">
        <x:v>90</x:v>
      </x:c>
      <x:c r="G1688">
        <x:v>44362</x:v>
      </x:c>
      <x:c r="H1688" t="s">
        <x:v>7738</x:v>
      </x:c>
      <x:c r="I1688" t="s">
        <x:v>7739</x:v>
      </x:c>
      <x:c r="J1688" t="s">
        <x:v>7740</x:v>
      </x:c>
    </x:row>
    <x:row r="1689">
      <x:c r="A1689" t="s">
        <x:v>7741</x:v>
      </x:c>
      <x:c r="B1689" t="s">
        <x:v>7741</x:v>
      </x:c>
      <x:c r="C1689" t="s">
        <x:v>567</x:v>
      </x:c>
      <x:c r="D1689">
        <x:v>37</x:v>
      </x:c>
      <x:c r="E1689" t="s">
        <x:v>96</x:v>
      </x:c>
      <x:c r="F1689" t="s">
        <x:v>97</x:v>
      </x:c>
      <x:c r="G1689">
        <x:v>42342</x:v>
      </x:c>
      <x:c r="H1689" t="s">
        <x:v>7742</x:v>
      </x:c>
      <x:c r="I1689" t="s">
        <x:v>7743</x:v>
      </x:c>
      <x:c r="J1689" t="s">
        <x:v>7744</x:v>
      </x:c>
    </x:row>
    <x:row r="1690">
      <x:c r="A1690" t="s">
        <x:v>7745</x:v>
      </x:c>
      <x:c r="B1690" t="s">
        <x:v>7745</x:v>
      </x:c>
      <x:c r="C1690" t="s">
        <x:v>7746</x:v>
      </x:c>
      <x:c r="D1690">
        <x:v>6</x:v>
      </x:c>
      <x:c r="E1690" t="s">
        <x:v>198</x:v>
      </x:c>
      <x:c r="F1690" t="s">
        <x:v>90</x:v>
      </x:c>
      <x:c r="G1690">
        <x:v>45984</x:v>
      </x:c>
      <x:c r="H1690" t="s">
        <x:v>7747</x:v>
      </x:c>
      <x:c r="I1690" t="s">
        <x:v>7748</x:v>
      </x:c>
      <x:c r="J1690" t="s">
        <x:v>7749</x:v>
      </x:c>
    </x:row>
    <x:row r="1691">
      <x:c r="A1691" t="s">
        <x:v>7750</x:v>
      </x:c>
      <x:c r="B1691" t="s">
        <x:v>7750</x:v>
      </x:c>
      <x:c r="C1691" t="s">
        <x:v>6301</x:v>
      </x:c>
      <x:c r="D1691">
        <x:v>16</x:v>
      </x:c>
      <x:c r="E1691" t="s">
        <x:v>103</x:v>
      </x:c>
      <x:c r="F1691" t="s">
        <x:v>97</x:v>
      </x:c>
      <x:c r="G1691">
        <x:v>41445</x:v>
      </x:c>
      <x:c r="H1691" t="s">
        <x:v>7751</x:v>
      </x:c>
      <x:c r="I1691" t="s">
        <x:v>7752</x:v>
      </x:c>
      <x:c r="J1691" t="s">
        <x:v>7753</x:v>
      </x:c>
    </x:row>
    <x:row r="1692">
      <x:c r="A1692" t="s">
        <x:v>7754</x:v>
      </x:c>
      <x:c r="B1692" t="s">
        <x:v>7754</x:v>
      </x:c>
      <x:c r="C1692" t="s">
        <x:v>7755</x:v>
      </x:c>
      <x:c r="D1692">
        <x:v>6</x:v>
      </x:c>
      <x:c r="E1692" t="s">
        <x:v>103</x:v>
      </x:c>
      <x:c r="F1692" t="s">
        <x:v>97</x:v>
      </x:c>
      <x:c r="G1692">
        <x:v>42056</x:v>
      </x:c>
      <x:c r="H1692" t="s">
        <x:v>7756</x:v>
      </x:c>
      <x:c r="I1692" t="s">
        <x:v>7757</x:v>
      </x:c>
      <x:c r="J1692" t="s">
        <x:v>7758</x:v>
      </x:c>
    </x:row>
    <x:row r="1693">
      <x:c r="A1693" t="s">
        <x:v>7759</x:v>
      </x:c>
      <x:c r="B1693" t="s">
        <x:v>7759</x:v>
      </x:c>
      <x:c r="C1693" t="s">
        <x:v>680</x:v>
      </x:c>
      <x:c r="D1693">
        <x:v>3</x:v>
      </x:c>
      <x:c r="E1693" t="s">
        <x:v>114</x:v>
      </x:c>
      <x:c r="F1693" t="s">
        <x:v>90</x:v>
      </x:c>
      <x:c r="G1693">
        <x:v>44515</x:v>
      </x:c>
      <x:c r="H1693" t="s">
        <x:v>7760</x:v>
      </x:c>
      <x:c r="I1693" t="s">
        <x:v>7761</x:v>
      </x:c>
      <x:c r="J1693" t="s">
        <x:v>7762</x:v>
      </x:c>
    </x:row>
    <x:row r="1694">
      <x:c r="A1694" t="s">
        <x:v>7763</x:v>
      </x:c>
      <x:c r="B1694" t="s">
        <x:v>7763</x:v>
      </x:c>
      <x:c r="C1694" t="s">
        <x:v>3388</x:v>
      </x:c>
      <x:c r="D1694">
        <x:v>11</x:v>
      </x:c>
      <x:c r="E1694" t="s">
        <x:v>198</x:v>
      </x:c>
      <x:c r="F1694" t="s">
        <x:v>90</x:v>
      </x:c>
      <x:c r="G1694">
        <x:v>44312</x:v>
      </x:c>
      <x:c r="H1694" t="s">
        <x:v>7764</x:v>
      </x:c>
      <x:c r="I1694" t="s">
        <x:v>7765</x:v>
      </x:c>
      <x:c r="J1694" t="s">
        <x:v>7766</x:v>
      </x:c>
    </x:row>
    <x:row r="1695">
      <x:c r="A1695" t="s">
        <x:v>7767</x:v>
      </x:c>
      <x:c r="B1695" t="s">
        <x:v>7767</x:v>
      </x:c>
      <x:c r="C1695" t="s">
        <x:v>3388</x:v>
      </x:c>
      <x:c r="D1695">
        <x:v>11</x:v>
      </x:c>
      <x:c r="E1695" t="s">
        <x:v>198</x:v>
      </x:c>
      <x:c r="F1695" t="s">
        <x:v>90</x:v>
      </x:c>
      <x:c r="G1695">
        <x:v>44374</x:v>
      </x:c>
      <x:c r="H1695" t="s">
        <x:v>7768</x:v>
      </x:c>
      <x:c r="I1695" t="s">
        <x:v>7769</x:v>
      </x:c>
      <x:c r="J1695" t="s">
        <x:v>7770</x:v>
      </x:c>
    </x:row>
    <x:row r="1696">
      <x:c r="A1696" t="s">
        <x:v>7771</x:v>
      </x:c>
      <x:c r="B1696" t="s">
        <x:v>7771</x:v>
      </x:c>
      <x:c r="C1696" t="s">
        <x:v>1594</x:v>
      </x:c>
      <x:c r="D1696">
        <x:v>1</x:v>
      </x:c>
      <x:c r="E1696" t="s">
        <x:v>125</x:v>
      </x:c>
      <x:c r="F1696" t="s">
        <x:v>90</x:v>
      </x:c>
      <x:c r="G1696">
        <x:v>44481</x:v>
      </x:c>
      <x:c r="H1696" t="s">
        <x:v>7772</x:v>
      </x:c>
      <x:c r="I1696" t="s">
        <x:v>7773</x:v>
      </x:c>
      <x:c r="J1696" t="s">
        <x:v>7774</x:v>
      </x:c>
    </x:row>
    <x:row r="1697">
      <x:c r="A1697" t="s">
        <x:v>7775</x:v>
      </x:c>
      <x:c r="B1697" t="s">
        <x:v>7775</x:v>
      </x:c>
      <x:c r="C1697" t="s">
        <x:v>7544</x:v>
      </x:c>
      <x:c r="D1697">
        <x:v>27</x:v>
      </x:c>
      <x:c r="E1697" t="s">
        <x:v>89</x:v>
      </x:c>
      <x:c r="F1697" t="s">
        <x:v>90</x:v>
      </x:c>
      <x:c r="G1697">
        <x:v>43606</x:v>
      </x:c>
      <x:c r="H1697" t="s">
        <x:v>7776</x:v>
      </x:c>
      <x:c r="I1697" t="s">
        <x:v>7777</x:v>
      </x:c>
      <x:c r="J1697" t="s">
        <x:v>7778</x:v>
      </x:c>
    </x:row>
    <x:row r="1698">
      <x:c r="A1698" t="s">
        <x:v>7779</x:v>
      </x:c>
      <x:c r="B1698" t="s">
        <x:v>7779</x:v>
      </x:c>
      <x:c r="C1698" t="s">
        <x:v>938</x:v>
      </x:c>
      <x:c r="D1698">
        <x:v>14</x:v>
      </x:c>
      <x:c r="E1698" t="s">
        <x:v>114</x:v>
      </x:c>
      <x:c r="F1698" t="s">
        <x:v>90</x:v>
      </x:c>
      <x:c r="G1698">
        <x:v>45268</x:v>
      </x:c>
      <x:c r="H1698" t="s">
        <x:v>7780</x:v>
      </x:c>
      <x:c r="I1698" t="s">
        <x:v>7781</x:v>
      </x:c>
      <x:c r="J1698" t="s">
        <x:v>7782</x:v>
      </x:c>
    </x:row>
    <x:row r="1699">
      <x:c r="A1699" t="s">
        <x:v>7783</x:v>
      </x:c>
      <x:c r="B1699" t="s">
        <x:v>7783</x:v>
      </x:c>
      <x:c r="C1699" t="s">
        <x:v>1841</x:v>
      </x:c>
      <x:c r="D1699">
        <x:v>5</x:v>
      </x:c>
      <x:c r="E1699" t="s">
        <x:v>103</x:v>
      </x:c>
      <x:c r="F1699" t="s">
        <x:v>97</x:v>
      </x:c>
      <x:c r="G1699">
        <x:v>42616</x:v>
      </x:c>
      <x:c r="H1699" t="s">
        <x:v>7784</x:v>
      </x:c>
      <x:c r="I1699" t="s">
        <x:v>7785</x:v>
      </x:c>
      <x:c r="J1699" t="s">
        <x:v>7786</x:v>
      </x:c>
    </x:row>
    <x:row r="1700">
      <x:c r="A1700" t="s">
        <x:v>7787</x:v>
      </x:c>
      <x:c r="B1700" t="s">
        <x:v>7787</x:v>
      </x:c>
      <x:c r="C1700" t="s">
        <x:v>7788</x:v>
      </x:c>
      <x:c r="D1700">
        <x:v>7</x:v>
      </x:c>
      <x:c r="E1700" t="s">
        <x:v>257</x:v>
      </x:c>
      <x:c r="F1700" t="s">
        <x:v>97</x:v>
      </x:c>
      <x:c r="G1700">
        <x:v>41447</x:v>
      </x:c>
      <x:c r="H1700" t="s">
        <x:v>7789</x:v>
      </x:c>
      <x:c r="I1700" t="s">
        <x:v>7790</x:v>
      </x:c>
      <x:c r="J1700" t="s">
        <x:v>7791</x:v>
      </x:c>
    </x:row>
    <x:row r="1701">
      <x:c r="A1701" t="s">
        <x:v>7792</x:v>
      </x:c>
      <x:c r="B1701" t="s">
        <x:v>7792</x:v>
      </x:c>
      <x:c r="C1701" t="s">
        <x:v>5997</x:v>
      </x:c>
      <x:c r="D1701">
        <x:v>35</x:v>
      </x:c>
      <x:c r="E1701" t="s">
        <x:v>257</x:v>
      </x:c>
      <x:c r="F1701" t="s">
        <x:v>97</x:v>
      </x:c>
      <x:c r="G1701">
        <x:v>41585</x:v>
      </x:c>
      <x:c r="H1701" t="s">
        <x:v>7793</x:v>
      </x:c>
      <x:c r="I1701" t="s">
        <x:v>7794</x:v>
      </x:c>
      <x:c r="J1701" t="s">
        <x:v>7795</x:v>
      </x:c>
    </x:row>
    <x:row r="1702">
      <x:c r="A1702" t="s">
        <x:v>7796</x:v>
      </x:c>
      <x:c r="B1702" t="s">
        <x:v>7796</x:v>
      </x:c>
      <x:c r="C1702" t="s">
        <x:v>5997</x:v>
      </x:c>
      <x:c r="D1702">
        <x:v>87</x:v>
      </x:c>
      <x:c r="E1702" t="s">
        <x:v>96</x:v>
      </x:c>
      <x:c r="F1702" t="s">
        <x:v>97</x:v>
      </x:c>
      <x:c r="G1702">
        <x:v>42316</x:v>
      </x:c>
      <x:c r="H1702" t="s">
        <x:v>7797</x:v>
      </x:c>
      <x:c r="I1702" t="s">
        <x:v>7798</x:v>
      </x:c>
      <x:c r="J1702" t="s">
        <x:v>7799</x:v>
      </x:c>
    </x:row>
    <x:row r="1703">
      <x:c r="A1703" t="s">
        <x:v>7800</x:v>
      </x:c>
      <x:c r="B1703" t="s">
        <x:v>7800</x:v>
      </x:c>
      <x:c r="C1703" t="s">
        <x:v>5402</x:v>
      </x:c>
      <x:c r="D1703">
        <x:v>69</x:v>
      </x:c>
      <x:c r="E1703" t="s">
        <x:v>114</x:v>
      </x:c>
      <x:c r="F1703" t="s">
        <x:v>90</x:v>
      </x:c>
      <x:c r="G1703">
        <x:v>44939</x:v>
      </x:c>
      <x:c r="H1703" t="s">
        <x:v>7801</x:v>
      </x:c>
      <x:c r="I1703" t="s">
        <x:v>7802</x:v>
      </x:c>
      <x:c r="J1703" t="s">
        <x:v>7803</x:v>
      </x:c>
    </x:row>
    <x:row r="1704">
      <x:c r="A1704" t="s">
        <x:v>7804</x:v>
      </x:c>
      <x:c r="B1704" t="s">
        <x:v>7804</x:v>
      </x:c>
      <x:c r="C1704" t="s">
        <x:v>7805</x:v>
      </x:c>
      <x:c r="D1704">
        <x:v>9</x:v>
      </x:c>
      <x:c r="E1704" t="s">
        <x:v>96</x:v>
      </x:c>
      <x:c r="F1704" t="s">
        <x:v>97</x:v>
      </x:c>
      <x:c r="G1704">
        <x:v>44167</x:v>
      </x:c>
      <x:c r="H1704" t="s">
        <x:v>7806</x:v>
      </x:c>
      <x:c r="I1704" t="s">
        <x:v>7807</x:v>
      </x:c>
      <x:c r="J1704" t="s">
        <x:v>7808</x:v>
      </x:c>
    </x:row>
    <x:row r="1705">
      <x:c r="A1705" t="s">
        <x:v>7809</x:v>
      </x:c>
      <x:c r="B1705" t="s">
        <x:v>7809</x:v>
      </x:c>
      <x:c r="C1705" t="s">
        <x:v>7615</x:v>
      </x:c>
      <x:c r="D1705">
        <x:v>7</x:v>
      </x:c>
      <x:c r="E1705" t="s">
        <x:v>125</x:v>
      </x:c>
      <x:c r="F1705" t="s">
        <x:v>90</x:v>
      </x:c>
      <x:c r="G1705">
        <x:v>45377</x:v>
      </x:c>
      <x:c r="H1705" t="s">
        <x:v>7810</x:v>
      </x:c>
      <x:c r="I1705" t="s">
        <x:v>7811</x:v>
      </x:c>
      <x:c r="J1705" t="s">
        <x:v>7812</x:v>
      </x:c>
    </x:row>
    <x:row r="1706">
      <x:c r="A1706" t="s">
        <x:v>7813</x:v>
      </x:c>
      <x:c r="B1706" t="s">
        <x:v>7813</x:v>
      </x:c>
      <x:c r="C1706" t="s">
        <x:v>7814</x:v>
      </x:c>
      <x:c r="D1706">
        <x:v>7</x:v>
      </x:c>
      <x:c r="E1706" t="s">
        <x:v>103</x:v>
      </x:c>
      <x:c r="F1706" t="s">
        <x:v>97</x:v>
      </x:c>
      <x:c r="G1706">
        <x:v>46170</x:v>
      </x:c>
      <x:c r="H1706" t="s">
        <x:v>7815</x:v>
      </x:c>
      <x:c r="I1706" t="s">
        <x:v>7816</x:v>
      </x:c>
      <x:c r="J1706" t="s">
        <x:v>7817</x:v>
      </x:c>
    </x:row>
    <x:row r="1707">
      <x:c r="A1707" t="s">
        <x:v>7818</x:v>
      </x:c>
      <x:c r="B1707" t="s">
        <x:v>7818</x:v>
      </x:c>
      <x:c r="C1707" t="s">
        <x:v>7819</x:v>
      </x:c>
      <x:c r="D1707">
        <x:v>6</x:v>
      </x:c>
      <x:c r="E1707" t="s">
        <x:v>257</x:v>
      </x:c>
      <x:c r="F1707" t="s">
        <x:v>97</x:v>
      </x:c>
      <x:c r="G1707">
        <x:v>43575</x:v>
      </x:c>
      <x:c r="H1707" t="s">
        <x:v>7820</x:v>
      </x:c>
      <x:c r="I1707" t="s">
        <x:v>7821</x:v>
      </x:c>
      <x:c r="J1707" t="s">
        <x:v>7822</x:v>
      </x:c>
    </x:row>
    <x:row r="1708">
      <x:c r="A1708" t="s">
        <x:v>7823</x:v>
      </x:c>
      <x:c r="B1708" t="s">
        <x:v>7823</x:v>
      </x:c>
      <x:c r="C1708" t="s">
        <x:v>7824</x:v>
      </x:c>
      <x:c r="D1708">
        <x:v>8</x:v>
      </x:c>
      <x:c r="E1708" t="s">
        <x:v>103</x:v>
      </x:c>
      <x:c r="F1708" t="s">
        <x:v>97</x:v>
      </x:c>
      <x:c r="G1708">
        <x:v>42267</x:v>
      </x:c>
      <x:c r="H1708" t="s">
        <x:v>7825</x:v>
      </x:c>
      <x:c r="I1708" t="s">
        <x:v>7826</x:v>
      </x:c>
      <x:c r="J1708" t="s">
        <x:v>7827</x:v>
      </x:c>
    </x:row>
    <x:row r="1709">
      <x:c r="A1709" t="s">
        <x:v>7828</x:v>
      </x:c>
      <x:c r="B1709" t="s">
        <x:v>7828</x:v>
      </x:c>
      <x:c r="C1709" t="s">
        <x:v>466</x:v>
      </x:c>
      <x:c r="D1709">
        <x:v>36</x:v>
      </x:c>
      <x:c r="E1709" t="s">
        <x:v>198</x:v>
      </x:c>
      <x:c r="F1709" t="s">
        <x:v>90</x:v>
      </x:c>
      <x:c r="G1709">
        <x:v>44517</x:v>
      </x:c>
      <x:c r="H1709" t="s">
        <x:v>7829</x:v>
      </x:c>
      <x:c r="I1709" t="s">
        <x:v>7830</x:v>
      </x:c>
      <x:c r="J1709" t="s">
        <x:v>7831</x:v>
      </x:c>
    </x:row>
    <x:row r="1710">
      <x:c r="A1710" t="s">
        <x:v>7832</x:v>
      </x:c>
      <x:c r="B1710" t="s">
        <x:v>7832</x:v>
      </x:c>
      <x:c r="C1710" t="s">
        <x:v>7833</x:v>
      </x:c>
      <x:c r="D1710">
        <x:v>6</x:v>
      </x:c>
      <x:c r="E1710" t="s">
        <x:v>89</x:v>
      </x:c>
      <x:c r="F1710" t="s">
        <x:v>152</x:v>
      </x:c>
      <x:c r="G1710">
        <x:v>45374</x:v>
      </x:c>
      <x:c r="H1710" t="s">
        <x:v>7834</x:v>
      </x:c>
      <x:c r="I1710" t="s">
        <x:v>7835</x:v>
      </x:c>
      <x:c r="J1710" t="s">
        <x:v>7836</x:v>
      </x:c>
    </x:row>
    <x:row r="1711">
      <x:c r="A1711" t="s">
        <x:v>7837</x:v>
      </x:c>
      <x:c r="B1711" t="s">
        <x:v>7837</x:v>
      </x:c>
      <x:c r="C1711" t="s">
        <x:v>7838</x:v>
      </x:c>
      <x:c r="D1711">
        <x:v>20</x:v>
      </x:c>
      <x:c r="E1711" t="s">
        <x:v>114</x:v>
      </x:c>
      <x:c r="F1711" t="s">
        <x:v>90</x:v>
      </x:c>
      <x:c r="G1711">
        <x:v>46094</x:v>
      </x:c>
      <x:c r="H1711" t="s">
        <x:v>7839</x:v>
      </x:c>
      <x:c r="I1711" t="s">
        <x:v>7840</x:v>
      </x:c>
      <x:c r="J1711" t="s">
        <x:v>7841</x:v>
      </x:c>
    </x:row>
    <x:row r="1712">
      <x:c r="A1712" t="s">
        <x:v>7842</x:v>
      </x:c>
      <x:c r="B1712" t="s">
        <x:v>7842</x:v>
      </x:c>
      <x:c r="C1712" t="s">
        <x:v>7843</x:v>
      </x:c>
      <x:c r="D1712">
        <x:v>10</x:v>
      </x:c>
      <x:c r="E1712" t="s">
        <x:v>96</x:v>
      </x:c>
      <x:c r="F1712" t="s">
        <x:v>90</x:v>
      </x:c>
      <x:c r="G1712">
        <x:v>43921</x:v>
      </x:c>
      <x:c r="H1712" t="s">
        <x:v>7844</x:v>
      </x:c>
      <x:c r="I1712" t="s">
        <x:v>7845</x:v>
      </x:c>
      <x:c r="J1712" t="s">
        <x:v>7846</x:v>
      </x:c>
    </x:row>
    <x:row r="1713">
      <x:c r="A1713" t="s">
        <x:v>7847</x:v>
      </x:c>
      <x:c r="B1713" t="s">
        <x:v>7847</x:v>
      </x:c>
      <x:c r="C1713" t="s">
        <x:v>7848</x:v>
      </x:c>
      <x:c r="D1713">
        <x:v>15</x:v>
      </x:c>
      <x:c r="E1713" t="s">
        <x:v>89</x:v>
      </x:c>
      <x:c r="F1713" t="s">
        <x:v>90</x:v>
      </x:c>
      <x:c r="G1713">
        <x:v>44242</x:v>
      </x:c>
      <x:c r="H1713" t="s">
        <x:v>7849</x:v>
      </x:c>
      <x:c r="I1713" t="s">
        <x:v>7850</x:v>
      </x:c>
      <x:c r="J1713" t="s">
        <x:v>7851</x:v>
      </x:c>
    </x:row>
    <x:row r="1714">
      <x:c r="A1714" t="s">
        <x:v>7852</x:v>
      </x:c>
      <x:c r="B1714" t="s">
        <x:v>7852</x:v>
      </x:c>
      <x:c r="C1714" t="s">
        <x:v>7848</x:v>
      </x:c>
      <x:c r="D1714">
        <x:v>14</x:v>
      </x:c>
      <x:c r="E1714" t="s">
        <x:v>89</x:v>
      </x:c>
      <x:c r="F1714" t="s">
        <x:v>90</x:v>
      </x:c>
      <x:c r="G1714">
        <x:v>44145</x:v>
      </x:c>
      <x:c r="H1714" t="s">
        <x:v>7853</x:v>
      </x:c>
      <x:c r="I1714" t="s">
        <x:v>7854</x:v>
      </x:c>
      <x:c r="J1714" t="s">
        <x:v>7855</x:v>
      </x:c>
    </x:row>
    <x:row r="1715">
      <x:c r="A1715" t="s">
        <x:v>7856</x:v>
      </x:c>
      <x:c r="B1715" t="s">
        <x:v>7856</x:v>
      </x:c>
      <x:c r="C1715" t="s">
        <x:v>7848</x:v>
      </x:c>
      <x:c r="D1715">
        <x:v>24</x:v>
      </x:c>
      <x:c r="E1715" t="s">
        <x:v>89</x:v>
      </x:c>
      <x:c r="F1715" t="s">
        <x:v>90</x:v>
      </x:c>
      <x:c r="G1715">
        <x:v>44669</x:v>
      </x:c>
      <x:c r="H1715" t="s">
        <x:v>7857</x:v>
      </x:c>
      <x:c r="I1715" t="s">
        <x:v>7858</x:v>
      </x:c>
      <x:c r="J1715" t="s">
        <x:v>7859</x:v>
      </x:c>
    </x:row>
    <x:row r="1716">
      <x:c r="A1716" t="s">
        <x:v>7860</x:v>
      </x:c>
      <x:c r="B1716" t="s">
        <x:v>7860</x:v>
      </x:c>
      <x:c r="C1716" t="s">
        <x:v>7861</x:v>
      </x:c>
      <x:c r="D1716">
        <x:v>30</x:v>
      </x:c>
      <x:c r="E1716" t="s">
        <x:v>96</x:v>
      </x:c>
      <x:c r="F1716" t="s">
        <x:v>152</x:v>
      </x:c>
      <x:c r="G1716">
        <x:v>44650</x:v>
      </x:c>
      <x:c r="H1716" t="s">
        <x:v>7862</x:v>
      </x:c>
      <x:c r="I1716" t="s">
        <x:v>7863</x:v>
      </x:c>
      <x:c r="J1716" t="s">
        <x:v>7864</x:v>
      </x:c>
    </x:row>
    <x:row r="1717">
      <x:c r="A1717" t="s">
        <x:v>7865</x:v>
      </x:c>
      <x:c r="B1717" t="s">
        <x:v>7865</x:v>
      </x:c>
      <x:c r="C1717" t="s">
        <x:v>7866</x:v>
      </x:c>
      <x:c r="D1717">
        <x:v>11</x:v>
      </x:c>
      <x:c r="E1717" t="s">
        <x:v>103</x:v>
      </x:c>
      <x:c r="F1717" t="s">
        <x:v>97</x:v>
      </x:c>
      <x:c r="G1717">
        <x:v>42215</x:v>
      </x:c>
      <x:c r="H1717" t="s">
        <x:v>7867</x:v>
      </x:c>
      <x:c r="I1717" t="s">
        <x:v>7868</x:v>
      </x:c>
      <x:c r="J1717" t="s">
        <x:v>7869</x:v>
      </x:c>
    </x:row>
    <x:row r="1718">
      <x:c r="A1718" t="s">
        <x:v>7870</x:v>
      </x:c>
      <x:c r="B1718" t="s">
        <x:v>7870</x:v>
      </x:c>
      <x:c r="C1718" t="s">
        <x:v>7871</x:v>
      </x:c>
      <x:c r="D1718">
        <x:v>18</x:v>
      </x:c>
      <x:c r="E1718" t="s">
        <x:v>198</x:v>
      </x:c>
      <x:c r="F1718" t="s">
        <x:v>90</x:v>
      </x:c>
      <x:c r="G1718">
        <x:v>45547</x:v>
      </x:c>
      <x:c r="H1718" t="s">
        <x:v>7872</x:v>
      </x:c>
      <x:c r="I1718" t="s">
        <x:v>7873</x:v>
      </x:c>
      <x:c r="J1718" t="s">
        <x:v>7874</x:v>
      </x:c>
    </x:row>
    <x:row r="1719">
      <x:c r="A1719" t="s">
        <x:v>7875</x:v>
      </x:c>
      <x:c r="B1719" t="s">
        <x:v>7875</x:v>
      </x:c>
      <x:c r="C1719" t="s">
        <x:v>7876</x:v>
      </x:c>
      <x:c r="D1719">
        <x:v>8</x:v>
      </x:c>
      <x:c r="E1719" t="s">
        <x:v>89</x:v>
      </x:c>
      <x:c r="F1719" t="s">
        <x:v>90</x:v>
      </x:c>
      <x:c r="G1719">
        <x:v>45202</x:v>
      </x:c>
      <x:c r="H1719" t="s">
        <x:v>7877</x:v>
      </x:c>
      <x:c r="I1719" t="s">
        <x:v>7878</x:v>
      </x:c>
      <x:c r="J1719" t="s">
        <x:v>7879</x:v>
      </x:c>
    </x:row>
    <x:row r="1720">
      <x:c r="A1720" t="s">
        <x:v>7880</x:v>
      </x:c>
      <x:c r="B1720" t="s">
        <x:v>7880</x:v>
      </x:c>
      <x:c r="C1720" t="s">
        <x:v>2609</x:v>
      </x:c>
      <x:c r="D1720">
        <x:v>16</x:v>
      </x:c>
      <x:c r="E1720" t="s">
        <x:v>114</x:v>
      </x:c>
      <x:c r="F1720" t="s">
        <x:v>90</x:v>
      </x:c>
      <x:c r="G1720">
        <x:v>44804</x:v>
      </x:c>
      <x:c r="H1720" t="s">
        <x:v>7881</x:v>
      </x:c>
      <x:c r="I1720" t="s">
        <x:v>7882</x:v>
      </x:c>
      <x:c r="J1720" t="s">
        <x:v>7883</x:v>
      </x:c>
    </x:row>
    <x:row r="1721">
      <x:c r="A1721" t="s">
        <x:v>7884</x:v>
      </x:c>
      <x:c r="B1721" t="s">
        <x:v>7884</x:v>
      </x:c>
      <x:c r="C1721" t="s">
        <x:v>3280</x:v>
      </x:c>
      <x:c r="D1721">
        <x:v>15</x:v>
      </x:c>
      <x:c r="E1721" t="s">
        <x:v>89</x:v>
      </x:c>
      <x:c r="F1721" t="s">
        <x:v>90</x:v>
      </x:c>
      <x:c r="G1721">
        <x:v>45455</x:v>
      </x:c>
      <x:c r="H1721" t="s">
        <x:v>7885</x:v>
      </x:c>
      <x:c r="I1721" t="s">
        <x:v>7886</x:v>
      </x:c>
      <x:c r="J1721" t="s">
        <x:v>7887</x:v>
      </x:c>
    </x:row>
    <x:row r="1722">
      <x:c r="A1722" t="s">
        <x:v>7888</x:v>
      </x:c>
      <x:c r="B1722" t="s">
        <x:v>7888</x:v>
      </x:c>
      <x:c r="C1722" t="s">
        <x:v>7549</x:v>
      </x:c>
      <x:c r="D1722">
        <x:v>30</x:v>
      </x:c>
      <x:c r="E1722" t="s">
        <x:v>114</x:v>
      </x:c>
      <x:c r="F1722" t="s">
        <x:v>90</x:v>
      </x:c>
      <x:c r="G1722">
        <x:v>43303</x:v>
      </x:c>
      <x:c r="H1722" t="s">
        <x:v>7889</x:v>
      </x:c>
      <x:c r="I1722" t="s">
        <x:v>7890</x:v>
      </x:c>
      <x:c r="J1722" t="s">
        <x:v>7891</x:v>
      </x:c>
    </x:row>
    <x:row r="1723">
      <x:c r="A1723" t="s">
        <x:v>7892</x:v>
      </x:c>
      <x:c r="B1723" t="s">
        <x:v>7892</x:v>
      </x:c>
      <x:c r="C1723" t="s">
        <x:v>7893</x:v>
      </x:c>
      <x:c r="D1723">
        <x:v>113</x:v>
      </x:c>
      <x:c r="E1723" t="s">
        <x:v>89</x:v>
      </x:c>
      <x:c r="F1723" t="s">
        <x:v>97</x:v>
      </x:c>
      <x:c r="G1723">
        <x:v>42320</x:v>
      </x:c>
      <x:c r="H1723" t="s">
        <x:v>7894</x:v>
      </x:c>
      <x:c r="I1723" t="s">
        <x:v>7895</x:v>
      </x:c>
      <x:c r="J1723" t="s">
        <x:v>7896</x:v>
      </x:c>
    </x:row>
    <x:row r="1724">
      <x:c r="A1724" t="s">
        <x:v>7897</x:v>
      </x:c>
      <x:c r="B1724" t="s">
        <x:v>7897</x:v>
      </x:c>
      <x:c r="C1724" t="s">
        <x:v>7898</x:v>
      </x:c>
      <x:c r="D1724">
        <x:v>22</x:v>
      </x:c>
      <x:c r="E1724" t="s">
        <x:v>198</x:v>
      </x:c>
      <x:c r="F1724" t="s">
        <x:v>90</x:v>
      </x:c>
      <x:c r="G1724">
        <x:v>44672</x:v>
      </x:c>
      <x:c r="H1724" t="s">
        <x:v>7899</x:v>
      </x:c>
      <x:c r="I1724" t="s">
        <x:v>7900</x:v>
      </x:c>
      <x:c r="J1724" t="s">
        <x:v>7901</x:v>
      </x:c>
    </x:row>
    <x:row r="1725">
      <x:c r="A1725" t="s">
        <x:v>7902</x:v>
      </x:c>
      <x:c r="B1725" t="s">
        <x:v>7902</x:v>
      </x:c>
      <x:c r="C1725" t="s">
        <x:v>3800</x:v>
      </x:c>
      <x:c r="D1725">
        <x:v>25</x:v>
      </x:c>
      <x:c r="E1725" t="s">
        <x:v>198</x:v>
      </x:c>
      <x:c r="F1725" t="s">
        <x:v>90</x:v>
      </x:c>
      <x:c r="G1725">
        <x:v>43499</x:v>
      </x:c>
      <x:c r="H1725" t="s">
        <x:v>7903</x:v>
      </x:c>
      <x:c r="I1725" t="s">
        <x:v>7904</x:v>
      </x:c>
      <x:c r="J1725" t="s">
        <x:v>7905</x:v>
      </x:c>
    </x:row>
    <x:row r="1726">
      <x:c r="A1726" t="s">
        <x:v>7906</x:v>
      </x:c>
      <x:c r="B1726" t="s">
        <x:v>7906</x:v>
      </x:c>
      <x:c r="C1726" t="s">
        <x:v>7907</x:v>
      </x:c>
      <x:c r="D1726">
        <x:v>13</x:v>
      </x:c>
      <x:c r="E1726" t="s">
        <x:v>89</x:v>
      </x:c>
      <x:c r="F1726" t="s">
        <x:v>90</x:v>
      </x:c>
      <x:c r="G1726">
        <x:v>44163</x:v>
      </x:c>
      <x:c r="H1726" t="s">
        <x:v>7908</x:v>
      </x:c>
      <x:c r="I1726" t="s">
        <x:v>7909</x:v>
      </x:c>
      <x:c r="J1726" t="s">
        <x:v>7910</x:v>
      </x:c>
    </x:row>
    <x:row r="1727">
      <x:c r="A1727" t="s">
        <x:v>7911</x:v>
      </x:c>
      <x:c r="B1727" t="s">
        <x:v>7911</x:v>
      </x:c>
      <x:c r="C1727" t="s">
        <x:v>7912</x:v>
      </x:c>
      <x:c r="D1727">
        <x:v>9</x:v>
      </x:c>
      <x:c r="E1727" t="s">
        <x:v>103</x:v>
      </x:c>
      <x:c r="F1727" t="s">
        <x:v>97</x:v>
      </x:c>
      <x:c r="G1727">
        <x:v>42114</x:v>
      </x:c>
      <x:c r="H1727" t="s">
        <x:v>7913</x:v>
      </x:c>
      <x:c r="I1727" t="s">
        <x:v>7914</x:v>
      </x:c>
      <x:c r="J1727" t="s">
        <x:v>7915</x:v>
      </x:c>
    </x:row>
    <x:row r="1728">
      <x:c r="A1728" t="s">
        <x:v>7916</x:v>
      </x:c>
      <x:c r="B1728" t="s">
        <x:v>7916</x:v>
      </x:c>
      <x:c r="C1728" t="s">
        <x:v>317</x:v>
      </x:c>
      <x:c r="D1728">
        <x:v>14</x:v>
      </x:c>
      <x:c r="E1728" t="s">
        <x:v>96</x:v>
      </x:c>
      <x:c r="F1728" t="s">
        <x:v>90</x:v>
      </x:c>
      <x:c r="G1728">
        <x:v>44247</x:v>
      </x:c>
      <x:c r="H1728" t="s">
        <x:v>7917</x:v>
      </x:c>
      <x:c r="I1728" t="s">
        <x:v>7918</x:v>
      </x:c>
      <x:c r="J1728" t="s">
        <x:v>7919</x:v>
      </x:c>
    </x:row>
    <x:row r="1729">
      <x:c r="A1729" t="s">
        <x:v>7920</x:v>
      </x:c>
      <x:c r="B1729" t="s">
        <x:v>7920</x:v>
      </x:c>
      <x:c r="C1729" t="s">
        <x:v>317</x:v>
      </x:c>
      <x:c r="D1729">
        <x:v>24</x:v>
      </x:c>
      <x:c r="E1729" t="s">
        <x:v>96</x:v>
      </x:c>
      <x:c r="F1729" t="s">
        <x:v>90</x:v>
      </x:c>
      <x:c r="G1729">
        <x:v>44372</x:v>
      </x:c>
      <x:c r="H1729" t="s">
        <x:v>7921</x:v>
      </x:c>
      <x:c r="I1729" t="s">
        <x:v>7922</x:v>
      </x:c>
      <x:c r="J1729" t="s">
        <x:v>7923</x:v>
      </x:c>
    </x:row>
    <x:row r="1730">
      <x:c r="A1730" t="s">
        <x:v>7924</x:v>
      </x:c>
      <x:c r="B1730" t="s">
        <x:v>7924</x:v>
      </x:c>
      <x:c r="C1730" t="s">
        <x:v>317</x:v>
      </x:c>
      <x:c r="D1730">
        <x:v>29</x:v>
      </x:c>
      <x:c r="E1730" t="s">
        <x:v>96</x:v>
      </x:c>
      <x:c r="F1730" t="s">
        <x:v>90</x:v>
      </x:c>
      <x:c r="G1730">
        <x:v>44601</x:v>
      </x:c>
      <x:c r="H1730" t="s">
        <x:v>7925</x:v>
      </x:c>
      <x:c r="I1730" t="s">
        <x:v>7926</x:v>
      </x:c>
      <x:c r="J1730" t="s">
        <x:v>7927</x:v>
      </x:c>
    </x:row>
    <x:row r="1731">
      <x:c r="A1731" t="s">
        <x:v>7928</x:v>
      </x:c>
      <x:c r="B1731" t="s">
        <x:v>7928</x:v>
      </x:c>
      <x:c r="C1731" t="s">
        <x:v>2099</x:v>
      </x:c>
      <x:c r="D1731">
        <x:v>19</x:v>
      </x:c>
      <x:c r="E1731" t="s">
        <x:v>89</x:v>
      </x:c>
      <x:c r="F1731" t="s">
        <x:v>97</x:v>
      </x:c>
      <x:c r="G1731">
        <x:v>43798</x:v>
      </x:c>
      <x:c r="H1731" t="s">
        <x:v>7929</x:v>
      </x:c>
      <x:c r="I1731" t="s">
        <x:v>7930</x:v>
      </x:c>
      <x:c r="J1731" t="s">
        <x:v>7931</x:v>
      </x:c>
    </x:row>
    <x:row r="1732">
      <x:c r="A1732" t="s">
        <x:v>7932</x:v>
      </x:c>
      <x:c r="B1732" t="s">
        <x:v>7932</x:v>
      </x:c>
      <x:c r="C1732" t="s">
        <x:v>5678</x:v>
      </x:c>
      <x:c r="D1732">
        <x:v>1</x:v>
      </x:c>
      <x:c r="E1732" t="s">
        <x:v>96</x:v>
      </x:c>
      <x:c r="F1732" t="s">
        <x:v>610</x:v>
      </x:c>
      <x:c r="G1732">
        <x:v>42583</x:v>
      </x:c>
      <x:c r="H1732" t="s">
        <x:v>7933</x:v>
      </x:c>
      <x:c r="I1732" t="s">
        <x:v>7934</x:v>
      </x:c>
      <x:c r="J1732" t="s">
        <x:v>7935</x:v>
      </x:c>
    </x:row>
    <x:row r="1733">
      <x:c r="A1733" t="s">
        <x:v>7936</x:v>
      </x:c>
      <x:c r="B1733" t="s">
        <x:v>7936</x:v>
      </x:c>
      <x:c r="C1733" t="s">
        <x:v>5678</x:v>
      </x:c>
      <x:c r="D1733">
        <x:v>3</x:v>
      </x:c>
      <x:c r="E1733" t="s">
        <x:v>96</x:v>
      </x:c>
      <x:c r="F1733" t="s">
        <x:v>610</x:v>
      </x:c>
      <x:c r="G1733">
        <x:v>43350</x:v>
      </x:c>
      <x:c r="H1733" t="s">
        <x:v>7937</x:v>
      </x:c>
      <x:c r="I1733" t="s">
        <x:v>7938</x:v>
      </x:c>
      <x:c r="J1733" t="s">
        <x:v>7939</x:v>
      </x:c>
    </x:row>
    <x:row r="1734">
      <x:c r="A1734" t="s">
        <x:v>7940</x:v>
      </x:c>
      <x:c r="B1734" t="s">
        <x:v>7940</x:v>
      </x:c>
      <x:c r="C1734" t="s">
        <x:v>7941</x:v>
      </x:c>
      <x:c r="D1734">
        <x:v>24</x:v>
      </x:c>
      <x:c r="E1734" t="s">
        <x:v>198</x:v>
      </x:c>
      <x:c r="F1734" t="s">
        <x:v>90</x:v>
      </x:c>
      <x:c r="G1734">
        <x:v>43466</x:v>
      </x:c>
      <x:c r="H1734" t="s">
        <x:v>7942</x:v>
      </x:c>
      <x:c r="I1734" t="s">
        <x:v>7943</x:v>
      </x:c>
      <x:c r="J1734" t="s">
        <x:v>7944</x:v>
      </x:c>
    </x:row>
    <x:row r="1735">
      <x:c r="A1735" t="s">
        <x:v>7945</x:v>
      </x:c>
      <x:c r="B1735" t="s">
        <x:v>7945</x:v>
      </x:c>
      <x:c r="C1735" t="s">
        <x:v>3426</x:v>
      </x:c>
      <x:c r="D1735">
        <x:v>8</x:v>
      </x:c>
      <x:c r="E1735" t="s">
        <x:v>89</x:v>
      </x:c>
      <x:c r="F1735" t="s">
        <x:v>90</x:v>
      </x:c>
      <x:c r="G1735">
        <x:v>45725</x:v>
      </x:c>
      <x:c r="H1735" t="s">
        <x:v>7946</x:v>
      </x:c>
      <x:c r="I1735" t="s">
        <x:v>7947</x:v>
      </x:c>
      <x:c r="J1735" t="s">
        <x:v>7948</x:v>
      </x:c>
    </x:row>
    <x:row r="1736">
      <x:c r="A1736" t="s">
        <x:v>7949</x:v>
      </x:c>
      <x:c r="B1736" t="s">
        <x:v>7949</x:v>
      </x:c>
      <x:c r="C1736" t="s">
        <x:v>3426</x:v>
      </x:c>
      <x:c r="D1736">
        <x:v>11</x:v>
      </x:c>
      <x:c r="E1736" t="s">
        <x:v>89</x:v>
      </x:c>
      <x:c r="F1736" t="s">
        <x:v>90</x:v>
      </x:c>
      <x:c r="G1736">
        <x:v>45750</x:v>
      </x:c>
      <x:c r="H1736" t="s">
        <x:v>7950</x:v>
      </x:c>
      <x:c r="I1736" t="s">
        <x:v>7951</x:v>
      </x:c>
      <x:c r="J1736" t="s">
        <x:v>7952</x:v>
      </x:c>
    </x:row>
    <x:row r="1737">
      <x:c r="A1737" t="s">
        <x:v>7953</x:v>
      </x:c>
      <x:c r="B1737" t="s">
        <x:v>7953</x:v>
      </x:c>
      <x:c r="C1737" t="s">
        <x:v>3426</x:v>
      </x:c>
      <x:c r="D1737">
        <x:v>15</x:v>
      </x:c>
      <x:c r="E1737" t="s">
        <x:v>198</x:v>
      </x:c>
      <x:c r="F1737" t="s">
        <x:v>90</x:v>
      </x:c>
      <x:c r="G1737">
        <x:v>45814</x:v>
      </x:c>
      <x:c r="H1737" t="s">
        <x:v>7954</x:v>
      </x:c>
      <x:c r="I1737" t="s">
        <x:v>7955</x:v>
      </x:c>
      <x:c r="J1737" t="s">
        <x:v>7956</x:v>
      </x:c>
    </x:row>
    <x:row r="1738">
      <x:c r="A1738" t="s">
        <x:v>7957</x:v>
      </x:c>
      <x:c r="B1738" t="s">
        <x:v>7957</x:v>
      </x:c>
      <x:c r="C1738" t="s">
        <x:v>7958</x:v>
      </x:c>
      <x:c r="D1738">
        <x:v>0</x:v>
      </x:c>
      <x:c r="E1738" t="s">
        <x:v>257</x:v>
      </x:c>
      <x:c r="F1738" t="s">
        <x:v>97</x:v>
      </x:c>
      <x:c r="G1738">
        <x:v>42222</x:v>
      </x:c>
      <x:c r="H1738" t="s">
        <x:v>7959</x:v>
      </x:c>
      <x:c r="I1738" t="s">
        <x:v>7960</x:v>
      </x:c>
      <x:c r="J1738" t="s">
        <x:v>7961</x:v>
      </x:c>
    </x:row>
    <x:row r="1739">
      <x:c r="A1739" t="s">
        <x:v>7962</x:v>
      </x:c>
      <x:c r="B1739" t="s">
        <x:v>7962</x:v>
      </x:c>
      <x:c r="C1739" t="s">
        <x:v>7963</x:v>
      </x:c>
      <x:c r="D1739">
        <x:v>8</x:v>
      </x:c>
      <x:c r="E1739" t="s">
        <x:v>257</x:v>
      </x:c>
      <x:c r="F1739" t="s">
        <x:v>97</x:v>
      </x:c>
      <x:c r="G1739">
        <x:v>42338</x:v>
      </x:c>
      <x:c r="H1739" t="s">
        <x:v>7964</x:v>
      </x:c>
      <x:c r="I1739" t="s">
        <x:v>7965</x:v>
      </x:c>
      <x:c r="J1739" t="s">
        <x:v>7966</x:v>
      </x:c>
    </x:row>
    <x:row r="1740">
      <x:c r="A1740" t="s">
        <x:v>7967</x:v>
      </x:c>
      <x:c r="B1740" t="s">
        <x:v>7967</x:v>
      </x:c>
      <x:c r="C1740" t="s">
        <x:v>409</x:v>
      </x:c>
      <x:c r="D1740">
        <x:v>14</x:v>
      </x:c>
      <x:c r="E1740" t="s">
        <x:v>89</x:v>
      </x:c>
      <x:c r="F1740" t="s">
        <x:v>90</x:v>
      </x:c>
      <x:c r="G1740">
        <x:v>43881</x:v>
      </x:c>
      <x:c r="H1740" t="s">
        <x:v>7968</x:v>
      </x:c>
      <x:c r="I1740" t="s">
        <x:v>7969</x:v>
      </x:c>
      <x:c r="J1740" t="s">
        <x:v>7970</x:v>
      </x:c>
    </x:row>
    <x:row r="1741">
      <x:c r="A1741" t="s">
        <x:v>7971</x:v>
      </x:c>
      <x:c r="B1741" t="s">
        <x:v>7971</x:v>
      </x:c>
      <x:c r="C1741" t="s">
        <x:v>7972</x:v>
      </x:c>
      <x:c r="D1741">
        <x:v>16</x:v>
      </x:c>
      <x:c r="E1741" t="s">
        <x:v>198</x:v>
      </x:c>
      <x:c r="F1741" t="s">
        <x:v>90</x:v>
      </x:c>
      <x:c r="G1741">
        <x:v>45473</x:v>
      </x:c>
      <x:c r="H1741" t="s">
        <x:v>7973</x:v>
      </x:c>
      <x:c r="I1741" t="s">
        <x:v>7974</x:v>
      </x:c>
      <x:c r="J1741" t="s">
        <x:v>7975</x:v>
      </x:c>
    </x:row>
    <x:row r="1742">
      <x:c r="A1742" t="s">
        <x:v>7976</x:v>
      </x:c>
      <x:c r="B1742" t="s">
        <x:v>7976</x:v>
      </x:c>
      <x:c r="C1742" t="s">
        <x:v>7977</x:v>
      </x:c>
      <x:c r="D1742">
        <x:v>21</x:v>
      </x:c>
      <x:c r="E1742" t="s">
        <x:v>103</x:v>
      </x:c>
      <x:c r="F1742" t="s">
        <x:v>97</x:v>
      </x:c>
      <x:c r="G1742">
        <x:v>45948</x:v>
      </x:c>
      <x:c r="H1742" t="s">
        <x:v>7978</x:v>
      </x:c>
      <x:c r="I1742" t="s">
        <x:v>7979</x:v>
      </x:c>
      <x:c r="J1742" t="s">
        <x:v>7980</x:v>
      </x:c>
    </x:row>
    <x:row r="1743">
      <x:c r="A1743" t="s">
        <x:v>7981</x:v>
      </x:c>
      <x:c r="B1743" t="s">
        <x:v>7981</x:v>
      </x:c>
      <x:c r="C1743" t="s">
        <x:v>1427</x:v>
      </x:c>
      <x:c r="D1743">
        <x:v>19</x:v>
      </x:c>
      <x:c r="E1743" t="s">
        <x:v>89</x:v>
      </x:c>
      <x:c r="F1743" t="s">
        <x:v>90</x:v>
      </x:c>
      <x:c r="G1743">
        <x:v>45182</x:v>
      </x:c>
      <x:c r="H1743" t="s">
        <x:v>7982</x:v>
      </x:c>
      <x:c r="I1743" t="s">
        <x:v>7983</x:v>
      </x:c>
      <x:c r="J1743" t="s">
        <x:v>7984</x:v>
      </x:c>
    </x:row>
    <x:row r="1744">
      <x:c r="A1744" t="s">
        <x:v>7985</x:v>
      </x:c>
      <x:c r="B1744" t="s">
        <x:v>7985</x:v>
      </x:c>
      <x:c r="C1744" t="s">
        <x:v>7986</x:v>
      </x:c>
      <x:c r="D1744">
        <x:v>17</x:v>
      </x:c>
      <x:c r="E1744" t="s">
        <x:v>103</x:v>
      </x:c>
      <x:c r="F1744" t="s">
        <x:v>97</x:v>
      </x:c>
      <x:c r="G1744">
        <x:v>43181</x:v>
      </x:c>
      <x:c r="H1744" t="s">
        <x:v>7987</x:v>
      </x:c>
      <x:c r="I1744" t="s">
        <x:v>7988</x:v>
      </x:c>
      <x:c r="J1744" t="s">
        <x:v>7989</x:v>
      </x:c>
    </x:row>
    <x:row r="1745">
      <x:c r="A1745" t="s">
        <x:v>7990</x:v>
      </x:c>
      <x:c r="B1745" t="s">
        <x:v>7990</x:v>
      </x:c>
      <x:c r="C1745" t="s">
        <x:v>1613</x:v>
      </x:c>
      <x:c r="D1745">
        <x:v>17</x:v>
      </x:c>
      <x:c r="E1745" t="s">
        <x:v>198</x:v>
      </x:c>
      <x:c r="F1745" t="s">
        <x:v>90</x:v>
      </x:c>
      <x:c r="G1745">
        <x:v>44263</x:v>
      </x:c>
      <x:c r="H1745" t="s">
        <x:v>7991</x:v>
      </x:c>
      <x:c r="I1745" t="s">
        <x:v>7992</x:v>
      </x:c>
      <x:c r="J1745" t="s">
        <x:v>7993</x:v>
      </x:c>
    </x:row>
    <x:row r="1746">
      <x:c r="A1746" t="s">
        <x:v>7994</x:v>
      </x:c>
      <x:c r="B1746" t="s">
        <x:v>7994</x:v>
      </x:c>
      <x:c r="C1746" t="s">
        <x:v>7995</x:v>
      </x:c>
      <x:c r="D1746">
        <x:v>28</x:v>
      </x:c>
      <x:c r="E1746" t="s">
        <x:v>96</x:v>
      </x:c>
      <x:c r="F1746" t="s">
        <x:v>97</x:v>
      </x:c>
      <x:c r="G1746">
        <x:v>44850</x:v>
      </x:c>
      <x:c r="H1746" t="s">
        <x:v>7996</x:v>
      </x:c>
      <x:c r="I1746" t="s">
        <x:v>7997</x:v>
      </x:c>
      <x:c r="J1746" t="s">
        <x:v>7998</x:v>
      </x:c>
    </x:row>
    <x:row r="1747">
      <x:c r="A1747" t="s">
        <x:v>7999</x:v>
      </x:c>
      <x:c r="B1747" t="s">
        <x:v>7999</x:v>
      </x:c>
      <x:c r="C1747" t="s">
        <x:v>8000</x:v>
      </x:c>
      <x:c r="D1747">
        <x:v>6</x:v>
      </x:c>
      <x:c r="E1747" t="s">
        <x:v>96</x:v>
      </x:c>
      <x:c r="F1747" t="s">
        <x:v>97</x:v>
      </x:c>
      <x:c r="G1747">
        <x:v>42047</x:v>
      </x:c>
      <x:c r="H1747" t="s">
        <x:v>8001</x:v>
      </x:c>
      <x:c r="I1747" t="s">
        <x:v>8002</x:v>
      </x:c>
      <x:c r="J1747" t="s">
        <x:v>8003</x:v>
      </x:c>
    </x:row>
    <x:row r="1748">
      <x:c r="A1748" t="s">
        <x:v>8004</x:v>
      </x:c>
      <x:c r="B1748" t="s">
        <x:v>8004</x:v>
      </x:c>
      <x:c r="C1748" t="s">
        <x:v>8005</x:v>
      </x:c>
      <x:c r="D1748">
        <x:v>9</x:v>
      </x:c>
      <x:c r="E1748" t="s">
        <x:v>103</x:v>
      </x:c>
      <x:c r="F1748" t="s">
        <x:v>97</x:v>
      </x:c>
      <x:c r="G1748">
        <x:v>42223</x:v>
      </x:c>
      <x:c r="H1748" t="s">
        <x:v>8006</x:v>
      </x:c>
      <x:c r="I1748" t="s">
        <x:v>8007</x:v>
      </x:c>
      <x:c r="J1748" t="s">
        <x:v>8008</x:v>
      </x:c>
    </x:row>
    <x:row r="1749">
      <x:c r="A1749" t="s">
        <x:v>8009</x:v>
      </x:c>
      <x:c r="B1749" t="s">
        <x:v>8009</x:v>
      </x:c>
      <x:c r="C1749" t="s">
        <x:v>8010</x:v>
      </x:c>
      <x:c r="D1749">
        <x:v>120</x:v>
      </x:c>
      <x:c r="E1749" t="s">
        <x:v>89</x:v>
      </x:c>
      <x:c r="F1749" t="s">
        <x:v>97</x:v>
      </x:c>
      <x:c r="G1749">
        <x:v>42213</x:v>
      </x:c>
      <x:c r="H1749" t="s">
        <x:v>8011</x:v>
      </x:c>
      <x:c r="I1749" t="s">
        <x:v>8012</x:v>
      </x:c>
      <x:c r="J1749" t="s">
        <x:v>8013</x:v>
      </x:c>
    </x:row>
    <x:row r="1750">
      <x:c r="A1750" t="s">
        <x:v>8014</x:v>
      </x:c>
      <x:c r="B1750" t="s">
        <x:v>8014</x:v>
      </x:c>
      <x:c r="C1750" t="s">
        <x:v>8015</x:v>
      </x:c>
      <x:c r="D1750">
        <x:v>17</x:v>
      </x:c>
      <x:c r="E1750" t="s">
        <x:v>198</x:v>
      </x:c>
      <x:c r="F1750" t="s">
        <x:v>90</x:v>
      </x:c>
      <x:c r="G1750">
        <x:v>43388</x:v>
      </x:c>
      <x:c r="H1750" t="s">
        <x:v>8016</x:v>
      </x:c>
      <x:c r="I1750" t="s">
        <x:v>8017</x:v>
      </x:c>
      <x:c r="J1750" t="s">
        <x:v>8018</x:v>
      </x:c>
    </x:row>
    <x:row r="1751">
      <x:c r="A1751" t="s">
        <x:v>8019</x:v>
      </x:c>
      <x:c r="B1751" t="s">
        <x:v>8019</x:v>
      </x:c>
      <x:c r="C1751" t="s">
        <x:v>7843</x:v>
      </x:c>
      <x:c r="D1751">
        <x:v>21</x:v>
      </x:c>
      <x:c r="E1751" t="s">
        <x:v>96</x:v>
      </x:c>
      <x:c r="F1751" t="s">
        <x:v>90</x:v>
      </x:c>
      <x:c r="G1751">
        <x:v>44584</x:v>
      </x:c>
      <x:c r="H1751" t="s">
        <x:v>8020</x:v>
      </x:c>
      <x:c r="I1751" t="s">
        <x:v>8021</x:v>
      </x:c>
      <x:c r="J1751" t="s">
        <x:v>8022</x:v>
      </x:c>
    </x:row>
    <x:row r="1752">
      <x:c r="A1752" t="s">
        <x:v>8023</x:v>
      </x:c>
      <x:c r="B1752" t="s">
        <x:v>8023</x:v>
      </x:c>
      <x:c r="C1752" t="s">
        <x:v>756</x:v>
      </x:c>
      <x:c r="D1752">
        <x:v>32</x:v>
      </x:c>
      <x:c r="E1752" t="s">
        <x:v>89</x:v>
      </x:c>
      <x:c r="F1752" t="s">
        <x:v>90</x:v>
      </x:c>
      <x:c r="G1752">
        <x:v>43349</x:v>
      </x:c>
      <x:c r="H1752" t="s">
        <x:v>8024</x:v>
      </x:c>
      <x:c r="I1752" t="s">
        <x:v>8025</x:v>
      </x:c>
      <x:c r="J1752" t="s">
        <x:v>8026</x:v>
      </x:c>
    </x:row>
    <x:row r="1753">
      <x:c r="A1753" t="s">
        <x:v>8027</x:v>
      </x:c>
      <x:c r="B1753" t="s">
        <x:v>8027</x:v>
      </x:c>
      <x:c r="C1753" t="s">
        <x:v>3404</x:v>
      </x:c>
      <x:c r="D1753">
        <x:v>19</x:v>
      </x:c>
      <x:c r="E1753" t="s">
        <x:v>114</x:v>
      </x:c>
      <x:c r="F1753" t="s">
        <x:v>90</x:v>
      </x:c>
      <x:c r="G1753">
        <x:v>45927</x:v>
      </x:c>
      <x:c r="H1753" t="s">
        <x:v>8028</x:v>
      </x:c>
      <x:c r="I1753" t="s">
        <x:v>8029</x:v>
      </x:c>
      <x:c r="J1753" t="s">
        <x:v>8030</x:v>
      </x:c>
    </x:row>
    <x:row r="1754">
      <x:c r="A1754" t="s">
        <x:v>8031</x:v>
      </x:c>
      <x:c r="B1754" t="s">
        <x:v>8031</x:v>
      </x:c>
      <x:c r="C1754" t="s">
        <x:v>3404</x:v>
      </x:c>
      <x:c r="D1754">
        <x:v>21</x:v>
      </x:c>
      <x:c r="E1754" t="s">
        <x:v>114</x:v>
      </x:c>
      <x:c r="F1754" t="s">
        <x:v>90</x:v>
      </x:c>
      <x:c r="G1754">
        <x:v>45969</x:v>
      </x:c>
      <x:c r="H1754" t="s">
        <x:v>8032</x:v>
      </x:c>
      <x:c r="I1754" t="s">
        <x:v>8033</x:v>
      </x:c>
      <x:c r="J1754" t="s">
        <x:v>8034</x:v>
      </x:c>
    </x:row>
    <x:row r="1755">
      <x:c r="A1755" t="s">
        <x:v>8035</x:v>
      </x:c>
      <x:c r="B1755" t="s">
        <x:v>8035</x:v>
      </x:c>
      <x:c r="C1755" t="s">
        <x:v>3404</x:v>
      </x:c>
      <x:c r="D1755">
        <x:v>28</x:v>
      </x:c>
      <x:c r="E1755" t="s">
        <x:v>125</x:v>
      </x:c>
      <x:c r="F1755" t="s">
        <x:v>90</x:v>
      </x:c>
      <x:c r="G1755">
        <x:v>46005</x:v>
      </x:c>
      <x:c r="H1755" t="s">
        <x:v>8036</x:v>
      </x:c>
      <x:c r="I1755" t="s">
        <x:v>8037</x:v>
      </x:c>
      <x:c r="J1755" t="s">
        <x:v>8038</x:v>
      </x:c>
    </x:row>
    <x:row r="1756">
      <x:c r="A1756" t="s">
        <x:v>8039</x:v>
      </x:c>
      <x:c r="B1756" t="s">
        <x:v>8039</x:v>
      </x:c>
      <x:c r="C1756" t="s">
        <x:v>8040</x:v>
      </x:c>
      <x:c r="D1756">
        <x:v>12</x:v>
      </x:c>
      <x:c r="E1756" t="s">
        <x:v>89</x:v>
      </x:c>
      <x:c r="F1756" t="s">
        <x:v>90</x:v>
      </x:c>
      <x:c r="G1756">
        <x:v>43994</x:v>
      </x:c>
      <x:c r="H1756" t="s">
        <x:v>8041</x:v>
      </x:c>
      <x:c r="I1756" t="s">
        <x:v>8042</x:v>
      </x:c>
      <x:c r="J1756" t="s">
        <x:v>8043</x:v>
      </x:c>
    </x:row>
    <x:row r="1757">
      <x:c r="A1757" t="s">
        <x:v>8044</x:v>
      </x:c>
      <x:c r="B1757" t="s">
        <x:v>8044</x:v>
      </x:c>
      <x:c r="C1757" t="s">
        <x:v>8045</x:v>
      </x:c>
      <x:c r="D1757">
        <x:v>10</x:v>
      </x:c>
      <x:c r="E1757" t="s">
        <x:v>96</x:v>
      </x:c>
      <x:c r="F1757" t="s">
        <x:v>97</x:v>
      </x:c>
      <x:c r="G1757">
        <x:v>46066</x:v>
      </x:c>
      <x:c r="H1757" t="s">
        <x:v>8046</x:v>
      </x:c>
      <x:c r="I1757" t="s">
        <x:v>8047</x:v>
      </x:c>
      <x:c r="J1757" t="s">
        <x:v>8048</x:v>
      </x:c>
    </x:row>
    <x:row r="1758">
      <x:c r="A1758" t="s">
        <x:v>8049</x:v>
      </x:c>
      <x:c r="B1758" t="s">
        <x:v>8049</x:v>
      </x:c>
      <x:c r="C1758" t="s">
        <x:v>8050</x:v>
      </x:c>
      <x:c r="D1758">
        <x:v>4</x:v>
      </x:c>
      <x:c r="E1758" t="s">
        <x:v>89</x:v>
      </x:c>
      <x:c r="F1758" t="s">
        <x:v>90</x:v>
      </x:c>
      <x:c r="G1758">
        <x:v>43290</x:v>
      </x:c>
      <x:c r="H1758" t="s">
        <x:v>8051</x:v>
      </x:c>
      <x:c r="I1758" t="s">
        <x:v>8052</x:v>
      </x:c>
      <x:c r="J1758" t="s">
        <x:v>8053</x:v>
      </x:c>
    </x:row>
    <x:row r="1759">
      <x:c r="A1759" t="s">
        <x:v>8054</x:v>
      </x:c>
      <x:c r="B1759" t="s">
        <x:v>8054</x:v>
      </x:c>
      <x:c r="C1759" t="s">
        <x:v>1427</x:v>
      </x:c>
      <x:c r="D1759">
        <x:v>5</x:v>
      </x:c>
      <x:c r="E1759" t="s">
        <x:v>96</x:v>
      </x:c>
      <x:c r="F1759" t="s">
        <x:v>90</x:v>
      </x:c>
      <x:c r="G1759">
        <x:v>45704</x:v>
      </x:c>
      <x:c r="H1759" t="s">
        <x:v>8055</x:v>
      </x:c>
      <x:c r="I1759" t="s">
        <x:v>8056</x:v>
      </x:c>
      <x:c r="J1759" t="s">
        <x:v>8057</x:v>
      </x:c>
    </x:row>
    <x:row r="1760">
      <x:c r="A1760" t="s">
        <x:v>8058</x:v>
      </x:c>
      <x:c r="B1760" t="s">
        <x:v>8058</x:v>
      </x:c>
      <x:c r="C1760" t="s">
        <x:v>8059</x:v>
      </x:c>
      <x:c r="D1760">
        <x:v>35</x:v>
      </x:c>
      <x:c r="E1760" t="s">
        <x:v>96</x:v>
      </x:c>
      <x:c r="F1760" t="s">
        <x:v>97</x:v>
      </x:c>
      <x:c r="G1760">
        <x:v>44044</x:v>
      </x:c>
      <x:c r="H1760" t="s">
        <x:v>8060</x:v>
      </x:c>
      <x:c r="I1760" t="s">
        <x:v>8061</x:v>
      </x:c>
      <x:c r="J1760" t="s">
        <x:v>8062</x:v>
      </x:c>
    </x:row>
    <x:row r="1761">
      <x:c r="A1761" t="s">
        <x:v>8063</x:v>
      </x:c>
      <x:c r="B1761" t="s">
        <x:v>8063</x:v>
      </x:c>
      <x:c r="C1761" t="s">
        <x:v>6110</x:v>
      </x:c>
      <x:c r="D1761">
        <x:v>24</x:v>
      </x:c>
      <x:c r="E1761" t="s">
        <x:v>103</x:v>
      </x:c>
      <x:c r="F1761" t="s">
        <x:v>97</x:v>
      </x:c>
      <x:c r="G1761">
        <x:v>41572</x:v>
      </x:c>
      <x:c r="H1761" t="s">
        <x:v>8064</x:v>
      </x:c>
      <x:c r="I1761" t="s">
        <x:v>8065</x:v>
      </x:c>
      <x:c r="J1761" t="s">
        <x:v>8066</x:v>
      </x:c>
    </x:row>
    <x:row r="1762">
      <x:c r="A1762" t="s">
        <x:v>8067</x:v>
      </x:c>
      <x:c r="B1762" t="s">
        <x:v>8067</x:v>
      </x:c>
      <x:c r="C1762" t="s">
        <x:v>8068</x:v>
      </x:c>
      <x:c r="D1762">
        <x:v>20</x:v>
      </x:c>
      <x:c r="E1762" t="s">
        <x:v>103</x:v>
      </x:c>
      <x:c r="F1762" t="s">
        <x:v>97</x:v>
      </x:c>
      <x:c r="G1762">
        <x:v>42222</x:v>
      </x:c>
      <x:c r="H1762" t="s">
        <x:v>8069</x:v>
      </x:c>
      <x:c r="I1762" t="s">
        <x:v>8070</x:v>
      </x:c>
      <x:c r="J1762" t="s">
        <x:v>8071</x:v>
      </x:c>
    </x:row>
    <x:row r="1763">
      <x:c r="A1763" t="s">
        <x:v>8072</x:v>
      </x:c>
      <x:c r="B1763" t="s">
        <x:v>8072</x:v>
      </x:c>
      <x:c r="C1763" t="s">
        <x:v>8073</x:v>
      </x:c>
      <x:c r="D1763">
        <x:v>13</x:v>
      </x:c>
      <x:c r="E1763" t="s">
        <x:v>96</x:v>
      </x:c>
      <x:c r="F1763" t="s">
        <x:v>97</x:v>
      </x:c>
      <x:c r="G1763">
        <x:v>42271</x:v>
      </x:c>
      <x:c r="H1763" t="s">
        <x:v>8074</x:v>
      </x:c>
      <x:c r="I1763" t="s">
        <x:v>8075</x:v>
      </x:c>
      <x:c r="J1763" t="s">
        <x:v>8076</x:v>
      </x:c>
    </x:row>
    <x:row r="1764">
      <x:c r="A1764" t="s">
        <x:v>8077</x:v>
      </x:c>
      <x:c r="B1764" t="s">
        <x:v>8077</x:v>
      </x:c>
      <x:c r="C1764" t="s">
        <x:v>1768</x:v>
      </x:c>
      <x:c r="D1764">
        <x:v>15</x:v>
      </x:c>
      <x:c r="E1764" t="s">
        <x:v>114</x:v>
      </x:c>
      <x:c r="F1764" t="s">
        <x:v>90</x:v>
      </x:c>
      <x:c r="G1764">
        <x:v>43582</x:v>
      </x:c>
      <x:c r="H1764" t="s">
        <x:v>8078</x:v>
      </x:c>
      <x:c r="I1764" t="s">
        <x:v>8079</x:v>
      </x:c>
      <x:c r="J1764" t="s">
        <x:v>8080</x:v>
      </x:c>
    </x:row>
    <x:row r="1765">
      <x:c r="A1765" t="s">
        <x:v>8081</x:v>
      </x:c>
      <x:c r="B1765" t="s">
        <x:v>8081</x:v>
      </x:c>
      <x:c r="C1765" t="s">
        <x:v>8082</x:v>
      </x:c>
      <x:c r="D1765">
        <x:v>3</x:v>
      </x:c>
      <x:c r="E1765" t="s">
        <x:v>96</x:v>
      </x:c>
      <x:c r="F1765" t="s">
        <x:v>90</x:v>
      </x:c>
      <x:c r="G1765">
        <x:v>44254</x:v>
      </x:c>
      <x:c r="H1765" t="s">
        <x:v>8083</x:v>
      </x:c>
      <x:c r="I1765" t="s">
        <x:v>8084</x:v>
      </x:c>
      <x:c r="J1765" t="s">
        <x:v>8085</x:v>
      </x:c>
    </x:row>
    <x:row r="1766">
      <x:c r="A1766" t="s">
        <x:v>8086</x:v>
      </x:c>
      <x:c r="B1766" t="s">
        <x:v>8086</x:v>
      </x:c>
      <x:c r="C1766" t="s">
        <x:v>1856</x:v>
      </x:c>
      <x:c r="D1766">
        <x:v>22</x:v>
      </x:c>
      <x:c r="E1766" t="s">
        <x:v>103</x:v>
      </x:c>
      <x:c r="F1766" t="s">
        <x:v>97</x:v>
      </x:c>
      <x:c r="G1766">
        <x:v>42983</x:v>
      </x:c>
      <x:c r="H1766" t="s">
        <x:v>8087</x:v>
      </x:c>
      <x:c r="I1766" t="s">
        <x:v>8088</x:v>
      </x:c>
      <x:c r="J1766" t="s">
        <x:v>8089</x:v>
      </x:c>
    </x:row>
    <x:row r="1767">
      <x:c r="A1767" t="s">
        <x:v>8090</x:v>
      </x:c>
      <x:c r="B1767" t="s">
        <x:v>8090</x:v>
      </x:c>
      <x:c r="C1767" t="s">
        <x:v>8091</x:v>
      </x:c>
      <x:c r="D1767">
        <x:v>1</x:v>
      </x:c>
      <x:c r="E1767" t="s">
        <x:v>103</x:v>
      </x:c>
      <x:c r="F1767" t="s">
        <x:v>97</x:v>
      </x:c>
      <x:c r="G1767">
        <x:v>46028</x:v>
      </x:c>
      <x:c r="H1767" t="s">
        <x:v>8092</x:v>
      </x:c>
      <x:c r="I1767" t="s">
        <x:v>8093</x:v>
      </x:c>
      <x:c r="J1767" t="s">
        <x:v>8094</x:v>
      </x:c>
    </x:row>
    <x:row r="1768">
      <x:c r="A1768" t="s">
        <x:v>8095</x:v>
      </x:c>
      <x:c r="B1768" t="s">
        <x:v>8095</x:v>
      </x:c>
      <x:c r="C1768" t="s">
        <x:v>8096</x:v>
      </x:c>
      <x:c r="D1768">
        <x:v>20</x:v>
      </x:c>
      <x:c r="E1768" t="s">
        <x:v>198</x:v>
      </x:c>
      <x:c r="F1768" t="s">
        <x:v>90</x:v>
      </x:c>
      <x:c r="G1768">
        <x:v>44757</x:v>
      </x:c>
      <x:c r="H1768" t="s">
        <x:v>8097</x:v>
      </x:c>
      <x:c r="I1768" t="s">
        <x:v>8098</x:v>
      </x:c>
      <x:c r="J1768" t="s">
        <x:v>8099</x:v>
      </x:c>
    </x:row>
    <x:row r="1769">
      <x:c r="A1769" t="s">
        <x:v>8100</x:v>
      </x:c>
      <x:c r="B1769" t="s">
        <x:v>8100</x:v>
      </x:c>
      <x:c r="C1769" t="s">
        <x:v>8096</x:v>
      </x:c>
      <x:c r="D1769">
        <x:v>23</x:v>
      </x:c>
      <x:c r="E1769" t="s">
        <x:v>198</x:v>
      </x:c>
      <x:c r="F1769" t="s">
        <x:v>90</x:v>
      </x:c>
      <x:c r="G1769">
        <x:v>46089</x:v>
      </x:c>
      <x:c r="H1769" t="s">
        <x:v>8101</x:v>
      </x:c>
      <x:c r="I1769" t="s">
        <x:v>8102</x:v>
      </x:c>
      <x:c r="J1769" t="s">
        <x:v>8103</x:v>
      </x:c>
    </x:row>
    <x:row r="1770">
      <x:c r="A1770" t="s">
        <x:v>8104</x:v>
      </x:c>
      <x:c r="B1770" t="s">
        <x:v>8104</x:v>
      </x:c>
      <x:c r="C1770" t="s">
        <x:v>8105</x:v>
      </x:c>
      <x:c r="D1770">
        <x:v>22</x:v>
      </x:c>
      <x:c r="E1770" t="s">
        <x:v>198</x:v>
      </x:c>
      <x:c r="F1770" t="s">
        <x:v>90</x:v>
      </x:c>
      <x:c r="G1770">
        <x:v>43373</x:v>
      </x:c>
      <x:c r="H1770" t="s">
        <x:v>8106</x:v>
      </x:c>
      <x:c r="I1770" t="s">
        <x:v>8107</x:v>
      </x:c>
      <x:c r="J1770" t="s">
        <x:v>8108</x:v>
      </x:c>
    </x:row>
    <x:row r="1771">
      <x:c r="A1771" t="s">
        <x:v>8109</x:v>
      </x:c>
      <x:c r="B1771" t="s">
        <x:v>8109</x:v>
      </x:c>
      <x:c r="C1771" t="s">
        <x:v>4062</x:v>
      </x:c>
      <x:c r="D1771">
        <x:v>27</x:v>
      </x:c>
      <x:c r="E1771" t="s">
        <x:v>198</x:v>
      </x:c>
      <x:c r="F1771" t="s">
        <x:v>90</x:v>
      </x:c>
      <x:c r="G1771">
        <x:v>44739</x:v>
      </x:c>
      <x:c r="H1771" t="s">
        <x:v>8110</x:v>
      </x:c>
      <x:c r="I1771" t="s">
        <x:v>8111</x:v>
      </x:c>
      <x:c r="J1771" t="s">
        <x:v>8112</x:v>
      </x:c>
    </x:row>
    <x:row r="1772">
      <x:c r="A1772" t="s">
        <x:v>8113</x:v>
      </x:c>
      <x:c r="B1772" t="s">
        <x:v>8113</x:v>
      </x:c>
      <x:c r="C1772" t="s">
        <x:v>4062</x:v>
      </x:c>
      <x:c r="D1772">
        <x:v>9</x:v>
      </x:c>
      <x:c r="E1772" t="s">
        <x:v>89</x:v>
      </x:c>
      <x:c r="F1772" t="s">
        <x:v>90</x:v>
      </x:c>
      <x:c r="G1772">
        <x:v>45715</x:v>
      </x:c>
      <x:c r="H1772" t="s">
        <x:v>8114</x:v>
      </x:c>
      <x:c r="I1772" t="s">
        <x:v>8115</x:v>
      </x:c>
      <x:c r="J1772" t="s">
        <x:v>8116</x:v>
      </x:c>
    </x:row>
    <x:row r="1773">
      <x:c r="A1773" t="s">
        <x:v>8117</x:v>
      </x:c>
      <x:c r="B1773" t="s">
        <x:v>8117</x:v>
      </x:c>
      <x:c r="C1773" t="s">
        <x:v>4062</x:v>
      </x:c>
      <x:c r="D1773">
        <x:v>7</x:v>
      </x:c>
      <x:c r="E1773" t="s">
        <x:v>198</x:v>
      </x:c>
      <x:c r="F1773" t="s">
        <x:v>90</x:v>
      </x:c>
      <x:c r="G1773">
        <x:v>45162</x:v>
      </x:c>
      <x:c r="H1773" t="s">
        <x:v>8118</x:v>
      </x:c>
      <x:c r="I1773" t="s">
        <x:v>8119</x:v>
      </x:c>
      <x:c r="J1773" t="s">
        <x:v>8120</x:v>
      </x:c>
    </x:row>
    <x:row r="1774">
      <x:c r="A1774" t="s">
        <x:v>8121</x:v>
      </x:c>
      <x:c r="B1774" t="s">
        <x:v>8121</x:v>
      </x:c>
      <x:c r="C1774" t="s">
        <x:v>4062</x:v>
      </x:c>
      <x:c r="D1774">
        <x:v>18</x:v>
      </x:c>
      <x:c r="E1774" t="s">
        <x:v>89</x:v>
      </x:c>
      <x:c r="F1774" t="s">
        <x:v>90</x:v>
      </x:c>
      <x:c r="G1774">
        <x:v>45117</x:v>
      </x:c>
      <x:c r="H1774" t="s">
        <x:v>8122</x:v>
      </x:c>
      <x:c r="I1774" t="s">
        <x:v>8123</x:v>
      </x:c>
      <x:c r="J1774" t="s">
        <x:v>8124</x:v>
      </x:c>
    </x:row>
    <x:row r="1775">
      <x:c r="A1775" t="s">
        <x:v>8125</x:v>
      </x:c>
      <x:c r="B1775" t="s">
        <x:v>8125</x:v>
      </x:c>
      <x:c r="C1775" t="s">
        <x:v>4062</x:v>
      </x:c>
      <x:c r="D1775">
        <x:v>18</x:v>
      </x:c>
      <x:c r="E1775" t="s">
        <x:v>198</x:v>
      </x:c>
      <x:c r="F1775" t="s">
        <x:v>90</x:v>
      </x:c>
      <x:c r="G1775">
        <x:v>45571</x:v>
      </x:c>
      <x:c r="H1775" t="s">
        <x:v>8126</x:v>
      </x:c>
      <x:c r="I1775" t="s">
        <x:v>8127</x:v>
      </x:c>
      <x:c r="J1775" t="s">
        <x:v>8128</x:v>
      </x:c>
    </x:row>
    <x:row r="1776">
      <x:c r="A1776" t="s">
        <x:v>8129</x:v>
      </x:c>
      <x:c r="B1776" t="s">
        <x:v>8129</x:v>
      </x:c>
      <x:c r="C1776" t="s">
        <x:v>4062</x:v>
      </x:c>
      <x:c r="D1776">
        <x:v>13</x:v>
      </x:c>
      <x:c r="E1776" t="s">
        <x:v>198</x:v>
      </x:c>
      <x:c r="F1776" t="s">
        <x:v>90</x:v>
      </x:c>
      <x:c r="G1776">
        <x:v>44732</x:v>
      </x:c>
      <x:c r="H1776" t="s">
        <x:v>8130</x:v>
      </x:c>
      <x:c r="I1776" t="s">
        <x:v>8131</x:v>
      </x:c>
      <x:c r="J1776" t="s">
        <x:v>8132</x:v>
      </x:c>
    </x:row>
    <x:row r="1777">
      <x:c r="A1777" t="s">
        <x:v>8133</x:v>
      </x:c>
      <x:c r="B1777" t="s">
        <x:v>8133</x:v>
      </x:c>
      <x:c r="C1777" t="s">
        <x:v>3404</x:v>
      </x:c>
      <x:c r="D1777">
        <x:v>22</x:v>
      </x:c>
      <x:c r="E1777" t="s">
        <x:v>198</x:v>
      </x:c>
      <x:c r="F1777" t="s">
        <x:v>3171</x:v>
      </x:c>
      <x:c r="G1777">
        <x:v>42237</x:v>
      </x:c>
      <x:c r="H1777" t="s">
        <x:v>8134</x:v>
      </x:c>
      <x:c r="I1777" t="s">
        <x:v>8135</x:v>
      </x:c>
      <x:c r="J1777" t="s">
        <x:v>8136</x:v>
      </x:c>
    </x:row>
    <x:row r="1778">
      <x:c r="A1778" t="s">
        <x:v>8137</x:v>
      </x:c>
      <x:c r="B1778" t="s">
        <x:v>8137</x:v>
      </x:c>
      <x:c r="C1778" t="s">
        <x:v>3611</x:v>
      </x:c>
      <x:c r="D1778">
        <x:v>21</x:v>
      </x:c>
      <x:c r="E1778" t="s">
        <x:v>89</x:v>
      </x:c>
      <x:c r="F1778" t="s">
        <x:v>90</x:v>
      </x:c>
      <x:c r="G1778">
        <x:v>45152</x:v>
      </x:c>
      <x:c r="H1778" t="s">
        <x:v>8138</x:v>
      </x:c>
      <x:c r="I1778" t="s">
        <x:v>8139</x:v>
      </x:c>
      <x:c r="J1778" t="s">
        <x:v>8140</x:v>
      </x:c>
    </x:row>
    <x:row r="1779">
      <x:c r="A1779" t="s">
        <x:v>8141</x:v>
      </x:c>
      <x:c r="B1779" t="s">
        <x:v>8141</x:v>
      </x:c>
      <x:c r="C1779" t="s">
        <x:v>8142</x:v>
      </x:c>
      <x:c r="D1779">
        <x:v>6</x:v>
      </x:c>
      <x:c r="E1779" t="s">
        <x:v>96</x:v>
      </x:c>
      <x:c r="F1779" t="s">
        <x:v>90</x:v>
      </x:c>
      <x:c r="G1779">
        <x:v>45334</x:v>
      </x:c>
      <x:c r="H1779" t="s">
        <x:v>8143</x:v>
      </x:c>
      <x:c r="I1779" t="s">
        <x:v>8144</x:v>
      </x:c>
      <x:c r="J1779" t="s">
        <x:v>8145</x:v>
      </x:c>
    </x:row>
    <x:row r="1780">
      <x:c r="A1780" t="s">
        <x:v>8146</x:v>
      </x:c>
      <x:c r="B1780" t="s">
        <x:v>8146</x:v>
      </x:c>
      <x:c r="C1780" t="s">
        <x:v>8147</x:v>
      </x:c>
      <x:c r="D1780">
        <x:v>9</x:v>
      </x:c>
      <x:c r="E1780" t="s">
        <x:v>96</x:v>
      </x:c>
      <x:c r="F1780" t="s">
        <x:v>90</x:v>
      </x:c>
      <x:c r="G1780">
        <x:v>44553</x:v>
      </x:c>
      <x:c r="H1780" t="s">
        <x:v>8148</x:v>
      </x:c>
      <x:c r="I1780" t="s">
        <x:v>8149</x:v>
      </x:c>
      <x:c r="J1780" t="s">
        <x:v>8150</x:v>
      </x:c>
    </x:row>
    <x:row r="1781">
      <x:c r="A1781" t="s">
        <x:v>8151</x:v>
      </x:c>
      <x:c r="B1781" t="s">
        <x:v>8151</x:v>
      </x:c>
      <x:c r="C1781" t="s">
        <x:v>6301</x:v>
      </x:c>
      <x:c r="D1781">
        <x:v>22</x:v>
      </x:c>
      <x:c r="E1781" t="s">
        <x:v>103</x:v>
      </x:c>
      <x:c r="F1781" t="s">
        <x:v>97</x:v>
      </x:c>
      <x:c r="G1781">
        <x:v>42213</x:v>
      </x:c>
      <x:c r="H1781" t="s">
        <x:v>8152</x:v>
      </x:c>
      <x:c r="I1781" t="s">
        <x:v>8153</x:v>
      </x:c>
      <x:c r="J1781" t="s">
        <x:v>8154</x:v>
      </x:c>
    </x:row>
    <x:row r="1782">
      <x:c r="A1782" t="s">
        <x:v>8155</x:v>
      </x:c>
      <x:c r="B1782" t="s">
        <x:v>8155</x:v>
      </x:c>
      <x:c r="C1782" t="s">
        <x:v>3958</x:v>
      </x:c>
      <x:c r="D1782">
        <x:v>15</x:v>
      </x:c>
      <x:c r="E1782" t="s">
        <x:v>198</x:v>
      </x:c>
      <x:c r="F1782" t="s">
        <x:v>90</x:v>
      </x:c>
      <x:c r="G1782">
        <x:v>42812</x:v>
      </x:c>
      <x:c r="H1782" t="s">
        <x:v>8156</x:v>
      </x:c>
      <x:c r="I1782" t="s">
        <x:v>8157</x:v>
      </x:c>
      <x:c r="J1782" t="s">
        <x:v>8158</x:v>
      </x:c>
    </x:row>
    <x:row r="1783">
      <x:c r="A1783" t="s">
        <x:v>8159</x:v>
      </x:c>
      <x:c r="B1783" t="s">
        <x:v>8159</x:v>
      </x:c>
      <x:c r="C1783" t="s">
        <x:v>4833</x:v>
      </x:c>
      <x:c r="D1783">
        <x:v>5</x:v>
      </x:c>
      <x:c r="E1783" t="s">
        <x:v>103</x:v>
      </x:c>
      <x:c r="F1783" t="s">
        <x:v>97</x:v>
      </x:c>
      <x:c r="G1783">
        <x:v>45109</x:v>
      </x:c>
      <x:c r="H1783" t="s">
        <x:v>8160</x:v>
      </x:c>
      <x:c r="I1783" t="s">
        <x:v>8161</x:v>
      </x:c>
      <x:c r="J1783" t="s">
        <x:v>8162</x:v>
      </x:c>
    </x:row>
    <x:row r="1784">
      <x:c r="A1784" t="s">
        <x:v>8163</x:v>
      </x:c>
      <x:c r="B1784" t="s">
        <x:v>8163</x:v>
      </x:c>
      <x:c r="C1784" t="s">
        <x:v>8164</x:v>
      </x:c>
      <x:c r="D1784">
        <x:v>2</x:v>
      </x:c>
      <x:c r="E1784" t="s">
        <x:v>96</x:v>
      </x:c>
      <x:c r="F1784" t="s">
        <x:v>97</x:v>
      </x:c>
      <x:c r="G1784">
        <x:v>43980</x:v>
      </x:c>
      <x:c r="H1784" t="s">
        <x:v>8165</x:v>
      </x:c>
      <x:c r="I1784" t="s">
        <x:v>8166</x:v>
      </x:c>
      <x:c r="J1784" t="s">
        <x:v>8167</x:v>
      </x:c>
    </x:row>
    <x:row r="1785">
      <x:c r="A1785" t="s">
        <x:v>8168</x:v>
      </x:c>
      <x:c r="B1785" t="s">
        <x:v>8168</x:v>
      </x:c>
      <x:c r="C1785" t="s">
        <x:v>8169</x:v>
      </x:c>
      <x:c r="D1785">
        <x:v>7</x:v>
      </x:c>
      <x:c r="E1785" t="s">
        <x:v>198</x:v>
      </x:c>
      <x:c r="F1785" t="s">
        <x:v>90</x:v>
      </x:c>
      <x:c r="G1785">
        <x:v>45908</x:v>
      </x:c>
      <x:c r="H1785" t="s">
        <x:v>8170</x:v>
      </x:c>
      <x:c r="I1785" t="s">
        <x:v>8171</x:v>
      </x:c>
      <x:c r="J1785" t="s">
        <x:v>8172</x:v>
      </x:c>
    </x:row>
    <x:row r="1786">
      <x:c r="A1786" t="s">
        <x:v>8173</x:v>
      </x:c>
      <x:c r="B1786" t="s">
        <x:v>8173</x:v>
      </x:c>
      <x:c r="C1786" t="s">
        <x:v>8174</x:v>
      </x:c>
      <x:c r="D1786">
        <x:v>14</x:v>
      </x:c>
      <x:c r="E1786" t="s">
        <x:v>89</x:v>
      </x:c>
      <x:c r="F1786" t="s">
        <x:v>90</x:v>
      </x:c>
      <x:c r="G1786">
        <x:v>43213</x:v>
      </x:c>
      <x:c r="H1786" t="s">
        <x:v>8175</x:v>
      </x:c>
      <x:c r="I1786" t="s">
        <x:v>8176</x:v>
      </x:c>
      <x:c r="J1786" t="s">
        <x:v>8177</x:v>
      </x:c>
    </x:row>
    <x:row r="1787">
      <x:c r="A1787" t="s">
        <x:v>8178</x:v>
      </x:c>
      <x:c r="B1787" t="s">
        <x:v>8178</x:v>
      </x:c>
      <x:c r="C1787" t="s">
        <x:v>8179</x:v>
      </x:c>
      <x:c r="D1787">
        <x:v>6</x:v>
      </x:c>
      <x:c r="E1787" t="s">
        <x:v>103</x:v>
      </x:c>
      <x:c r="F1787" t="s">
        <x:v>97</x:v>
      </x:c>
      <x:c r="G1787">
        <x:v>42292</x:v>
      </x:c>
      <x:c r="H1787" t="s">
        <x:v>8180</x:v>
      </x:c>
      <x:c r="I1787" t="s">
        <x:v>8181</x:v>
      </x:c>
      <x:c r="J1787" t="s">
        <x:v>8182</x:v>
      </x:c>
    </x:row>
    <x:row r="1788">
      <x:c r="A1788" t="s">
        <x:v>30</x:v>
      </x:c>
      <x:c r="B1788" t="s">
        <x:v>30</x:v>
      </x:c>
      <x:c r="C1788" t="s">
        <x:v>3819</x:v>
      </x:c>
      <x:c r="D1788">
        <x:v>16</x:v>
      </x:c>
      <x:c r="E1788" t="s">
        <x:v>89</x:v>
      </x:c>
      <x:c r="F1788" t="s">
        <x:v>90</x:v>
      </x:c>
      <x:c r="G1788">
        <x:v>43193</x:v>
      </x:c>
      <x:c r="H1788" t="s">
        <x:v>8183</x:v>
      </x:c>
      <x:c r="I1788" t="s">
        <x:v>8184</x:v>
      </x:c>
      <x:c r="J1788" t="s">
        <x:v>8185</x:v>
      </x:c>
    </x:row>
    <x:row r="1789">
      <x:c r="A1789" t="s">
        <x:v>32</x:v>
      </x:c>
      <x:c r="B1789" t="s">
        <x:v>32</x:v>
      </x:c>
      <x:c r="C1789" t="s">
        <x:v>3819</x:v>
      </x:c>
      <x:c r="D1789">
        <x:v>24</x:v>
      </x:c>
      <x:c r="E1789" t="s">
        <x:v>198</x:v>
      </x:c>
      <x:c r="F1789" t="s">
        <x:v>90</x:v>
      </x:c>
      <x:c r="G1789">
        <x:v>45276</x:v>
      </x:c>
      <x:c r="H1789" t="s">
        <x:v>8186</x:v>
      </x:c>
      <x:c r="I1789" t="s">
        <x:v>8187</x:v>
      </x:c>
      <x:c r="J1789" t="s">
        <x:v>8188</x:v>
      </x:c>
    </x:row>
    <x:row r="1790">
      <x:c r="A1790" t="s">
        <x:v>8189</x:v>
      </x:c>
      <x:c r="B1790" t="s">
        <x:v>8189</x:v>
      </x:c>
      <x:c r="C1790" t="s">
        <x:v>2282</x:v>
      </x:c>
      <x:c r="D1790">
        <x:v>8</x:v>
      </x:c>
      <x:c r="E1790" t="s">
        <x:v>96</x:v>
      </x:c>
      <x:c r="F1790" t="s">
        <x:v>97</x:v>
      </x:c>
      <x:c r="G1790">
        <x:v>43534</x:v>
      </x:c>
      <x:c r="H1790" t="s">
        <x:v>8190</x:v>
      </x:c>
      <x:c r="I1790" t="s">
        <x:v>8191</x:v>
      </x:c>
      <x:c r="J1790" t="s">
        <x:v>8192</x:v>
      </x:c>
    </x:row>
    <x:row r="1791">
      <x:c r="A1791" t="s">
        <x:v>8193</x:v>
      </x:c>
      <x:c r="B1791" t="s">
        <x:v>8193</x:v>
      </x:c>
      <x:c r="C1791" t="s">
        <x:v>2282</x:v>
      </x:c>
      <x:c r="D1791">
        <x:v>8</x:v>
      </x:c>
      <x:c r="E1791" t="s">
        <x:v>103</x:v>
      </x:c>
      <x:c r="F1791" t="s">
        <x:v>97</x:v>
      </x:c>
      <x:c r="G1791">
        <x:v>43604</x:v>
      </x:c>
      <x:c r="H1791" t="s">
        <x:v>8194</x:v>
      </x:c>
      <x:c r="I1791" t="s">
        <x:v>8195</x:v>
      </x:c>
      <x:c r="J1791" t="s">
        <x:v>8196</x:v>
      </x:c>
    </x:row>
    <x:row r="1792">
      <x:c r="A1792" t="s">
        <x:v>8197</x:v>
      </x:c>
      <x:c r="B1792" t="s">
        <x:v>8197</x:v>
      </x:c>
      <x:c r="C1792" t="s">
        <x:v>2282</x:v>
      </x:c>
      <x:c r="D1792">
        <x:v>8</x:v>
      </x:c>
      <x:c r="E1792" t="s">
        <x:v>96</x:v>
      </x:c>
      <x:c r="F1792" t="s">
        <x:v>97</x:v>
      </x:c>
      <x:c r="G1792">
        <x:v>43784</x:v>
      </x:c>
      <x:c r="H1792" t="s">
        <x:v>8198</x:v>
      </x:c>
      <x:c r="I1792" t="s">
        <x:v>8199</x:v>
      </x:c>
      <x:c r="J1792" t="s">
        <x:v>8200</x:v>
      </x:c>
    </x:row>
    <x:row r="1793">
      <x:c r="A1793" t="s">
        <x:v>8201</x:v>
      </x:c>
      <x:c r="B1793" t="s">
        <x:v>8201</x:v>
      </x:c>
      <x:c r="C1793" t="s">
        <x:v>918</x:v>
      </x:c>
      <x:c r="D1793">
        <x:v>6</x:v>
      </x:c>
      <x:c r="E1793" t="s">
        <x:v>114</x:v>
      </x:c>
      <x:c r="F1793" t="s">
        <x:v>90</x:v>
      </x:c>
      <x:c r="G1793">
        <x:v>45125</x:v>
      </x:c>
      <x:c r="H1793" t="s">
        <x:v>8202</x:v>
      </x:c>
      <x:c r="I1793" t="s">
        <x:v>8203</x:v>
      </x:c>
      <x:c r="J1793" t="s">
        <x:v>8204</x:v>
      </x:c>
    </x:row>
    <x:row r="1794">
      <x:c r="A1794" t="s">
        <x:v>8205</x:v>
      </x:c>
      <x:c r="B1794" t="s">
        <x:v>8205</x:v>
      </x:c>
      <x:c r="C1794" t="s">
        <x:v>6162</x:v>
      </x:c>
      <x:c r="D1794">
        <x:v>12</x:v>
      </x:c>
      <x:c r="E1794" t="s">
        <x:v>89</x:v>
      </x:c>
      <x:c r="F1794" t="s">
        <x:v>90</x:v>
      </x:c>
      <x:c r="G1794">
        <x:v>44481</x:v>
      </x:c>
      <x:c r="H1794" t="s">
        <x:v>8206</x:v>
      </x:c>
      <x:c r="I1794" t="s">
        <x:v>8207</x:v>
      </x:c>
      <x:c r="J1794" t="s">
        <x:v>8208</x:v>
      </x:c>
    </x:row>
    <x:row r="1795">
      <x:c r="A1795" t="s">
        <x:v>8209</x:v>
      </x:c>
      <x:c r="B1795" t="s">
        <x:v>8209</x:v>
      </x:c>
      <x:c r="C1795" t="s">
        <x:v>6162</x:v>
      </x:c>
      <x:c r="D1795">
        <x:v>15</x:v>
      </x:c>
      <x:c r="E1795" t="s">
        <x:v>89</x:v>
      </x:c>
      <x:c r="F1795" t="s">
        <x:v>90</x:v>
      </x:c>
      <x:c r="G1795">
        <x:v>44944</x:v>
      </x:c>
      <x:c r="H1795" t="s">
        <x:v>8210</x:v>
      </x:c>
      <x:c r="I1795" t="s">
        <x:v>8211</x:v>
      </x:c>
      <x:c r="J1795" t="s">
        <x:v>8212</x:v>
      </x:c>
    </x:row>
    <x:row r="1796">
      <x:c r="A1796" t="s">
        <x:v>8213</x:v>
      </x:c>
      <x:c r="B1796" t="s">
        <x:v>8213</x:v>
      </x:c>
      <x:c r="C1796" t="s">
        <x:v>2483</x:v>
      </x:c>
      <x:c r="D1796">
        <x:v>14</x:v>
      </x:c>
      <x:c r="E1796" t="s">
        <x:v>198</x:v>
      </x:c>
      <x:c r="F1796" t="s">
        <x:v>90</x:v>
      </x:c>
      <x:c r="G1796">
        <x:v>45706</x:v>
      </x:c>
      <x:c r="H1796" t="s">
        <x:v>8214</x:v>
      </x:c>
      <x:c r="I1796" t="s">
        <x:v>8215</x:v>
      </x:c>
      <x:c r="J1796" t="s">
        <x:v>8216</x:v>
      </x:c>
    </x:row>
    <x:row r="1797">
      <x:c r="A1797" t="s">
        <x:v>8217</x:v>
      </x:c>
      <x:c r="B1797" t="s">
        <x:v>8217</x:v>
      </x:c>
      <x:c r="C1797" t="s">
        <x:v>8218</x:v>
      </x:c>
      <x:c r="D1797">
        <x:v>6</x:v>
      </x:c>
      <x:c r="E1797" t="s">
        <x:v>257</x:v>
      </x:c>
      <x:c r="F1797" t="s">
        <x:v>97</x:v>
      </x:c>
      <x:c r="G1797">
        <x:v>42236</x:v>
      </x:c>
      <x:c r="H1797" t="s">
        <x:v>8219</x:v>
      </x:c>
      <x:c r="I1797" t="s">
        <x:v>8220</x:v>
      </x:c>
      <x:c r="J1797" t="s">
        <x:v>8221</x:v>
      </x:c>
    </x:row>
    <x:row r="1798">
      <x:c r="A1798" t="s">
        <x:v>8222</x:v>
      </x:c>
      <x:c r="B1798" t="s">
        <x:v>8222</x:v>
      </x:c>
      <x:c r="C1798" t="s">
        <x:v>2346</x:v>
      </x:c>
      <x:c r="D1798">
        <x:v>10</x:v>
      </x:c>
      <x:c r="E1798" t="s">
        <x:v>89</x:v>
      </x:c>
      <x:c r="F1798" t="s">
        <x:v>90</x:v>
      </x:c>
      <x:c r="G1798">
        <x:v>45099</x:v>
      </x:c>
      <x:c r="H1798" t="s">
        <x:v>8223</x:v>
      </x:c>
      <x:c r="I1798" t="s">
        <x:v>8224</x:v>
      </x:c>
      <x:c r="J1798" t="s">
        <x:v>8225</x:v>
      </x:c>
    </x:row>
    <x:row r="1799">
      <x:c r="A1799" t="s">
        <x:v>8226</x:v>
      </x:c>
      <x:c r="B1799" t="s">
        <x:v>8226</x:v>
      </x:c>
      <x:c r="C1799" t="s">
        <x:v>680</x:v>
      </x:c>
      <x:c r="D1799">
        <x:v>1</x:v>
      </x:c>
      <x:c r="E1799" t="s">
        <x:v>89</x:v>
      </x:c>
      <x:c r="F1799" t="s">
        <x:v>152</x:v>
      </x:c>
      <x:c r="G1799">
        <x:v>44062</x:v>
      </x:c>
      <x:c r="H1799" t="s">
        <x:v>8227</x:v>
      </x:c>
      <x:c r="I1799" t="s">
        <x:v>8228</x:v>
      </x:c>
      <x:c r="J1799" t="s">
        <x:v>8229</x:v>
      </x:c>
    </x:row>
    <x:row r="1800">
      <x:c r="A1800" t="s">
        <x:v>8230</x:v>
      </x:c>
      <x:c r="B1800" t="s">
        <x:v>8230</x:v>
      </x:c>
      <x:c r="C1800" t="s">
        <x:v>1969</x:v>
      </x:c>
      <x:c r="D1800">
        <x:v>9</x:v>
      </x:c>
      <x:c r="E1800" t="s">
        <x:v>114</x:v>
      </x:c>
      <x:c r="F1800" t="s">
        <x:v>90</x:v>
      </x:c>
      <x:c r="G1800">
        <x:v>44580</x:v>
      </x:c>
      <x:c r="H1800" t="s">
        <x:v>8231</x:v>
      </x:c>
      <x:c r="I1800" t="s">
        <x:v>8232</x:v>
      </x:c>
      <x:c r="J1800" t="s">
        <x:v>8233</x:v>
      </x:c>
    </x:row>
    <x:row r="1801">
      <x:c r="A1801" t="s">
        <x:v>8234</x:v>
      </x:c>
      <x:c r="B1801" t="s">
        <x:v>8234</x:v>
      </x:c>
      <x:c r="C1801" t="s">
        <x:v>8235</x:v>
      </x:c>
      <x:c r="D1801">
        <x:v>12</x:v>
      </x:c>
      <x:c r="E1801" t="s">
        <x:v>89</x:v>
      </x:c>
      <x:c r="F1801" t="s">
        <x:v>90</x:v>
      </x:c>
      <x:c r="G1801">
        <x:v>42729</x:v>
      </x:c>
      <x:c r="H1801" t="s">
        <x:v>8236</x:v>
      </x:c>
      <x:c r="I1801" t="s">
        <x:v>8237</x:v>
      </x:c>
      <x:c r="J1801" t="s">
        <x:v>8238</x:v>
      </x:c>
    </x:row>
    <x:row r="1802">
      <x:c r="A1802" t="s">
        <x:v>8239</x:v>
      </x:c>
      <x:c r="B1802" t="s">
        <x:v>8239</x:v>
      </x:c>
      <x:c r="C1802" t="s">
        <x:v>8240</x:v>
      </x:c>
      <x:c r="D1802">
        <x:v>116</x:v>
      </x:c>
      <x:c r="E1802" t="s">
        <x:v>114</x:v>
      </x:c>
      <x:c r="F1802" t="s">
        <x:v>97</x:v>
      </x:c>
      <x:c r="G1802">
        <x:v>45114</x:v>
      </x:c>
      <x:c r="H1802" t="s">
        <x:v>8241</x:v>
      </x:c>
      <x:c r="I1802" t="s">
        <x:v>8242</x:v>
      </x:c>
      <x:c r="J1802" t="s">
        <x:v>8243</x:v>
      </x:c>
    </x:row>
    <x:row r="1803">
      <x:c r="A1803" t="s">
        <x:v>8244</x:v>
      </x:c>
      <x:c r="B1803" t="s">
        <x:v>8244</x:v>
      </x:c>
      <x:c r="C1803" t="s">
        <x:v>8096</x:v>
      </x:c>
      <x:c r="D1803">
        <x:v>11</x:v>
      </x:c>
      <x:c r="E1803" t="s">
        <x:v>89</x:v>
      </x:c>
      <x:c r="F1803" t="s">
        <x:v>90</x:v>
      </x:c>
      <x:c r="G1803">
        <x:v>45995</x:v>
      </x:c>
      <x:c r="H1803" t="s">
        <x:v>8245</x:v>
      </x:c>
      <x:c r="I1803" t="s">
        <x:v>8246</x:v>
      </x:c>
      <x:c r="J1803" t="s">
        <x:v>8247</x:v>
      </x:c>
    </x:row>
    <x:row r="1804">
      <x:c r="A1804" t="s">
        <x:v>8248</x:v>
      </x:c>
      <x:c r="B1804" t="s">
        <x:v>8248</x:v>
      </x:c>
      <x:c r="C1804" t="s">
        <x:v>8249</x:v>
      </x:c>
      <x:c r="D1804">
        <x:v>20</x:v>
      </x:c>
      <x:c r="E1804" t="s">
        <x:v>198</x:v>
      </x:c>
      <x:c r="F1804" t="s">
        <x:v>5659</x:v>
      </x:c>
      <x:c r="G1804">
        <x:v>46117</x:v>
      </x:c>
      <x:c r="H1804" t="s">
        <x:v>8250</x:v>
      </x:c>
      <x:c r="I1804" t="s">
        <x:v>8251</x:v>
      </x:c>
      <x:c r="J1804" t="s">
        <x:v>8252</x:v>
      </x:c>
    </x:row>
    <x:row r="1805">
      <x:c r="A1805" t="s">
        <x:v>62</x:v>
      </x:c>
      <x:c r="B1805" t="s">
        <x:v>62</x:v>
      </x:c>
      <x:c r="C1805" t="s">
        <x:v>8253</x:v>
      </x:c>
      <x:c r="D1805">
        <x:v>23</x:v>
      </x:c>
      <x:c r="E1805" t="s">
        <x:v>89</x:v>
      </x:c>
      <x:c r="F1805" t="s">
        <x:v>90</x:v>
      </x:c>
      <x:c r="G1805">
        <x:v>45203</x:v>
      </x:c>
      <x:c r="H1805" t="s">
        <x:v>8254</x:v>
      </x:c>
      <x:c r="I1805" t="s">
        <x:v>8255</x:v>
      </x:c>
      <x:c r="J1805" t="s">
        <x:v>8256</x:v>
      </x:c>
    </x:row>
    <x:row r="1806">
      <x:c r="A1806" t="s">
        <x:v>58</x:v>
      </x:c>
      <x:c r="B1806" t="s">
        <x:v>58</x:v>
      </x:c>
      <x:c r="C1806" t="s">
        <x:v>4282</x:v>
      </x:c>
      <x:c r="D1806">
        <x:v>12</x:v>
      </x:c>
      <x:c r="E1806" t="s">
        <x:v>96</x:v>
      </x:c>
      <x:c r="F1806" t="s">
        <x:v>90</x:v>
      </x:c>
      <x:c r="G1806">
        <x:v>44318</x:v>
      </x:c>
      <x:c r="H1806" t="s">
        <x:v>8257</x:v>
      </x:c>
      <x:c r="I1806" t="s">
        <x:v>8258</x:v>
      </x:c>
      <x:c r="J1806" t="s">
        <x:v>8259</x:v>
      </x:c>
    </x:row>
    <x:row r="1807">
      <x:c r="A1807" t="s">
        <x:v>60</x:v>
      </x:c>
      <x:c r="B1807" t="s">
        <x:v>60</x:v>
      </x:c>
      <x:c r="C1807" t="s">
        <x:v>4282</x:v>
      </x:c>
      <x:c r="D1807">
        <x:v>21</x:v>
      </x:c>
      <x:c r="E1807" t="s">
        <x:v>89</x:v>
      </x:c>
      <x:c r="F1807" t="s">
        <x:v>90</x:v>
      </x:c>
      <x:c r="G1807">
        <x:v>44791</x:v>
      </x:c>
      <x:c r="H1807" t="s">
        <x:v>8260</x:v>
      </x:c>
      <x:c r="I1807" t="s">
        <x:v>8261</x:v>
      </x:c>
      <x:c r="J1807" t="s">
        <x:v>8262</x:v>
      </x:c>
    </x:row>
    <x:row r="1808">
      <x:c r="A1808" t="s">
        <x:v>8263</x:v>
      </x:c>
      <x:c r="B1808" t="s">
        <x:v>8263</x:v>
      </x:c>
      <x:c r="C1808" t="s">
        <x:v>3012</x:v>
      </x:c>
      <x:c r="D1808">
        <x:v>8</x:v>
      </x:c>
      <x:c r="E1808" t="s">
        <x:v>198</x:v>
      </x:c>
      <x:c r="F1808" t="s">
        <x:v>90</x:v>
      </x:c>
      <x:c r="G1808">
        <x:v>45699</x:v>
      </x:c>
      <x:c r="H1808" t="s">
        <x:v>8264</x:v>
      </x:c>
      <x:c r="I1808" t="s">
        <x:v>8265</x:v>
      </x:c>
      <x:c r="J1808" t="s">
        <x:v>8266</x:v>
      </x:c>
    </x:row>
    <x:row r="1809">
      <x:c r="A1809" t="s">
        <x:v>8267</x:v>
      </x:c>
      <x:c r="B1809" t="s">
        <x:v>8267</x:v>
      </x:c>
      <x:c r="C1809" t="s">
        <x:v>8268</x:v>
      </x:c>
      <x:c r="D1809">
        <x:v>31</x:v>
      </x:c>
      <x:c r="E1809" t="s">
        <x:v>89</x:v>
      </x:c>
      <x:c r="F1809" t="s">
        <x:v>97</x:v>
      </x:c>
      <x:c r="G1809">
        <x:v>45278</x:v>
      </x:c>
      <x:c r="H1809" t="s">
        <x:v>8269</x:v>
      </x:c>
      <x:c r="I1809" t="s">
        <x:v>8270</x:v>
      </x:c>
      <x:c r="J1809" t="s">
        <x:v>8271</x:v>
      </x:c>
    </x:row>
    <x:row r="1810">
      <x:c r="A1810" t="s">
        <x:v>8272</x:v>
      </x:c>
      <x:c r="B1810" t="s">
        <x:v>8272</x:v>
      </x:c>
      <x:c r="C1810" t="s">
        <x:v>399</x:v>
      </x:c>
      <x:c r="D1810">
        <x:v>13</x:v>
      </x:c>
      <x:c r="E1810" t="s">
        <x:v>96</x:v>
      </x:c>
      <x:c r="F1810" t="s">
        <x:v>97</x:v>
      </x:c>
      <x:c r="G1810">
        <x:v>43692</x:v>
      </x:c>
      <x:c r="H1810" t="s">
        <x:v>8273</x:v>
      </x:c>
      <x:c r="I1810" t="s">
        <x:v>8274</x:v>
      </x:c>
      <x:c r="J1810" t="s">
        <x:v>8275</x:v>
      </x:c>
    </x:row>
    <x:row r="1811">
      <x:c r="A1811" t="s">
        <x:v>8276</x:v>
      </x:c>
      <x:c r="B1811" t="s">
        <x:v>8276</x:v>
      </x:c>
      <x:c r="C1811" t="s">
        <x:v>399</x:v>
      </x:c>
      <x:c r="D1811">
        <x:v>12</x:v>
      </x:c>
      <x:c r="E1811" t="s">
        <x:v>96</x:v>
      </x:c>
      <x:c r="F1811" t="s">
        <x:v>97</x:v>
      </x:c>
      <x:c r="G1811">
        <x:v>44168</x:v>
      </x:c>
      <x:c r="H1811" t="s">
        <x:v>8277</x:v>
      </x:c>
      <x:c r="I1811" t="s">
        <x:v>8278</x:v>
      </x:c>
      <x:c r="J1811" t="s">
        <x:v>8279</x:v>
      </x:c>
    </x:row>
    <x:row r="1812">
      <x:c r="A1812" t="s">
        <x:v>8280</x:v>
      </x:c>
      <x:c r="B1812" t="s">
        <x:v>8280</x:v>
      </x:c>
      <x:c r="C1812" t="s">
        <x:v>399</x:v>
      </x:c>
      <x:c r="D1812">
        <x:v>16</x:v>
      </x:c>
      <x:c r="E1812" t="s">
        <x:v>96</x:v>
      </x:c>
      <x:c r="F1812" t="s">
        <x:v>97</x:v>
      </x:c>
      <x:c r="G1812">
        <x:v>43301</x:v>
      </x:c>
      <x:c r="H1812" t="s">
        <x:v>8281</x:v>
      </x:c>
      <x:c r="I1812" t="s">
        <x:v>8282</x:v>
      </x:c>
      <x:c r="J1812" t="s">
        <x:v>8283</x:v>
      </x:c>
    </x:row>
    <x:row r="1813">
      <x:c r="A1813" t="s">
        <x:v>8284</x:v>
      </x:c>
      <x:c r="B1813" t="s">
        <x:v>8284</x:v>
      </x:c>
      <x:c r="C1813" t="s">
        <x:v>8285</x:v>
      </x:c>
      <x:c r="D1813">
        <x:v>17</x:v>
      </x:c>
      <x:c r="E1813" t="s">
        <x:v>198</x:v>
      </x:c>
      <x:c r="F1813" t="s">
        <x:v>90</x:v>
      </x:c>
      <x:c r="G1813">
        <x:v>43600</x:v>
      </x:c>
      <x:c r="H1813" t="s">
        <x:v>8286</x:v>
      </x:c>
      <x:c r="I1813" t="s">
        <x:v>8287</x:v>
      </x:c>
      <x:c r="J1813" t="s">
        <x:v>8288</x:v>
      </x:c>
    </x:row>
    <x:row r="1814">
      <x:c r="A1814" t="s">
        <x:v>8289</x:v>
      </x:c>
      <x:c r="B1814" t="s">
        <x:v>8289</x:v>
      </x:c>
      <x:c r="C1814" t="s">
        <x:v>8290</x:v>
      </x:c>
      <x:c r="D1814">
        <x:v>8</x:v>
      </x:c>
      <x:c r="E1814" t="s">
        <x:v>103</x:v>
      </x:c>
      <x:c r="F1814" t="s">
        <x:v>97</x:v>
      </x:c>
      <x:c r="G1814">
        <x:v>42258</x:v>
      </x:c>
      <x:c r="H1814" t="s">
        <x:v>8291</x:v>
      </x:c>
      <x:c r="I1814" t="s">
        <x:v>8292</x:v>
      </x:c>
      <x:c r="J1814" t="s">
        <x:v>8293</x:v>
      </x:c>
    </x:row>
    <x:row r="1815">
      <x:c r="A1815" t="s">
        <x:v>8294</x:v>
      </x:c>
      <x:c r="B1815" t="s">
        <x:v>8294</x:v>
      </x:c>
      <x:c r="C1815" t="s">
        <x:v>2863</x:v>
      </x:c>
      <x:c r="D1815">
        <x:v>13</x:v>
      </x:c>
      <x:c r="E1815" t="s">
        <x:v>89</x:v>
      </x:c>
      <x:c r="F1815" t="s">
        <x:v>90</x:v>
      </x:c>
      <x:c r="G1815">
        <x:v>43077</x:v>
      </x:c>
      <x:c r="H1815" t="s">
        <x:v>8295</x:v>
      </x:c>
      <x:c r="I1815" t="s">
        <x:v>8296</x:v>
      </x:c>
      <x:c r="J1815" t="s">
        <x:v>8297</x:v>
      </x:c>
    </x:row>
    <x:row r="1816">
      <x:c r="A1816" t="s">
        <x:v>8298</x:v>
      </x:c>
      <x:c r="B1816" t="s">
        <x:v>8298</x:v>
      </x:c>
      <x:c r="C1816" t="s">
        <x:v>1511</x:v>
      </x:c>
      <x:c r="D1816">
        <x:v>14</x:v>
      </x:c>
      <x:c r="E1816" t="s">
        <x:v>198</x:v>
      </x:c>
      <x:c r="F1816" t="s">
        <x:v>90</x:v>
      </x:c>
      <x:c r="G1816">
        <x:v>45078</x:v>
      </x:c>
      <x:c r="H1816" t="s">
        <x:v>8299</x:v>
      </x:c>
      <x:c r="I1816" t="s">
        <x:v>8300</x:v>
      </x:c>
      <x:c r="J1816" t="s">
        <x:v>8301</x:v>
      </x:c>
    </x:row>
    <x:row r="1817">
      <x:c r="A1817" t="s">
        <x:v>8302</x:v>
      </x:c>
      <x:c r="B1817" t="s">
        <x:v>8302</x:v>
      </x:c>
      <x:c r="C1817" t="s">
        <x:v>8303</x:v>
      </x:c>
      <x:c r="D1817">
        <x:v>14</x:v>
      </x:c>
      <x:c r="E1817" t="s">
        <x:v>89</x:v>
      </x:c>
      <x:c r="F1817" t="s">
        <x:v>90</x:v>
      </x:c>
      <x:c r="G1817">
        <x:v>44503</x:v>
      </x:c>
      <x:c r="H1817" t="s">
        <x:v>8304</x:v>
      </x:c>
      <x:c r="I1817" t="s">
        <x:v>8305</x:v>
      </x:c>
      <x:c r="J1817" t="s">
        <x:v>8306</x:v>
      </x:c>
    </x:row>
    <x:row r="1818">
      <x:c r="A1818" t="s">
        <x:v>8307</x:v>
      </x:c>
      <x:c r="B1818" t="s">
        <x:v>8307</x:v>
      </x:c>
      <x:c r="C1818" t="s">
        <x:v>6203</x:v>
      </x:c>
      <x:c r="D1818">
        <x:v>14</x:v>
      </x:c>
      <x:c r="E1818" t="s">
        <x:v>114</x:v>
      </x:c>
      <x:c r="F1818" t="s">
        <x:v>90</x:v>
      </x:c>
      <x:c r="G1818">
        <x:v>43107</x:v>
      </x:c>
      <x:c r="H1818" t="s">
        <x:v>8308</x:v>
      </x:c>
      <x:c r="I1818" t="s">
        <x:v>8309</x:v>
      </x:c>
      <x:c r="J1818" t="s">
        <x:v>8310</x:v>
      </x:c>
    </x:row>
    <x:row r="1819">
      <x:c r="A1819" t="s">
        <x:v>8311</x:v>
      </x:c>
      <x:c r="B1819" t="s">
        <x:v>8311</x:v>
      </x:c>
      <x:c r="C1819" t="s">
        <x:v>2189</x:v>
      </x:c>
      <x:c r="D1819">
        <x:v>76</x:v>
      </x:c>
      <x:c r="E1819" t="s">
        <x:v>257</x:v>
      </x:c>
      <x:c r="F1819" t="s">
        <x:v>97</x:v>
      </x:c>
      <x:c r="G1819">
        <x:v>45822</x:v>
      </x:c>
      <x:c r="H1819" t="s">
        <x:v>8312</x:v>
      </x:c>
      <x:c r="I1819" t="s">
        <x:v>8313</x:v>
      </x:c>
      <x:c r="J1819" t="s">
        <x:v>8314</x:v>
      </x:c>
    </x:row>
    <x:row r="1820">
      <x:c r="A1820" t="s">
        <x:v>8315</x:v>
      </x:c>
      <x:c r="B1820" t="s">
        <x:v>8315</x:v>
      </x:c>
      <x:c r="C1820" t="s">
        <x:v>88</x:v>
      </x:c>
      <x:c r="D1820">
        <x:v>24</x:v>
      </x:c>
      <x:c r="E1820" t="s">
        <x:v>198</x:v>
      </x:c>
      <x:c r="F1820" t="s">
        <x:v>90</x:v>
      </x:c>
      <x:c r="G1820">
        <x:v>44318</x:v>
      </x:c>
      <x:c r="H1820" t="s">
        <x:v>8316</x:v>
      </x:c>
      <x:c r="I1820" t="s">
        <x:v>8317</x:v>
      </x:c>
      <x:c r="J1820" t="s">
        <x:v>8318</x:v>
      </x:c>
    </x:row>
    <x:row r="1821">
      <x:c r="A1821" t="s">
        <x:v>8319</x:v>
      </x:c>
      <x:c r="B1821" t="s">
        <x:v>8319</x:v>
      </x:c>
      <x:c r="C1821" t="s">
        <x:v>88</x:v>
      </x:c>
      <x:c r="D1821">
        <x:v>21</x:v>
      </x:c>
      <x:c r="E1821" t="s">
        <x:v>198</x:v>
      </x:c>
      <x:c r="F1821" t="s">
        <x:v>90</x:v>
      </x:c>
      <x:c r="G1821">
        <x:v>44343</x:v>
      </x:c>
      <x:c r="H1821" t="s">
        <x:v>8320</x:v>
      </x:c>
      <x:c r="I1821" t="s">
        <x:v>8321</x:v>
      </x:c>
      <x:c r="J1821" t="s">
        <x:v>8322</x:v>
      </x:c>
    </x:row>
    <x:row r="1822">
      <x:c r="A1822" t="s">
        <x:v>8323</x:v>
      </x:c>
      <x:c r="B1822" t="s">
        <x:v>8323</x:v>
      </x:c>
      <x:c r="C1822" t="s">
        <x:v>88</x:v>
      </x:c>
      <x:c r="D1822">
        <x:v>35</x:v>
      </x:c>
      <x:c r="E1822" t="s">
        <x:v>198</x:v>
      </x:c>
      <x:c r="F1822" t="s">
        <x:v>90</x:v>
      </x:c>
      <x:c r="G1822">
        <x:v>45579</x:v>
      </x:c>
      <x:c r="H1822" t="s">
        <x:v>8324</x:v>
      </x:c>
      <x:c r="I1822" t="s">
        <x:v>8325</x:v>
      </x:c>
      <x:c r="J1822" t="s">
        <x:v>8326</x:v>
      </x:c>
    </x:row>
    <x:row r="1823">
      <x:c r="A1823" t="s">
        <x:v>8327</x:v>
      </x:c>
      <x:c r="B1823" t="s">
        <x:v>8327</x:v>
      </x:c>
      <x:c r="C1823" t="s">
        <x:v>394</x:v>
      </x:c>
      <x:c r="D1823">
        <x:v>10</x:v>
      </x:c>
      <x:c r="E1823" t="s">
        <x:v>114</x:v>
      </x:c>
      <x:c r="F1823" t="s">
        <x:v>90</x:v>
      </x:c>
      <x:c r="G1823">
        <x:v>42438</x:v>
      </x:c>
      <x:c r="H1823" t="s">
        <x:v>8328</x:v>
      </x:c>
      <x:c r="I1823" t="s">
        <x:v>8329</x:v>
      </x:c>
      <x:c r="J1823" t="s">
        <x:v>8330</x:v>
      </x:c>
    </x:row>
    <x:row r="1824">
      <x:c r="A1824" t="s">
        <x:v>8331</x:v>
      </x:c>
      <x:c r="B1824" t="s">
        <x:v>8331</x:v>
      </x:c>
      <x:c r="C1824" t="s">
        <x:v>2118</x:v>
      </x:c>
      <x:c r="D1824">
        <x:v>0</x:v>
      </x:c>
      <x:c r="E1824" t="s">
        <x:v>198</x:v>
      </x:c>
      <x:c r="F1824" t="s">
        <x:v>90</x:v>
      </x:c>
      <x:c r="G1824">
        <x:v>45869</x:v>
      </x:c>
      <x:c r="H1824" t="s">
        <x:v>8332</x:v>
      </x:c>
      <x:c r="I1824" t="s">
        <x:v>8333</x:v>
      </x:c>
      <x:c r="J1824" t="s">
        <x:v>8334</x:v>
      </x:c>
    </x:row>
    <x:row r="1825">
      <x:c r="A1825" t="s">
        <x:v>8335</x:v>
      </x:c>
      <x:c r="B1825" t="s">
        <x:v>8335</x:v>
      </x:c>
      <x:c r="C1825" t="s">
        <x:v>8336</x:v>
      </x:c>
      <x:c r="D1825">
        <x:v>83</x:v>
      </x:c>
      <x:c r="E1825" t="s">
        <x:v>257</x:v>
      </x:c>
      <x:c r="F1825" t="s">
        <x:v>152</x:v>
      </x:c>
      <x:c r="G1825">
        <x:v>44906</x:v>
      </x:c>
      <x:c r="H1825" t="s">
        <x:v>8337</x:v>
      </x:c>
      <x:c r="I1825" t="s">
        <x:v>8338</x:v>
      </x:c>
      <x:c r="J1825" t="s">
        <x:v>8339</x:v>
      </x:c>
    </x:row>
    <x:row r="1826">
      <x:c r="A1826" t="s">
        <x:v>8340</x:v>
      </x:c>
      <x:c r="B1826" t="s">
        <x:v>8340</x:v>
      </x:c>
      <x:c r="C1826" t="s">
        <x:v>8336</x:v>
      </x:c>
      <x:c r="D1826">
        <x:v>21</x:v>
      </x:c>
      <x:c r="E1826" t="s">
        <x:v>257</x:v>
      </x:c>
      <x:c r="F1826" t="s">
        <x:v>97</x:v>
      </x:c>
      <x:c r="G1826">
        <x:v>44599</x:v>
      </x:c>
      <x:c r="H1826" t="s">
        <x:v>8341</x:v>
      </x:c>
      <x:c r="I1826" t="s">
        <x:v>8342</x:v>
      </x:c>
      <x:c r="J1826" t="s">
        <x:v>8343</x:v>
      </x:c>
    </x:row>
    <x:row r="1827">
      <x:c r="A1827" t="s">
        <x:v>8344</x:v>
      </x:c>
      <x:c r="B1827" t="s">
        <x:v>8344</x:v>
      </x:c>
      <x:c r="C1827" t="s">
        <x:v>8345</x:v>
      </x:c>
      <x:c r="D1827">
        <x:v>7</x:v>
      </x:c>
      <x:c r="E1827" t="s">
        <x:v>103</x:v>
      </x:c>
      <x:c r="F1827" t="s">
        <x:v>97</x:v>
      </x:c>
      <x:c r="G1827">
        <x:v>45145</x:v>
      </x:c>
      <x:c r="H1827" t="s">
        <x:v>8346</x:v>
      </x:c>
      <x:c r="I1827" t="s">
        <x:v>8347</x:v>
      </x:c>
      <x:c r="J1827" t="s">
        <x:v>8348</x:v>
      </x:c>
    </x:row>
    <x:row r="1828">
      <x:c r="A1828" t="s">
        <x:v>8349</x:v>
      </x:c>
      <x:c r="B1828" t="s">
        <x:v>8349</x:v>
      </x:c>
      <x:c r="C1828" t="s">
        <x:v>2567</x:v>
      </x:c>
      <x:c r="D1828">
        <x:v>11</x:v>
      </x:c>
      <x:c r="E1828" t="s">
        <x:v>198</x:v>
      </x:c>
      <x:c r="F1828" t="s">
        <x:v>90</x:v>
      </x:c>
      <x:c r="G1828">
        <x:v>44692</x:v>
      </x:c>
      <x:c r="H1828" t="s">
        <x:v>8350</x:v>
      </x:c>
      <x:c r="I1828" t="s">
        <x:v>8351</x:v>
      </x:c>
      <x:c r="J1828" t="s">
        <x:v>8352</x:v>
      </x:c>
    </x:row>
    <x:row r="1829">
      <x:c r="A1829" t="s">
        <x:v>8353</x:v>
      </x:c>
      <x:c r="B1829" t="s">
        <x:v>8353</x:v>
      </x:c>
      <x:c r="C1829" t="s">
        <x:v>2567</x:v>
      </x:c>
      <x:c r="D1829">
        <x:v>30</x:v>
      </x:c>
      <x:c r="E1829" t="s">
        <x:v>114</x:v>
      </x:c>
      <x:c r="F1829" t="s">
        <x:v>90</x:v>
      </x:c>
      <x:c r="G1829">
        <x:v>45020</x:v>
      </x:c>
      <x:c r="H1829" t="s">
        <x:v>8354</x:v>
      </x:c>
      <x:c r="I1829" t="s">
        <x:v>8355</x:v>
      </x:c>
      <x:c r="J1829" t="s">
        <x:v>8356</x:v>
      </x:c>
    </x:row>
    <x:row r="1830">
      <x:c r="A1830" t="s">
        <x:v>8357</x:v>
      </x:c>
      <x:c r="B1830" t="s">
        <x:v>8357</x:v>
      </x:c>
      <x:c r="C1830" t="s">
        <x:v>1516</x:v>
      </x:c>
      <x:c r="D1830">
        <x:v>15</x:v>
      </x:c>
      <x:c r="E1830" t="s">
        <x:v>96</x:v>
      </x:c>
      <x:c r="F1830" t="s">
        <x:v>90</x:v>
      </x:c>
      <x:c r="G1830">
        <x:v>44238</x:v>
      </x:c>
      <x:c r="H1830" t="s">
        <x:v>8358</x:v>
      </x:c>
      <x:c r="I1830" t="s">
        <x:v>8359</x:v>
      </x:c>
      <x:c r="J1830" t="s">
        <x:v>8360</x:v>
      </x:c>
    </x:row>
    <x:row r="1831">
      <x:c r="A1831" t="s">
        <x:v>8361</x:v>
      </x:c>
      <x:c r="B1831" t="s">
        <x:v>8361</x:v>
      </x:c>
      <x:c r="C1831" t="s">
        <x:v>1516</x:v>
      </x:c>
      <x:c r="D1831">
        <x:v>6</x:v>
      </x:c>
      <x:c r="E1831" t="s">
        <x:v>198</x:v>
      </x:c>
      <x:c r="F1831" t="s">
        <x:v>90</x:v>
      </x:c>
      <x:c r="G1831">
        <x:v>44992</x:v>
      </x:c>
      <x:c r="H1831" t="s">
        <x:v>8362</x:v>
      </x:c>
      <x:c r="I1831" t="s">
        <x:v>8363</x:v>
      </x:c>
      <x:c r="J1831" t="s">
        <x:v>8364</x:v>
      </x:c>
    </x:row>
    <x:row r="1832">
      <x:c r="A1832" t="s">
        <x:v>8365</x:v>
      </x:c>
      <x:c r="B1832" t="s">
        <x:v>8365</x:v>
      </x:c>
      <x:c r="C1832" t="s">
        <x:v>1535</x:v>
      </x:c>
      <x:c r="D1832">
        <x:v>24</x:v>
      </x:c>
      <x:c r="E1832" t="s">
        <x:v>96</x:v>
      </x:c>
      <x:c r="F1832" t="s">
        <x:v>97</x:v>
      </x:c>
      <x:c r="G1832">
        <x:v>42890</x:v>
      </x:c>
      <x:c r="H1832" t="s">
        <x:v>8366</x:v>
      </x:c>
      <x:c r="I1832" t="s">
        <x:v>8367</x:v>
      </x:c>
      <x:c r="J1832" t="s">
        <x:v>8368</x:v>
      </x:c>
    </x:row>
    <x:row r="1833">
      <x:c r="A1833" t="s">
        <x:v>8369</x:v>
      </x:c>
      <x:c r="B1833" t="s">
        <x:v>8369</x:v>
      </x:c>
      <x:c r="C1833" t="s">
        <x:v>5738</x:v>
      </x:c>
      <x:c r="D1833">
        <x:v>37</x:v>
      </x:c>
      <x:c r="E1833" t="s">
        <x:v>103</x:v>
      </x:c>
      <x:c r="F1833" t="s">
        <x:v>97</x:v>
      </x:c>
      <x:c r="G1833">
        <x:v>41599</x:v>
      </x:c>
      <x:c r="H1833" t="s">
        <x:v>8370</x:v>
      </x:c>
      <x:c r="I1833" t="s">
        <x:v>8371</x:v>
      </x:c>
      <x:c r="J1833" t="s">
        <x:v>8372</x:v>
      </x:c>
    </x:row>
    <x:row r="1834">
      <x:c r="A1834" t="s">
        <x:v>8373</x:v>
      </x:c>
      <x:c r="B1834" t="s">
        <x:v>8373</x:v>
      </x:c>
      <x:c r="C1834" t="s">
        <x:v>543</x:v>
      </x:c>
      <x:c r="D1834">
        <x:v>108</x:v>
      </x:c>
      <x:c r="E1834" t="s">
        <x:v>103</x:v>
      </x:c>
      <x:c r="F1834" t="s">
        <x:v>97</x:v>
      </x:c>
      <x:c r="G1834">
        <x:v>43799</x:v>
      </x:c>
      <x:c r="H1834" t="s">
        <x:v>8374</x:v>
      </x:c>
      <x:c r="I1834" t="s">
        <x:v>8375</x:v>
      </x:c>
      <x:c r="J1834" t="s">
        <x:v>8376</x:v>
      </x:c>
    </x:row>
    <x:row r="1835">
      <x:c r="A1835" t="s">
        <x:v>8377</x:v>
      </x:c>
      <x:c r="B1835" t="s">
        <x:v>8377</x:v>
      </x:c>
      <x:c r="C1835" t="s">
        <x:v>543</x:v>
      </x:c>
      <x:c r="D1835">
        <x:v>64</x:v>
      </x:c>
      <x:c r="E1835" t="s">
        <x:v>103</x:v>
      </x:c>
      <x:c r="F1835" t="s">
        <x:v>97</x:v>
      </x:c>
      <x:c r="G1835">
        <x:v>46066</x:v>
      </x:c>
      <x:c r="H1835" t="s">
        <x:v>8378</x:v>
      </x:c>
      <x:c r="I1835" t="s">
        <x:v>8379</x:v>
      </x:c>
      <x:c r="J1835" t="s">
        <x:v>8380</x:v>
      </x:c>
    </x:row>
    <x:row r="1836">
      <x:c r="A1836" t="s">
        <x:v>8381</x:v>
      </x:c>
      <x:c r="B1836" t="s">
        <x:v>8381</x:v>
      </x:c>
      <x:c r="C1836" t="s">
        <x:v>8382</x:v>
      </x:c>
      <x:c r="D1836">
        <x:v>5</x:v>
      </x:c>
      <x:c r="E1836" t="s">
        <x:v>96</x:v>
      </x:c>
      <x:c r="F1836" t="s">
        <x:v>97</x:v>
      </x:c>
      <x:c r="G1836">
        <x:v>42062</x:v>
      </x:c>
      <x:c r="H1836" t="s">
        <x:v>8383</x:v>
      </x:c>
      <x:c r="I1836" t="s">
        <x:v>8384</x:v>
      </x:c>
      <x:c r="J1836" t="s">
        <x:v>8385</x:v>
      </x:c>
    </x:row>
    <x:row r="1837">
      <x:c r="A1837" t="s">
        <x:v>8386</x:v>
      </x:c>
      <x:c r="B1837" t="s">
        <x:v>8386</x:v>
      </x:c>
      <x:c r="C1837" t="s">
        <x:v>8387</x:v>
      </x:c>
      <x:c r="D1837">
        <x:v>24</x:v>
      </x:c>
      <x:c r="E1837" t="s">
        <x:v>96</x:v>
      </x:c>
      <x:c r="F1837" t="s">
        <x:v>97</x:v>
      </x:c>
      <x:c r="G1837">
        <x:v>45285</x:v>
      </x:c>
      <x:c r="H1837" t="s">
        <x:v>8388</x:v>
      </x:c>
      <x:c r="I1837" t="s">
        <x:v>8389</x:v>
      </x:c>
      <x:c r="J1837" t="s">
        <x:v>8390</x:v>
      </x:c>
    </x:row>
    <x:row r="1838">
      <x:c r="A1838" t="s">
        <x:v>8391</x:v>
      </x:c>
      <x:c r="B1838" t="s">
        <x:v>8391</x:v>
      </x:c>
      <x:c r="C1838" t="s">
        <x:v>8392</x:v>
      </x:c>
      <x:c r="D1838">
        <x:v>34</x:v>
      </x:c>
      <x:c r="E1838" t="s">
        <x:v>103</x:v>
      </x:c>
      <x:c r="F1838" t="s">
        <x:v>97</x:v>
      </x:c>
      <x:c r="G1838">
        <x:v>45897</x:v>
      </x:c>
      <x:c r="H1838" t="s">
        <x:v>8393</x:v>
      </x:c>
      <x:c r="I1838" t="s">
        <x:v>8394</x:v>
      </x:c>
      <x:c r="J1838" t="s">
        <x:v>8395</x:v>
      </x:c>
    </x:row>
    <x:row r="1839">
      <x:c r="A1839" t="s">
        <x:v>8396</x:v>
      </x:c>
      <x:c r="B1839" t="s">
        <x:v>8396</x:v>
      </x:c>
      <x:c r="C1839" t="s">
        <x:v>8397</x:v>
      </x:c>
      <x:c r="D1839">
        <x:v>18</x:v>
      </x:c>
      <x:c r="E1839" t="s">
        <x:v>96</x:v>
      </x:c>
      <x:c r="F1839" t="s">
        <x:v>97</x:v>
      </x:c>
      <x:c r="G1839">
        <x:v>42130</x:v>
      </x:c>
      <x:c r="H1839" t="s">
        <x:v>8398</x:v>
      </x:c>
      <x:c r="I1839" t="s">
        <x:v>8399</x:v>
      </x:c>
      <x:c r="J1839" t="s">
        <x:v>8400</x:v>
      </x:c>
    </x:row>
    <x:row r="1840">
      <x:c r="A1840" t="s">
        <x:v>8401</x:v>
      </x:c>
      <x:c r="B1840" t="s">
        <x:v>8401</x:v>
      </x:c>
      <x:c r="C1840" t="s">
        <x:v>8402</x:v>
      </x:c>
      <x:c r="D1840">
        <x:v>96</x:v>
      </x:c>
      <x:c r="E1840" t="s">
        <x:v>96</x:v>
      </x:c>
      <x:c r="F1840" t="s">
        <x:v>97</x:v>
      </x:c>
      <x:c r="G1840">
        <x:v>42337</x:v>
      </x:c>
      <x:c r="H1840" t="s">
        <x:v>8403</x:v>
      </x:c>
      <x:c r="I1840" t="s">
        <x:v>8404</x:v>
      </x:c>
      <x:c r="J1840" t="s">
        <x:v>8405</x:v>
      </x:c>
    </x:row>
    <x:row r="1841">
      <x:c r="A1841" t="s">
        <x:v>8406</x:v>
      </x:c>
      <x:c r="B1841" t="s">
        <x:v>8406</x:v>
      </x:c>
      <x:c r="C1841" t="s">
        <x:v>8407</x:v>
      </x:c>
      <x:c r="D1841">
        <x:v>12</x:v>
      </x:c>
      <x:c r="E1841" t="s">
        <x:v>96</x:v>
      </x:c>
      <x:c r="F1841" t="s">
        <x:v>97</x:v>
      </x:c>
      <x:c r="G1841">
        <x:v>44571</x:v>
      </x:c>
      <x:c r="H1841" t="s">
        <x:v>8408</x:v>
      </x:c>
      <x:c r="I1841" t="s">
        <x:v>8409</x:v>
      </x:c>
      <x:c r="J1841" t="s">
        <x:v>8410</x:v>
      </x:c>
    </x:row>
    <x:row r="1842">
      <x:c r="A1842" t="s">
        <x:v>8411</x:v>
      </x:c>
      <x:c r="B1842" t="s">
        <x:v>8411</x:v>
      </x:c>
      <x:c r="C1842" t="s">
        <x:v>8412</x:v>
      </x:c>
      <x:c r="D1842">
        <x:v>6</x:v>
      </x:c>
      <x:c r="E1842" t="s">
        <x:v>257</x:v>
      </x:c>
      <x:c r="F1842" t="s">
        <x:v>97</x:v>
      </x:c>
      <x:c r="G1842">
        <x:v>42334</x:v>
      </x:c>
      <x:c r="H1842" t="s">
        <x:v>8413</x:v>
      </x:c>
      <x:c r="I1842" t="s">
        <x:v>8414</x:v>
      </x:c>
      <x:c r="J1842" t="s">
        <x:v>8415</x:v>
      </x:c>
    </x:row>
    <x:row r="1843">
      <x:c r="A1843" t="s">
        <x:v>8416</x:v>
      </x:c>
      <x:c r="B1843" t="s">
        <x:v>8416</x:v>
      </x:c>
      <x:c r="C1843" t="s">
        <x:v>8417</x:v>
      </x:c>
      <x:c r="D1843">
        <x:v>11</x:v>
      </x:c>
      <x:c r="E1843" t="s">
        <x:v>89</x:v>
      </x:c>
      <x:c r="F1843" t="s">
        <x:v>90</x:v>
      </x:c>
      <x:c r="G1843">
        <x:v>43305</x:v>
      </x:c>
      <x:c r="H1843" t="s">
        <x:v>8418</x:v>
      </x:c>
      <x:c r="I1843" t="s">
        <x:v>8419</x:v>
      </x:c>
      <x:c r="J1843" t="s">
        <x:v>8420</x:v>
      </x:c>
    </x:row>
    <x:row r="1844">
      <x:c r="A1844" t="s">
        <x:v>8421</x:v>
      </x:c>
      <x:c r="B1844" t="s">
        <x:v>8421</x:v>
      </x:c>
      <x:c r="C1844" t="s">
        <x:v>1417</x:v>
      </x:c>
      <x:c r="D1844">
        <x:v>4</x:v>
      </x:c>
      <x:c r="E1844" t="s">
        <x:v>89</x:v>
      </x:c>
      <x:c r="F1844" t="s">
        <x:v>610</x:v>
      </x:c>
      <x:c r="G1844">
        <x:v>45811</x:v>
      </x:c>
      <x:c r="H1844" t="s">
        <x:v>8422</x:v>
      </x:c>
      <x:c r="I1844" t="s">
        <x:v>8423</x:v>
      </x:c>
      <x:c r="J1844" t="s">
        <x:v>8424</x:v>
      </x:c>
    </x:row>
    <x:row r="1845">
      <x:c r="A1845" t="s">
        <x:v>8425</x:v>
      </x:c>
      <x:c r="B1845" t="s">
        <x:v>8425</x:v>
      </x:c>
      <x:c r="C1845" t="s">
        <x:v>1417</x:v>
      </x:c>
      <x:c r="D1845">
        <x:v>4</x:v>
      </x:c>
      <x:c r="E1845" t="s">
        <x:v>96</x:v>
      </x:c>
      <x:c r="F1845" t="s">
        <x:v>90</x:v>
      </x:c>
      <x:c r="G1845">
        <x:v>45942</x:v>
      </x:c>
      <x:c r="H1845" t="s">
        <x:v>8426</x:v>
      </x:c>
      <x:c r="I1845" t="s">
        <x:v>8427</x:v>
      </x:c>
      <x:c r="J1845" t="s">
        <x:v>8428</x:v>
      </x:c>
    </x:row>
    <x:row r="1846">
      <x:c r="A1846" t="s">
        <x:v>8429</x:v>
      </x:c>
      <x:c r="B1846" t="s">
        <x:v>8429</x:v>
      </x:c>
      <x:c r="C1846" t="s">
        <x:v>8430</x:v>
      </x:c>
      <x:c r="D1846">
        <x:v>10</x:v>
      </x:c>
      <x:c r="E1846" t="s">
        <x:v>89</x:v>
      </x:c>
      <x:c r="F1846" t="s">
        <x:v>90</x:v>
      </x:c>
      <x:c r="G1846">
        <x:v>46185</x:v>
      </x:c>
      <x:c r="H1846" t="s">
        <x:v>8431</x:v>
      </x:c>
      <x:c r="I1846" t="s">
        <x:v>8432</x:v>
      </x:c>
      <x:c r="J1846" t="s">
        <x:v>8433</x:v>
      </x:c>
    </x:row>
    <x:row r="1847">
      <x:c r="A1847" t="s">
        <x:v>8434</x:v>
      </x:c>
      <x:c r="B1847" t="s">
        <x:v>8434</x:v>
      </x:c>
      <x:c r="C1847" t="s">
        <x:v>8435</x:v>
      </x:c>
      <x:c r="D1847">
        <x:v>71</x:v>
      </x:c>
      <x:c r="E1847" t="s">
        <x:v>96</x:v>
      </x:c>
      <x:c r="F1847" t="s">
        <x:v>97</x:v>
      </x:c>
      <x:c r="G1847">
        <x:v>43140</x:v>
      </x:c>
      <x:c r="H1847" t="s">
        <x:v>8436</x:v>
      </x:c>
      <x:c r="I1847" t="s">
        <x:v>8437</x:v>
      </x:c>
      <x:c r="J1847" t="s">
        <x:v>8438</x:v>
      </x:c>
    </x:row>
    <x:row r="1848">
      <x:c r="A1848" t="s">
        <x:v>8439</x:v>
      </x:c>
      <x:c r="B1848" t="s">
        <x:v>8439</x:v>
      </x:c>
      <x:c r="C1848" t="s">
        <x:v>8435</x:v>
      </x:c>
      <x:c r="D1848">
        <x:v>11</x:v>
      </x:c>
      <x:c r="E1848" t="s">
        <x:v>114</x:v>
      </x:c>
      <x:c r="F1848" t="s">
        <x:v>90</x:v>
      </x:c>
      <x:c r="G1848">
        <x:v>43112</x:v>
      </x:c>
      <x:c r="H1848" t="s">
        <x:v>8440</x:v>
      </x:c>
      <x:c r="I1848" t="s">
        <x:v>8441</x:v>
      </x:c>
      <x:c r="J1848" t="s">
        <x:v>8442</x:v>
      </x:c>
    </x:row>
    <x:row r="1849">
      <x:c r="A1849" t="s">
        <x:v>8443</x:v>
      </x:c>
      <x:c r="B1849" t="s">
        <x:v>8443</x:v>
      </x:c>
      <x:c r="C1849" t="s">
        <x:v>8444</x:v>
      </x:c>
      <x:c r="D1849">
        <x:v>8</x:v>
      </x:c>
      <x:c r="E1849" t="s">
        <x:v>89</x:v>
      </x:c>
      <x:c r="F1849" t="s">
        <x:v>90</x:v>
      </x:c>
      <x:c r="G1849">
        <x:v>43849</x:v>
      </x:c>
      <x:c r="H1849" t="s">
        <x:v>8445</x:v>
      </x:c>
      <x:c r="I1849" t="s">
        <x:v>8446</x:v>
      </x:c>
      <x:c r="J1849" t="s">
        <x:v>8447</x:v>
      </x:c>
    </x:row>
    <x:row r="1850">
      <x:c r="A1850" t="s">
        <x:v>8448</x:v>
      </x:c>
      <x:c r="B1850" t="s">
        <x:v>8448</x:v>
      </x:c>
      <x:c r="C1850" t="s">
        <x:v>8449</x:v>
      </x:c>
      <x:c r="D1850">
        <x:v>100</x:v>
      </x:c>
      <x:c r="E1850" t="s">
        <x:v>89</x:v>
      </x:c>
      <x:c r="F1850" t="s">
        <x:v>97</x:v>
      </x:c>
      <x:c r="G1850">
        <x:v>43877</x:v>
      </x:c>
      <x:c r="H1850" t="s">
        <x:v>8450</x:v>
      </x:c>
      <x:c r="I1850" t="s">
        <x:v>8451</x:v>
      </x:c>
      <x:c r="J1850" t="s">
        <x:v>8452</x:v>
      </x:c>
    </x:row>
    <x:row r="1851">
      <x:c r="A1851" t="s">
        <x:v>8453</x:v>
      </x:c>
      <x:c r="B1851" t="s">
        <x:v>8453</x:v>
      </x:c>
      <x:c r="C1851" t="s">
        <x:v>8454</x:v>
      </x:c>
      <x:c r="D1851">
        <x:v>7</x:v>
      </x:c>
      <x:c r="E1851" t="s">
        <x:v>257</x:v>
      </x:c>
      <x:c r="F1851" t="s">
        <x:v>97</x:v>
      </x:c>
      <x:c r="G1851">
        <x:v>41493</x:v>
      </x:c>
      <x:c r="H1851" t="s">
        <x:v>8455</x:v>
      </x:c>
      <x:c r="I1851" t="s">
        <x:v>8456</x:v>
      </x:c>
      <x:c r="J1851" t="s">
        <x:v>8457</x:v>
      </x:c>
    </x:row>
    <x:row r="1852">
      <x:c r="A1852" t="s">
        <x:v>8458</x:v>
      </x:c>
      <x:c r="B1852" t="s">
        <x:v>8458</x:v>
      </x:c>
      <x:c r="C1852" t="s">
        <x:v>8459</x:v>
      </x:c>
      <x:c r="D1852">
        <x:v>7</x:v>
      </x:c>
      <x:c r="E1852" t="s">
        <x:v>257</x:v>
      </x:c>
      <x:c r="F1852" t="s">
        <x:v>97</x:v>
      </x:c>
      <x:c r="G1852">
        <x:v>42293</x:v>
      </x:c>
      <x:c r="H1852" t="s">
        <x:v>8460</x:v>
      </x:c>
      <x:c r="I1852" t="s">
        <x:v>8461</x:v>
      </x:c>
      <x:c r="J1852" t="s">
        <x:v>8462</x:v>
      </x:c>
    </x:row>
    <x:row r="1853">
      <x:c r="A1853" t="s">
        <x:v>8463</x:v>
      </x:c>
      <x:c r="B1853" t="s">
        <x:v>8463</x:v>
      </x:c>
      <x:c r="C1853" t="s">
        <x:v>8464</x:v>
      </x:c>
      <x:c r="D1853">
        <x:v>32</x:v>
      </x:c>
      <x:c r="E1853" t="s">
        <x:v>96</x:v>
      </x:c>
      <x:c r="F1853" t="s">
        <x:v>97</x:v>
      </x:c>
      <x:c r="G1853">
        <x:v>44474</x:v>
      </x:c>
      <x:c r="H1853" t="s">
        <x:v>8465</x:v>
      </x:c>
      <x:c r="I1853" t="s">
        <x:v>8466</x:v>
      </x:c>
      <x:c r="J1853" t="s">
        <x:v>8467</x:v>
      </x:c>
    </x:row>
    <x:row r="1854">
      <x:c r="A1854" t="s">
        <x:v>8468</x:v>
      </x:c>
      <x:c r="B1854" t="s">
        <x:v>8468</x:v>
      </x:c>
      <x:c r="C1854" t="s">
        <x:v>8469</x:v>
      </x:c>
      <x:c r="D1854">
        <x:v>5</x:v>
      </x:c>
      <x:c r="E1854" t="s">
        <x:v>257</x:v>
      </x:c>
      <x:c r="F1854" t="s">
        <x:v>97</x:v>
      </x:c>
      <x:c r="G1854">
        <x:v>42302</x:v>
      </x:c>
      <x:c r="H1854" t="s">
        <x:v>8470</x:v>
      </x:c>
      <x:c r="I1854" t="s">
        <x:v>8471</x:v>
      </x:c>
      <x:c r="J1854" t="s">
        <x:v>8472</x:v>
      </x:c>
    </x:row>
    <x:row r="1855">
      <x:c r="A1855" t="s">
        <x:v>8473</x:v>
      </x:c>
      <x:c r="B1855" t="s">
        <x:v>8473</x:v>
      </x:c>
      <x:c r="C1855" t="s">
        <x:v>8474</x:v>
      </x:c>
      <x:c r="D1855">
        <x:v>77</x:v>
      </x:c>
      <x:c r="E1855" t="s">
        <x:v>103</x:v>
      </x:c>
      <x:c r="F1855" t="s">
        <x:v>97</x:v>
      </x:c>
      <x:c r="G1855">
        <x:v>45789</x:v>
      </x:c>
      <x:c r="H1855" t="s">
        <x:v>8475</x:v>
      </x:c>
      <x:c r="I1855" t="s">
        <x:v>8476</x:v>
      </x:c>
      <x:c r="J1855" t="s">
        <x:v>8477</x:v>
      </x:c>
    </x:row>
    <x:row r="1856">
      <x:c r="A1856" t="s">
        <x:v>8478</x:v>
      </x:c>
      <x:c r="B1856" t="s">
        <x:v>8478</x:v>
      </x:c>
      <x:c r="C1856" t="s">
        <x:v>8474</x:v>
      </x:c>
      <x:c r="D1856">
        <x:v>87</x:v>
      </x:c>
      <x:c r="E1856" t="s">
        <x:v>103</x:v>
      </x:c>
      <x:c r="F1856" t="s">
        <x:v>97</x:v>
      </x:c>
      <x:c r="G1856">
        <x:v>41654</x:v>
      </x:c>
      <x:c r="H1856" t="s">
        <x:v>8479</x:v>
      </x:c>
      <x:c r="I1856" t="s">
        <x:v>8480</x:v>
      </x:c>
      <x:c r="J1856" t="s">
        <x:v>8481</x:v>
      </x:c>
    </x:row>
    <x:row r="1857">
      <x:c r="A1857" t="s">
        <x:v>8482</x:v>
      </x:c>
      <x:c r="B1857" t="s">
        <x:v>8482</x:v>
      </x:c>
      <x:c r="C1857" t="s">
        <x:v>8464</x:v>
      </x:c>
      <x:c r="D1857">
        <x:v>31</x:v>
      </x:c>
      <x:c r="E1857" t="s">
        <x:v>103</x:v>
      </x:c>
      <x:c r="F1857" t="s">
        <x:v>97</x:v>
      </x:c>
      <x:c r="G1857">
        <x:v>44041</x:v>
      </x:c>
      <x:c r="H1857" t="s">
        <x:v>8483</x:v>
      </x:c>
      <x:c r="I1857" t="s">
        <x:v>8484</x:v>
      </x:c>
      <x:c r="J1857" t="s">
        <x:v>8485</x:v>
      </x:c>
    </x:row>
    <x:row r="1858">
      <x:c r="A1858" t="s">
        <x:v>8486</x:v>
      </x:c>
      <x:c r="B1858" t="s">
        <x:v>8486</x:v>
      </x:c>
      <x:c r="C1858" t="s">
        <x:v>8464</x:v>
      </x:c>
      <x:c r="D1858">
        <x:v>33</x:v>
      </x:c>
      <x:c r="E1858" t="s">
        <x:v>96</x:v>
      </x:c>
      <x:c r="F1858" t="s">
        <x:v>97</x:v>
      </x:c>
      <x:c r="G1858">
        <x:v>44068</x:v>
      </x:c>
      <x:c r="H1858" t="s">
        <x:v>8487</x:v>
      </x:c>
      <x:c r="I1858" t="s">
        <x:v>8488</x:v>
      </x:c>
      <x:c r="J1858" t="s">
        <x:v>8489</x:v>
      </x:c>
    </x:row>
    <x:row r="1859">
      <x:c r="A1859" t="s">
        <x:v>8490</x:v>
      </x:c>
      <x:c r="B1859" t="s">
        <x:v>8490</x:v>
      </x:c>
      <x:c r="C1859" t="s">
        <x:v>8491</x:v>
      </x:c>
      <x:c r="D1859">
        <x:v>6</x:v>
      </x:c>
      <x:c r="E1859" t="s">
        <x:v>257</x:v>
      </x:c>
      <x:c r="F1859" t="s">
        <x:v>97</x:v>
      </x:c>
      <x:c r="G1859">
        <x:v>41531</x:v>
      </x:c>
      <x:c r="H1859" t="s">
        <x:v>8492</x:v>
      </x:c>
      <x:c r="I1859" t="s">
        <x:v>8493</x:v>
      </x:c>
      <x:c r="J1859" t="s">
        <x:v>8494</x:v>
      </x:c>
    </x:row>
    <x:row r="1860">
      <x:c r="A1860" t="s">
        <x:v>8495</x:v>
      </x:c>
      <x:c r="B1860" t="s">
        <x:v>8495</x:v>
      </x:c>
      <x:c r="C1860" t="s">
        <x:v>5854</x:v>
      </x:c>
      <x:c r="D1860">
        <x:v>14</x:v>
      </x:c>
      <x:c r="E1860" t="s">
        <x:v>257</x:v>
      </x:c>
      <x:c r="F1860" t="s">
        <x:v>97</x:v>
      </x:c>
      <x:c r="G1860">
        <x:v>41648</x:v>
      </x:c>
      <x:c r="H1860" t="s">
        <x:v>8496</x:v>
      </x:c>
      <x:c r="I1860" t="s">
        <x:v>8497</x:v>
      </x:c>
      <x:c r="J1860" t="s">
        <x:v>8498</x:v>
      </x:c>
    </x:row>
    <x:row r="1861">
      <x:c r="A1861" t="s">
        <x:v>8499</x:v>
      </x:c>
      <x:c r="B1861" t="s">
        <x:v>8500</x:v>
      </x:c>
      <x:c r="C1861" t="s">
        <x:v>8501</x:v>
      </x:c>
      <x:c r="D1861">
        <x:v>8</x:v>
      </x:c>
      <x:c r="E1861" t="s">
        <x:v>257</x:v>
      </x:c>
      <x:c r="F1861" t="s">
        <x:v>97</x:v>
      </x:c>
      <x:c r="G1861">
        <x:v>41544</x:v>
      </x:c>
      <x:c r="H1861" t="s">
        <x:v>8502</x:v>
      </x:c>
      <x:c r="I1861" t="s">
        <x:v>8503</x:v>
      </x:c>
      <x:c r="J1861" t="s">
        <x:v>8504</x:v>
      </x:c>
    </x:row>
    <x:row r="1862">
      <x:c r="A1862" t="s">
        <x:v>8505</x:v>
      </x:c>
      <x:c r="B1862" t="s">
        <x:v>8500</x:v>
      </x:c>
      <x:c r="C1862" t="s">
        <x:v>8506</x:v>
      </x:c>
      <x:c r="D1862">
        <x:v>0</x:v>
      </x:c>
      <x:c r="E1862" t="s">
        <x:v>103</x:v>
      </x:c>
      <x:c r="F1862" t="s">
        <x:v>97</x:v>
      </x:c>
      <x:c r="G1862">
        <x:v>42310</x:v>
      </x:c>
      <x:c r="H1862" t="s">
        <x:v>8507</x:v>
      </x:c>
      <x:c r="I1862" t="s">
        <x:v>8508</x:v>
      </x:c>
      <x:c r="J1862" t="s">
        <x:v>8509</x:v>
      </x:c>
    </x:row>
    <x:row r="1863">
      <x:c r="A1863" t="s">
        <x:v>8510</x:v>
      </x:c>
      <x:c r="B1863" t="s">
        <x:v>8510</x:v>
      </x:c>
      <x:c r="C1863" t="s">
        <x:v>8511</x:v>
      </x:c>
      <x:c r="D1863">
        <x:v>7</x:v>
      </x:c>
      <x:c r="E1863" t="s">
        <x:v>103</x:v>
      </x:c>
      <x:c r="F1863" t="s">
        <x:v>97</x:v>
      </x:c>
      <x:c r="G1863">
        <x:v>41666</x:v>
      </x:c>
      <x:c r="H1863" t="s">
        <x:v>8512</x:v>
      </x:c>
      <x:c r="I1863" t="s">
        <x:v>8513</x:v>
      </x:c>
      <x:c r="J1863" t="s">
        <x:v>8514</x:v>
      </x:c>
    </x:row>
    <x:row r="1864">
      <x:c r="A1864" t="s">
        <x:v>8515</x:v>
      </x:c>
      <x:c r="B1864" t="s">
        <x:v>8515</x:v>
      </x:c>
      <x:c r="C1864" t="s">
        <x:v>3252</x:v>
      </x:c>
      <x:c r="D1864">
        <x:v>12</x:v>
      </x:c>
      <x:c r="E1864" t="s">
        <x:v>96</x:v>
      </x:c>
      <x:c r="F1864" t="s">
        <x:v>90</x:v>
      </x:c>
      <x:c r="G1864">
        <x:v>46212</x:v>
      </x:c>
      <x:c r="H1864" t="s">
        <x:v>8516</x:v>
      </x:c>
      <x:c r="I1864" t="s">
        <x:v>8517</x:v>
      </x:c>
      <x:c r="J1864" t="s">
        <x:v>8518</x:v>
      </x:c>
    </x:row>
    <x:row r="1865">
      <x:c r="A1865" t="s">
        <x:v>8519</x:v>
      </x:c>
      <x:c r="B1865" t="s">
        <x:v>8519</x:v>
      </x:c>
      <x:c r="C1865" t="s">
        <x:v>8520</x:v>
      </x:c>
      <x:c r="D1865">
        <x:v>9</x:v>
      </x:c>
      <x:c r="E1865" t="s">
        <x:v>257</x:v>
      </x:c>
      <x:c r="F1865" t="s">
        <x:v>97</x:v>
      </x:c>
      <x:c r="G1865">
        <x:v>42279</x:v>
      </x:c>
      <x:c r="H1865" t="s">
        <x:v>8521</x:v>
      </x:c>
      <x:c r="I1865" t="s">
        <x:v>8522</x:v>
      </x:c>
      <x:c r="J1865" t="s">
        <x:v>8523</x:v>
      </x:c>
    </x:row>
    <x:row r="1866">
      <x:c r="A1866" t="s">
        <x:v>8524</x:v>
      </x:c>
      <x:c r="B1866" t="s">
        <x:v>8524</x:v>
      </x:c>
      <x:c r="C1866" t="s">
        <x:v>8525</x:v>
      </x:c>
      <x:c r="D1866">
        <x:v>20</x:v>
      </x:c>
      <x:c r="E1866" t="s">
        <x:v>198</x:v>
      </x:c>
      <x:c r="F1866" t="s">
        <x:v>90</x:v>
      </x:c>
      <x:c r="G1866">
        <x:v>43631</x:v>
      </x:c>
      <x:c r="H1866" t="s">
        <x:v>8526</x:v>
      </x:c>
      <x:c r="I1866" t="s">
        <x:v>8527</x:v>
      </x:c>
      <x:c r="J1866" t="s">
        <x:v>8528</x:v>
      </x:c>
    </x:row>
    <x:row r="1867">
      <x:c r="A1867" t="s">
        <x:v>8529</x:v>
      </x:c>
      <x:c r="B1867" t="s">
        <x:v>8529</x:v>
      </x:c>
      <x:c r="C1867" t="s">
        <x:v>2858</x:v>
      </x:c>
      <x:c r="D1867">
        <x:v>8</x:v>
      </x:c>
      <x:c r="E1867" t="s">
        <x:v>96</x:v>
      </x:c>
      <x:c r="F1867" t="s">
        <x:v>97</x:v>
      </x:c>
      <x:c r="G1867">
        <x:v>41541</x:v>
      </x:c>
      <x:c r="H1867" t="s">
        <x:v>8530</x:v>
      </x:c>
      <x:c r="I1867" t="s">
        <x:v>8531</x:v>
      </x:c>
      <x:c r="J1867" t="s">
        <x:v>8532</x:v>
      </x:c>
    </x:row>
    <x:row r="1868">
      <x:c r="A1868" t="s">
        <x:v>8533</x:v>
      </x:c>
      <x:c r="B1868" t="s">
        <x:v>8533</x:v>
      </x:c>
      <x:c r="C1868" t="s">
        <x:v>8534</x:v>
      </x:c>
      <x:c r="D1868">
        <x:v>7</x:v>
      </x:c>
      <x:c r="E1868" t="s">
        <x:v>103</x:v>
      </x:c>
      <x:c r="F1868" t="s">
        <x:v>97</x:v>
      </x:c>
      <x:c r="G1868">
        <x:v>42297</x:v>
      </x:c>
      <x:c r="H1868" t="s">
        <x:v>8535</x:v>
      </x:c>
      <x:c r="I1868" t="s">
        <x:v>8536</x:v>
      </x:c>
      <x:c r="J1868" t="s">
        <x:v>8537</x:v>
      </x:c>
    </x:row>
    <x:row r="1869">
      <x:c r="A1869" t="s">
        <x:v>8538</x:v>
      </x:c>
      <x:c r="B1869" t="s">
        <x:v>8538</x:v>
      </x:c>
      <x:c r="C1869" t="s">
        <x:v>4160</x:v>
      </x:c>
      <x:c r="D1869">
        <x:v>70</x:v>
      </x:c>
      <x:c r="E1869" t="s">
        <x:v>103</x:v>
      </x:c>
      <x:c r="F1869" t="s">
        <x:v>97</x:v>
      </x:c>
      <x:c r="G1869">
        <x:v>43910</x:v>
      </x:c>
      <x:c r="H1869" t="s">
        <x:v>8539</x:v>
      </x:c>
      <x:c r="I1869" t="s">
        <x:v>8540</x:v>
      </x:c>
      <x:c r="J1869" t="s">
        <x:v>8541</x:v>
      </x:c>
    </x:row>
    <x:row r="1870">
      <x:c r="A1870" t="s">
        <x:v>8542</x:v>
      </x:c>
      <x:c r="B1870" t="s">
        <x:v>8542</x:v>
      </x:c>
      <x:c r="C1870" t="s">
        <x:v>4160</x:v>
      </x:c>
      <x:c r="D1870">
        <x:v>19</x:v>
      </x:c>
      <x:c r="E1870" t="s">
        <x:v>103</x:v>
      </x:c>
      <x:c r="F1870" t="s">
        <x:v>97</x:v>
      </x:c>
      <x:c r="G1870">
        <x:v>46074</x:v>
      </x:c>
      <x:c r="H1870" t="s">
        <x:v>8543</x:v>
      </x:c>
      <x:c r="I1870" t="s">
        <x:v>8544</x:v>
      </x:c>
      <x:c r="J1870" t="s">
        <x:v>8545</x:v>
      </x:c>
    </x:row>
    <x:row r="1871">
      <x:c r="A1871" t="s">
        <x:v>8546</x:v>
      </x:c>
      <x:c r="B1871" t="s">
        <x:v>8546</x:v>
      </x:c>
      <x:c r="C1871" t="s">
        <x:v>8547</x:v>
      </x:c>
      <x:c r="D1871">
        <x:v>24</x:v>
      </x:c>
      <x:c r="E1871" t="s">
        <x:v>89</x:v>
      </x:c>
      <x:c r="F1871" t="s">
        <x:v>97</x:v>
      </x:c>
      <x:c r="G1871">
        <x:v>45192</x:v>
      </x:c>
      <x:c r="H1871" t="s">
        <x:v>8548</x:v>
      </x:c>
      <x:c r="I1871" t="s">
        <x:v>8549</x:v>
      </x:c>
      <x:c r="J1871" t="s">
        <x:v>8550</x:v>
      </x:c>
    </x:row>
    <x:row r="1872">
      <x:c r="A1872" t="s">
        <x:v>8551</x:v>
      </x:c>
      <x:c r="B1872" t="s">
        <x:v>8551</x:v>
      </x:c>
      <x:c r="C1872" t="s">
        <x:v>1535</x:v>
      </x:c>
      <x:c r="D1872">
        <x:v>24</x:v>
      </x:c>
      <x:c r="E1872" t="s">
        <x:v>96</x:v>
      </x:c>
      <x:c r="F1872" t="s">
        <x:v>97</x:v>
      </x:c>
      <x:c r="G1872">
        <x:v>42847</x:v>
      </x:c>
      <x:c r="H1872" t="s">
        <x:v>8552</x:v>
      </x:c>
      <x:c r="I1872" t="s">
        <x:v>8553</x:v>
      </x:c>
      <x:c r="J1872" t="s">
        <x:v>8554</x:v>
      </x:c>
    </x:row>
    <x:row r="1873">
      <x:c r="A1873" t="s">
        <x:v>8555</x:v>
      </x:c>
      <x:c r="B1873" t="s">
        <x:v>8555</x:v>
      </x:c>
      <x:c r="C1873" t="s">
        <x:v>8556</x:v>
      </x:c>
      <x:c r="D1873">
        <x:v>44</x:v>
      </x:c>
      <x:c r="E1873" t="s">
        <x:v>96</x:v>
      </x:c>
      <x:c r="F1873" t="s">
        <x:v>97</x:v>
      </x:c>
      <x:c r="G1873">
        <x:v>43861</x:v>
      </x:c>
      <x:c r="H1873" t="s">
        <x:v>8557</x:v>
      </x:c>
      <x:c r="I1873" t="s">
        <x:v>8558</x:v>
      </x:c>
      <x:c r="J1873" t="s">
        <x:v>8559</x:v>
      </x:c>
    </x:row>
    <x:row r="1874">
      <x:c r="A1874" t="s">
        <x:v>8560</x:v>
      </x:c>
      <x:c r="B1874" t="s">
        <x:v>8560</x:v>
      </x:c>
      <x:c r="C1874" t="s">
        <x:v>3295</x:v>
      </x:c>
      <x:c r="D1874">
        <x:v>8</x:v>
      </x:c>
      <x:c r="E1874" t="s">
        <x:v>103</x:v>
      </x:c>
      <x:c r="F1874" t="s">
        <x:v>97</x:v>
      </x:c>
      <x:c r="G1874">
        <x:v>43155</x:v>
      </x:c>
      <x:c r="H1874" t="s">
        <x:v>8561</x:v>
      </x:c>
      <x:c r="I1874" t="s">
        <x:v>8562</x:v>
      </x:c>
      <x:c r="J1874" t="s">
        <x:v>8563</x:v>
      </x:c>
    </x:row>
    <x:row r="1875">
      <x:c r="A1875" t="s">
        <x:v>8564</x:v>
      </x:c>
      <x:c r="B1875" t="s">
        <x:v>8564</x:v>
      </x:c>
      <x:c r="C1875" t="s">
        <x:v>3987</x:v>
      </x:c>
      <x:c r="D1875">
        <x:v>79</x:v>
      </x:c>
      <x:c r="E1875" t="s">
        <x:v>89</x:v>
      </x:c>
      <x:c r="F1875" t="s">
        <x:v>97</x:v>
      </x:c>
      <x:c r="G1875">
        <x:v>44213</x:v>
      </x:c>
      <x:c r="H1875" t="s">
        <x:v>8565</x:v>
      </x:c>
      <x:c r="I1875" t="s">
        <x:v>8566</x:v>
      </x:c>
      <x:c r="J1875" t="s">
        <x:v>8567</x:v>
      </x:c>
    </x:row>
    <x:row r="1876">
      <x:c r="A1876" t="s">
        <x:v>8568</x:v>
      </x:c>
      <x:c r="B1876" t="s">
        <x:v>8568</x:v>
      </x:c>
      <x:c r="C1876" t="s">
        <x:v>8569</x:v>
      </x:c>
      <x:c r="D1876">
        <x:v>29</x:v>
      </x:c>
      <x:c r="E1876" t="s">
        <x:v>103</x:v>
      </x:c>
      <x:c r="F1876" t="s">
        <x:v>97</x:v>
      </x:c>
      <x:c r="G1876">
        <x:v>42213</x:v>
      </x:c>
      <x:c r="H1876" t="s">
        <x:v>8570</x:v>
      </x:c>
      <x:c r="I1876" t="s">
        <x:v>8571</x:v>
      </x:c>
      <x:c r="J1876" t="s">
        <x:v>8572</x:v>
      </x:c>
    </x:row>
    <x:row r="1877">
      <x:c r="A1877" t="s">
        <x:v>8573</x:v>
      </x:c>
      <x:c r="B1877" t="s">
        <x:v>8573</x:v>
      </x:c>
      <x:c r="C1877" t="s">
        <x:v>8574</x:v>
      </x:c>
      <x:c r="D1877">
        <x:v>17</x:v>
      </x:c>
      <x:c r="E1877" t="s">
        <x:v>103</x:v>
      </x:c>
      <x:c r="F1877" t="s">
        <x:v>97</x:v>
      </x:c>
      <x:c r="G1877">
        <x:v>42223</x:v>
      </x:c>
      <x:c r="H1877" t="s">
        <x:v>8575</x:v>
      </x:c>
      <x:c r="I1877" t="s">
        <x:v>8576</x:v>
      </x:c>
      <x:c r="J1877" t="s">
        <x:v>8577</x:v>
      </x:c>
    </x:row>
    <x:row r="1878">
      <x:c r="A1878" t="s">
        <x:v>8578</x:v>
      </x:c>
      <x:c r="B1878" t="s">
        <x:v>8578</x:v>
      </x:c>
      <x:c r="C1878" t="s">
        <x:v>7644</x:v>
      </x:c>
      <x:c r="D1878">
        <x:v>5</x:v>
      </x:c>
      <x:c r="E1878" t="s">
        <x:v>257</x:v>
      </x:c>
      <x:c r="F1878" t="s">
        <x:v>97</x:v>
      </x:c>
      <x:c r="G1878">
        <x:v>41528</x:v>
      </x:c>
      <x:c r="H1878" t="s">
        <x:v>8579</x:v>
      </x:c>
      <x:c r="I1878" t="s">
        <x:v>8580</x:v>
      </x:c>
      <x:c r="J1878" t="s">
        <x:v>8581</x:v>
      </x:c>
    </x:row>
    <x:row r="1879">
      <x:c r="A1879" t="s">
        <x:v>8582</x:v>
      </x:c>
      <x:c r="B1879" t="s">
        <x:v>8582</x:v>
      </x:c>
      <x:c r="C1879" t="s">
        <x:v>8583</x:v>
      </x:c>
      <x:c r="D1879">
        <x:v>31</x:v>
      </x:c>
      <x:c r="E1879" t="s">
        <x:v>103</x:v>
      </x:c>
      <x:c r="F1879" t="s">
        <x:v>97</x:v>
      </x:c>
      <x:c r="G1879">
        <x:v>45333</x:v>
      </x:c>
      <x:c r="H1879" t="s">
        <x:v>8584</x:v>
      </x:c>
      <x:c r="I1879" t="s">
        <x:v>8585</x:v>
      </x:c>
      <x:c r="J1879" t="s">
        <x:v>8586</x:v>
      </x:c>
    </x:row>
    <x:row r="1880">
      <x:c r="A1880" t="s">
        <x:v>8587</x:v>
      </x:c>
      <x:c r="B1880" t="s">
        <x:v>8587</x:v>
      </x:c>
      <x:c r="C1880" t="s">
        <x:v>8474</x:v>
      </x:c>
      <x:c r="D1880">
        <x:v>22</x:v>
      </x:c>
      <x:c r="E1880" t="s">
        <x:v>96</x:v>
      </x:c>
      <x:c r="F1880" t="s">
        <x:v>97</x:v>
      </x:c>
      <x:c r="G1880">
        <x:v>41571</x:v>
      </x:c>
      <x:c r="H1880" t="s">
        <x:v>8588</x:v>
      </x:c>
      <x:c r="I1880" t="s">
        <x:v>8589</x:v>
      </x:c>
      <x:c r="J1880" t="s">
        <x:v>8590</x:v>
      </x:c>
    </x:row>
    <x:row r="1881">
      <x:c r="A1881" t="s">
        <x:v>8591</x:v>
      </x:c>
      <x:c r="B1881" t="s">
        <x:v>8591</x:v>
      </x:c>
      <x:c r="C1881" t="s">
        <x:v>8474</x:v>
      </x:c>
      <x:c r="D1881">
        <x:v>75</x:v>
      </x:c>
      <x:c r="E1881" t="s">
        <x:v>103</x:v>
      </x:c>
      <x:c r="F1881" t="s">
        <x:v>97</x:v>
      </x:c>
      <x:c r="G1881">
        <x:v>43271</x:v>
      </x:c>
      <x:c r="H1881" t="s">
        <x:v>8592</x:v>
      </x:c>
      <x:c r="I1881" t="s">
        <x:v>8593</x:v>
      </x:c>
      <x:c r="J1881" t="s">
        <x:v>8594</x:v>
      </x:c>
    </x:row>
    <x:row r="1882">
      <x:c r="A1882" t="s">
        <x:v>8595</x:v>
      </x:c>
      <x:c r="B1882" t="s">
        <x:v>8595</x:v>
      </x:c>
      <x:c r="C1882" t="s">
        <x:v>8596</x:v>
      </x:c>
      <x:c r="D1882">
        <x:v>120</x:v>
      </x:c>
      <x:c r="E1882" t="s">
        <x:v>89</x:v>
      </x:c>
      <x:c r="F1882" t="s">
        <x:v>97</x:v>
      </x:c>
      <x:c r="G1882">
        <x:v>46168</x:v>
      </x:c>
      <x:c r="H1882" t="s">
        <x:v>8597</x:v>
      </x:c>
      <x:c r="I1882" t="s">
        <x:v>8598</x:v>
      </x:c>
      <x:c r="J1882" t="s">
        <x:v>8599</x:v>
      </x:c>
    </x:row>
    <x:row r="1883">
      <x:c r="A1883" t="s">
        <x:v>8600</x:v>
      </x:c>
      <x:c r="B1883" t="s">
        <x:v>8600</x:v>
      </x:c>
      <x:c r="C1883" t="s">
        <x:v>8601</x:v>
      </x:c>
      <x:c r="D1883">
        <x:v>2</x:v>
      </x:c>
      <x:c r="E1883" t="s">
        <x:v>103</x:v>
      </x:c>
      <x:c r="F1883" t="s">
        <x:v>97</x:v>
      </x:c>
      <x:c r="G1883">
        <x:v>42209</x:v>
      </x:c>
      <x:c r="H1883" t="s">
        <x:v>8602</x:v>
      </x:c>
      <x:c r="I1883" t="s">
        <x:v>8603</x:v>
      </x:c>
      <x:c r="J1883" t="s">
        <x:v>8604</x:v>
      </x:c>
    </x:row>
    <x:row r="1884">
      <x:c r="A1884" t="s">
        <x:v>8605</x:v>
      </x:c>
      <x:c r="B1884" t="s">
        <x:v>8605</x:v>
      </x:c>
      <x:c r="C1884" t="s">
        <x:v>3591</x:v>
      </x:c>
      <x:c r="D1884">
        <x:v>19</x:v>
      </x:c>
      <x:c r="E1884" t="s">
        <x:v>103</x:v>
      </x:c>
      <x:c r="F1884" t="s">
        <x:v>97</x:v>
      </x:c>
      <x:c r="G1884">
        <x:v>42221</x:v>
      </x:c>
      <x:c r="H1884" t="s">
        <x:v>8606</x:v>
      </x:c>
      <x:c r="I1884" t="s">
        <x:v>8607</x:v>
      </x:c>
      <x:c r="J1884" t="s">
        <x:v>8608</x:v>
      </x:c>
    </x:row>
    <x:row r="1885">
      <x:c r="A1885" t="s">
        <x:v>8609</x:v>
      </x:c>
      <x:c r="B1885" t="s">
        <x:v>8609</x:v>
      </x:c>
      <x:c r="C1885" t="s">
        <x:v>1440</x:v>
      </x:c>
      <x:c r="D1885">
        <x:v>89</x:v>
      </x:c>
      <x:c r="E1885" t="s">
        <x:v>96</x:v>
      </x:c>
      <x:c r="F1885" t="s">
        <x:v>97</x:v>
      </x:c>
      <x:c r="G1885">
        <x:v>45364</x:v>
      </x:c>
      <x:c r="H1885" t="s">
        <x:v>8610</x:v>
      </x:c>
      <x:c r="I1885" t="s">
        <x:v>8611</x:v>
      </x:c>
      <x:c r="J1885" t="s">
        <x:v>8612</x:v>
      </x:c>
    </x:row>
    <x:row r="1886">
      <x:c r="A1886" t="s">
        <x:v>8613</x:v>
      </x:c>
      <x:c r="B1886" t="s">
        <x:v>8613</x:v>
      </x:c>
      <x:c r="C1886" t="s">
        <x:v>8614</x:v>
      </x:c>
      <x:c r="D1886">
        <x:v>14</x:v>
      </x:c>
      <x:c r="E1886" t="s">
        <x:v>103</x:v>
      </x:c>
      <x:c r="F1886" t="s">
        <x:v>97</x:v>
      </x:c>
      <x:c r="G1886">
        <x:v>42222</x:v>
      </x:c>
      <x:c r="H1886" t="s">
        <x:v>8615</x:v>
      </x:c>
      <x:c r="I1886" t="s">
        <x:v>8616</x:v>
      </x:c>
      <x:c r="J1886" t="s">
        <x:v>8617</x:v>
      </x:c>
    </x:row>
    <x:row r="1887">
      <x:c r="A1887" t="s">
        <x:v>8618</x:v>
      </x:c>
      <x:c r="B1887" t="s">
        <x:v>8618</x:v>
      </x:c>
      <x:c r="C1887" t="s">
        <x:v>8619</x:v>
      </x:c>
      <x:c r="D1887">
        <x:v>66</x:v>
      </x:c>
      <x:c r="E1887" t="s">
        <x:v>103</x:v>
      </x:c>
      <x:c r="F1887" t="s">
        <x:v>97</x:v>
      </x:c>
      <x:c r="G1887">
        <x:v>43338</x:v>
      </x:c>
      <x:c r="H1887" t="s">
        <x:v>8620</x:v>
      </x:c>
      <x:c r="I1887" t="s">
        <x:v>8621</x:v>
      </x:c>
      <x:c r="J1887" t="s">
        <x:v>8622</x:v>
      </x:c>
    </x:row>
    <x:row r="1888">
      <x:c r="A1888" t="s">
        <x:v>8623</x:v>
      </x:c>
      <x:c r="B1888" t="s">
        <x:v>8623</x:v>
      </x:c>
      <x:c r="C1888" t="s">
        <x:v>8624</x:v>
      </x:c>
      <x:c r="D1888">
        <x:v>24</x:v>
      </x:c>
      <x:c r="E1888" t="s">
        <x:v>103</x:v>
      </x:c>
      <x:c r="F1888" t="s">
        <x:v>97</x:v>
      </x:c>
      <x:c r="G1888">
        <x:v>42220</x:v>
      </x:c>
      <x:c r="H1888" t="s">
        <x:v>8625</x:v>
      </x:c>
      <x:c r="I1888" t="s">
        <x:v>8626</x:v>
      </x:c>
      <x:c r="J1888" t="s">
        <x:v>8627</x:v>
      </x:c>
    </x:row>
    <x:row r="1889">
      <x:c r="A1889" t="s">
        <x:v>8628</x:v>
      </x:c>
      <x:c r="B1889" t="s">
        <x:v>8628</x:v>
      </x:c>
      <x:c r="C1889" t="s">
        <x:v>6301</x:v>
      </x:c>
      <x:c r="D1889">
        <x:v>0</x:v>
      </x:c>
      <x:c r="E1889" t="s">
        <x:v>257</x:v>
      </x:c>
      <x:c r="F1889" t="s">
        <x:v>97</x:v>
      </x:c>
      <x:c r="G1889">
        <x:v>42213</x:v>
      </x:c>
      <x:c r="H1889" t="s">
        <x:v>8629</x:v>
      </x:c>
      <x:c r="I1889" t="s">
        <x:v>8630</x:v>
      </x:c>
      <x:c r="J1889" t="s">
        <x:v>8631</x:v>
      </x:c>
    </x:row>
    <x:row r="1890">
      <x:c r="A1890" t="s">
        <x:v>8632</x:v>
      </x:c>
      <x:c r="B1890" t="s">
        <x:v>8632</x:v>
      </x:c>
      <x:c r="C1890" t="s">
        <x:v>8619</x:v>
      </x:c>
      <x:c r="D1890">
        <x:v>70</x:v>
      </x:c>
      <x:c r="E1890" t="s">
        <x:v>103</x:v>
      </x:c>
      <x:c r="F1890" t="s">
        <x:v>97</x:v>
      </x:c>
      <x:c r="G1890">
        <x:v>41818</x:v>
      </x:c>
      <x:c r="H1890" t="s">
        <x:v>8633</x:v>
      </x:c>
      <x:c r="I1890" t="s">
        <x:v>8634</x:v>
      </x:c>
      <x:c r="J1890" t="s">
        <x:v>8635</x:v>
      </x:c>
    </x:row>
    <x:row r="1891">
      <x:c r="A1891" t="s">
        <x:v>8636</x:v>
      </x:c>
      <x:c r="B1891" t="s">
        <x:v>8636</x:v>
      </x:c>
      <x:c r="C1891" t="s">
        <x:v>3697</x:v>
      </x:c>
      <x:c r="D1891">
        <x:v>88</x:v>
      </x:c>
      <x:c r="E1891" t="s">
        <x:v>103</x:v>
      </x:c>
      <x:c r="F1891" t="s">
        <x:v>97</x:v>
      </x:c>
      <x:c r="G1891">
        <x:v>42218</x:v>
      </x:c>
      <x:c r="H1891" t="s">
        <x:v>8637</x:v>
      </x:c>
      <x:c r="I1891" t="s">
        <x:v>8638</x:v>
      </x:c>
      <x:c r="J1891" t="s">
        <x:v>8639</x:v>
      </x:c>
    </x:row>
    <x:row r="1892">
      <x:c r="A1892" t="s">
        <x:v>8640</x:v>
      </x:c>
      <x:c r="B1892" t="s">
        <x:v>8640</x:v>
      </x:c>
      <x:c r="C1892" t="s">
        <x:v>8641</x:v>
      </x:c>
      <x:c r="D1892">
        <x:v>27</x:v>
      </x:c>
      <x:c r="E1892" t="s">
        <x:v>96</x:v>
      </x:c>
      <x:c r="F1892" t="s">
        <x:v>97</x:v>
      </x:c>
      <x:c r="G1892">
        <x:v>41690</x:v>
      </x:c>
      <x:c r="H1892" t="s">
        <x:v>8642</x:v>
      </x:c>
      <x:c r="I1892" t="s">
        <x:v>8643</x:v>
      </x:c>
      <x:c r="J1892" t="s">
        <x:v>8644</x:v>
      </x:c>
    </x:row>
    <x:row r="1893">
      <x:c r="A1893" t="s">
        <x:v>8645</x:v>
      </x:c>
      <x:c r="B1893" t="s">
        <x:v>8645</x:v>
      </x:c>
      <x:c r="C1893" t="s">
        <x:v>5738</x:v>
      </x:c>
      <x:c r="D1893">
        <x:v>76</x:v>
      </x:c>
      <x:c r="E1893" t="s">
        <x:v>103</x:v>
      </x:c>
      <x:c r="F1893" t="s">
        <x:v>97</x:v>
      </x:c>
      <x:c r="G1893">
        <x:v>42280</x:v>
      </x:c>
      <x:c r="H1893" t="s">
        <x:v>8646</x:v>
      </x:c>
      <x:c r="I1893" t="s">
        <x:v>8647</x:v>
      </x:c>
      <x:c r="J1893" t="s">
        <x:v>8648</x:v>
      </x:c>
    </x:row>
    <x:row r="1894">
      <x:c r="A1894" t="s">
        <x:v>8649</x:v>
      </x:c>
      <x:c r="B1894" t="s">
        <x:v>8649</x:v>
      </x:c>
      <x:c r="C1894" t="s">
        <x:v>8650</x:v>
      </x:c>
      <x:c r="D1894">
        <x:v>18</x:v>
      </x:c>
      <x:c r="E1894" t="s">
        <x:v>103</x:v>
      </x:c>
      <x:c r="F1894" t="s">
        <x:v>97</x:v>
      </x:c>
      <x:c r="G1894">
        <x:v>44739</x:v>
      </x:c>
      <x:c r="H1894" t="s">
        <x:v>8651</x:v>
      </x:c>
      <x:c r="I1894" t="s">
        <x:v>8652</x:v>
      </x:c>
      <x:c r="J1894" t="s">
        <x:v>8653</x:v>
      </x:c>
    </x:row>
    <x:row r="1895">
      <x:c r="A1895" t="s">
        <x:v>8654</x:v>
      </x:c>
      <x:c r="B1895" t="s">
        <x:v>8654</x:v>
      </x:c>
      <x:c r="C1895" t="s">
        <x:v>543</x:v>
      </x:c>
      <x:c r="D1895">
        <x:v>85</x:v>
      </x:c>
      <x:c r="E1895" t="s">
        <x:v>257</x:v>
      </x:c>
      <x:c r="F1895" t="s">
        <x:v>97</x:v>
      </x:c>
      <x:c r="G1895">
        <x:v>42288</x:v>
      </x:c>
      <x:c r="H1895" t="s">
        <x:v>8655</x:v>
      </x:c>
      <x:c r="I1895" t="s">
        <x:v>8656</x:v>
      </x:c>
      <x:c r="J1895" t="s">
        <x:v>8657</x:v>
      </x:c>
    </x:row>
    <x:row r="1896">
      <x:c r="A1896" t="s">
        <x:v>8658</x:v>
      </x:c>
      <x:c r="B1896" t="s">
        <x:v>8658</x:v>
      </x:c>
      <x:c r="C1896" t="s">
        <x:v>3195</x:v>
      </x:c>
      <x:c r="D1896">
        <x:v>10</x:v>
      </x:c>
      <x:c r="E1896" t="s">
        <x:v>103</x:v>
      </x:c>
      <x:c r="F1896" t="s">
        <x:v>97</x:v>
      </x:c>
      <x:c r="G1896">
        <x:v>44190</x:v>
      </x:c>
      <x:c r="H1896" t="s">
        <x:v>8659</x:v>
      </x:c>
      <x:c r="I1896" t="s">
        <x:v>8660</x:v>
      </x:c>
      <x:c r="J1896" t="s">
        <x:v>8661</x:v>
      </x:c>
    </x:row>
    <x:row r="1897">
      <x:c r="A1897" t="s">
        <x:v>8662</x:v>
      </x:c>
      <x:c r="B1897" t="s">
        <x:v>8662</x:v>
      </x:c>
      <x:c r="C1897" t="s">
        <x:v>8619</x:v>
      </x:c>
      <x:c r="D1897">
        <x:v>8</x:v>
      </x:c>
      <x:c r="E1897" t="s">
        <x:v>257</x:v>
      </x:c>
      <x:c r="F1897" t="s">
        <x:v>97</x:v>
      </x:c>
      <x:c r="G1897">
        <x:v>41511</x:v>
      </x:c>
      <x:c r="H1897" t="s">
        <x:v>8663</x:v>
      </x:c>
      <x:c r="I1897" t="s">
        <x:v>8664</x:v>
      </x:c>
      <x:c r="J1897" t="s">
        <x:v>8665</x:v>
      </x:c>
    </x:row>
    <x:row r="1898">
      <x:c r="A1898" t="s">
        <x:v>8666</x:v>
      </x:c>
      <x:c r="B1898" t="s">
        <x:v>8666</x:v>
      </x:c>
      <x:c r="C1898" t="s">
        <x:v>2094</x:v>
      </x:c>
      <x:c r="D1898">
        <x:v>1</x:v>
      </x:c>
      <x:c r="E1898" t="s">
        <x:v>257</x:v>
      </x:c>
      <x:c r="F1898" t="s">
        <x:v>97</x:v>
      </x:c>
      <x:c r="G1898">
        <x:v>42207</x:v>
      </x:c>
      <x:c r="H1898" t="s">
        <x:v>8667</x:v>
      </x:c>
      <x:c r="I1898" t="s">
        <x:v>8668</x:v>
      </x:c>
      <x:c r="J1898" t="s">
        <x:v>8669</x:v>
      </x:c>
    </x:row>
    <x:row r="1899">
      <x:c r="A1899" t="s">
        <x:v>8670</x:v>
      </x:c>
      <x:c r="B1899" t="s">
        <x:v>8670</x:v>
      </x:c>
      <x:c r="C1899" t="s">
        <x:v>8671</x:v>
      </x:c>
      <x:c r="D1899">
        <x:v>42</x:v>
      </x:c>
      <x:c r="E1899" t="s">
        <x:v>103</x:v>
      </x:c>
      <x:c r="F1899" t="s">
        <x:v>97</x:v>
      </x:c>
      <x:c r="G1899">
        <x:v>42298</x:v>
      </x:c>
      <x:c r="H1899" t="s">
        <x:v>8672</x:v>
      </x:c>
      <x:c r="I1899" t="s">
        <x:v>8673</x:v>
      </x:c>
      <x:c r="J1899" t="s">
        <x:v>8674</x:v>
      </x:c>
    </x:row>
    <x:row r="1900">
      <x:c r="A1900" t="s">
        <x:v>8675</x:v>
      </x:c>
      <x:c r="B1900" t="s">
        <x:v>8675</x:v>
      </x:c>
      <x:c r="C1900" t="s">
        <x:v>8676</x:v>
      </x:c>
      <x:c r="D1900">
        <x:v>36</x:v>
      </x:c>
      <x:c r="E1900" t="s">
        <x:v>89</x:v>
      </x:c>
      <x:c r="F1900" t="s">
        <x:v>97</x:v>
      </x:c>
      <x:c r="G1900">
        <x:v>44558</x:v>
      </x:c>
      <x:c r="H1900" t="s">
        <x:v>8677</x:v>
      </x:c>
      <x:c r="I1900" t="s">
        <x:v>8678</x:v>
      </x:c>
      <x:c r="J1900" t="s">
        <x:v>8679</x:v>
      </x:c>
    </x:row>
    <x:row r="1901">
      <x:c r="A1901" t="s">
        <x:v>8680</x:v>
      </x:c>
      <x:c r="B1901" t="s">
        <x:v>8680</x:v>
      </x:c>
      <x:c r="C1901" t="s">
        <x:v>8681</x:v>
      </x:c>
      <x:c r="D1901">
        <x:v>61</x:v>
      </x:c>
      <x:c r="E1901" t="s">
        <x:v>103</x:v>
      </x:c>
      <x:c r="F1901" t="s">
        <x:v>97</x:v>
      </x:c>
      <x:c r="G1901">
        <x:v>44239</x:v>
      </x:c>
      <x:c r="H1901" t="s">
        <x:v>8682</x:v>
      </x:c>
      <x:c r="I1901" t="s">
        <x:v>8683</x:v>
      </x:c>
      <x:c r="J1901" t="s">
        <x:v>8684</x:v>
      </x:c>
    </x:row>
    <x:row r="1902">
      <x:c r="A1902" t="s">
        <x:v>8685</x:v>
      </x:c>
      <x:c r="B1902" t="s">
        <x:v>8685</x:v>
      </x:c>
      <x:c r="C1902" t="s">
        <x:v>8686</x:v>
      </x:c>
      <x:c r="D1902">
        <x:v>14</x:v>
      </x:c>
      <x:c r="E1902" t="s">
        <x:v>96</x:v>
      </x:c>
      <x:c r="F1902" t="s">
        <x:v>97</x:v>
      </x:c>
      <x:c r="G1902">
        <x:v>42306</x:v>
      </x:c>
      <x:c r="H1902" t="s">
        <x:v>8687</x:v>
      </x:c>
      <x:c r="I1902" t="s">
        <x:v>8688</x:v>
      </x:c>
      <x:c r="J1902" t="s">
        <x:v>8689</x:v>
      </x:c>
    </x:row>
    <x:row r="1903">
      <x:c r="A1903" t="s">
        <x:v>8690</x:v>
      </x:c>
      <x:c r="B1903" t="s">
        <x:v>8690</x:v>
      </x:c>
      <x:c r="C1903" t="s">
        <x:v>8474</x:v>
      </x:c>
      <x:c r="D1903">
        <x:v>120</x:v>
      </x:c>
      <x:c r="E1903" t="s">
        <x:v>103</x:v>
      </x:c>
      <x:c r="F1903" t="s">
        <x:v>97</x:v>
      </x:c>
      <x:c r="G1903">
        <x:v>41982</x:v>
      </x:c>
      <x:c r="H1903" t="s">
        <x:v>8691</x:v>
      </x:c>
      <x:c r="I1903" t="s">
        <x:v>8692</x:v>
      </x:c>
      <x:c r="J1903" t="s">
        <x:v>8693</x:v>
      </x:c>
    </x:row>
    <x:row r="1904">
      <x:c r="A1904" t="s">
        <x:v>8694</x:v>
      </x:c>
      <x:c r="B1904" t="s">
        <x:v>8694</x:v>
      </x:c>
      <x:c r="C1904" t="s">
        <x:v>8474</x:v>
      </x:c>
      <x:c r="D1904">
        <x:v>58</x:v>
      </x:c>
      <x:c r="E1904" t="s">
        <x:v>103</x:v>
      </x:c>
      <x:c r="F1904" t="s">
        <x:v>97</x:v>
      </x:c>
      <x:c r="G1904">
        <x:v>42091</x:v>
      </x:c>
      <x:c r="H1904" t="s">
        <x:v>8695</x:v>
      </x:c>
      <x:c r="I1904" t="s">
        <x:v>8696</x:v>
      </x:c>
      <x:c r="J1904" t="s">
        <x:v>8697</x:v>
      </x:c>
    </x:row>
    <x:row r="1905">
      <x:c r="A1905" t="s">
        <x:v>8698</x:v>
      </x:c>
      <x:c r="B1905" t="s">
        <x:v>8698</x:v>
      </x:c>
      <x:c r="C1905" t="s">
        <x:v>572</x:v>
      </x:c>
      <x:c r="D1905">
        <x:v>7</x:v>
      </x:c>
      <x:c r="E1905" t="s">
        <x:v>257</x:v>
      </x:c>
      <x:c r="F1905" t="s">
        <x:v>97</x:v>
      </x:c>
      <x:c r="G1905">
        <x:v>42279</x:v>
      </x:c>
      <x:c r="H1905" t="s">
        <x:v>8699</x:v>
      </x:c>
      <x:c r="I1905" t="s">
        <x:v>8700</x:v>
      </x:c>
      <x:c r="J1905" t="s">
        <x:v>8701</x:v>
      </x:c>
    </x:row>
    <x:row r="1906">
      <x:c r="A1906" t="s">
        <x:v>8702</x:v>
      </x:c>
      <x:c r="B1906" t="s">
        <x:v>8702</x:v>
      </x:c>
      <x:c r="C1906" t="s">
        <x:v>4352</x:v>
      </x:c>
      <x:c r="D1906">
        <x:v>7</x:v>
      </x:c>
      <x:c r="E1906" t="s">
        <x:v>103</x:v>
      </x:c>
      <x:c r="F1906" t="s">
        <x:v>97</x:v>
      </x:c>
      <x:c r="G1906">
        <x:v>42062</x:v>
      </x:c>
      <x:c r="H1906" t="s">
        <x:v>8703</x:v>
      </x:c>
      <x:c r="I1906" t="s">
        <x:v>8704</x:v>
      </x:c>
      <x:c r="J1906" t="s">
        <x:v>8705</x:v>
      </x:c>
    </x:row>
    <x:row r="1907">
      <x:c r="A1907" t="s">
        <x:v>8706</x:v>
      </x:c>
      <x:c r="B1907" t="s">
        <x:v>8706</x:v>
      </x:c>
      <x:c r="C1907" t="s">
        <x:v>3591</x:v>
      </x:c>
      <x:c r="D1907">
        <x:v>3</x:v>
      </x:c>
      <x:c r="E1907" t="s">
        <x:v>96</x:v>
      </x:c>
      <x:c r="F1907" t="s">
        <x:v>97</x:v>
      </x:c>
      <x:c r="G1907">
        <x:v>42323</x:v>
      </x:c>
      <x:c r="H1907" t="s">
        <x:v>8707</x:v>
      </x:c>
      <x:c r="I1907" t="s">
        <x:v>8708</x:v>
      </x:c>
      <x:c r="J1907" t="s">
        <x:v>8709</x:v>
      </x:c>
    </x:row>
    <x:row r="1908">
      <x:c r="A1908" t="s">
        <x:v>8710</x:v>
      </x:c>
      <x:c r="B1908" t="s">
        <x:v>8710</x:v>
      </x:c>
      <x:c r="C1908" t="s">
        <x:v>8711</x:v>
      </x:c>
      <x:c r="D1908">
        <x:v>32</x:v>
      </x:c>
      <x:c r="E1908" t="s">
        <x:v>257</x:v>
      </x:c>
      <x:c r="F1908" t="s">
        <x:v>97</x:v>
      </x:c>
      <x:c r="G1908">
        <x:v>42288</x:v>
      </x:c>
      <x:c r="H1908" t="s">
        <x:v>8712</x:v>
      </x:c>
      <x:c r="I1908" t="s">
        <x:v>8713</x:v>
      </x:c>
      <x:c r="J1908" t="s">
        <x:v>8714</x:v>
      </x:c>
    </x:row>
    <x:row r="1909">
      <x:c r="A1909" t="s">
        <x:v>8715</x:v>
      </x:c>
      <x:c r="B1909" t="s">
        <x:v>8715</x:v>
      </x:c>
      <x:c r="C1909" t="s">
        <x:v>7502</x:v>
      </x:c>
      <x:c r="D1909">
        <x:v>4</x:v>
      </x:c>
      <x:c r="E1909" t="s">
        <x:v>103</x:v>
      </x:c>
      <x:c r="F1909" t="s">
        <x:v>97</x:v>
      </x:c>
      <x:c r="G1909">
        <x:v>42345</x:v>
      </x:c>
      <x:c r="H1909" t="s">
        <x:v>8716</x:v>
      </x:c>
      <x:c r="I1909" t="s">
        <x:v>8717</x:v>
      </x:c>
      <x:c r="J1909" t="s">
        <x:v>8718</x:v>
      </x:c>
    </x:row>
    <x:row r="1910">
      <x:c r="A1910" t="s">
        <x:v>8719</x:v>
      </x:c>
      <x:c r="B1910" t="s">
        <x:v>8719</x:v>
      </x:c>
      <x:c r="C1910" t="s">
        <x:v>5389</x:v>
      </x:c>
      <x:c r="D1910">
        <x:v>17</x:v>
      </x:c>
      <x:c r="E1910" t="s">
        <x:v>257</x:v>
      </x:c>
      <x:c r="F1910" t="s">
        <x:v>97</x:v>
      </x:c>
      <x:c r="G1910">
        <x:v>41551</x:v>
      </x:c>
      <x:c r="H1910" t="s">
        <x:v>8720</x:v>
      </x:c>
      <x:c r="I1910" t="s">
        <x:v>8721</x:v>
      </x:c>
      <x:c r="J1910" t="s">
        <x:v>8722</x:v>
      </x:c>
    </x:row>
    <x:row r="1911">
      <x:c r="A1911" t="s">
        <x:v>8723</x:v>
      </x:c>
      <x:c r="B1911" t="s">
        <x:v>8723</x:v>
      </x:c>
      <x:c r="C1911" t="s">
        <x:v>8601</x:v>
      </x:c>
      <x:c r="D1911">
        <x:v>0</x:v>
      </x:c>
      <x:c r="E1911" t="s">
        <x:v>103</x:v>
      </x:c>
      <x:c r="F1911" t="s">
        <x:v>97</x:v>
      </x:c>
      <x:c r="G1911">
        <x:v>42222</x:v>
      </x:c>
      <x:c r="H1911" t="s">
        <x:v>8724</x:v>
      </x:c>
      <x:c r="I1911" t="s">
        <x:v>8725</x:v>
      </x:c>
      <x:c r="J1911" t="s">
        <x:v>8726</x:v>
      </x:c>
    </x:row>
    <x:row r="1912">
      <x:c r="A1912" t="s">
        <x:v>8727</x:v>
      </x:c>
      <x:c r="B1912" t="s">
        <x:v>8727</x:v>
      </x:c>
      <x:c r="C1912" t="s">
        <x:v>543</x:v>
      </x:c>
      <x:c r="D1912">
        <x:v>47</x:v>
      </x:c>
      <x:c r="E1912" t="s">
        <x:v>103</x:v>
      </x:c>
      <x:c r="F1912" t="s">
        <x:v>97</x:v>
      </x:c>
      <x:c r="G1912">
        <x:v>42947</x:v>
      </x:c>
      <x:c r="H1912" t="s">
        <x:v>8728</x:v>
      </x:c>
      <x:c r="I1912" t="s">
        <x:v>8729</x:v>
      </x:c>
      <x:c r="J1912" t="s">
        <x:v>8730</x:v>
      </x:c>
    </x:row>
    <x:row r="1913">
      <x:c r="A1913" t="s">
        <x:v>8731</x:v>
      </x:c>
      <x:c r="B1913" t="s">
        <x:v>8731</x:v>
      </x:c>
      <x:c r="C1913" t="s">
        <x:v>865</x:v>
      </x:c>
      <x:c r="D1913">
        <x:v>3</x:v>
      </x:c>
      <x:c r="E1913" t="s">
        <x:v>103</x:v>
      </x:c>
      <x:c r="F1913" t="s">
        <x:v>97</x:v>
      </x:c>
      <x:c r="G1913">
        <x:v>44652</x:v>
      </x:c>
      <x:c r="H1913" t="s">
        <x:v>8732</x:v>
      </x:c>
      <x:c r="I1913" t="s">
        <x:v>8733</x:v>
      </x:c>
      <x:c r="J1913" t="s">
        <x:v>8734</x:v>
      </x:c>
    </x:row>
    <x:row r="1914">
      <x:c r="A1914" t="s">
        <x:v>8735</x:v>
      </x:c>
      <x:c r="B1914" t="s">
        <x:v>8735</x:v>
      </x:c>
      <x:c r="C1914" t="s">
        <x:v>543</x:v>
      </x:c>
      <x:c r="D1914">
        <x:v>32</x:v>
      </x:c>
      <x:c r="E1914" t="s">
        <x:v>103</x:v>
      </x:c>
      <x:c r="F1914" t="s">
        <x:v>97</x:v>
      </x:c>
      <x:c r="G1914">
        <x:v>44324</x:v>
      </x:c>
      <x:c r="H1914" t="s">
        <x:v>8736</x:v>
      </x:c>
      <x:c r="I1914" t="s">
        <x:v>8737</x:v>
      </x:c>
      <x:c r="J1914" t="s">
        <x:v>8738</x:v>
      </x:c>
    </x:row>
    <x:row r="1915">
      <x:c r="A1915" t="s">
        <x:v>8739</x:v>
      </x:c>
      <x:c r="B1915" t="s">
        <x:v>8739</x:v>
      </x:c>
      <x:c r="C1915" t="s">
        <x:v>8740</x:v>
      </x:c>
      <x:c r="D1915">
        <x:v>9</x:v>
      </x:c>
      <x:c r="E1915" t="s">
        <x:v>103</x:v>
      </x:c>
      <x:c r="F1915" t="s">
        <x:v>97</x:v>
      </x:c>
      <x:c r="G1915">
        <x:v>42240</x:v>
      </x:c>
      <x:c r="H1915" t="s">
        <x:v>8741</x:v>
      </x:c>
      <x:c r="I1915" t="s">
        <x:v>8742</x:v>
      </x:c>
      <x:c r="J1915" t="s">
        <x:v>8743</x:v>
      </x:c>
    </x:row>
    <x:row r="1916">
      <x:c r="A1916" t="s">
        <x:v>8744</x:v>
      </x:c>
      <x:c r="B1916" t="s">
        <x:v>8744</x:v>
      </x:c>
      <x:c r="C1916" t="s">
        <x:v>8745</x:v>
      </x:c>
      <x:c r="D1916">
        <x:v>34</x:v>
      </x:c>
      <x:c r="E1916" t="s">
        <x:v>96</x:v>
      </x:c>
      <x:c r="F1916" t="s">
        <x:v>97</x:v>
      </x:c>
      <x:c r="G1916">
        <x:v>44383</x:v>
      </x:c>
      <x:c r="H1916" t="s">
        <x:v>8746</x:v>
      </x:c>
      <x:c r="I1916" t="s">
        <x:v>8747</x:v>
      </x:c>
      <x:c r="J1916" t="s">
        <x:v>8748</x:v>
      </x:c>
    </x:row>
    <x:row r="1917">
      <x:c r="A1917" t="s">
        <x:v>8749</x:v>
      </x:c>
      <x:c r="B1917" t="s">
        <x:v>8749</x:v>
      </x:c>
      <x:c r="C1917" t="s">
        <x:v>8750</x:v>
      </x:c>
      <x:c r="D1917">
        <x:v>7</x:v>
      </x:c>
      <x:c r="E1917" t="s">
        <x:v>103</x:v>
      </x:c>
      <x:c r="F1917" t="s">
        <x:v>97</x:v>
      </x:c>
      <x:c r="G1917">
        <x:v>43624</x:v>
      </x:c>
      <x:c r="H1917" t="s">
        <x:v>8751</x:v>
      </x:c>
      <x:c r="I1917" t="s">
        <x:v>8752</x:v>
      </x:c>
      <x:c r="J1917" t="s">
        <x:v>8753</x:v>
      </x:c>
    </x:row>
    <x:row r="1918">
      <x:c r="A1918" t="s">
        <x:v>8754</x:v>
      </x:c>
      <x:c r="B1918" t="s">
        <x:v>8754</x:v>
      </x:c>
      <x:c r="C1918" t="s">
        <x:v>8755</x:v>
      </x:c>
      <x:c r="D1918">
        <x:v>9</x:v>
      </x:c>
      <x:c r="E1918" t="s">
        <x:v>103</x:v>
      </x:c>
      <x:c r="F1918" t="s">
        <x:v>97</x:v>
      </x:c>
      <x:c r="G1918">
        <x:v>42065</x:v>
      </x:c>
      <x:c r="H1918" t="s">
        <x:v>8756</x:v>
      </x:c>
      <x:c r="I1918" t="s">
        <x:v>8757</x:v>
      </x:c>
      <x:c r="J1918" t="s">
        <x:v>8758</x:v>
      </x:c>
    </x:row>
    <x:row r="1919">
      <x:c r="A1919" t="s">
        <x:v>8759</x:v>
      </x:c>
      <x:c r="B1919" t="s">
        <x:v>8759</x:v>
      </x:c>
      <x:c r="C1919" t="s">
        <x:v>8760</x:v>
      </x:c>
      <x:c r="D1919">
        <x:v>46</x:v>
      </x:c>
      <x:c r="E1919" t="s">
        <x:v>103</x:v>
      </x:c>
      <x:c r="F1919" t="s">
        <x:v>97</x:v>
      </x:c>
      <x:c r="G1919">
        <x:v>42228</x:v>
      </x:c>
      <x:c r="H1919" t="s">
        <x:v>8761</x:v>
      </x:c>
      <x:c r="I1919" t="s">
        <x:v>8762</x:v>
      </x:c>
      <x:c r="J1919" t="s">
        <x:v>8763</x:v>
      </x:c>
    </x:row>
    <x:row r="1920">
      <x:c r="A1920" t="s">
        <x:v>8764</x:v>
      </x:c>
      <x:c r="B1920" t="s">
        <x:v>8764</x:v>
      </x:c>
      <x:c r="C1920" t="s">
        <x:v>4374</x:v>
      </x:c>
      <x:c r="D1920">
        <x:v>6</x:v>
      </x:c>
      <x:c r="E1920" t="s">
        <x:v>257</x:v>
      </x:c>
      <x:c r="F1920" t="s">
        <x:v>97</x:v>
      </x:c>
      <x:c r="G1920">
        <x:v>42246</x:v>
      </x:c>
      <x:c r="H1920" t="s">
        <x:v>8765</x:v>
      </x:c>
      <x:c r="I1920" t="s">
        <x:v>8766</x:v>
      </x:c>
      <x:c r="J1920" t="s">
        <x:v>8767</x:v>
      </x:c>
    </x:row>
    <x:row r="1921">
      <x:c r="A1921" t="s">
        <x:v>8768</x:v>
      </x:c>
      <x:c r="B1921" t="s">
        <x:v>8768</x:v>
      </x:c>
      <x:c r="C1921" t="s">
        <x:v>510</x:v>
      </x:c>
      <x:c r="D1921">
        <x:v>59</x:v>
      </x:c>
      <x:c r="E1921" t="s">
        <x:v>103</x:v>
      </x:c>
      <x:c r="F1921" t="s">
        <x:v>97</x:v>
      </x:c>
      <x:c r="G1921">
        <x:v>42726</x:v>
      </x:c>
      <x:c r="H1921" t="s">
        <x:v>8769</x:v>
      </x:c>
      <x:c r="I1921" t="s">
        <x:v>8770</x:v>
      </x:c>
      <x:c r="J1921" t="s">
        <x:v>8771</x:v>
      </x:c>
    </x:row>
    <x:row r="1922">
      <x:c r="A1922" t="s">
        <x:v>8772</x:v>
      </x:c>
      <x:c r="B1922" t="s">
        <x:v>8772</x:v>
      </x:c>
      <x:c r="C1922" t="s">
        <x:v>4533</x:v>
      </x:c>
      <x:c r="D1922">
        <x:v>48</x:v>
      </x:c>
      <x:c r="E1922" t="s">
        <x:v>103</x:v>
      </x:c>
      <x:c r="F1922" t="s">
        <x:v>97</x:v>
      </x:c>
      <x:c r="G1922">
        <x:v>46015</x:v>
      </x:c>
      <x:c r="H1922" t="s">
        <x:v>8773</x:v>
      </x:c>
      <x:c r="I1922" t="s">
        <x:v>8774</x:v>
      </x:c>
      <x:c r="J1922" t="s">
        <x:v>8775</x:v>
      </x:c>
    </x:row>
    <x:row r="1923">
      <x:c r="A1923" t="s">
        <x:v>8776</x:v>
      </x:c>
      <x:c r="B1923" t="s">
        <x:v>8776</x:v>
      </x:c>
      <x:c r="C1923" t="s">
        <x:v>8777</x:v>
      </x:c>
      <x:c r="D1923">
        <x:v>12</x:v>
      </x:c>
      <x:c r="E1923" t="s">
        <x:v>103</x:v>
      </x:c>
      <x:c r="F1923" t="s">
        <x:v>97</x:v>
      </x:c>
      <x:c r="G1923">
        <x:v>42873</x:v>
      </x:c>
      <x:c r="H1923" t="s">
        <x:v>8778</x:v>
      </x:c>
      <x:c r="I1923" t="s">
        <x:v>8779</x:v>
      </x:c>
      <x:c r="J1923" t="s">
        <x:v>8780</x:v>
      </x:c>
    </x:row>
    <x:row r="1924">
      <x:c r="A1924" t="s">
        <x:v>8781</x:v>
      </x:c>
      <x:c r="B1924" t="s">
        <x:v>8781</x:v>
      </x:c>
      <x:c r="C1924" t="s">
        <x:v>8782</x:v>
      </x:c>
      <x:c r="D1924">
        <x:v>25</x:v>
      </x:c>
      <x:c r="E1924" t="s">
        <x:v>257</x:v>
      </x:c>
      <x:c r="F1924" t="s">
        <x:v>97</x:v>
      </x:c>
      <x:c r="G1924">
        <x:v>42293</x:v>
      </x:c>
      <x:c r="H1924" t="s">
        <x:v>8783</x:v>
      </x:c>
      <x:c r="I1924" t="s">
        <x:v>8784</x:v>
      </x:c>
      <x:c r="J1924" t="s">
        <x:v>8785</x:v>
      </x:c>
    </x:row>
    <x:row r="1925">
      <x:c r="A1925" t="s">
        <x:v>8786</x:v>
      </x:c>
      <x:c r="B1925" t="s">
        <x:v>8786</x:v>
      </x:c>
      <x:c r="C1925" t="s">
        <x:v>8787</x:v>
      </x:c>
      <x:c r="D1925">
        <x:v>12</x:v>
      </x:c>
      <x:c r="E1925" t="s">
        <x:v>103</x:v>
      </x:c>
      <x:c r="F1925" t="s">
        <x:v>97</x:v>
      </x:c>
      <x:c r="G1925">
        <x:v>43726</x:v>
      </x:c>
      <x:c r="H1925" t="s">
        <x:v>8788</x:v>
      </x:c>
      <x:c r="I1925" t="s">
        <x:v>8789</x:v>
      </x:c>
      <x:c r="J1925" t="s">
        <x:v>8790</x:v>
      </x:c>
    </x:row>
    <x:row r="1926">
      <x:c r="A1926" t="s">
        <x:v>8791</x:v>
      </x:c>
      <x:c r="B1926" t="s">
        <x:v>8791</x:v>
      </x:c>
      <x:c r="C1926" t="s">
        <x:v>8792</x:v>
      </x:c>
      <x:c r="D1926">
        <x:v>7</x:v>
      </x:c>
      <x:c r="E1926" t="s">
        <x:v>103</x:v>
      </x:c>
      <x:c r="F1926" t="s">
        <x:v>97</x:v>
      </x:c>
      <x:c r="G1926">
        <x:v>42421</x:v>
      </x:c>
      <x:c r="H1926" t="s">
        <x:v>8793</x:v>
      </x:c>
      <x:c r="I1926" t="s">
        <x:v>8794</x:v>
      </x:c>
      <x:c r="J1926" t="s">
        <x:v>8795</x:v>
      </x:c>
    </x:row>
    <x:row r="1927">
      <x:c r="A1927" t="s">
        <x:v>8796</x:v>
      </x:c>
      <x:c r="B1927" t="s">
        <x:v>8796</x:v>
      </x:c>
      <x:c r="C1927" t="s">
        <x:v>5293</x:v>
      </x:c>
      <x:c r="D1927">
        <x:v>8</x:v>
      </x:c>
      <x:c r="E1927" t="s">
        <x:v>257</x:v>
      </x:c>
      <x:c r="F1927" t="s">
        <x:v>97</x:v>
      </x:c>
      <x:c r="G1927">
        <x:v>42314</x:v>
      </x:c>
      <x:c r="H1927" t="s">
        <x:v>8797</x:v>
      </x:c>
      <x:c r="I1927" t="s">
        <x:v>8798</x:v>
      </x:c>
      <x:c r="J1927" t="s">
        <x:v>8799</x:v>
      </x:c>
    </x:row>
    <x:row r="1928">
      <x:c r="A1928" t="s">
        <x:v>8800</x:v>
      </x:c>
      <x:c r="B1928" t="s">
        <x:v>8800</x:v>
      </x:c>
      <x:c r="C1928" t="s">
        <x:v>8801</x:v>
      </x:c>
      <x:c r="D1928">
        <x:v>73</x:v>
      </x:c>
      <x:c r="E1928" t="s">
        <x:v>96</x:v>
      </x:c>
      <x:c r="F1928" t="s">
        <x:v>97</x:v>
      </x:c>
      <x:c r="G1928">
        <x:v>44950</x:v>
      </x:c>
      <x:c r="H1928" t="s">
        <x:v>8802</x:v>
      </x:c>
      <x:c r="I1928" t="s">
        <x:v>8803</x:v>
      </x:c>
      <x:c r="J1928" t="s">
        <x:v>8804</x:v>
      </x:c>
    </x:row>
    <x:row r="1929">
      <x:c r="A1929" t="s">
        <x:v>8805</x:v>
      </x:c>
      <x:c r="B1929" t="s">
        <x:v>8805</x:v>
      </x:c>
      <x:c r="C1929" t="s">
        <x:v>8806</x:v>
      </x:c>
      <x:c r="D1929">
        <x:v>20</x:v>
      </x:c>
      <x:c r="E1929" t="s">
        <x:v>103</x:v>
      </x:c>
      <x:c r="F1929" t="s">
        <x:v>97</x:v>
      </x:c>
      <x:c r="G1929">
        <x:v>44384</x:v>
      </x:c>
      <x:c r="H1929" t="s">
        <x:v>8807</x:v>
      </x:c>
      <x:c r="I1929" t="s">
        <x:v>8808</x:v>
      </x:c>
      <x:c r="J1929" t="s">
        <x:v>8809</x:v>
      </x:c>
    </x:row>
    <x:row r="1930">
      <x:c r="A1930" t="s">
        <x:v>8810</x:v>
      </x:c>
      <x:c r="B1930" t="s">
        <x:v>8810</x:v>
      </x:c>
      <x:c r="C1930" t="s">
        <x:v>8811</x:v>
      </x:c>
      <x:c r="D1930">
        <x:v>10</x:v>
      </x:c>
      <x:c r="E1930" t="s">
        <x:v>96</x:v>
      </x:c>
      <x:c r="F1930" t="s">
        <x:v>97</x:v>
      </x:c>
      <x:c r="G1930">
        <x:v>45135</x:v>
      </x:c>
      <x:c r="H1930" t="s">
        <x:v>8812</x:v>
      </x:c>
      <x:c r="I1930" t="s">
        <x:v>8813</x:v>
      </x:c>
      <x:c r="J1930" t="s">
        <x:v>8814</x:v>
      </x:c>
    </x:row>
    <x:row r="1931">
      <x:c r="A1931" t="s">
        <x:v>8815</x:v>
      </x:c>
      <x:c r="B1931" t="s">
        <x:v>8815</x:v>
      </x:c>
      <x:c r="C1931" t="s">
        <x:v>8816</x:v>
      </x:c>
      <x:c r="D1931">
        <x:v>8</x:v>
      </x:c>
      <x:c r="E1931" t="s">
        <x:v>103</x:v>
      </x:c>
      <x:c r="F1931" t="s">
        <x:v>97</x:v>
      </x:c>
      <x:c r="G1931">
        <x:v>43558</x:v>
      </x:c>
      <x:c r="H1931" t="s">
        <x:v>8817</x:v>
      </x:c>
      <x:c r="I1931" t="s">
        <x:v>8818</x:v>
      </x:c>
      <x:c r="J1931" t="s">
        <x:v>8819</x:v>
      </x:c>
    </x:row>
    <x:row r="1932">
      <x:c r="A1932" t="s">
        <x:v>8820</x:v>
      </x:c>
      <x:c r="B1932" t="s">
        <x:v>8820</x:v>
      </x:c>
      <x:c r="C1932" t="s">
        <x:v>3061</x:v>
      </x:c>
      <x:c r="D1932">
        <x:v>28</x:v>
      </x:c>
      <x:c r="E1932" t="s">
        <x:v>89</x:v>
      </x:c>
      <x:c r="F1932" t="s">
        <x:v>90</x:v>
      </x:c>
      <x:c r="G1932">
        <x:v>44740</x:v>
      </x:c>
      <x:c r="H1932" t="s">
        <x:v>8821</x:v>
      </x:c>
      <x:c r="I1932" t="s">
        <x:v>8822</x:v>
      </x:c>
      <x:c r="J1932" t="s">
        <x:v>8823</x:v>
      </x:c>
    </x:row>
    <x:row r="1933">
      <x:c r="A1933" t="s">
        <x:v>8824</x:v>
      </x:c>
      <x:c r="B1933" t="s">
        <x:v>8824</x:v>
      </x:c>
      <x:c r="C1933" t="s">
        <x:v>5053</x:v>
      </x:c>
      <x:c r="D1933">
        <x:v>8</x:v>
      </x:c>
      <x:c r="E1933" t="s">
        <x:v>103</x:v>
      </x:c>
      <x:c r="F1933" t="s">
        <x:v>97</x:v>
      </x:c>
      <x:c r="G1933">
        <x:v>42846</x:v>
      </x:c>
      <x:c r="H1933" t="s">
        <x:v>8825</x:v>
      </x:c>
      <x:c r="I1933" t="s">
        <x:v>8826</x:v>
      </x:c>
      <x:c r="J1933" t="s">
        <x:v>8827</x:v>
      </x:c>
    </x:row>
    <x:row r="1934">
      <x:c r="A1934" t="s">
        <x:v>8828</x:v>
      </x:c>
      <x:c r="B1934" t="s">
        <x:v>8828</x:v>
      </x:c>
      <x:c r="C1934" t="s">
        <x:v>8464</x:v>
      </x:c>
      <x:c r="D1934">
        <x:v>33</x:v>
      </x:c>
      <x:c r="E1934" t="s">
        <x:v>96</x:v>
      </x:c>
      <x:c r="F1934" t="s">
        <x:v>97</x:v>
      </x:c>
      <x:c r="G1934">
        <x:v>44466</x:v>
      </x:c>
      <x:c r="H1934" t="s">
        <x:v>8829</x:v>
      </x:c>
      <x:c r="I1934" t="s">
        <x:v>8830</x:v>
      </x:c>
      <x:c r="J1934" t="s">
        <x:v>8831</x:v>
      </x:c>
    </x:row>
    <x:row r="1935">
      <x:c r="A1935" t="s">
        <x:v>8832</x:v>
      </x:c>
      <x:c r="B1935" t="s">
        <x:v>8832</x:v>
      </x:c>
      <x:c r="C1935" t="s">
        <x:v>8833</x:v>
      </x:c>
      <x:c r="D1935">
        <x:v>2</x:v>
      </x:c>
      <x:c r="E1935" t="s">
        <x:v>257</x:v>
      </x:c>
      <x:c r="F1935" t="s">
        <x:v>97</x:v>
      </x:c>
      <x:c r="G1935">
        <x:v>42037</x:v>
      </x:c>
      <x:c r="H1935" t="s">
        <x:v>8834</x:v>
      </x:c>
      <x:c r="I1935" t="s">
        <x:v>8835</x:v>
      </x:c>
      <x:c r="J1935" t="s">
        <x:v>8836</x:v>
      </x:c>
    </x:row>
    <x:row r="1936">
      <x:c r="A1936" t="s">
        <x:v>8837</x:v>
      </x:c>
      <x:c r="B1936" t="s">
        <x:v>8837</x:v>
      </x:c>
      <x:c r="C1936" t="s">
        <x:v>8838</x:v>
      </x:c>
      <x:c r="D1936">
        <x:v>57</x:v>
      </x:c>
      <x:c r="E1936" t="s">
        <x:v>96</x:v>
      </x:c>
      <x:c r="F1936" t="s">
        <x:v>97</x:v>
      </x:c>
      <x:c r="G1936">
        <x:v>45215</x:v>
      </x:c>
      <x:c r="H1936" t="s">
        <x:v>8839</x:v>
      </x:c>
      <x:c r="I1936" t="s">
        <x:v>8840</x:v>
      </x:c>
      <x:c r="J1936" t="s">
        <x:v>8841</x:v>
      </x:c>
    </x:row>
    <x:row r="1937">
      <x:c r="A1937" t="s">
        <x:v>8842</x:v>
      </x:c>
      <x:c r="B1937" t="s">
        <x:v>8842</x:v>
      </x:c>
      <x:c r="C1937" t="s">
        <x:v>8843</x:v>
      </x:c>
      <x:c r="D1937">
        <x:v>19</x:v>
      </x:c>
      <x:c r="E1937" t="s">
        <x:v>103</x:v>
      </x:c>
      <x:c r="F1937" t="s">
        <x:v>97</x:v>
      </x:c>
      <x:c r="G1937">
        <x:v>42282</x:v>
      </x:c>
      <x:c r="H1937" t="s">
        <x:v>8844</x:v>
      </x:c>
      <x:c r="I1937" t="s">
        <x:v>8845</x:v>
      </x:c>
      <x:c r="J1937" t="s">
        <x:v>8846</x:v>
      </x:c>
    </x:row>
    <x:row r="1938">
      <x:c r="A1938" t="s">
        <x:v>8847</x:v>
      </x:c>
      <x:c r="B1938" t="s">
        <x:v>8847</x:v>
      </x:c>
      <x:c r="C1938" t="s">
        <x:v>4886</x:v>
      </x:c>
      <x:c r="D1938">
        <x:v>32</x:v>
      </x:c>
      <x:c r="E1938" t="s">
        <x:v>103</x:v>
      </x:c>
      <x:c r="F1938" t="s">
        <x:v>97</x:v>
      </x:c>
      <x:c r="G1938">
        <x:v>41814</x:v>
      </x:c>
      <x:c r="H1938" t="s">
        <x:v>8848</x:v>
      </x:c>
      <x:c r="I1938" t="s">
        <x:v>8849</x:v>
      </x:c>
      <x:c r="J1938" t="s">
        <x:v>8850</x:v>
      </x:c>
    </x:row>
    <x:row r="1939">
      <x:c r="A1939" t="s">
        <x:v>8851</x:v>
      </x:c>
      <x:c r="B1939" t="s">
        <x:v>8851</x:v>
      </x:c>
      <x:c r="C1939" t="s">
        <x:v>4886</x:v>
      </x:c>
      <x:c r="D1939">
        <x:v>7</x:v>
      </x:c>
      <x:c r="E1939" t="s">
        <x:v>257</x:v>
      </x:c>
      <x:c r="F1939" t="s">
        <x:v>97</x:v>
      </x:c>
      <x:c r="G1939">
        <x:v>41819</x:v>
      </x:c>
      <x:c r="H1939" t="s">
        <x:v>8852</x:v>
      </x:c>
      <x:c r="I1939" t="s">
        <x:v>8853</x:v>
      </x:c>
      <x:c r="J1939" t="s">
        <x:v>8854</x:v>
      </x:c>
    </x:row>
    <x:row r="1940">
      <x:c r="A1940" t="s">
        <x:v>8855</x:v>
      </x:c>
      <x:c r="B1940" t="s">
        <x:v>8855</x:v>
      </x:c>
      <x:c r="C1940" t="s">
        <x:v>2137</x:v>
      </x:c>
      <x:c r="D1940">
        <x:v>5</x:v>
      </x:c>
      <x:c r="E1940" t="s">
        <x:v>96</x:v>
      </x:c>
      <x:c r="F1940" t="s">
        <x:v>97</x:v>
      </x:c>
      <x:c r="G1940">
        <x:v>42160</x:v>
      </x:c>
      <x:c r="H1940" t="s">
        <x:v>8856</x:v>
      </x:c>
      <x:c r="I1940" t="s">
        <x:v>8857</x:v>
      </x:c>
      <x:c r="J1940" t="s">
        <x:v>8858</x:v>
      </x:c>
    </x:row>
    <x:row r="1941">
      <x:c r="A1941" t="s">
        <x:v>8859</x:v>
      </x:c>
      <x:c r="B1941" t="s">
        <x:v>8859</x:v>
      </x:c>
      <x:c r="C1941" t="s">
        <x:v>8860</x:v>
      </x:c>
      <x:c r="D1941">
        <x:v>4</x:v>
      </x:c>
      <x:c r="E1941" t="s">
        <x:v>257</x:v>
      </x:c>
      <x:c r="F1941" t="s">
        <x:v>97</x:v>
      </x:c>
      <x:c r="G1941">
        <x:v>43123</x:v>
      </x:c>
      <x:c r="H1941" t="s">
        <x:v>8861</x:v>
      </x:c>
      <x:c r="I1941" t="s">
        <x:v>8862</x:v>
      </x:c>
      <x:c r="J1941" t="s">
        <x:v>8863</x:v>
      </x:c>
    </x:row>
    <x:row r="1942">
      <x:c r="A1942" t="s">
        <x:v>8864</x:v>
      </x:c>
      <x:c r="B1942" t="s">
        <x:v>8864</x:v>
      </x:c>
      <x:c r="C1942" t="s">
        <x:v>8865</x:v>
      </x:c>
      <x:c r="D1942">
        <x:v>2</x:v>
      </x:c>
      <x:c r="E1942" t="s">
        <x:v>96</x:v>
      </x:c>
      <x:c r="F1942" t="s">
        <x:v>97</x:v>
      </x:c>
      <x:c r="G1942">
        <x:v>42044</x:v>
      </x:c>
      <x:c r="H1942" t="s">
        <x:v>8866</x:v>
      </x:c>
      <x:c r="I1942" t="s">
        <x:v>8867</x:v>
      </x:c>
      <x:c r="J1942" t="s">
        <x:v>8868</x:v>
      </x:c>
    </x:row>
    <x:row r="1943">
      <x:c r="A1943" t="s">
        <x:v>8869</x:v>
      </x:c>
      <x:c r="B1943" t="s">
        <x:v>8869</x:v>
      </x:c>
      <x:c r="C1943" t="s">
        <x:v>8870</x:v>
      </x:c>
      <x:c r="D1943">
        <x:v>13</x:v>
      </x:c>
      <x:c r="E1943" t="s">
        <x:v>103</x:v>
      </x:c>
      <x:c r="F1943" t="s">
        <x:v>97</x:v>
      </x:c>
      <x:c r="G1943">
        <x:v>41559</x:v>
      </x:c>
      <x:c r="H1943" t="s">
        <x:v>8871</x:v>
      </x:c>
      <x:c r="I1943" t="s">
        <x:v>8872</x:v>
      </x:c>
      <x:c r="J1943" t="s">
        <x:v>8873</x:v>
      </x:c>
    </x:row>
    <x:row r="1944">
      <x:c r="A1944" t="s">
        <x:v>8874</x:v>
      </x:c>
      <x:c r="B1944" t="s">
        <x:v>8874</x:v>
      </x:c>
      <x:c r="C1944" t="s">
        <x:v>2277</x:v>
      </x:c>
      <x:c r="D1944">
        <x:v>53</x:v>
      </x:c>
      <x:c r="E1944" t="s">
        <x:v>103</x:v>
      </x:c>
      <x:c r="F1944" t="s">
        <x:v>97</x:v>
      </x:c>
      <x:c r="G1944">
        <x:v>42308</x:v>
      </x:c>
      <x:c r="H1944" t="s">
        <x:v>8875</x:v>
      </x:c>
      <x:c r="I1944" t="s">
        <x:v>8876</x:v>
      </x:c>
      <x:c r="J1944" t="s">
        <x:v>8877</x:v>
      </x:c>
    </x:row>
    <x:row r="1945">
      <x:c r="A1945" t="s">
        <x:v>8878</x:v>
      </x:c>
      <x:c r="B1945" t="s">
        <x:v>8878</x:v>
      </x:c>
      <x:c r="C1945" t="s">
        <x:v>8879</x:v>
      </x:c>
      <x:c r="D1945">
        <x:v>114</x:v>
      </x:c>
      <x:c r="E1945" t="s">
        <x:v>198</x:v>
      </x:c>
      <x:c r="F1945" t="s">
        <x:v>97</x:v>
      </x:c>
      <x:c r="G1945">
        <x:v>43690</x:v>
      </x:c>
      <x:c r="H1945" t="s">
        <x:v>8880</x:v>
      </x:c>
      <x:c r="I1945" t="s">
        <x:v>8881</x:v>
      </x:c>
      <x:c r="J1945" t="s">
        <x:v>8882</x:v>
      </x:c>
    </x:row>
    <x:row r="1946">
      <x:c r="A1946" t="s">
        <x:v>8883</x:v>
      </x:c>
      <x:c r="B1946" t="s">
        <x:v>8883</x:v>
      </x:c>
      <x:c r="C1946" t="s">
        <x:v>8879</x:v>
      </x:c>
      <x:c r="D1946">
        <x:v>114</x:v>
      </x:c>
      <x:c r="E1946" t="s">
        <x:v>89</x:v>
      </x:c>
      <x:c r="F1946" t="s">
        <x:v>97</x:v>
      </x:c>
      <x:c r="G1946">
        <x:v>43575</x:v>
      </x:c>
      <x:c r="H1946" t="s">
        <x:v>8884</x:v>
      </x:c>
      <x:c r="I1946" t="s">
        <x:v>8885</x:v>
      </x:c>
      <x:c r="J1946" t="s">
        <x:v>8886</x:v>
      </x:c>
    </x:row>
    <x:row r="1947">
      <x:c r="A1947" t="s">
        <x:v>8887</x:v>
      </x:c>
      <x:c r="B1947" t="s">
        <x:v>8887</x:v>
      </x:c>
      <x:c r="C1947" t="s">
        <x:v>8888</x:v>
      </x:c>
      <x:c r="D1947">
        <x:v>8</x:v>
      </x:c>
      <x:c r="E1947" t="s">
        <x:v>257</x:v>
      </x:c>
      <x:c r="F1947" t="s">
        <x:v>97</x:v>
      </x:c>
      <x:c r="G1947">
        <x:v>42066</x:v>
      </x:c>
      <x:c r="H1947" t="s">
        <x:v>8889</x:v>
      </x:c>
      <x:c r="I1947" t="s">
        <x:v>8890</x:v>
      </x:c>
      <x:c r="J1947" t="s">
        <x:v>8891</x:v>
      </x:c>
    </x:row>
    <x:row r="1948">
      <x:c r="A1948" t="s">
        <x:v>8892</x:v>
      </x:c>
      <x:c r="B1948" t="s">
        <x:v>8892</x:v>
      </x:c>
      <x:c r="C1948" t="s">
        <x:v>8893</x:v>
      </x:c>
      <x:c r="D1948">
        <x:v>13</x:v>
      </x:c>
      <x:c r="E1948" t="s">
        <x:v>103</x:v>
      </x:c>
      <x:c r="F1948" t="s">
        <x:v>97</x:v>
      </x:c>
      <x:c r="G1948">
        <x:v>41895</x:v>
      </x:c>
      <x:c r="H1948" t="s">
        <x:v>8894</x:v>
      </x:c>
      <x:c r="I1948" t="s">
        <x:v>8895</x:v>
      </x:c>
      <x:c r="J1948" t="s">
        <x:v>8896</x:v>
      </x:c>
    </x:row>
    <x:row r="1949">
      <x:c r="A1949" t="s">
        <x:v>8897</x:v>
      </x:c>
      <x:c r="B1949" t="s">
        <x:v>8897</x:v>
      </x:c>
      <x:c r="C1949" t="s">
        <x:v>5738</x:v>
      </x:c>
      <x:c r="D1949">
        <x:v>57</x:v>
      </x:c>
      <x:c r="E1949" t="s">
        <x:v>96</x:v>
      </x:c>
      <x:c r="F1949" t="s">
        <x:v>97</x:v>
      </x:c>
      <x:c r="G1949">
        <x:v>42607</x:v>
      </x:c>
      <x:c r="H1949" t="s">
        <x:v>8898</x:v>
      </x:c>
      <x:c r="I1949" t="s">
        <x:v>8899</x:v>
      </x:c>
      <x:c r="J1949" t="s">
        <x:v>8900</x:v>
      </x:c>
    </x:row>
    <x:row r="1950">
      <x:c r="A1950" t="s">
        <x:v>8901</x:v>
      </x:c>
      <x:c r="B1950" t="s">
        <x:v>8901</x:v>
      </x:c>
      <x:c r="C1950" t="s">
        <x:v>543</x:v>
      </x:c>
      <x:c r="D1950">
        <x:v>70</x:v>
      </x:c>
      <x:c r="E1950" t="s">
        <x:v>103</x:v>
      </x:c>
      <x:c r="F1950" t="s">
        <x:v>97</x:v>
      </x:c>
      <x:c r="G1950">
        <x:v>42502</x:v>
      </x:c>
      <x:c r="H1950" t="s">
        <x:v>8902</x:v>
      </x:c>
      <x:c r="I1950" t="s">
        <x:v>8903</x:v>
      </x:c>
      <x:c r="J1950" t="s">
        <x:v>8904</x:v>
      </x:c>
    </x:row>
    <x:row r="1951">
      <x:c r="A1951" t="s">
        <x:v>8905</x:v>
      </x:c>
      <x:c r="B1951" t="s">
        <x:v>8905</x:v>
      </x:c>
      <x:c r="C1951" t="s">
        <x:v>5738</x:v>
      </x:c>
      <x:c r="D1951">
        <x:v>28</x:v>
      </x:c>
      <x:c r="E1951" t="s">
        <x:v>103</x:v>
      </x:c>
      <x:c r="F1951" t="s">
        <x:v>97</x:v>
      </x:c>
      <x:c r="G1951">
        <x:v>42329</x:v>
      </x:c>
      <x:c r="H1951" t="s">
        <x:v>8906</x:v>
      </x:c>
      <x:c r="I1951" t="s">
        <x:v>8907</x:v>
      </x:c>
      <x:c r="J1951" t="s">
        <x:v>8908</x:v>
      </x:c>
    </x:row>
    <x:row r="1952">
      <x:c r="A1952" t="s">
        <x:v>8909</x:v>
      </x:c>
      <x:c r="B1952" t="s">
        <x:v>8909</x:v>
      </x:c>
      <x:c r="C1952" t="s">
        <x:v>8910</x:v>
      </x:c>
      <x:c r="D1952">
        <x:v>3</x:v>
      </x:c>
      <x:c r="E1952" t="s">
        <x:v>257</x:v>
      </x:c>
      <x:c r="F1952" t="s">
        <x:v>97</x:v>
      </x:c>
      <x:c r="G1952">
        <x:v>42153</x:v>
      </x:c>
      <x:c r="H1952" t="s">
        <x:v>8911</x:v>
      </x:c>
      <x:c r="I1952" t="s">
        <x:v>8912</x:v>
      </x:c>
      <x:c r="J1952" t="s">
        <x:v>8913</x:v>
      </x:c>
    </x:row>
    <x:row r="1953">
      <x:c r="A1953" t="s">
        <x:v>8914</x:v>
      </x:c>
      <x:c r="B1953" t="s">
        <x:v>8914</x:v>
      </x:c>
      <x:c r="C1953" t="s">
        <x:v>491</x:v>
      </x:c>
      <x:c r="D1953">
        <x:v>13</x:v>
      </x:c>
      <x:c r="E1953" t="s">
        <x:v>103</x:v>
      </x:c>
      <x:c r="F1953" t="s">
        <x:v>97</x:v>
      </x:c>
      <x:c r="G1953">
        <x:v>45497</x:v>
      </x:c>
      <x:c r="H1953" t="s">
        <x:v>8915</x:v>
      </x:c>
      <x:c r="I1953" t="s">
        <x:v>8916</x:v>
      </x:c>
      <x:c r="J1953" t="s">
        <x:v>8917</x:v>
      </x:c>
    </x:row>
    <x:row r="1954">
      <x:c r="A1954" t="s">
        <x:v>8918</x:v>
      </x:c>
      <x:c r="B1954" t="s">
        <x:v>8918</x:v>
      </x:c>
      <x:c r="C1954" t="s">
        <x:v>8919</x:v>
      </x:c>
      <x:c r="D1954">
        <x:v>140</x:v>
      </x:c>
      <x:c r="E1954" t="s">
        <x:v>96</x:v>
      </x:c>
      <x:c r="F1954" t="s">
        <x:v>97</x:v>
      </x:c>
      <x:c r="G1954">
        <x:v>43247</x:v>
      </x:c>
      <x:c r="H1954" t="s">
        <x:v>8920</x:v>
      </x:c>
      <x:c r="I1954" t="s">
        <x:v>8921</x:v>
      </x:c>
      <x:c r="J1954" t="s">
        <x:v>8922</x:v>
      </x:c>
    </x:row>
    <x:row r="1955">
      <x:c r="A1955" t="s">
        <x:v>8923</x:v>
      </x:c>
      <x:c r="B1955" t="s">
        <x:v>8923</x:v>
      </x:c>
      <x:c r="C1955" t="s">
        <x:v>8924</x:v>
      </x:c>
      <x:c r="D1955">
        <x:v>94</x:v>
      </x:c>
      <x:c r="E1955" t="s">
        <x:v>103</x:v>
      </x:c>
      <x:c r="F1955" t="s">
        <x:v>2469</x:v>
      </x:c>
      <x:c r="G1955">
        <x:v>43121</x:v>
      </x:c>
      <x:c r="H1955" t="s">
        <x:v>8925</x:v>
      </x:c>
      <x:c r="I1955" t="s">
        <x:v>8926</x:v>
      </x:c>
      <x:c r="J1955" t="s">
        <x:v>8927</x:v>
      </x:c>
    </x:row>
    <x:row r="1956">
      <x:c r="A1956" t="s">
        <x:v>8928</x:v>
      </x:c>
      <x:c r="B1956" t="s">
        <x:v>8928</x:v>
      </x:c>
      <x:c r="C1956" t="s">
        <x:v>8929</x:v>
      </x:c>
      <x:c r="D1956">
        <x:v>16</x:v>
      </x:c>
      <x:c r="E1956" t="s">
        <x:v>103</x:v>
      </x:c>
      <x:c r="F1956" t="s">
        <x:v>97</x:v>
      </x:c>
      <x:c r="G1956">
        <x:v>42312</x:v>
      </x:c>
      <x:c r="H1956" t="s">
        <x:v>8930</x:v>
      </x:c>
      <x:c r="I1956" t="s">
        <x:v>8931</x:v>
      </x:c>
      <x:c r="J1956" t="s">
        <x:v>8932</x:v>
      </x:c>
    </x:row>
    <x:row r="1957">
      <x:c r="A1957" t="s">
        <x:v>8933</x:v>
      </x:c>
      <x:c r="B1957" t="s">
        <x:v>8933</x:v>
      </x:c>
      <x:c r="C1957" t="s">
        <x:v>8934</x:v>
      </x:c>
      <x:c r="D1957">
        <x:v>10</x:v>
      </x:c>
      <x:c r="E1957" t="s">
        <x:v>89</x:v>
      </x:c>
      <x:c r="F1957" t="s">
        <x:v>97</x:v>
      </x:c>
      <x:c r="G1957">
        <x:v>42964</x:v>
      </x:c>
      <x:c r="H1957" t="s">
        <x:v>8935</x:v>
      </x:c>
      <x:c r="I1957" t="s">
        <x:v>8936</x:v>
      </x:c>
      <x:c r="J1957" t="s">
        <x:v>8937</x:v>
      </x:c>
    </x:row>
    <x:row r="1958">
      <x:c r="A1958" t="s">
        <x:v>8938</x:v>
      </x:c>
      <x:c r="B1958" t="s">
        <x:v>8938</x:v>
      </x:c>
      <x:c r="C1958" t="s">
        <x:v>8939</x:v>
      </x:c>
      <x:c r="D1958">
        <x:v>21</x:v>
      </x:c>
      <x:c r="E1958" t="s">
        <x:v>198</x:v>
      </x:c>
      <x:c r="F1958" t="s">
        <x:v>152</x:v>
      </x:c>
      <x:c r="G1958">
        <x:v>46063</x:v>
      </x:c>
      <x:c r="H1958" t="s">
        <x:v>8940</x:v>
      </x:c>
      <x:c r="I1958" t="s">
        <x:v>8941</x:v>
      </x:c>
      <x:c r="J1958" t="s">
        <x:v>8942</x:v>
      </x:c>
    </x:row>
    <x:row r="1959">
      <x:c r="A1959" t="s">
        <x:v>8943</x:v>
      </x:c>
      <x:c r="B1959" t="s">
        <x:v>8943</x:v>
      </x:c>
      <x:c r="C1959" t="s">
        <x:v>8944</x:v>
      </x:c>
      <x:c r="D1959">
        <x:v>9</x:v>
      </x:c>
      <x:c r="E1959" t="s">
        <x:v>103</x:v>
      </x:c>
      <x:c r="F1959" t="s">
        <x:v>97</x:v>
      </x:c>
      <x:c r="G1959">
        <x:v>46136</x:v>
      </x:c>
      <x:c r="H1959" t="s">
        <x:v>8945</x:v>
      </x:c>
      <x:c r="I1959" t="s">
        <x:v>8946</x:v>
      </x:c>
      <x:c r="J1959" t="s">
        <x:v>8947</x:v>
      </x:c>
    </x:row>
    <x:row r="1960">
      <x:c r="A1960" t="s">
        <x:v>8948</x:v>
      </x:c>
      <x:c r="B1960" t="s">
        <x:v>8948</x:v>
      </x:c>
      <x:c r="C1960" t="s">
        <x:v>8949</x:v>
      </x:c>
      <x:c r="D1960">
        <x:v>4</x:v>
      </x:c>
      <x:c r="E1960" t="s">
        <x:v>257</x:v>
      </x:c>
      <x:c r="F1960" t="s">
        <x:v>97</x:v>
      </x:c>
      <x:c r="G1960">
        <x:v>42338</x:v>
      </x:c>
      <x:c r="H1960" t="s">
        <x:v>8950</x:v>
      </x:c>
      <x:c r="I1960" t="s">
        <x:v>8951</x:v>
      </x:c>
      <x:c r="J1960" t="s">
        <x:v>8952</x:v>
      </x:c>
    </x:row>
    <x:row r="1961">
      <x:c r="A1961" t="s">
        <x:v>8953</x:v>
      </x:c>
      <x:c r="B1961" t="s">
        <x:v>8953</x:v>
      </x:c>
      <x:c r="C1961" t="s">
        <x:v>7549</x:v>
      </x:c>
      <x:c r="D1961">
        <x:v>36</x:v>
      </x:c>
      <x:c r="E1961" t="s">
        <x:v>103</x:v>
      </x:c>
      <x:c r="F1961" t="s">
        <x:v>97</x:v>
      </x:c>
      <x:c r="G1961">
        <x:v>42215</x:v>
      </x:c>
      <x:c r="H1961" t="s">
        <x:v>8954</x:v>
      </x:c>
      <x:c r="I1961" t="s">
        <x:v>8955</x:v>
      </x:c>
      <x:c r="J1961" t="s">
        <x:v>8956</x:v>
      </x:c>
    </x:row>
    <x:row r="1962">
      <x:c r="A1962" t="s">
        <x:v>8957</x:v>
      </x:c>
      <x:c r="B1962" t="s">
        <x:v>8957</x:v>
      </x:c>
      <x:c r="C1962" t="s">
        <x:v>8958</x:v>
      </x:c>
      <x:c r="D1962">
        <x:v>20</x:v>
      </x:c>
      <x:c r="E1962" t="s">
        <x:v>103</x:v>
      </x:c>
      <x:c r="F1962" t="s">
        <x:v>97</x:v>
      </x:c>
      <x:c r="G1962">
        <x:v>41448</x:v>
      </x:c>
      <x:c r="H1962" t="s">
        <x:v>8959</x:v>
      </x:c>
      <x:c r="I1962" t="s">
        <x:v>8960</x:v>
      </x:c>
      <x:c r="J1962" t="s">
        <x:v>8961</x:v>
      </x:c>
    </x:row>
    <x:row r="1963">
      <x:c r="A1963" t="s">
        <x:v>8962</x:v>
      </x:c>
      <x:c r="B1963" t="s">
        <x:v>8962</x:v>
      </x:c>
      <x:c r="C1963" t="s">
        <x:v>8963</x:v>
      </x:c>
      <x:c r="D1963">
        <x:v>100</x:v>
      </x:c>
      <x:c r="E1963" t="s">
        <x:v>96</x:v>
      </x:c>
      <x:c r="F1963" t="s">
        <x:v>97</x:v>
      </x:c>
      <x:c r="G1963">
        <x:v>41531</x:v>
      </x:c>
      <x:c r="H1963" t="s">
        <x:v>8964</x:v>
      </x:c>
      <x:c r="I1963" t="s">
        <x:v>8965</x:v>
      </x:c>
      <x:c r="J1963" t="s">
        <x:v>8966</x:v>
      </x:c>
    </x:row>
    <x:row r="1964">
      <x:c r="A1964" t="s">
        <x:v>8967</x:v>
      </x:c>
      <x:c r="B1964" t="s">
        <x:v>8967</x:v>
      </x:c>
      <x:c r="C1964" t="s">
        <x:v>543</x:v>
      </x:c>
      <x:c r="D1964">
        <x:v>20</x:v>
      </x:c>
      <x:c r="E1964" t="s">
        <x:v>103</x:v>
      </x:c>
      <x:c r="F1964" t="s">
        <x:v>97</x:v>
      </x:c>
      <x:c r="G1964">
        <x:v>43961</x:v>
      </x:c>
      <x:c r="H1964" t="s">
        <x:v>8968</x:v>
      </x:c>
      <x:c r="I1964" t="s">
        <x:v>8969</x:v>
      </x:c>
      <x:c r="J1964" t="s">
        <x:v>8970</x:v>
      </x:c>
    </x:row>
    <x:row r="1965">
      <x:c r="A1965" t="s">
        <x:v>8971</x:v>
      </x:c>
      <x:c r="B1965" t="s">
        <x:v>8971</x:v>
      </x:c>
      <x:c r="C1965" t="s">
        <x:v>8972</x:v>
      </x:c>
      <x:c r="D1965">
        <x:v>13</x:v>
      </x:c>
      <x:c r="E1965" t="s">
        <x:v>198</x:v>
      </x:c>
      <x:c r="F1965" t="s">
        <x:v>90</x:v>
      </x:c>
      <x:c r="G1965">
        <x:v>43260</x:v>
      </x:c>
      <x:c r="H1965" t="s">
        <x:v>8973</x:v>
      </x:c>
      <x:c r="I1965" t="s">
        <x:v>8974</x:v>
      </x:c>
      <x:c r="J1965" t="s">
        <x:v>8975</x:v>
      </x:c>
    </x:row>
    <x:row r="1966">
      <x:c r="A1966" t="s">
        <x:v>8976</x:v>
      </x:c>
      <x:c r="B1966" t="s">
        <x:v>8976</x:v>
      </x:c>
      <x:c r="C1966" t="s">
        <x:v>4197</x:v>
      </x:c>
      <x:c r="D1966">
        <x:v>7</x:v>
      </x:c>
      <x:c r="E1966" t="s">
        <x:v>198</x:v>
      </x:c>
      <x:c r="F1966" t="s">
        <x:v>90</x:v>
      </x:c>
      <x:c r="G1966">
        <x:v>43017</x:v>
      </x:c>
      <x:c r="H1966" t="s">
        <x:v>8977</x:v>
      </x:c>
      <x:c r="I1966" t="s">
        <x:v>8978</x:v>
      </x:c>
      <x:c r="J1966" t="s">
        <x:v>8979</x:v>
      </x:c>
    </x:row>
    <x:row r="1967">
      <x:c r="A1967" t="s">
        <x:v>8980</x:v>
      </x:c>
      <x:c r="B1967" t="s">
        <x:v>8980</x:v>
      </x:c>
      <x:c r="C1967" t="s">
        <x:v>8981</x:v>
      </x:c>
      <x:c r="D1967">
        <x:v>81</x:v>
      </x:c>
      <x:c r="E1967" t="s">
        <x:v>96</x:v>
      </x:c>
      <x:c r="F1967" t="s">
        <x:v>97</x:v>
      </x:c>
      <x:c r="G1967">
        <x:v>41531</x:v>
      </x:c>
      <x:c r="H1967" t="s">
        <x:v>8982</x:v>
      </x:c>
      <x:c r="I1967" t="s">
        <x:v>8983</x:v>
      </x:c>
      <x:c r="J1967" t="s">
        <x:v>8984</x:v>
      </x:c>
    </x:row>
    <x:row r="1968">
      <x:c r="A1968" t="s">
        <x:v>8985</x:v>
      </x:c>
      <x:c r="B1968" t="s">
        <x:v>8985</x:v>
      </x:c>
      <x:c r="C1968" t="s">
        <x:v>8986</x:v>
      </x:c>
      <x:c r="D1968">
        <x:v>7</x:v>
      </x:c>
      <x:c r="E1968" t="s">
        <x:v>103</x:v>
      </x:c>
      <x:c r="F1968" t="s">
        <x:v>97</x:v>
      </x:c>
      <x:c r="G1968">
        <x:v>41517</x:v>
      </x:c>
      <x:c r="H1968" t="s">
        <x:v>8987</x:v>
      </x:c>
      <x:c r="I1968" t="s">
        <x:v>8988</x:v>
      </x:c>
      <x:c r="J1968" t="s">
        <x:v>8989</x:v>
      </x:c>
    </x:row>
    <x:row r="1969">
      <x:c r="A1969" t="s">
        <x:v>8990</x:v>
      </x:c>
      <x:c r="B1969" t="s">
        <x:v>8990</x:v>
      </x:c>
      <x:c r="C1969" t="s">
        <x:v>6477</x:v>
      </x:c>
      <x:c r="D1969">
        <x:v>19</x:v>
      </x:c>
      <x:c r="E1969" t="s">
        <x:v>103</x:v>
      </x:c>
      <x:c r="F1969" t="s">
        <x:v>97</x:v>
      </x:c>
      <x:c r="G1969">
        <x:v>42166</x:v>
      </x:c>
      <x:c r="H1969" t="s">
        <x:v>8991</x:v>
      </x:c>
      <x:c r="I1969" t="s">
        <x:v>8992</x:v>
      </x:c>
      <x:c r="J1969" t="s">
        <x:v>8993</x:v>
      </x:c>
    </x:row>
    <x:row r="1970">
      <x:c r="A1970" t="s">
        <x:v>8994</x:v>
      </x:c>
      <x:c r="B1970" t="s">
        <x:v>8994</x:v>
      </x:c>
      <x:c r="C1970" t="s">
        <x:v>8995</x:v>
      </x:c>
      <x:c r="D1970">
        <x:v>88</x:v>
      </x:c>
      <x:c r="E1970" t="s">
        <x:v>89</x:v>
      </x:c>
      <x:c r="F1970" t="s">
        <x:v>97</x:v>
      </x:c>
      <x:c r="G1970">
        <x:v>44208</x:v>
      </x:c>
      <x:c r="H1970" t="s">
        <x:v>8996</x:v>
      </x:c>
      <x:c r="I1970" t="s">
        <x:v>8997</x:v>
      </x:c>
      <x:c r="J1970" t="s">
        <x:v>8998</x:v>
      </x:c>
    </x:row>
    <x:row r="1971">
      <x:c r="A1971" t="s">
        <x:v>8999</x:v>
      </x:c>
      <x:c r="B1971" t="s">
        <x:v>8999</x:v>
      </x:c>
      <x:c r="C1971" t="s">
        <x:v>5298</x:v>
      </x:c>
      <x:c r="D1971">
        <x:v>62</x:v>
      </x:c>
      <x:c r="E1971" t="s">
        <x:v>103</x:v>
      </x:c>
      <x:c r="F1971" t="s">
        <x:v>97</x:v>
      </x:c>
      <x:c r="G1971">
        <x:v>42304</x:v>
      </x:c>
      <x:c r="H1971" t="s">
        <x:v>9000</x:v>
      </x:c>
      <x:c r="I1971" t="s">
        <x:v>9001</x:v>
      </x:c>
      <x:c r="J1971" t="s">
        <x:v>9002</x:v>
      </x:c>
    </x:row>
    <x:row r="1972">
      <x:c r="A1972" t="s">
        <x:v>9003</x:v>
      </x:c>
      <x:c r="B1972" t="s">
        <x:v>9003</x:v>
      </x:c>
      <x:c r="C1972" t="s">
        <x:v>9004</x:v>
      </x:c>
      <x:c r="D1972">
        <x:v>12</x:v>
      </x:c>
      <x:c r="E1972" t="s">
        <x:v>103</x:v>
      </x:c>
      <x:c r="F1972" t="s">
        <x:v>97</x:v>
      </x:c>
      <x:c r="G1972">
        <x:v>42065</x:v>
      </x:c>
      <x:c r="H1972" t="s">
        <x:v>9005</x:v>
      </x:c>
      <x:c r="I1972" t="s">
        <x:v>9006</x:v>
      </x:c>
      <x:c r="J1972" t="s">
        <x:v>9007</x:v>
      </x:c>
    </x:row>
    <x:row r="1973">
      <x:c r="A1973" t="s">
        <x:v>9008</x:v>
      </x:c>
      <x:c r="B1973" t="s">
        <x:v>9008</x:v>
      </x:c>
      <x:c r="C1973" t="s">
        <x:v>9009</x:v>
      </x:c>
      <x:c r="D1973">
        <x:v>8</x:v>
      </x:c>
      <x:c r="E1973" t="s">
        <x:v>103</x:v>
      </x:c>
      <x:c r="F1973" t="s">
        <x:v>97</x:v>
      </x:c>
      <x:c r="G1973">
        <x:v>41517</x:v>
      </x:c>
      <x:c r="H1973" t="s">
        <x:v>9010</x:v>
      </x:c>
      <x:c r="I1973" t="s">
        <x:v>9011</x:v>
      </x:c>
      <x:c r="J1973" t="s">
        <x:v>9012</x:v>
      </x:c>
    </x:row>
    <x:row r="1974">
      <x:c r="A1974" t="s">
        <x:v>9013</x:v>
      </x:c>
      <x:c r="B1974" t="s">
        <x:v>9013</x:v>
      </x:c>
      <x:c r="C1974" t="s">
        <x:v>9014</x:v>
      </x:c>
      <x:c r="D1974">
        <x:v>34</x:v>
      </x:c>
      <x:c r="E1974" t="s">
        <x:v>103</x:v>
      </x:c>
      <x:c r="F1974" t="s">
        <x:v>97</x:v>
      </x:c>
      <x:c r="G1974">
        <x:v>43281</x:v>
      </x:c>
      <x:c r="H1974" t="s">
        <x:v>9015</x:v>
      </x:c>
      <x:c r="I1974" t="s">
        <x:v>9016</x:v>
      </x:c>
      <x:c r="J1974" t="s">
        <x:v>9017</x:v>
      </x:c>
    </x:row>
    <x:row r="1975">
      <x:c r="A1975" t="s">
        <x:v>9018</x:v>
      </x:c>
      <x:c r="B1975" t="s">
        <x:v>9018</x:v>
      </x:c>
      <x:c r="C1975" t="s">
        <x:v>9014</x:v>
      </x:c>
      <x:c r="D1975">
        <x:v>32</x:v>
      </x:c>
      <x:c r="E1975" t="s">
        <x:v>96</x:v>
      </x:c>
      <x:c r="F1975" t="s">
        <x:v>97</x:v>
      </x:c>
      <x:c r="G1975">
        <x:v>44242</x:v>
      </x:c>
      <x:c r="H1975" t="s">
        <x:v>9019</x:v>
      </x:c>
      <x:c r="I1975" t="s">
        <x:v>9020</x:v>
      </x:c>
      <x:c r="J1975" t="s">
        <x:v>9021</x:v>
      </x:c>
    </x:row>
    <x:row r="1976">
      <x:c r="A1976" t="s">
        <x:v>9022</x:v>
      </x:c>
      <x:c r="B1976" t="s">
        <x:v>9022</x:v>
      </x:c>
      <x:c r="C1976" t="s">
        <x:v>5011</x:v>
      </x:c>
      <x:c r="D1976">
        <x:v>30</x:v>
      </x:c>
      <x:c r="E1976" t="s">
        <x:v>96</x:v>
      </x:c>
      <x:c r="F1976" t="s">
        <x:v>97</x:v>
      </x:c>
      <x:c r="G1976">
        <x:v>45206</x:v>
      </x:c>
      <x:c r="H1976" t="s">
        <x:v>9023</x:v>
      </x:c>
      <x:c r="I1976" t="s">
        <x:v>9024</x:v>
      </x:c>
      <x:c r="J1976" t="s">
        <x:v>9025</x:v>
      </x:c>
    </x:row>
    <x:row r="1977">
      <x:c r="A1977" t="s">
        <x:v>9026</x:v>
      </x:c>
      <x:c r="B1977" t="s">
        <x:v>9026</x:v>
      </x:c>
      <x:c r="C1977" t="s">
        <x:v>543</x:v>
      </x:c>
      <x:c r="D1977">
        <x:v>96</x:v>
      </x:c>
      <x:c r="E1977" t="s">
        <x:v>257</x:v>
      </x:c>
      <x:c r="F1977" t="s">
        <x:v>97</x:v>
      </x:c>
      <x:c r="G1977">
        <x:v>42292</x:v>
      </x:c>
      <x:c r="H1977" t="s">
        <x:v>9027</x:v>
      </x:c>
      <x:c r="I1977" t="s">
        <x:v>9028</x:v>
      </x:c>
      <x:c r="J1977" t="s">
        <x:v>9029</x:v>
      </x:c>
    </x:row>
    <x:row r="1978">
      <x:c r="A1978" t="s">
        <x:v>9030</x:v>
      </x:c>
      <x:c r="B1978" t="s">
        <x:v>9030</x:v>
      </x:c>
      <x:c r="C1978" t="s">
        <x:v>4746</x:v>
      </x:c>
      <x:c r="D1978">
        <x:v>1</x:v>
      </x:c>
      <x:c r="E1978" t="s">
        <x:v>114</x:v>
      </x:c>
      <x:c r="F1978" t="s">
        <x:v>90</x:v>
      </x:c>
      <x:c r="G1978">
        <x:v>45487</x:v>
      </x:c>
      <x:c r="H1978" t="s">
        <x:v>9031</x:v>
      </x:c>
      <x:c r="I1978" t="s">
        <x:v>9032</x:v>
      </x:c>
      <x:c r="J1978" t="s">
        <x:v>9033</x:v>
      </x:c>
    </x:row>
    <x:row r="1979">
      <x:c r="A1979" t="s">
        <x:v>9034</x:v>
      </x:c>
      <x:c r="B1979" t="s">
        <x:v>9034</x:v>
      </x:c>
      <x:c r="C1979" t="s">
        <x:v>9035</x:v>
      </x:c>
      <x:c r="D1979">
        <x:v>20</x:v>
      </x:c>
      <x:c r="E1979" t="s">
        <x:v>103</x:v>
      </x:c>
      <x:c r="F1979" t="s">
        <x:v>97</x:v>
      </x:c>
      <x:c r="G1979">
        <x:v>45980</x:v>
      </x:c>
      <x:c r="H1979" t="s">
        <x:v>9036</x:v>
      </x:c>
      <x:c r="I1979" t="s">
        <x:v>9037</x:v>
      </x:c>
      <x:c r="J1979" t="s">
        <x:v>9038</x:v>
      </x:c>
    </x:row>
    <x:row r="1980">
      <x:c r="A1980" t="s">
        <x:v>9039</x:v>
      </x:c>
      <x:c r="B1980" t="s">
        <x:v>9039</x:v>
      </x:c>
      <x:c r="C1980" t="s">
        <x:v>9040</x:v>
      </x:c>
      <x:c r="D1980">
        <x:v>8</x:v>
      </x:c>
      <x:c r="E1980" t="s">
        <x:v>103</x:v>
      </x:c>
      <x:c r="F1980" t="s">
        <x:v>97</x:v>
      </x:c>
      <x:c r="G1980">
        <x:v>42209</x:v>
      </x:c>
      <x:c r="H1980" t="s">
        <x:v>9041</x:v>
      </x:c>
      <x:c r="I1980" t="s">
        <x:v>9042</x:v>
      </x:c>
      <x:c r="J1980" t="s">
        <x:v>9043</x:v>
      </x:c>
    </x:row>
    <x:row r="1981">
      <x:c r="A1981" t="s">
        <x:v>9044</x:v>
      </x:c>
      <x:c r="B1981" t="s">
        <x:v>9044</x:v>
      </x:c>
      <x:c r="C1981" t="s">
        <x:v>9045</x:v>
      </x:c>
      <x:c r="D1981">
        <x:v>6</x:v>
      </x:c>
      <x:c r="E1981" t="s">
        <x:v>257</x:v>
      </x:c>
      <x:c r="F1981" t="s">
        <x:v>97</x:v>
      </x:c>
      <x:c r="G1981">
        <x:v>41530</x:v>
      </x:c>
      <x:c r="H1981" t="s">
        <x:v>9046</x:v>
      </x:c>
      <x:c r="I1981" t="s">
        <x:v>9047</x:v>
      </x:c>
      <x:c r="J1981" t="s">
        <x:v>9048</x:v>
      </x:c>
    </x:row>
    <x:row r="1982">
      <x:c r="A1982" t="s">
        <x:v>9049</x:v>
      </x:c>
      <x:c r="B1982" t="s">
        <x:v>9049</x:v>
      </x:c>
      <x:c r="C1982" t="s">
        <x:v>9050</x:v>
      </x:c>
      <x:c r="D1982">
        <x:v>75</x:v>
      </x:c>
      <x:c r="E1982" t="s">
        <x:v>103</x:v>
      </x:c>
      <x:c r="F1982" t="s">
        <x:v>97</x:v>
      </x:c>
      <x:c r="G1982">
        <x:v>44693</x:v>
      </x:c>
      <x:c r="H1982" t="s">
        <x:v>9051</x:v>
      </x:c>
      <x:c r="I1982" t="s">
        <x:v>9052</x:v>
      </x:c>
      <x:c r="J1982" t="s">
        <x:v>9053</x:v>
      </x:c>
    </x:row>
    <x:row r="1983">
      <x:c r="A1983" t="s">
        <x:v>9054</x:v>
      </x:c>
      <x:c r="B1983" t="s">
        <x:v>9054</x:v>
      </x:c>
      <x:c r="C1983" t="s">
        <x:v>9055</x:v>
      </x:c>
      <x:c r="D1983">
        <x:v>17</x:v>
      </x:c>
      <x:c r="E1983" t="s">
        <x:v>257</x:v>
      </x:c>
      <x:c r="F1983" t="s">
        <x:v>97</x:v>
      </x:c>
      <x:c r="G1983">
        <x:v>42227</x:v>
      </x:c>
      <x:c r="H1983" t="s">
        <x:v>9056</x:v>
      </x:c>
      <x:c r="I1983" t="s">
        <x:v>9057</x:v>
      </x:c>
      <x:c r="J1983" t="s">
        <x:v>9058</x:v>
      </x:c>
    </x:row>
    <x:row r="1984">
      <x:c r="A1984" t="s">
        <x:v>9059</x:v>
      </x:c>
      <x:c r="B1984" t="s">
        <x:v>9059</x:v>
      </x:c>
      <x:c r="C1984" t="s">
        <x:v>9060</x:v>
      </x:c>
      <x:c r="D1984">
        <x:v>17</x:v>
      </x:c>
      <x:c r="E1984" t="s">
        <x:v>103</x:v>
      </x:c>
      <x:c r="F1984" t="s">
        <x:v>97</x:v>
      </x:c>
      <x:c r="G1984">
        <x:v>41447</x:v>
      </x:c>
      <x:c r="H1984" t="s">
        <x:v>9061</x:v>
      </x:c>
      <x:c r="I1984" t="s">
        <x:v>9062</x:v>
      </x:c>
      <x:c r="J1984" t="s">
        <x:v>9063</x:v>
      </x:c>
    </x:row>
    <x:row r="1985">
      <x:c r="A1985" t="s">
        <x:v>9064</x:v>
      </x:c>
      <x:c r="B1985" t="s">
        <x:v>9064</x:v>
      </x:c>
      <x:c r="C1985" t="s">
        <x:v>9065</x:v>
      </x:c>
      <x:c r="D1985">
        <x:v>7</x:v>
      </x:c>
      <x:c r="E1985" t="s">
        <x:v>103</x:v>
      </x:c>
      <x:c r="F1985" t="s">
        <x:v>97</x:v>
      </x:c>
      <x:c r="G1985">
        <x:v>43029</x:v>
      </x:c>
      <x:c r="H1985" t="s">
        <x:v>9066</x:v>
      </x:c>
      <x:c r="I1985" t="s">
        <x:v>9067</x:v>
      </x:c>
      <x:c r="J1985" t="s">
        <x:v>9068</x:v>
      </x:c>
    </x:row>
    <x:row r="1986">
      <x:c r="A1986" t="s">
        <x:v>9069</x:v>
      </x:c>
      <x:c r="B1986" t="s">
        <x:v>9069</x:v>
      </x:c>
      <x:c r="C1986" t="s">
        <x:v>9070</x:v>
      </x:c>
      <x:c r="D1986">
        <x:v>3</x:v>
      </x:c>
      <x:c r="E1986" t="s">
        <x:v>96</x:v>
      </x:c>
      <x:c r="F1986" t="s">
        <x:v>97</x:v>
      </x:c>
      <x:c r="G1986">
        <x:v>42066</x:v>
      </x:c>
      <x:c r="H1986" t="s">
        <x:v>9071</x:v>
      </x:c>
      <x:c r="I1986" t="s">
        <x:v>9072</x:v>
      </x:c>
      <x:c r="J1986" t="s">
        <x:v>9073</x:v>
      </x:c>
    </x:row>
    <x:row r="1987">
      <x:c r="A1987" t="s">
        <x:v>9074</x:v>
      </x:c>
      <x:c r="B1987" t="s">
        <x:v>9074</x:v>
      </x:c>
      <x:c r="C1987" t="s">
        <x:v>9075</x:v>
      </x:c>
      <x:c r="D1987">
        <x:v>9</x:v>
      </x:c>
      <x:c r="E1987" t="s">
        <x:v>257</x:v>
      </x:c>
      <x:c r="F1987" t="s">
        <x:v>97</x:v>
      </x:c>
      <x:c r="G1987">
        <x:v>44508</x:v>
      </x:c>
      <x:c r="H1987" t="s">
        <x:v>9076</x:v>
      </x:c>
      <x:c r="I1987" t="s">
        <x:v>9077</x:v>
      </x:c>
      <x:c r="J1987" t="s">
        <x:v>9078</x:v>
      </x:c>
    </x:row>
    <x:row r="1988">
      <x:c r="A1988" t="s">
        <x:v>9079</x:v>
      </x:c>
      <x:c r="B1988" t="s">
        <x:v>9079</x:v>
      </x:c>
      <x:c r="C1988" t="s">
        <x:v>9080</x:v>
      </x:c>
      <x:c r="D1988">
        <x:v>4</x:v>
      </x:c>
      <x:c r="E1988" t="s">
        <x:v>103</x:v>
      </x:c>
      <x:c r="F1988" t="s">
        <x:v>97</x:v>
      </x:c>
      <x:c r="G1988">
        <x:v>41530</x:v>
      </x:c>
      <x:c r="H1988" t="s">
        <x:v>9081</x:v>
      </x:c>
      <x:c r="I1988" t="s">
        <x:v>9082</x:v>
      </x:c>
      <x:c r="J1988" t="s">
        <x:v>9083</x:v>
      </x:c>
    </x:row>
    <x:row r="1989">
      <x:c r="A1989" t="s">
        <x:v>9084</x:v>
      </x:c>
      <x:c r="B1989" t="s">
        <x:v>9085</x:v>
      </x:c>
      <x:c r="C1989" t="s">
        <x:v>9086</x:v>
      </x:c>
      <x:c r="D1989">
        <x:v>80</x:v>
      </x:c>
      <x:c r="E1989" t="s">
        <x:v>103</x:v>
      </x:c>
      <x:c r="F1989" t="s">
        <x:v>97</x:v>
      </x:c>
      <x:c r="G1989">
        <x:v>42236</x:v>
      </x:c>
      <x:c r="H1989" t="s">
        <x:v>9087</x:v>
      </x:c>
      <x:c r="I1989" t="s">
        <x:v>9088</x:v>
      </x:c>
      <x:c r="J1989" t="s">
        <x:v>9089</x:v>
      </x:c>
    </x:row>
    <x:row r="1990">
      <x:c r="A1990" t="s">
        <x:v>9090</x:v>
      </x:c>
      <x:c r="B1990" t="s">
        <x:v>9085</x:v>
      </x:c>
      <x:c r="C1990" t="s">
        <x:v>5011</x:v>
      </x:c>
      <x:c r="D1990">
        <x:v>30</x:v>
      </x:c>
      <x:c r="E1990" t="s">
        <x:v>103</x:v>
      </x:c>
      <x:c r="F1990" t="s">
        <x:v>97</x:v>
      </x:c>
      <x:c r="G1990">
        <x:v>44189</x:v>
      </x:c>
      <x:c r="H1990" t="s">
        <x:v>9091</x:v>
      </x:c>
      <x:c r="I1990" t="s">
        <x:v>9092</x:v>
      </x:c>
      <x:c r="J1990" t="s">
        <x:v>9093</x:v>
      </x:c>
    </x:row>
    <x:row r="1991">
      <x:c r="A1991" t="s">
        <x:v>9094</x:v>
      </x:c>
      <x:c r="B1991" t="s">
        <x:v>9094</x:v>
      </x:c>
      <x:c r="C1991" t="s">
        <x:v>9095</x:v>
      </x:c>
      <x:c r="D1991">
        <x:v>62</x:v>
      </x:c>
      <x:c r="E1991" t="s">
        <x:v>257</x:v>
      </x:c>
      <x:c r="F1991" t="s">
        <x:v>97</x:v>
      </x:c>
      <x:c r="G1991">
        <x:v>42213</x:v>
      </x:c>
      <x:c r="H1991" t="s">
        <x:v>9096</x:v>
      </x:c>
      <x:c r="I1991" t="s">
        <x:v>9097</x:v>
      </x:c>
      <x:c r="J1991" t="s">
        <x:v>9098</x:v>
      </x:c>
    </x:row>
    <x:row r="1992">
      <x:c r="A1992" t="s">
        <x:v>9099</x:v>
      </x:c>
      <x:c r="B1992" t="s">
        <x:v>9099</x:v>
      </x:c>
      <x:c r="C1992" t="s">
        <x:v>5011</x:v>
      </x:c>
      <x:c r="D1992">
        <x:v>40</x:v>
      </x:c>
      <x:c r="E1992" t="s">
        <x:v>103</x:v>
      </x:c>
      <x:c r="F1992" t="s">
        <x:v>97</x:v>
      </x:c>
      <x:c r="G1992">
        <x:v>44621</x:v>
      </x:c>
      <x:c r="H1992" t="s">
        <x:v>9100</x:v>
      </x:c>
      <x:c r="I1992" t="s">
        <x:v>9101</x:v>
      </x:c>
      <x:c r="J1992" t="s">
        <x:v>9102</x:v>
      </x:c>
    </x:row>
    <x:row r="1993">
      <x:c r="A1993" t="s">
        <x:v>9103</x:v>
      </x:c>
      <x:c r="B1993" t="s">
        <x:v>9103</x:v>
      </x:c>
      <x:c r="C1993" t="s">
        <x:v>7549</x:v>
      </x:c>
      <x:c r="D1993">
        <x:v>19</x:v>
      </x:c>
      <x:c r="E1993" t="s">
        <x:v>103</x:v>
      </x:c>
      <x:c r="F1993" t="s">
        <x:v>97</x:v>
      </x:c>
      <x:c r="G1993">
        <x:v>41508</x:v>
      </x:c>
      <x:c r="H1993" t="s">
        <x:v>9104</x:v>
      </x:c>
      <x:c r="I1993" t="s">
        <x:v>9105</x:v>
      </x:c>
      <x:c r="J1993" t="s">
        <x:v>9106</x:v>
      </x:c>
    </x:row>
    <x:row r="1994">
      <x:c r="A1994" t="s">
        <x:v>9107</x:v>
      </x:c>
      <x:c r="B1994" t="s">
        <x:v>9107</x:v>
      </x:c>
      <x:c r="C1994" t="s">
        <x:v>8811</x:v>
      </x:c>
      <x:c r="D1994">
        <x:v>5</x:v>
      </x:c>
      <x:c r="E1994" t="s">
        <x:v>103</x:v>
      </x:c>
      <x:c r="F1994" t="s">
        <x:v>97</x:v>
      </x:c>
      <x:c r="G1994">
        <x:v>43536</x:v>
      </x:c>
      <x:c r="H1994" t="s">
        <x:v>9108</x:v>
      </x:c>
      <x:c r="I1994" t="s">
        <x:v>9109</x:v>
      </x:c>
      <x:c r="J1994" t="s">
        <x:v>9110</x:v>
      </x:c>
    </x:row>
    <x:row r="1995">
      <x:c r="A1995" t="s">
        <x:v>9111</x:v>
      </x:c>
      <x:c r="B1995" t="s">
        <x:v>9111</x:v>
      </x:c>
      <x:c r="C1995" t="s">
        <x:v>713</x:v>
      </x:c>
      <x:c r="D1995">
        <x:v>96</x:v>
      </x:c>
      <x:c r="E1995" t="s">
        <x:v>103</x:v>
      </x:c>
      <x:c r="F1995" t="s">
        <x:v>97</x:v>
      </x:c>
      <x:c r="G1995">
        <x:v>42841</x:v>
      </x:c>
      <x:c r="H1995" t="s">
        <x:v>9112</x:v>
      </x:c>
      <x:c r="I1995" t="s">
        <x:v>9113</x:v>
      </x:c>
      <x:c r="J1995" t="s">
        <x:v>9114</x:v>
      </x:c>
    </x:row>
    <x:row r="1996">
      <x:c r="A1996" t="s">
        <x:v>9115</x:v>
      </x:c>
      <x:c r="B1996" t="s">
        <x:v>9115</x:v>
      </x:c>
      <x:c r="C1996" t="s">
        <x:v>9116</x:v>
      </x:c>
      <x:c r="D1996">
        <x:v>8</x:v>
      </x:c>
      <x:c r="E1996" t="s">
        <x:v>257</x:v>
      </x:c>
      <x:c r="F1996" t="s">
        <x:v>97</x:v>
      </x:c>
      <x:c r="G1996">
        <x:v>43031</x:v>
      </x:c>
      <x:c r="H1996" t="s">
        <x:v>9117</x:v>
      </x:c>
      <x:c r="I1996" t="s">
        <x:v>9118</x:v>
      </x:c>
      <x:c r="J1996" t="s">
        <x:v>9119</x:v>
      </x:c>
    </x:row>
    <x:row r="1997">
      <x:c r="A1997" t="s">
        <x:v>9120</x:v>
      </x:c>
      <x:c r="B1997" t="s">
        <x:v>9120</x:v>
      </x:c>
      <x:c r="C1997" t="s">
        <x:v>9121</x:v>
      </x:c>
      <x:c r="D1997">
        <x:v>60</x:v>
      </x:c>
      <x:c r="E1997" t="s">
        <x:v>103</x:v>
      </x:c>
      <x:c r="F1997" t="s">
        <x:v>97</x:v>
      </x:c>
      <x:c r="G1997">
        <x:v>46221</x:v>
      </x:c>
      <x:c r="H1997" t="s">
        <x:v>9122</x:v>
      </x:c>
      <x:c r="I1997" t="s">
        <x:v>9123</x:v>
      </x:c>
      <x:c r="J1997" t="s">
        <x:v>9124</x:v>
      </x:c>
    </x:row>
    <x:row r="1998">
      <x:c r="A1998" t="s">
        <x:v>9125</x:v>
      </x:c>
      <x:c r="B1998" t="s">
        <x:v>9125</x:v>
      </x:c>
      <x:c r="C1998" t="s">
        <x:v>5087</x:v>
      </x:c>
      <x:c r="D1998">
        <x:v>62</x:v>
      </x:c>
      <x:c r="E1998" t="s">
        <x:v>103</x:v>
      </x:c>
      <x:c r="F1998" t="s">
        <x:v>97</x:v>
      </x:c>
      <x:c r="G1998">
        <x:v>46191</x:v>
      </x:c>
      <x:c r="H1998" t="s">
        <x:v>9126</x:v>
      </x:c>
      <x:c r="I1998" t="s">
        <x:v>9127</x:v>
      </x:c>
      <x:c r="J1998" t="s">
        <x:v>9128</x:v>
      </x:c>
    </x:row>
    <x:row r="1999">
      <x:c r="A1999" t="s">
        <x:v>9129</x:v>
      </x:c>
      <x:c r="B1999" t="s">
        <x:v>9129</x:v>
      </x:c>
      <x:c r="C1999" t="s">
        <x:v>9130</x:v>
      </x:c>
      <x:c r="D1999">
        <x:v>96</x:v>
      </x:c>
      <x:c r="E1999" t="s">
        <x:v>103</x:v>
      </x:c>
      <x:c r="F1999" t="s">
        <x:v>97</x:v>
      </x:c>
      <x:c r="G1999">
        <x:v>45132</x:v>
      </x:c>
      <x:c r="H1999" t="s">
        <x:v>9131</x:v>
      </x:c>
      <x:c r="I1999" t="s">
        <x:v>9132</x:v>
      </x:c>
      <x:c r="J1999" t="s">
        <x:v>9133</x:v>
      </x:c>
    </x:row>
    <x:row r="2000">
      <x:c r="A2000" t="s">
        <x:v>9134</x:v>
      </x:c>
      <x:c r="B2000" t="s">
        <x:v>9134</x:v>
      </x:c>
      <x:c r="C2000" t="s">
        <x:v>766</x:v>
      </x:c>
      <x:c r="D2000">
        <x:v>53</x:v>
      </x:c>
      <x:c r="E2000" t="s">
        <x:v>96</x:v>
      </x:c>
      <x:c r="F2000" t="s">
        <x:v>97</x:v>
      </x:c>
      <x:c r="G2000">
        <x:v>44037</x:v>
      </x:c>
      <x:c r="H2000" t="s">
        <x:v>9135</x:v>
      </x:c>
      <x:c r="I2000" t="s">
        <x:v>9136</x:v>
      </x:c>
      <x:c r="J2000" t="s">
        <x:v>9137</x:v>
      </x:c>
    </x:row>
    <x:row r="2001">
      <x:c r="A2001" t="s">
        <x:v>9138</x:v>
      </x:c>
      <x:c r="B2001" t="s">
        <x:v>9138</x:v>
      </x:c>
      <x:c r="C2001" t="s">
        <x:v>9139</x:v>
      </x:c>
      <x:c r="D2001">
        <x:v>33</x:v>
      </x:c>
      <x:c r="E2001" t="s">
        <x:v>257</x:v>
      </x:c>
      <x:c r="F2001" t="s">
        <x:v>97</x:v>
      </x:c>
      <x:c r="G2001">
        <x:v>42304</x:v>
      </x:c>
      <x:c r="H2001" t="s">
        <x:v>9140</x:v>
      </x:c>
      <x:c r="I2001" t="s">
        <x:v>9141</x:v>
      </x:c>
      <x:c r="J2001" t="s">
        <x:v>9142</x:v>
      </x:c>
    </x:row>
    <x:row r="2002">
      <x:c r="A2002" t="s">
        <x:v>9143</x:v>
      </x:c>
      <x:c r="B2002" t="s">
        <x:v>9143</x:v>
      </x:c>
      <x:c r="C2002" t="s">
        <x:v>9144</x:v>
      </x:c>
      <x:c r="D2002">
        <x:v>6</x:v>
      </x:c>
      <x:c r="E2002" t="s">
        <x:v>257</x:v>
      </x:c>
      <x:c r="F2002" t="s">
        <x:v>97</x:v>
      </x:c>
      <x:c r="G2002">
        <x:v>42339</x:v>
      </x:c>
      <x:c r="H2002" t="s">
        <x:v>9145</x:v>
      </x:c>
      <x:c r="I2002" t="s">
        <x:v>9146</x:v>
      </x:c>
      <x:c r="J2002" t="s">
        <x:v>9147</x:v>
      </x:c>
    </x:row>
    <x:row r="2003">
      <x:c r="A2003" t="s">
        <x:v>9148</x:v>
      </x:c>
      <x:c r="B2003" t="s">
        <x:v>9148</x:v>
      </x:c>
      <x:c r="C2003" t="s">
        <x:v>9149</x:v>
      </x:c>
      <x:c r="D2003">
        <x:v>20</x:v>
      </x:c>
      <x:c r="E2003" t="s">
        <x:v>257</x:v>
      </x:c>
      <x:c r="F2003" t="s">
        <x:v>97</x:v>
      </x:c>
      <x:c r="G2003">
        <x:v>42214</x:v>
      </x:c>
      <x:c r="H2003" t="s">
        <x:v>9150</x:v>
      </x:c>
      <x:c r="I2003" t="s">
        <x:v>9151</x:v>
      </x:c>
      <x:c r="J2003" t="s">
        <x:v>9152</x:v>
      </x:c>
    </x:row>
    <x:row r="2004">
      <x:c r="A2004" t="s">
        <x:v>9153</x:v>
      </x:c>
      <x:c r="B2004" t="s">
        <x:v>9153</x:v>
      </x:c>
      <x:c r="C2004" t="s">
        <x:v>346</x:v>
      </x:c>
      <x:c r="D2004">
        <x:v>5</x:v>
      </x:c>
      <x:c r="E2004" t="s">
        <x:v>103</x:v>
      </x:c>
      <x:c r="F2004" t="s">
        <x:v>97</x:v>
      </x:c>
      <x:c r="G2004">
        <x:v>42277</x:v>
      </x:c>
      <x:c r="H2004" t="s">
        <x:v>9154</x:v>
      </x:c>
      <x:c r="I2004" t="s">
        <x:v>9155</x:v>
      </x:c>
      <x:c r="J2004" t="s">
        <x:v>9156</x:v>
      </x:c>
    </x:row>
    <x:row r="2005">
      <x:c r="A2005" t="s">
        <x:v>9157</x:v>
      </x:c>
      <x:c r="B2005" t="s">
        <x:v>9157</x:v>
      </x:c>
      <x:c r="C2005" t="s">
        <x:v>9158</x:v>
      </x:c>
      <x:c r="D2005">
        <x:v>19</x:v>
      </x:c>
      <x:c r="E2005" t="s">
        <x:v>198</x:v>
      </x:c>
      <x:c r="F2005" t="s">
        <x:v>90</x:v>
      </x:c>
      <x:c r="G2005">
        <x:v>42818</x:v>
      </x:c>
      <x:c r="H2005" t="s">
        <x:v>9159</x:v>
      </x:c>
      <x:c r="I2005" t="s">
        <x:v>9160</x:v>
      </x:c>
      <x:c r="J2005" t="s">
        <x:v>9161</x:v>
      </x:c>
    </x:row>
    <x:row r="2006">
      <x:c r="A2006" t="s">
        <x:v>9162</x:v>
      </x:c>
      <x:c r="B2006" t="s">
        <x:v>9162</x:v>
      </x:c>
      <x:c r="C2006" t="s">
        <x:v>9163</x:v>
      </x:c>
      <x:c r="D2006">
        <x:v>1</x:v>
      </x:c>
      <x:c r="E2006" t="s">
        <x:v>89</x:v>
      </x:c>
      <x:c r="F2006" t="s">
        <x:v>97</x:v>
      </x:c>
      <x:c r="G2006">
        <x:v>45667</x:v>
      </x:c>
      <x:c r="H2006" t="s">
        <x:v>9164</x:v>
      </x:c>
      <x:c r="I2006" t="s">
        <x:v>9165</x:v>
      </x:c>
      <x:c r="J2006" t="s">
        <x:v>9166</x:v>
      </x:c>
    </x:row>
    <x:row r="2007">
      <x:c r="A2007" t="s">
        <x:v>9167</x:v>
      </x:c>
      <x:c r="B2007" t="s">
        <x:v>9167</x:v>
      </x:c>
      <x:c r="C2007" t="s">
        <x:v>1306</x:v>
      </x:c>
      <x:c r="D2007">
        <x:v>23</x:v>
      </x:c>
      <x:c r="E2007" t="s">
        <x:v>103</x:v>
      </x:c>
      <x:c r="F2007" t="s">
        <x:v>97</x:v>
      </x:c>
      <x:c r="G2007">
        <x:v>45377</x:v>
      </x:c>
      <x:c r="H2007" t="s">
        <x:v>9168</x:v>
      </x:c>
      <x:c r="I2007" t="s">
        <x:v>9169</x:v>
      </x:c>
      <x:c r="J2007" t="s">
        <x:v>9170</x:v>
      </x:c>
    </x:row>
    <x:row r="2008">
      <x:c r="A2008" t="s">
        <x:v>9171</x:v>
      </x:c>
      <x:c r="B2008" t="s">
        <x:v>9171</x:v>
      </x:c>
      <x:c r="C2008" t="s">
        <x:v>9172</x:v>
      </x:c>
      <x:c r="D2008">
        <x:v>26</x:v>
      </x:c>
      <x:c r="E2008" t="s">
        <x:v>257</x:v>
      </x:c>
      <x:c r="F2008" t="s">
        <x:v>97</x:v>
      </x:c>
      <x:c r="G2008">
        <x:v>44186</x:v>
      </x:c>
      <x:c r="H2008" t="s">
        <x:v>9173</x:v>
      </x:c>
      <x:c r="I2008" t="s">
        <x:v>9174</x:v>
      </x:c>
      <x:c r="J2008" t="s">
        <x:v>9175</x:v>
      </x:c>
    </x:row>
    <x:row r="2009">
      <x:c r="A2009" t="s">
        <x:v>9176</x:v>
      </x:c>
      <x:c r="B2009" t="s">
        <x:v>9176</x:v>
      </x:c>
      <x:c r="C2009" t="s">
        <x:v>9177</x:v>
      </x:c>
      <x:c r="D2009">
        <x:v>9</x:v>
      </x:c>
      <x:c r="E2009" t="s">
        <x:v>103</x:v>
      </x:c>
      <x:c r="F2009" t="s">
        <x:v>97</x:v>
      </x:c>
      <x:c r="G2009">
        <x:v>44940</x:v>
      </x:c>
      <x:c r="H2009" t="s">
        <x:v>9178</x:v>
      </x:c>
      <x:c r="I2009" t="s">
        <x:v>9179</x:v>
      </x:c>
      <x:c r="J2009" t="s">
        <x:v>9180</x:v>
      </x:c>
    </x:row>
    <x:row r="2010">
      <x:c r="A2010" t="s">
        <x:v>9181</x:v>
      </x:c>
      <x:c r="B2010" t="s">
        <x:v>9181</x:v>
      </x:c>
      <x:c r="C2010" t="s">
        <x:v>9182</x:v>
      </x:c>
      <x:c r="D2010">
        <x:v>15</x:v>
      </x:c>
      <x:c r="E2010" t="s">
        <x:v>103</x:v>
      </x:c>
      <x:c r="F2010" t="s">
        <x:v>97</x:v>
      </x:c>
      <x:c r="G2010">
        <x:v>43560</x:v>
      </x:c>
      <x:c r="H2010" t="s">
        <x:v>9183</x:v>
      </x:c>
      <x:c r="I2010" t="s">
        <x:v>9184</x:v>
      </x:c>
      <x:c r="J2010" t="s">
        <x:v>9185</x:v>
      </x:c>
    </x:row>
    <x:row r="2011">
      <x:c r="A2011" t="s">
        <x:v>9186</x:v>
      </x:c>
      <x:c r="B2011" t="s">
        <x:v>9186</x:v>
      </x:c>
      <x:c r="C2011" t="s">
        <x:v>9187</x:v>
      </x:c>
      <x:c r="D2011">
        <x:v>8</x:v>
      </x:c>
      <x:c r="E2011" t="s">
        <x:v>103</x:v>
      </x:c>
      <x:c r="F2011" t="s">
        <x:v>97</x:v>
      </x:c>
      <x:c r="G2011">
        <x:v>42322</x:v>
      </x:c>
      <x:c r="H2011" t="s">
        <x:v>9188</x:v>
      </x:c>
      <x:c r="I2011" t="s">
        <x:v>9189</x:v>
      </x:c>
      <x:c r="J2011" t="s">
        <x:v>9190</x:v>
      </x:c>
    </x:row>
    <x:row r="2012">
      <x:c r="A2012" t="s">
        <x:v>9191</x:v>
      </x:c>
      <x:c r="B2012" t="s">
        <x:v>9191</x:v>
      </x:c>
      <x:c r="C2012" t="s">
        <x:v>9192</x:v>
      </x:c>
      <x:c r="D2012">
        <x:v>7</x:v>
      </x:c>
      <x:c r="E2012" t="s">
        <x:v>103</x:v>
      </x:c>
      <x:c r="F2012" t="s">
        <x:v>97</x:v>
      </x:c>
      <x:c r="G2012">
        <x:v>43038</x:v>
      </x:c>
      <x:c r="H2012" t="s">
        <x:v>9193</x:v>
      </x:c>
      <x:c r="I2012" t="s">
        <x:v>9194</x:v>
      </x:c>
      <x:c r="J2012" t="s">
        <x:v>9195</x:v>
      </x:c>
    </x:row>
    <x:row r="2013">
      <x:c r="A2013" t="s">
        <x:v>9196</x:v>
      </x:c>
      <x:c r="B2013" t="s">
        <x:v>9196</x:v>
      </x:c>
      <x:c r="C2013" t="s">
        <x:v>9197</x:v>
      </x:c>
      <x:c r="D2013">
        <x:v>3</x:v>
      </x:c>
      <x:c r="E2013" t="s">
        <x:v>257</x:v>
      </x:c>
      <x:c r="F2013" t="s">
        <x:v>97</x:v>
      </x:c>
      <x:c r="G2013">
        <x:v>42781</x:v>
      </x:c>
      <x:c r="H2013" t="s">
        <x:v>9198</x:v>
      </x:c>
      <x:c r="I2013" t="s">
        <x:v>9199</x:v>
      </x:c>
      <x:c r="J2013" t="s">
        <x:v>9200</x:v>
      </x:c>
    </x:row>
    <x:row r="2014">
      <x:c r="A2014" t="s">
        <x:v>9201</x:v>
      </x:c>
      <x:c r="B2014" t="s">
        <x:v>9201</x:v>
      </x:c>
      <x:c r="C2014" t="s">
        <x:v>9202</x:v>
      </x:c>
      <x:c r="D2014">
        <x:v>66</x:v>
      </x:c>
      <x:c r="E2014" t="s">
        <x:v>257</x:v>
      </x:c>
      <x:c r="F2014" t="s">
        <x:v>97</x:v>
      </x:c>
      <x:c r="G2014">
        <x:v>42210</x:v>
      </x:c>
      <x:c r="H2014" t="s">
        <x:v>9203</x:v>
      </x:c>
      <x:c r="I2014" t="s">
        <x:v>9204</x:v>
      </x:c>
      <x:c r="J2014" t="s">
        <x:v>9205</x:v>
      </x:c>
    </x:row>
    <x:row r="2015">
      <x:c r="A2015" t="s">
        <x:v>9206</x:v>
      </x:c>
      <x:c r="B2015" t="s">
        <x:v>9206</x:v>
      </x:c>
      <x:c r="C2015" t="s">
        <x:v>9207</x:v>
      </x:c>
      <x:c r="D2015">
        <x:v>7</x:v>
      </x:c>
      <x:c r="E2015" t="s">
        <x:v>257</x:v>
      </x:c>
      <x:c r="F2015" t="s">
        <x:v>97</x:v>
      </x:c>
      <x:c r="G2015">
        <x:v>41451</x:v>
      </x:c>
      <x:c r="H2015" t="s">
        <x:v>9208</x:v>
      </x:c>
      <x:c r="I2015" t="s">
        <x:v>9209</x:v>
      </x:c>
      <x:c r="J2015" t="s">
        <x:v>9210</x:v>
      </x:c>
    </x:row>
    <x:row r="2016">
      <x:c r="A2016" t="s">
        <x:v>9211</x:v>
      </x:c>
      <x:c r="B2016" t="s">
        <x:v>9211</x:v>
      </x:c>
      <x:c r="C2016" t="s">
        <x:v>9212</x:v>
      </x:c>
      <x:c r="D2016">
        <x:v>92</x:v>
      </x:c>
      <x:c r="E2016" t="s">
        <x:v>103</x:v>
      </x:c>
      <x:c r="F2016" t="s">
        <x:v>97</x:v>
      </x:c>
      <x:c r="G2016">
        <x:v>44347</x:v>
      </x:c>
      <x:c r="H2016" t="s">
        <x:v>9213</x:v>
      </x:c>
      <x:c r="I2016" t="s">
        <x:v>9214</x:v>
      </x:c>
      <x:c r="J2016" t="s">
        <x:v>9215</x:v>
      </x:c>
    </x:row>
    <x:row r="2017">
      <x:c r="A2017" t="s">
        <x:v>9216</x:v>
      </x:c>
      <x:c r="B2017" t="s">
        <x:v>9216</x:v>
      </x:c>
      <x:c r="C2017" t="s">
        <x:v>9217</x:v>
      </x:c>
      <x:c r="D2017">
        <x:v>93</x:v>
      </x:c>
      <x:c r="E2017" t="s">
        <x:v>103</x:v>
      </x:c>
      <x:c r="F2017" t="s">
        <x:v>97</x:v>
      </x:c>
      <x:c r="G2017">
        <x:v>45760</x:v>
      </x:c>
      <x:c r="H2017" t="s">
        <x:v>9218</x:v>
      </x:c>
      <x:c r="I2017" t="s">
        <x:v>9219</x:v>
      </x:c>
      <x:c r="J2017" t="s">
        <x:v>9220</x:v>
      </x:c>
    </x:row>
    <x:row r="2018">
      <x:c r="A2018" t="s">
        <x:v>9221</x:v>
      </x:c>
      <x:c r="B2018" t="s">
        <x:v>9221</x:v>
      </x:c>
      <x:c r="C2018" t="s">
        <x:v>1344</x:v>
      </x:c>
      <x:c r="D2018">
        <x:v>44</x:v>
      </x:c>
      <x:c r="E2018" t="s">
        <x:v>96</x:v>
      </x:c>
      <x:c r="F2018" t="s">
        <x:v>97</x:v>
      </x:c>
      <x:c r="G2018">
        <x:v>44520</x:v>
      </x:c>
      <x:c r="H2018" t="s">
        <x:v>9222</x:v>
      </x:c>
      <x:c r="I2018" t="s">
        <x:v>9223</x:v>
      </x:c>
      <x:c r="J2018" t="s">
        <x:v>9224</x:v>
      </x:c>
    </x:row>
    <x:row r="2019">
      <x:c r="A2019" t="s">
        <x:v>9225</x:v>
      </x:c>
      <x:c r="B2019" t="s">
        <x:v>9225</x:v>
      </x:c>
      <x:c r="C2019" t="s">
        <x:v>1199</x:v>
      </x:c>
      <x:c r="D2019">
        <x:v>8</x:v>
      </x:c>
      <x:c r="E2019" t="s">
        <x:v>257</x:v>
      </x:c>
      <x:c r="F2019" t="s">
        <x:v>97</x:v>
      </x:c>
      <x:c r="G2019">
        <x:v>42308</x:v>
      </x:c>
      <x:c r="H2019" t="s">
        <x:v>9226</x:v>
      </x:c>
      <x:c r="I2019" t="s">
        <x:v>9227</x:v>
      </x:c>
      <x:c r="J2019" t="s">
        <x:v>9228</x:v>
      </x:c>
    </x:row>
    <x:row r="2020">
      <x:c r="A2020" t="s">
        <x:v>9229</x:v>
      </x:c>
      <x:c r="B2020" t="s">
        <x:v>9229</x:v>
      </x:c>
      <x:c r="C2020" t="s">
        <x:v>9230</x:v>
      </x:c>
      <x:c r="D2020">
        <x:v>29</x:v>
      </x:c>
      <x:c r="E2020" t="s">
        <x:v>96</x:v>
      </x:c>
      <x:c r="F2020" t="s">
        <x:v>97</x:v>
      </x:c>
      <x:c r="G2020">
        <x:v>44675</x:v>
      </x:c>
      <x:c r="H2020" t="s">
        <x:v>9231</x:v>
      </x:c>
      <x:c r="I2020" t="s">
        <x:v>9232</x:v>
      </x:c>
      <x:c r="J2020" t="s">
        <x:v>9233</x:v>
      </x:c>
    </x:row>
    <x:row r="2021">
      <x:c r="A2021" t="s">
        <x:v>9234</x:v>
      </x:c>
      <x:c r="B2021" t="s">
        <x:v>9234</x:v>
      </x:c>
      <x:c r="C2021" t="s">
        <x:v>9235</x:v>
      </x:c>
      <x:c r="D2021">
        <x:v>10</x:v>
      </x:c>
      <x:c r="E2021" t="s">
        <x:v>257</x:v>
      </x:c>
      <x:c r="F2021" t="s">
        <x:v>97</x:v>
      </x:c>
      <x:c r="G2021">
        <x:v>41542</x:v>
      </x:c>
      <x:c r="H2021" t="s">
        <x:v>9236</x:v>
      </x:c>
      <x:c r="I2021" t="s">
        <x:v>9237</x:v>
      </x:c>
      <x:c r="J2021" t="s">
        <x:v>9238</x:v>
      </x:c>
    </x:row>
    <x:row r="2022">
      <x:c r="A2022" t="s">
        <x:v>9239</x:v>
      </x:c>
      <x:c r="B2022" t="s">
        <x:v>9239</x:v>
      </x:c>
      <x:c r="C2022" t="s">
        <x:v>9240</x:v>
      </x:c>
      <x:c r="D2022">
        <x:v>6</x:v>
      </x:c>
      <x:c r="E2022" t="s">
        <x:v>103</x:v>
      </x:c>
      <x:c r="F2022" t="s">
        <x:v>97</x:v>
      </x:c>
      <x:c r="G2022">
        <x:v>43637</x:v>
      </x:c>
      <x:c r="H2022" t="s">
        <x:v>9241</x:v>
      </x:c>
      <x:c r="I2022" t="s">
        <x:v>9242</x:v>
      </x:c>
      <x:c r="J2022" t="s">
        <x:v>9243</x:v>
      </x:c>
    </x:row>
    <x:row r="2023">
      <x:c r="A2023" t="s">
        <x:v>9244</x:v>
      </x:c>
      <x:c r="B2023" t="s">
        <x:v>9244</x:v>
      </x:c>
      <x:c r="C2023" t="s">
        <x:v>9245</x:v>
      </x:c>
      <x:c r="D2023">
        <x:v>1</x:v>
      </x:c>
      <x:c r="E2023" t="s">
        <x:v>103</x:v>
      </x:c>
      <x:c r="F2023" t="s">
        <x:v>97</x:v>
      </x:c>
      <x:c r="G2023">
        <x:v>44886</x:v>
      </x:c>
      <x:c r="H2023" t="s">
        <x:v>9246</x:v>
      </x:c>
      <x:c r="I2023" t="s">
        <x:v>9247</x:v>
      </x:c>
      <x:c r="J2023" t="s">
        <x:v>9248</x:v>
      </x:c>
    </x:row>
    <x:row r="2024">
      <x:c r="A2024" t="s">
        <x:v>9249</x:v>
      </x:c>
      <x:c r="B2024" t="s">
        <x:v>9249</x:v>
      </x:c>
      <x:c r="C2024" t="s">
        <x:v>2898</x:v>
      </x:c>
      <x:c r="D2024">
        <x:v>7</x:v>
      </x:c>
      <x:c r="E2024" t="s">
        <x:v>103</x:v>
      </x:c>
      <x:c r="F2024" t="s">
        <x:v>97</x:v>
      </x:c>
      <x:c r="G2024">
        <x:v>43028</x:v>
      </x:c>
      <x:c r="H2024" t="s">
        <x:v>9250</x:v>
      </x:c>
      <x:c r="I2024" t="s">
        <x:v>9251</x:v>
      </x:c>
      <x:c r="J2024" t="s">
        <x:v>9252</x:v>
      </x:c>
    </x:row>
    <x:row r="2025">
      <x:c r="A2025" t="s">
        <x:v>9253</x:v>
      </x:c>
      <x:c r="B2025" t="s">
        <x:v>9253</x:v>
      </x:c>
      <x:c r="C2025" t="s">
        <x:v>9254</x:v>
      </x:c>
      <x:c r="D2025">
        <x:v>76</x:v>
      </x:c>
      <x:c r="E2025" t="s">
        <x:v>103</x:v>
      </x:c>
      <x:c r="F2025" t="s">
        <x:v>97</x:v>
      </x:c>
      <x:c r="G2025">
        <x:v>42330</x:v>
      </x:c>
      <x:c r="H2025" t="s">
        <x:v>9255</x:v>
      </x:c>
      <x:c r="I2025" t="s">
        <x:v>9256</x:v>
      </x:c>
      <x:c r="J2025" t="s">
        <x:v>9257</x:v>
      </x:c>
    </x:row>
    <x:row r="2026">
      <x:c r="A2026" t="s">
        <x:v>9258</x:v>
      </x:c>
      <x:c r="B2026" t="s">
        <x:v>9258</x:v>
      </x:c>
      <x:c r="C2026" t="s">
        <x:v>9259</x:v>
      </x:c>
      <x:c r="D2026">
        <x:v>5</x:v>
      </x:c>
      <x:c r="E2026" t="s">
        <x:v>103</x:v>
      </x:c>
      <x:c r="F2026" t="s">
        <x:v>97</x:v>
      </x:c>
      <x:c r="G2026">
        <x:v>42843</x:v>
      </x:c>
      <x:c r="H2026" t="s">
        <x:v>9260</x:v>
      </x:c>
      <x:c r="I2026" t="s">
        <x:v>9261</x:v>
      </x:c>
      <x:c r="J2026" t="s">
        <x:v>9262</x:v>
      </x:c>
    </x:row>
    <x:row r="2027">
      <x:c r="A2027" t="s">
        <x:v>9263</x:v>
      </x:c>
      <x:c r="B2027" t="s">
        <x:v>9263</x:v>
      </x:c>
      <x:c r="C2027" t="s">
        <x:v>9264</x:v>
      </x:c>
      <x:c r="D2027">
        <x:v>9</x:v>
      </x:c>
      <x:c r="E2027" t="s">
        <x:v>103</x:v>
      </x:c>
      <x:c r="F2027" t="s">
        <x:v>97</x:v>
      </x:c>
      <x:c r="G2027">
        <x:v>44043</x:v>
      </x:c>
      <x:c r="H2027" t="s">
        <x:v>9265</x:v>
      </x:c>
      <x:c r="I2027" t="s">
        <x:v>9266</x:v>
      </x:c>
      <x:c r="J2027" t="s">
        <x:v>9267</x:v>
      </x:c>
    </x:row>
    <x:row r="2028">
      <x:c r="A2028" t="s">
        <x:v>9268</x:v>
      </x:c>
      <x:c r="B2028" t="s">
        <x:v>9268</x:v>
      </x:c>
      <x:c r="C2028" t="s">
        <x:v>9269</x:v>
      </x:c>
      <x:c r="D2028">
        <x:v>16</x:v>
      </x:c>
      <x:c r="E2028" t="s">
        <x:v>103</x:v>
      </x:c>
      <x:c r="F2028" t="s">
        <x:v>97</x:v>
      </x:c>
      <x:c r="G2028">
        <x:v>43991</x:v>
      </x:c>
      <x:c r="H2028" t="s">
        <x:v>9270</x:v>
      </x:c>
      <x:c r="I2028" t="s">
        <x:v>9271</x:v>
      </x:c>
      <x:c r="J2028" t="s">
        <x:v>9272</x:v>
      </x:c>
    </x:row>
    <x:row r="2029">
      <x:c r="A2029" t="s">
        <x:v>9273</x:v>
      </x:c>
      <x:c r="B2029" t="s">
        <x:v>9273</x:v>
      </x:c>
      <x:c r="C2029" t="s">
        <x:v>510</x:v>
      </x:c>
      <x:c r="D2029">
        <x:v>7</x:v>
      </x:c>
      <x:c r="E2029" t="s">
        <x:v>103</x:v>
      </x:c>
      <x:c r="F2029" t="s">
        <x:v>97</x:v>
      </x:c>
      <x:c r="G2029">
        <x:v>42868</x:v>
      </x:c>
      <x:c r="H2029" t="s">
        <x:v>9274</x:v>
      </x:c>
      <x:c r="I2029" t="s">
        <x:v>9275</x:v>
      </x:c>
      <x:c r="J2029" t="s">
        <x:v>9276</x:v>
      </x:c>
    </x:row>
    <x:row r="2030">
      <x:c r="A2030" t="s">
        <x:v>9277</x:v>
      </x:c>
      <x:c r="B2030" t="s">
        <x:v>9277</x:v>
      </x:c>
      <x:c r="C2030" t="s">
        <x:v>9278</x:v>
      </x:c>
      <x:c r="D2030">
        <x:v>17</x:v>
      </x:c>
      <x:c r="E2030" t="s">
        <x:v>257</x:v>
      </x:c>
      <x:c r="F2030" t="s">
        <x:v>97</x:v>
      </x:c>
      <x:c r="G2030">
        <x:v>41675</x:v>
      </x:c>
      <x:c r="H2030" t="s">
        <x:v>9279</x:v>
      </x:c>
      <x:c r="I2030" t="s">
        <x:v>9280</x:v>
      </x:c>
      <x:c r="J2030" t="s">
        <x:v>9281</x:v>
      </x:c>
    </x:row>
    <x:row r="2031">
      <x:c r="A2031" t="s">
        <x:v>9282</x:v>
      </x:c>
      <x:c r="B2031" t="s">
        <x:v>9282</x:v>
      </x:c>
      <x:c r="C2031" t="s">
        <x:v>9283</x:v>
      </x:c>
      <x:c r="D2031">
        <x:v>36</x:v>
      </x:c>
      <x:c r="E2031" t="s">
        <x:v>96</x:v>
      </x:c>
      <x:c r="F2031" t="s">
        <x:v>97</x:v>
      </x:c>
      <x:c r="G2031">
        <x:v>44963</x:v>
      </x:c>
      <x:c r="H2031" t="s">
        <x:v>9284</x:v>
      </x:c>
      <x:c r="I2031" t="s">
        <x:v>9285</x:v>
      </x:c>
      <x:c r="J2031" t="s">
        <x:v>9286</x:v>
      </x:c>
    </x:row>
    <x:row r="2032">
      <x:c r="A2032" t="s">
        <x:v>9287</x:v>
      </x:c>
      <x:c r="B2032" t="s">
        <x:v>9287</x:v>
      </x:c>
      <x:c r="C2032" t="s">
        <x:v>771</x:v>
      </x:c>
      <x:c r="D2032">
        <x:v>108</x:v>
      </x:c>
      <x:c r="E2032" t="s">
        <x:v>96</x:v>
      </x:c>
      <x:c r="F2032" t="s">
        <x:v>97</x:v>
      </x:c>
      <x:c r="G2032">
        <x:v>44765</x:v>
      </x:c>
      <x:c r="H2032" t="s">
        <x:v>9288</x:v>
      </x:c>
      <x:c r="I2032" t="s">
        <x:v>9289</x:v>
      </x:c>
      <x:c r="J2032" t="s">
        <x:v>9290</x:v>
      </x:c>
    </x:row>
    <x:row r="2033">
      <x:c r="A2033" t="s">
        <x:v>9291</x:v>
      </x:c>
      <x:c r="B2033" t="s">
        <x:v>9291</x:v>
      </x:c>
      <x:c r="C2033" t="s">
        <x:v>742</x:v>
      </x:c>
      <x:c r="D2033">
        <x:v>12</x:v>
      </x:c>
      <x:c r="E2033" t="s">
        <x:v>89</x:v>
      </x:c>
      <x:c r="F2033" t="s">
        <x:v>97</x:v>
      </x:c>
      <x:c r="G2033">
        <x:v>44496</x:v>
      </x:c>
      <x:c r="H2033" t="s">
        <x:v>9292</x:v>
      </x:c>
      <x:c r="I2033" t="s">
        <x:v>9293</x:v>
      </x:c>
      <x:c r="J2033" t="s">
        <x:v>9294</x:v>
      </x:c>
    </x:row>
    <x:row r="2034">
      <x:c r="A2034" t="s">
        <x:v>9295</x:v>
      </x:c>
      <x:c r="B2034" t="s">
        <x:v>9295</x:v>
      </x:c>
      <x:c r="C2034" t="s">
        <x:v>742</x:v>
      </x:c>
      <x:c r="D2034">
        <x:v>6</x:v>
      </x:c>
      <x:c r="E2034" t="s">
        <x:v>89</x:v>
      </x:c>
      <x:c r="F2034" t="s">
        <x:v>97</x:v>
      </x:c>
      <x:c r="G2034">
        <x:v>46222</x:v>
      </x:c>
      <x:c r="H2034" t="s">
        <x:v>9296</x:v>
      </x:c>
      <x:c r="I2034" t="s">
        <x:v>9297</x:v>
      </x:c>
      <x:c r="J2034" t="s">
        <x:v>9298</x:v>
      </x:c>
    </x:row>
    <x:row r="2035">
      <x:c r="A2035" t="s">
        <x:v>9299</x:v>
      </x:c>
      <x:c r="B2035" t="s">
        <x:v>9299</x:v>
      </x:c>
      <x:c r="C2035" t="s">
        <x:v>9300</x:v>
      </x:c>
      <x:c r="D2035">
        <x:v>7</x:v>
      </x:c>
      <x:c r="E2035" t="s">
        <x:v>257</x:v>
      </x:c>
      <x:c r="F2035" t="s">
        <x:v>97</x:v>
      </x:c>
      <x:c r="G2035">
        <x:v>41830</x:v>
      </x:c>
      <x:c r="H2035" t="s">
        <x:v>9301</x:v>
      </x:c>
      <x:c r="I2035" t="s">
        <x:v>9302</x:v>
      </x:c>
      <x:c r="J2035" t="s">
        <x:v>9303</x:v>
      </x:c>
    </x:row>
    <x:row r="2036">
      <x:c r="A2036" t="s">
        <x:v>9304</x:v>
      </x:c>
      <x:c r="B2036" t="s">
        <x:v>9304</x:v>
      </x:c>
      <x:c r="C2036" t="s">
        <x:v>9305</x:v>
      </x:c>
      <x:c r="D2036">
        <x:v>0</x:v>
      </x:c>
      <x:c r="E2036" t="s">
        <x:v>257</x:v>
      </x:c>
      <x:c r="F2036" t="s">
        <x:v>97</x:v>
      </x:c>
      <x:c r="G2036">
        <x:v>41466</x:v>
      </x:c>
      <x:c r="H2036" t="s">
        <x:v>9306</x:v>
      </x:c>
      <x:c r="I2036" t="s">
        <x:v>9307</x:v>
      </x:c>
      <x:c r="J2036" t="s">
        <x:v>9308</x:v>
      </x:c>
    </x:row>
    <x:row r="2037">
      <x:c r="A2037" t="s">
        <x:v>9309</x:v>
      </x:c>
      <x:c r="B2037" t="s">
        <x:v>9309</x:v>
      </x:c>
      <x:c r="C2037" t="s">
        <x:v>9310</x:v>
      </x:c>
      <x:c r="D2037">
        <x:v>5</x:v>
      </x:c>
      <x:c r="E2037" t="s">
        <x:v>103</x:v>
      </x:c>
      <x:c r="F2037" t="s">
        <x:v>97</x:v>
      </x:c>
      <x:c r="G2037">
        <x:v>43918</x:v>
      </x:c>
      <x:c r="H2037" t="s">
        <x:v>9311</x:v>
      </x:c>
      <x:c r="I2037" t="s">
        <x:v>9312</x:v>
      </x:c>
      <x:c r="J2037" t="s">
        <x:v>9313</x:v>
      </x:c>
    </x:row>
    <x:row r="2038">
      <x:c r="A2038" t="s">
        <x:v>9314</x:v>
      </x:c>
      <x:c r="B2038" t="s">
        <x:v>9314</x:v>
      </x:c>
      <x:c r="C2038" t="s">
        <x:v>1723</x:v>
      </x:c>
      <x:c r="D2038">
        <x:v>52</x:v>
      </x:c>
      <x:c r="E2038" t="s">
        <x:v>103</x:v>
      </x:c>
      <x:c r="F2038" t="s">
        <x:v>97</x:v>
      </x:c>
      <x:c r="G2038">
        <x:v>44271</x:v>
      </x:c>
      <x:c r="H2038" t="s">
        <x:v>9315</x:v>
      </x:c>
      <x:c r="I2038" t="s">
        <x:v>9316</x:v>
      </x:c>
      <x:c r="J2038" t="s">
        <x:v>9317</x:v>
      </x:c>
    </x:row>
    <x:row r="2039">
      <x:c r="A2039" t="s">
        <x:v>9318</x:v>
      </x:c>
      <x:c r="B2039" t="s">
        <x:v>9318</x:v>
      </x:c>
      <x:c r="C2039" t="s">
        <x:v>9319</x:v>
      </x:c>
      <x:c r="D2039">
        <x:v>20</x:v>
      </x:c>
      <x:c r="E2039" t="s">
        <x:v>103</x:v>
      </x:c>
      <x:c r="F2039" t="s">
        <x:v>97</x:v>
      </x:c>
      <x:c r="G2039">
        <x:v>43595</x:v>
      </x:c>
      <x:c r="H2039" t="s">
        <x:v>9320</x:v>
      </x:c>
      <x:c r="I2039" t="s">
        <x:v>9321</x:v>
      </x:c>
      <x:c r="J2039" t="s">
        <x:v>9322</x:v>
      </x:c>
    </x:row>
    <x:row r="2040">
      <x:c r="A2040" t="s">
        <x:v>9323</x:v>
      </x:c>
      <x:c r="B2040" t="s">
        <x:v>9323</x:v>
      </x:c>
      <x:c r="C2040" t="s">
        <x:v>2137</x:v>
      </x:c>
      <x:c r="D2040">
        <x:v>97</x:v>
      </x:c>
      <x:c r="E2040" t="s">
        <x:v>96</x:v>
      </x:c>
      <x:c r="F2040" t="s">
        <x:v>97</x:v>
      </x:c>
      <x:c r="G2040">
        <x:v>46205</x:v>
      </x:c>
      <x:c r="H2040" t="s">
        <x:v>9324</x:v>
      </x:c>
      <x:c r="I2040" t="s">
        <x:v>9325</x:v>
      </x:c>
      <x:c r="J2040" t="s">
        <x:v>9326</x:v>
      </x:c>
    </x:row>
    <x:row r="2041">
      <x:c r="A2041" t="s">
        <x:v>9327</x:v>
      </x:c>
      <x:c r="B2041" t="s">
        <x:v>9327</x:v>
      </x:c>
      <x:c r="C2041" t="s">
        <x:v>8474</x:v>
      </x:c>
      <x:c r="D2041">
        <x:v>96</x:v>
      </x:c>
      <x:c r="E2041" t="s">
        <x:v>103</x:v>
      </x:c>
      <x:c r="F2041" t="s">
        <x:v>97</x:v>
      </x:c>
      <x:c r="G2041">
        <x:v>42225</x:v>
      </x:c>
      <x:c r="H2041" t="s">
        <x:v>9328</x:v>
      </x:c>
      <x:c r="I2041" t="s">
        <x:v>9329</x:v>
      </x:c>
      <x:c r="J2041" t="s">
        <x:v>9330</x:v>
      </x:c>
    </x:row>
    <x:row r="2042">
      <x:c r="A2042" t="s">
        <x:v>9331</x:v>
      </x:c>
      <x:c r="B2042" t="s">
        <x:v>9331</x:v>
      </x:c>
      <x:c r="C2042" t="s">
        <x:v>8474</x:v>
      </x:c>
      <x:c r="D2042">
        <x:v>96</x:v>
      </x:c>
      <x:c r="E2042" t="s">
        <x:v>103</x:v>
      </x:c>
      <x:c r="F2042" t="s">
        <x:v>97</x:v>
      </x:c>
      <x:c r="G2042">
        <x:v>42241</x:v>
      </x:c>
      <x:c r="H2042" t="s">
        <x:v>9332</x:v>
      </x:c>
      <x:c r="I2042" t="s">
        <x:v>9333</x:v>
      </x:c>
      <x:c r="J2042" t="s">
        <x:v>9334</x:v>
      </x:c>
    </x:row>
    <x:row r="2043">
      <x:c r="A2043" t="s">
        <x:v>9335</x:v>
      </x:c>
      <x:c r="B2043" t="s">
        <x:v>9335</x:v>
      </x:c>
      <x:c r="C2043" t="s">
        <x:v>8474</x:v>
      </x:c>
      <x:c r="D2043">
        <x:v>100</x:v>
      </x:c>
      <x:c r="E2043" t="s">
        <x:v>96</x:v>
      </x:c>
      <x:c r="F2043" t="s">
        <x:v>97</x:v>
      </x:c>
      <x:c r="G2043">
        <x:v>41691</x:v>
      </x:c>
      <x:c r="H2043" t="s">
        <x:v>9336</x:v>
      </x:c>
      <x:c r="I2043" t="s">
        <x:v>9337</x:v>
      </x:c>
      <x:c r="J2043" t="s">
        <x:v>9338</x:v>
      </x:c>
    </x:row>
    <x:row r="2044">
      <x:c r="A2044" t="s">
        <x:v>9339</x:v>
      </x:c>
      <x:c r="B2044" t="s">
        <x:v>9339</x:v>
      </x:c>
      <x:c r="C2044" t="s">
        <x:v>8474</x:v>
      </x:c>
      <x:c r="D2044">
        <x:v>70</x:v>
      </x:c>
      <x:c r="E2044" t="s">
        <x:v>103</x:v>
      </x:c>
      <x:c r="F2044" t="s">
        <x:v>97</x:v>
      </x:c>
      <x:c r="G2044">
        <x:v>42251</x:v>
      </x:c>
      <x:c r="H2044" t="s">
        <x:v>9340</x:v>
      </x:c>
      <x:c r="I2044" t="s">
        <x:v>9341</x:v>
      </x:c>
      <x:c r="J2044" t="s">
        <x:v>9342</x:v>
      </x:c>
    </x:row>
    <x:row r="2045">
      <x:c r="A2045" t="s">
        <x:v>9343</x:v>
      </x:c>
      <x:c r="B2045" t="s">
        <x:v>9343</x:v>
      </x:c>
      <x:c r="C2045" t="s">
        <x:v>8474</x:v>
      </x:c>
      <x:c r="D2045">
        <x:v>120</x:v>
      </x:c>
      <x:c r="E2045" t="s">
        <x:v>103</x:v>
      </x:c>
      <x:c r="F2045" t="s">
        <x:v>97</x:v>
      </x:c>
      <x:c r="G2045">
        <x:v>42296</x:v>
      </x:c>
      <x:c r="H2045" t="s">
        <x:v>9344</x:v>
      </x:c>
      <x:c r="I2045" t="s">
        <x:v>9345</x:v>
      </x:c>
      <x:c r="J2045" t="s">
        <x:v>9346</x:v>
      </x:c>
    </x:row>
    <x:row r="2046">
      <x:c r="A2046" t="s">
        <x:v>9347</x:v>
      </x:c>
      <x:c r="B2046" t="s">
        <x:v>9347</x:v>
      </x:c>
      <x:c r="C2046" t="s">
        <x:v>8474</x:v>
      </x:c>
      <x:c r="D2046">
        <x:v>89</x:v>
      </x:c>
      <x:c r="E2046" t="s">
        <x:v>96</x:v>
      </x:c>
      <x:c r="F2046" t="s">
        <x:v>97</x:v>
      </x:c>
      <x:c r="G2046">
        <x:v>44605</x:v>
      </x:c>
      <x:c r="H2046" t="s">
        <x:v>9348</x:v>
      </x:c>
      <x:c r="I2046" t="s">
        <x:v>9349</x:v>
      </x:c>
      <x:c r="J2046" t="s">
        <x:v>9350</x:v>
      </x:c>
    </x:row>
    <x:row r="2047">
      <x:c r="A2047" t="s">
        <x:v>9351</x:v>
      </x:c>
      <x:c r="B2047" t="s">
        <x:v>9351</x:v>
      </x:c>
      <x:c r="C2047" t="s">
        <x:v>9352</x:v>
      </x:c>
      <x:c r="D2047">
        <x:v>29</x:v>
      </x:c>
      <x:c r="E2047" t="s">
        <x:v>96</x:v>
      </x:c>
      <x:c r="F2047" t="s">
        <x:v>97</x:v>
      </x:c>
      <x:c r="G2047">
        <x:v>45926</x:v>
      </x:c>
      <x:c r="H2047" t="s">
        <x:v>9353</x:v>
      </x:c>
      <x:c r="I2047" t="s">
        <x:v>9354</x:v>
      </x:c>
      <x:c r="J2047" t="s">
        <x:v>9355</x:v>
      </x:c>
    </x:row>
    <x:row r="2048">
      <x:c r="A2048" t="s">
        <x:v>9356</x:v>
      </x:c>
      <x:c r="B2048" t="s">
        <x:v>9356</x:v>
      </x:c>
      <x:c r="C2048" t="s">
        <x:v>9357</x:v>
      </x:c>
      <x:c r="D2048">
        <x:v>0</x:v>
      </x:c>
      <x:c r="E2048" t="s">
        <x:v>89</x:v>
      </x:c>
      <x:c r="F2048" t="s">
        <x:v>97</x:v>
      </x:c>
      <x:c r="G2048">
        <x:v>45386</x:v>
      </x:c>
      <x:c r="H2048" t="s">
        <x:v>9358</x:v>
      </x:c>
      <x:c r="I2048" t="s">
        <x:v>9359</x:v>
      </x:c>
      <x:c r="J2048" t="s">
        <x:v>9360</x:v>
      </x:c>
    </x:row>
    <x:row r="2049">
      <x:c r="A2049" t="s">
        <x:v>9361</x:v>
      </x:c>
      <x:c r="B2049" t="s">
        <x:v>9361</x:v>
      </x:c>
      <x:c r="C2049" t="s">
        <x:v>9362</x:v>
      </x:c>
      <x:c r="D2049">
        <x:v>6</x:v>
      </x:c>
      <x:c r="E2049" t="s">
        <x:v>257</x:v>
      </x:c>
      <x:c r="F2049" t="s">
        <x:v>97</x:v>
      </x:c>
      <x:c r="G2049">
        <x:v>42315</x:v>
      </x:c>
      <x:c r="H2049" t="s">
        <x:v>9363</x:v>
      </x:c>
      <x:c r="I2049" t="s">
        <x:v>9364</x:v>
      </x:c>
      <x:c r="J2049" t="s">
        <x:v>9365</x:v>
      </x:c>
    </x:row>
    <x:row r="2050">
      <x:c r="A2050" t="s">
        <x:v>9366</x:v>
      </x:c>
      <x:c r="B2050" t="s">
        <x:v>9366</x:v>
      </x:c>
      <x:c r="C2050" t="s">
        <x:v>5402</x:v>
      </x:c>
      <x:c r="D2050">
        <x:v>32</x:v>
      </x:c>
      <x:c r="E2050" t="s">
        <x:v>96</x:v>
      </x:c>
      <x:c r="F2050" t="s">
        <x:v>97</x:v>
      </x:c>
      <x:c r="G2050">
        <x:v>44189</x:v>
      </x:c>
      <x:c r="H2050" t="s">
        <x:v>9367</x:v>
      </x:c>
      <x:c r="I2050" t="s">
        <x:v>9368</x:v>
      </x:c>
      <x:c r="J2050" t="s">
        <x:v>9369</x:v>
      </x:c>
    </x:row>
    <x:row r="2051">
      <x:c r="A2051" t="s">
        <x:v>9370</x:v>
      </x:c>
      <x:c r="B2051" t="s">
        <x:v>9370</x:v>
      </x:c>
      <x:c r="C2051" t="s">
        <x:v>9371</x:v>
      </x:c>
      <x:c r="D2051">
        <x:v>5</x:v>
      </x:c>
      <x:c r="E2051" t="s">
        <x:v>103</x:v>
      </x:c>
      <x:c r="F2051" t="s">
        <x:v>97</x:v>
      </x:c>
      <x:c r="G2051">
        <x:v>42425</x:v>
      </x:c>
      <x:c r="H2051" t="s">
        <x:v>9372</x:v>
      </x:c>
      <x:c r="I2051" t="s">
        <x:v>9373</x:v>
      </x:c>
      <x:c r="J2051" t="s">
        <x:v>9374</x:v>
      </x:c>
    </x:row>
    <x:row r="2052">
      <x:c r="A2052" t="s">
        <x:v>9375</x:v>
      </x:c>
      <x:c r="B2052" t="s">
        <x:v>9375</x:v>
      </x:c>
      <x:c r="C2052" t="s">
        <x:v>9376</x:v>
      </x:c>
      <x:c r="D2052">
        <x:v>52</x:v>
      </x:c>
      <x:c r="E2052" t="s">
        <x:v>103</x:v>
      </x:c>
      <x:c r="F2052" t="s">
        <x:v>97</x:v>
      </x:c>
      <x:c r="G2052">
        <x:v>46102</x:v>
      </x:c>
      <x:c r="H2052" t="s">
        <x:v>9377</x:v>
      </x:c>
      <x:c r="I2052" t="s">
        <x:v>9378</x:v>
      </x:c>
      <x:c r="J2052" t="s">
        <x:v>9379</x:v>
      </x:c>
    </x:row>
    <x:row r="2053">
      <x:c r="A2053" t="s">
        <x:v>9380</x:v>
      </x:c>
      <x:c r="B2053" t="s">
        <x:v>9380</x:v>
      </x:c>
      <x:c r="C2053" t="s">
        <x:v>9381</x:v>
      </x:c>
      <x:c r="D2053">
        <x:v>1</x:v>
      </x:c>
      <x:c r="E2053" t="s">
        <x:v>89</x:v>
      </x:c>
      <x:c r="F2053" t="s">
        <x:v>90</x:v>
      </x:c>
      <x:c r="G2053">
        <x:v>44302</x:v>
      </x:c>
      <x:c r="H2053" t="s">
        <x:v>9382</x:v>
      </x:c>
      <x:c r="I2053" t="s">
        <x:v>9383</x:v>
      </x:c>
      <x:c r="J2053" t="s">
        <x:v>9384</x:v>
      </x:c>
    </x:row>
    <x:row r="2054">
      <x:c r="A2054" t="s">
        <x:v>9385</x:v>
      </x:c>
      <x:c r="B2054" t="s">
        <x:v>9385</x:v>
      </x:c>
      <x:c r="C2054" t="s">
        <x:v>9381</x:v>
      </x:c>
      <x:c r="D2054">
        <x:v>1</x:v>
      </x:c>
      <x:c r="E2054" t="s">
        <x:v>198</x:v>
      </x:c>
      <x:c r="F2054" t="s">
        <x:v>90</x:v>
      </x:c>
      <x:c r="G2054">
        <x:v>44378</x:v>
      </x:c>
      <x:c r="H2054" t="s">
        <x:v>9386</x:v>
      </x:c>
      <x:c r="I2054" t="s">
        <x:v>9387</x:v>
      </x:c>
      <x:c r="J2054" t="s">
        <x:v>9388</x:v>
      </x:c>
    </x:row>
    <x:row r="2055">
      <x:c r="A2055" t="s">
        <x:v>9389</x:v>
      </x:c>
      <x:c r="B2055" t="s">
        <x:v>9389</x:v>
      </x:c>
      <x:c r="C2055" t="s">
        <x:v>7526</x:v>
      </x:c>
      <x:c r="D2055">
        <x:v>1</x:v>
      </x:c>
      <x:c r="E2055" t="s">
        <x:v>198</x:v>
      </x:c>
      <x:c r="F2055" t="s">
        <x:v>126</x:v>
      </x:c>
      <x:c r="G2055">
        <x:v>43459</x:v>
      </x:c>
      <x:c r="H2055" t="s">
        <x:v>9390</x:v>
      </x:c>
      <x:c r="I2055" t="s">
        <x:v>9391</x:v>
      </x:c>
      <x:c r="J2055" t="s">
        <x:v>9392</x:v>
      </x:c>
    </x:row>
    <x:row r="2056">
      <x:c r="A2056" t="s">
        <x:v>9393</x:v>
      </x:c>
      <x:c r="B2056" t="s">
        <x:v>9393</x:v>
      </x:c>
      <x:c r="C2056" t="s">
        <x:v>9394</x:v>
      </x:c>
      <x:c r="D2056">
        <x:v>6</x:v>
      </x:c>
      <x:c r="E2056" t="s">
        <x:v>103</x:v>
      </x:c>
      <x:c r="F2056" t="s">
        <x:v>97</x:v>
      </x:c>
      <x:c r="G2056">
        <x:v>42217</x:v>
      </x:c>
      <x:c r="H2056" t="s">
        <x:v>9395</x:v>
      </x:c>
      <x:c r="I2056" t="s">
        <x:v>9396</x:v>
      </x:c>
      <x:c r="J2056" t="s">
        <x:v>9397</x:v>
      </x:c>
    </x:row>
    <x:row r="2057">
      <x:c r="A2057" t="s">
        <x:v>9398</x:v>
      </x:c>
      <x:c r="B2057" t="s">
        <x:v>9398</x:v>
      </x:c>
      <x:c r="C2057" t="s">
        <x:v>776</x:v>
      </x:c>
      <x:c r="D2057">
        <x:v>13</x:v>
      </x:c>
      <x:c r="E2057" t="s">
        <x:v>103</x:v>
      </x:c>
      <x:c r="F2057" t="s">
        <x:v>97</x:v>
      </x:c>
      <x:c r="G2057">
        <x:v>42427</x:v>
      </x:c>
      <x:c r="H2057" t="s">
        <x:v>9399</x:v>
      </x:c>
      <x:c r="I2057" t="s">
        <x:v>9400</x:v>
      </x:c>
      <x:c r="J2057" t="s">
        <x:v>9401</x:v>
      </x:c>
    </x:row>
    <x:row r="2058">
      <x:c r="A2058" t="s">
        <x:v>9402</x:v>
      </x:c>
      <x:c r="B2058" t="s">
        <x:v>9402</x:v>
      </x:c>
      <x:c r="C2058" t="s">
        <x:v>1344</x:v>
      </x:c>
      <x:c r="D2058">
        <x:v>90</x:v>
      </x:c>
      <x:c r="E2058" t="s">
        <x:v>89</x:v>
      </x:c>
      <x:c r="F2058" t="s">
        <x:v>97</x:v>
      </x:c>
      <x:c r="G2058">
        <x:v>45491</x:v>
      </x:c>
      <x:c r="H2058" t="s">
        <x:v>9403</x:v>
      </x:c>
      <x:c r="I2058" t="s">
        <x:v>9404</x:v>
      </x:c>
      <x:c r="J2058" t="s">
        <x:v>9405</x:v>
      </x:c>
    </x:row>
    <x:row r="2059">
      <x:c r="A2059" t="s">
        <x:v>9406</x:v>
      </x:c>
      <x:c r="B2059" t="s">
        <x:v>9406</x:v>
      </x:c>
      <x:c r="C2059" t="s">
        <x:v>1344</x:v>
      </x:c>
      <x:c r="D2059">
        <x:v>111</x:v>
      </x:c>
      <x:c r="E2059" t="s">
        <x:v>198</x:v>
      </x:c>
      <x:c r="F2059" t="s">
        <x:v>97</x:v>
      </x:c>
      <x:c r="G2059">
        <x:v>45895</x:v>
      </x:c>
      <x:c r="H2059" t="s">
        <x:v>9407</x:v>
      </x:c>
      <x:c r="I2059" t="s">
        <x:v>9408</x:v>
      </x:c>
      <x:c r="J2059" t="s">
        <x:v>9409</x:v>
      </x:c>
    </x:row>
    <x:row r="2060">
      <x:c r="A2060" t="s">
        <x:v>9410</x:v>
      </x:c>
      <x:c r="B2060" t="s">
        <x:v>9410</x:v>
      </x:c>
      <x:c r="C2060" t="s">
        <x:v>9411</x:v>
      </x:c>
      <x:c r="D2060">
        <x:v>8</x:v>
      </x:c>
      <x:c r="E2060" t="s">
        <x:v>103</x:v>
      </x:c>
      <x:c r="F2060" t="s">
        <x:v>97</x:v>
      </x:c>
      <x:c r="G2060">
        <x:v>44528</x:v>
      </x:c>
      <x:c r="H2060" t="s">
        <x:v>9412</x:v>
      </x:c>
      <x:c r="I2060" t="s">
        <x:v>9413</x:v>
      </x:c>
      <x:c r="J2060" t="s">
        <x:v>9414</x:v>
      </x:c>
    </x:row>
    <x:row r="2061">
      <x:c r="A2061" t="s">
        <x:v>9415</x:v>
      </x:c>
      <x:c r="B2061" t="s">
        <x:v>9415</x:v>
      </x:c>
      <x:c r="C2061" t="s">
        <x:v>7377</x:v>
      </x:c>
      <x:c r="D2061">
        <x:v>5</x:v>
      </x:c>
      <x:c r="E2061" t="s">
        <x:v>257</x:v>
      </x:c>
      <x:c r="F2061" t="s">
        <x:v>97</x:v>
      </x:c>
      <x:c r="G2061">
        <x:v>42130</x:v>
      </x:c>
      <x:c r="H2061" t="s">
        <x:v>9416</x:v>
      </x:c>
      <x:c r="I2061" t="s">
        <x:v>9417</x:v>
      </x:c>
      <x:c r="J2061" t="s">
        <x:v>9418</x:v>
      </x:c>
    </x:row>
    <x:row r="2062">
      <x:c r="A2062" t="s">
        <x:v>9419</x:v>
      </x:c>
      <x:c r="B2062" t="s">
        <x:v>9419</x:v>
      </x:c>
      <x:c r="C2062" t="s">
        <x:v>346</x:v>
      </x:c>
      <x:c r="D2062">
        <x:v>6</x:v>
      </x:c>
      <x:c r="E2062" t="s">
        <x:v>257</x:v>
      </x:c>
      <x:c r="F2062" t="s">
        <x:v>97</x:v>
      </x:c>
      <x:c r="G2062">
        <x:v>41542</x:v>
      </x:c>
      <x:c r="H2062" t="s">
        <x:v>9420</x:v>
      </x:c>
      <x:c r="I2062" t="s">
        <x:v>9421</x:v>
      </x:c>
      <x:c r="J2062" t="s">
        <x:v>9422</x:v>
      </x:c>
    </x:row>
    <x:row r="2063">
      <x:c r="A2063" t="s">
        <x:v>9423</x:v>
      </x:c>
      <x:c r="B2063" t="s">
        <x:v>9423</x:v>
      </x:c>
      <x:c r="C2063" t="s">
        <x:v>9424</x:v>
      </x:c>
      <x:c r="D2063">
        <x:v>50</x:v>
      </x:c>
      <x:c r="E2063" t="s">
        <x:v>103</x:v>
      </x:c>
      <x:c r="F2063" t="s">
        <x:v>97</x:v>
      </x:c>
      <x:c r="G2063">
        <x:v>44071</x:v>
      </x:c>
      <x:c r="H2063" t="s">
        <x:v>9425</x:v>
      </x:c>
      <x:c r="I2063" t="s">
        <x:v>9426</x:v>
      </x:c>
      <x:c r="J2063" t="s">
        <x:v>9427</x:v>
      </x:c>
    </x:row>
    <x:row r="2064">
      <x:c r="A2064" t="s">
        <x:v>9428</x:v>
      </x:c>
      <x:c r="B2064" t="s">
        <x:v>9428</x:v>
      </x:c>
      <x:c r="C2064" t="s">
        <x:v>9424</x:v>
      </x:c>
      <x:c r="D2064">
        <x:v>69</x:v>
      </x:c>
      <x:c r="E2064" t="s">
        <x:v>96</x:v>
      </x:c>
      <x:c r="F2064" t="s">
        <x:v>97</x:v>
      </x:c>
      <x:c r="G2064">
        <x:v>44418</x:v>
      </x:c>
      <x:c r="H2064" t="s">
        <x:v>9429</x:v>
      </x:c>
      <x:c r="I2064" t="s">
        <x:v>9430</x:v>
      </x:c>
      <x:c r="J2064" t="s">
        <x:v>9431</x:v>
      </x:c>
    </x:row>
    <x:row r="2065">
      <x:c r="A2065" t="s">
        <x:v>9432</x:v>
      </x:c>
      <x:c r="B2065" t="s">
        <x:v>9432</x:v>
      </x:c>
      <x:c r="C2065" t="s">
        <x:v>9424</x:v>
      </x:c>
      <x:c r="D2065">
        <x:v>94</x:v>
      </x:c>
      <x:c r="E2065" t="s">
        <x:v>96</x:v>
      </x:c>
      <x:c r="F2065" t="s">
        <x:v>97</x:v>
      </x:c>
      <x:c r="G2065">
        <x:v>44505</x:v>
      </x:c>
      <x:c r="H2065" t="s">
        <x:v>9433</x:v>
      </x:c>
      <x:c r="I2065" t="s">
        <x:v>9434</x:v>
      </x:c>
      <x:c r="J2065" t="s">
        <x:v>9435</x:v>
      </x:c>
    </x:row>
    <x:row r="2066">
      <x:c r="A2066" t="s">
        <x:v>9436</x:v>
      </x:c>
      <x:c r="B2066" t="s">
        <x:v>9436</x:v>
      </x:c>
      <x:c r="C2066" t="s">
        <x:v>282</x:v>
      </x:c>
      <x:c r="D2066">
        <x:v>34</x:v>
      </x:c>
      <x:c r="E2066" t="s">
        <x:v>96</x:v>
      </x:c>
      <x:c r="F2066" t="s">
        <x:v>97</x:v>
      </x:c>
      <x:c r="G2066">
        <x:v>45891</x:v>
      </x:c>
      <x:c r="H2066" t="s">
        <x:v>9437</x:v>
      </x:c>
      <x:c r="I2066" t="s">
        <x:v>9438</x:v>
      </x:c>
      <x:c r="J2066" t="s">
        <x:v>9439</x:v>
      </x:c>
    </x:row>
    <x:row r="2067">
      <x:c r="A2067" t="s">
        <x:v>9440</x:v>
      </x:c>
      <x:c r="B2067" t="s">
        <x:v>9440</x:v>
      </x:c>
      <x:c r="C2067" t="s">
        <x:v>8511</x:v>
      </x:c>
      <x:c r="D2067">
        <x:v>7</x:v>
      </x:c>
      <x:c r="E2067" t="s">
        <x:v>96</x:v>
      </x:c>
      <x:c r="F2067" t="s">
        <x:v>97</x:v>
      </x:c>
      <x:c r="G2067">
        <x:v>41681</x:v>
      </x:c>
      <x:c r="H2067" t="s">
        <x:v>9441</x:v>
      </x:c>
      <x:c r="I2067" t="s">
        <x:v>9442</x:v>
      </x:c>
      <x:c r="J2067" t="s">
        <x:v>9443</x:v>
      </x:c>
    </x:row>
    <x:row r="2068">
      <x:c r="A2068" t="s">
        <x:v>9444</x:v>
      </x:c>
      <x:c r="B2068" t="s">
        <x:v>9444</x:v>
      </x:c>
      <x:c r="C2068" t="s">
        <x:v>2519</x:v>
      </x:c>
      <x:c r="D2068">
        <x:v>10</x:v>
      </x:c>
      <x:c r="E2068" t="s">
        <x:v>103</x:v>
      </x:c>
      <x:c r="F2068" t="s">
        <x:v>97</x:v>
      </x:c>
      <x:c r="G2068">
        <x:v>43347</x:v>
      </x:c>
      <x:c r="H2068" t="s">
        <x:v>9445</x:v>
      </x:c>
      <x:c r="I2068" t="s">
        <x:v>9446</x:v>
      </x:c>
      <x:c r="J2068" t="s">
        <x:v>9447</x:v>
      </x:c>
    </x:row>
    <x:row r="2069">
      <x:c r="A2069" t="s">
        <x:v>9448</x:v>
      </x:c>
      <x:c r="B2069" t="s">
        <x:v>9448</x:v>
      </x:c>
      <x:c r="C2069" t="s">
        <x:v>6193</x:v>
      </x:c>
      <x:c r="D2069">
        <x:v>5</x:v>
      </x:c>
      <x:c r="E2069" t="s">
        <x:v>103</x:v>
      </x:c>
      <x:c r="F2069" t="s">
        <x:v>97</x:v>
      </x:c>
      <x:c r="G2069">
        <x:v>42504</x:v>
      </x:c>
      <x:c r="H2069" t="s">
        <x:v>9449</x:v>
      </x:c>
      <x:c r="I2069" t="s">
        <x:v>9450</x:v>
      </x:c>
      <x:c r="J2069" t="s">
        <x:v>9451</x:v>
      </x:c>
    </x:row>
    <x:row r="2070">
      <x:c r="A2070" t="s">
        <x:v>9452</x:v>
      </x:c>
      <x:c r="B2070" t="s">
        <x:v>9452</x:v>
      </x:c>
      <x:c r="C2070" t="s">
        <x:v>9453</x:v>
      </x:c>
      <x:c r="D2070">
        <x:v>8</x:v>
      </x:c>
      <x:c r="E2070" t="s">
        <x:v>103</x:v>
      </x:c>
      <x:c r="F2070" t="s">
        <x:v>97</x:v>
      </x:c>
      <x:c r="G2070">
        <x:v>41724</x:v>
      </x:c>
      <x:c r="H2070" t="s">
        <x:v>9454</x:v>
      </x:c>
      <x:c r="I2070" t="s">
        <x:v>9455</x:v>
      </x:c>
      <x:c r="J2070" t="s">
        <x:v>9456</x:v>
      </x:c>
    </x:row>
    <x:row r="2071">
      <x:c r="A2071" t="s">
        <x:v>9457</x:v>
      </x:c>
      <x:c r="B2071" t="s">
        <x:v>9457</x:v>
      </x:c>
      <x:c r="C2071" t="s">
        <x:v>543</x:v>
      </x:c>
      <x:c r="D2071">
        <x:v>82</x:v>
      </x:c>
      <x:c r="E2071" t="s">
        <x:v>103</x:v>
      </x:c>
      <x:c r="F2071" t="s">
        <x:v>97</x:v>
      </x:c>
      <x:c r="G2071">
        <x:v>42195</x:v>
      </x:c>
      <x:c r="H2071" t="s">
        <x:v>9458</x:v>
      </x:c>
      <x:c r="I2071" t="s">
        <x:v>9459</x:v>
      </x:c>
      <x:c r="J2071" t="s">
        <x:v>9460</x:v>
      </x:c>
    </x:row>
    <x:row r="2072">
      <x:c r="A2072" t="s">
        <x:v>9461</x:v>
      </x:c>
      <x:c r="B2072" t="s">
        <x:v>9461</x:v>
      </x:c>
      <x:c r="C2072" t="s">
        <x:v>543</x:v>
      </x:c>
      <x:c r="D2072">
        <x:v>102</x:v>
      </x:c>
      <x:c r="E2072" t="s">
        <x:v>103</x:v>
      </x:c>
      <x:c r="F2072" t="s">
        <x:v>97</x:v>
      </x:c>
      <x:c r="G2072">
        <x:v>45069</x:v>
      </x:c>
      <x:c r="H2072" t="s">
        <x:v>9462</x:v>
      </x:c>
      <x:c r="I2072" t="s">
        <x:v>9463</x:v>
      </x:c>
      <x:c r="J2072" t="s">
        <x:v>9464</x:v>
      </x:c>
    </x:row>
    <x:row r="2073">
      <x:c r="A2073" t="s">
        <x:v>9465</x:v>
      </x:c>
      <x:c r="B2073" t="s">
        <x:v>9465</x:v>
      </x:c>
      <x:c r="C2073" t="s">
        <x:v>9466</x:v>
      </x:c>
      <x:c r="D2073">
        <x:v>7</x:v>
      </x:c>
      <x:c r="E2073" t="s">
        <x:v>257</x:v>
      </x:c>
      <x:c r="F2073" t="s">
        <x:v>97</x:v>
      </x:c>
      <x:c r="G2073">
        <x:v>42270</x:v>
      </x:c>
      <x:c r="H2073" t="s">
        <x:v>9467</x:v>
      </x:c>
      <x:c r="I2073" t="s">
        <x:v>9468</x:v>
      </x:c>
      <x:c r="J2073" t="s">
        <x:v>9469</x:v>
      </x:c>
    </x:row>
    <x:row r="2074">
      <x:c r="A2074" t="s">
        <x:v>9470</x:v>
      </x:c>
      <x:c r="B2074" t="s">
        <x:v>9470</x:v>
      </x:c>
      <x:c r="C2074" t="s">
        <x:v>9471</x:v>
      </x:c>
      <x:c r="D2074">
        <x:v>11</x:v>
      </x:c>
      <x:c r="E2074" t="s">
        <x:v>103</x:v>
      </x:c>
      <x:c r="F2074" t="s">
        <x:v>97</x:v>
      </x:c>
      <x:c r="G2074">
        <x:v>41548</x:v>
      </x:c>
      <x:c r="H2074" t="s">
        <x:v>9472</x:v>
      </x:c>
      <x:c r="I2074" t="s">
        <x:v>9473</x:v>
      </x:c>
      <x:c r="J2074" t="s">
        <x:v>9474</x:v>
      </x:c>
    </x:row>
    <x:row r="2075">
      <x:c r="A2075" t="s">
        <x:v>9475</x:v>
      </x:c>
      <x:c r="B2075" t="s">
        <x:v>9475</x:v>
      </x:c>
      <x:c r="C2075" t="s">
        <x:v>968</x:v>
      </x:c>
      <x:c r="D2075">
        <x:v>28</x:v>
      </x:c>
      <x:c r="E2075" t="s">
        <x:v>103</x:v>
      </x:c>
      <x:c r="F2075" t="s">
        <x:v>97</x:v>
      </x:c>
      <x:c r="G2075">
        <x:v>43823</x:v>
      </x:c>
      <x:c r="H2075" t="s">
        <x:v>9476</x:v>
      </x:c>
      <x:c r="I2075" t="s">
        <x:v>9477</x:v>
      </x:c>
      <x:c r="J2075" t="s">
        <x:v>9478</x:v>
      </x:c>
    </x:row>
    <x:row r="2076">
      <x:c r="A2076" t="s">
        <x:v>9479</x:v>
      </x:c>
      <x:c r="B2076" t="s">
        <x:v>9479</x:v>
      </x:c>
      <x:c r="C2076" t="s">
        <x:v>9480</x:v>
      </x:c>
      <x:c r="D2076">
        <x:v>8</x:v>
      </x:c>
      <x:c r="E2076" t="s">
        <x:v>257</x:v>
      </x:c>
      <x:c r="F2076" t="s">
        <x:v>97</x:v>
      </x:c>
      <x:c r="G2076">
        <x:v>42257</x:v>
      </x:c>
      <x:c r="H2076" t="s">
        <x:v>9481</x:v>
      </x:c>
      <x:c r="I2076" t="s">
        <x:v>9482</x:v>
      </x:c>
      <x:c r="J2076" t="s">
        <x:v>9483</x:v>
      </x:c>
    </x:row>
    <x:row r="2077">
      <x:c r="A2077" t="s">
        <x:v>9484</x:v>
      </x:c>
      <x:c r="B2077" t="s">
        <x:v>9484</x:v>
      </x:c>
      <x:c r="C2077" t="s">
        <x:v>4245</x:v>
      </x:c>
      <x:c r="D2077">
        <x:v>36</x:v>
      </x:c>
      <x:c r="E2077" t="s">
        <x:v>103</x:v>
      </x:c>
      <x:c r="F2077" t="s">
        <x:v>97</x:v>
      </x:c>
      <x:c r="G2077">
        <x:v>44768</x:v>
      </x:c>
      <x:c r="H2077" t="s">
        <x:v>9485</x:v>
      </x:c>
      <x:c r="I2077" t="s">
        <x:v>9486</x:v>
      </x:c>
      <x:c r="J2077" t="s">
        <x:v>9487</x:v>
      </x:c>
    </x:row>
    <x:row r="2078">
      <x:c r="A2078" t="s">
        <x:v>9488</x:v>
      </x:c>
      <x:c r="B2078" t="s">
        <x:v>9488</x:v>
      </x:c>
      <x:c r="C2078" t="s">
        <x:v>9489</x:v>
      </x:c>
      <x:c r="D2078">
        <x:v>6</x:v>
      </x:c>
      <x:c r="E2078" t="s">
        <x:v>103</x:v>
      </x:c>
      <x:c r="F2078" t="s">
        <x:v>97</x:v>
      </x:c>
      <x:c r="G2078">
        <x:v>44819</x:v>
      </x:c>
      <x:c r="H2078" t="s">
        <x:v>9490</x:v>
      </x:c>
      <x:c r="I2078" t="s">
        <x:v>9491</x:v>
      </x:c>
      <x:c r="J2078" t="s">
        <x:v>9492</x:v>
      </x:c>
    </x:row>
    <x:row r="2079">
      <x:c r="A2079" t="s">
        <x:v>9493</x:v>
      </x:c>
      <x:c r="B2079" t="s">
        <x:v>9493</x:v>
      </x:c>
      <x:c r="C2079" t="s">
        <x:v>9494</x:v>
      </x:c>
      <x:c r="D2079">
        <x:v>3</x:v>
      </x:c>
      <x:c r="E2079" t="s">
        <x:v>89</x:v>
      </x:c>
      <x:c r="F2079" t="s">
        <x:v>610</x:v>
      </x:c>
      <x:c r="G2079">
        <x:v>42298</x:v>
      </x:c>
      <x:c r="H2079" t="s">
        <x:v>9495</x:v>
      </x:c>
      <x:c r="I2079" t="s">
        <x:v>9496</x:v>
      </x:c>
      <x:c r="J2079" t="s">
        <x:v>9497</x:v>
      </x:c>
    </x:row>
    <x:row r="2080">
      <x:c r="A2080" t="s">
        <x:v>9498</x:v>
      </x:c>
      <x:c r="B2080" t="s">
        <x:v>9498</x:v>
      </x:c>
      <x:c r="C2080" t="s">
        <x:v>9499</x:v>
      </x:c>
      <x:c r="D2080">
        <x:v>3</x:v>
      </x:c>
      <x:c r="E2080" t="s">
        <x:v>96</x:v>
      </x:c>
      <x:c r="F2080" t="s">
        <x:v>97</x:v>
      </x:c>
      <x:c r="G2080">
        <x:v>42398</x:v>
      </x:c>
      <x:c r="H2080" t="s">
        <x:v>9500</x:v>
      </x:c>
      <x:c r="I2080" t="s">
        <x:v>9501</x:v>
      </x:c>
      <x:c r="J2080" t="s">
        <x:v>9502</x:v>
      </x:c>
    </x:row>
    <x:row r="2081">
      <x:c r="A2081" t="s">
        <x:v>9503</x:v>
      </x:c>
      <x:c r="B2081" t="s">
        <x:v>9503</x:v>
      </x:c>
      <x:c r="C2081" t="s">
        <x:v>1683</x:v>
      </x:c>
      <x:c r="D2081">
        <x:v>7</x:v>
      </x:c>
      <x:c r="E2081" t="s">
        <x:v>257</x:v>
      </x:c>
      <x:c r="F2081" t="s">
        <x:v>97</x:v>
      </x:c>
      <x:c r="G2081">
        <x:v>42279</x:v>
      </x:c>
      <x:c r="H2081" t="s">
        <x:v>9504</x:v>
      </x:c>
      <x:c r="I2081" t="s">
        <x:v>9505</x:v>
      </x:c>
      <x:c r="J2081" t="s">
        <x:v>9506</x:v>
      </x:c>
    </x:row>
    <x:row r="2082">
      <x:c r="A2082" t="s">
        <x:v>9507</x:v>
      </x:c>
      <x:c r="B2082" t="s">
        <x:v>9507</x:v>
      </x:c>
      <x:c r="C2082" t="s">
        <x:v>5601</x:v>
      </x:c>
      <x:c r="D2082">
        <x:v>5</x:v>
      </x:c>
      <x:c r="E2082" t="s">
        <x:v>257</x:v>
      </x:c>
      <x:c r="F2082" t="s">
        <x:v>97</x:v>
      </x:c>
      <x:c r="G2082">
        <x:v>42223</x:v>
      </x:c>
      <x:c r="H2082" t="s">
        <x:v>9508</x:v>
      </x:c>
      <x:c r="I2082" t="s">
        <x:v>9509</x:v>
      </x:c>
      <x:c r="J2082" t="s">
        <x:v>9510</x:v>
      </x:c>
    </x:row>
    <x:row r="2083">
      <x:c r="A2083" t="s">
        <x:v>9511</x:v>
      </x:c>
      <x:c r="B2083" t="s">
        <x:v>9511</x:v>
      </x:c>
      <x:c r="C2083" t="s">
        <x:v>9512</x:v>
      </x:c>
      <x:c r="D2083">
        <x:v>8</x:v>
      </x:c>
      <x:c r="E2083" t="s">
        <x:v>257</x:v>
      </x:c>
      <x:c r="F2083" t="s">
        <x:v>97</x:v>
      </x:c>
      <x:c r="G2083">
        <x:v>42066</x:v>
      </x:c>
      <x:c r="H2083" t="s">
        <x:v>9513</x:v>
      </x:c>
      <x:c r="I2083" t="s">
        <x:v>9514</x:v>
      </x:c>
      <x:c r="J2083" t="s">
        <x:v>9515</x:v>
      </x:c>
    </x:row>
    <x:row r="2084">
      <x:c r="A2084" t="s">
        <x:v>9516</x:v>
      </x:c>
      <x:c r="B2084" t="s">
        <x:v>9516</x:v>
      </x:c>
      <x:c r="C2084" t="s">
        <x:v>9517</x:v>
      </x:c>
      <x:c r="D2084">
        <x:v>6</x:v>
      </x:c>
      <x:c r="E2084" t="s">
        <x:v>257</x:v>
      </x:c>
      <x:c r="F2084" t="s">
        <x:v>97</x:v>
      </x:c>
      <x:c r="G2084">
        <x:v>42066</x:v>
      </x:c>
      <x:c r="H2084" t="s">
        <x:v>9518</x:v>
      </x:c>
      <x:c r="I2084" t="s">
        <x:v>9519</x:v>
      </x:c>
      <x:c r="J2084" t="s">
        <x:v>9520</x:v>
      </x:c>
    </x:row>
    <x:row r="2085">
      <x:c r="A2085" t="s">
        <x:v>9521</x:v>
      </x:c>
      <x:c r="B2085" t="s">
        <x:v>9521</x:v>
      </x:c>
      <x:c r="C2085" t="s">
        <x:v>7377</x:v>
      </x:c>
      <x:c r="D2085">
        <x:v>6</x:v>
      </x:c>
      <x:c r="E2085" t="s">
        <x:v>257</x:v>
      </x:c>
      <x:c r="F2085" t="s">
        <x:v>97</x:v>
      </x:c>
      <x:c r="G2085">
        <x:v>41744</x:v>
      </x:c>
      <x:c r="H2085" t="s">
        <x:v>9522</x:v>
      </x:c>
      <x:c r="I2085" t="s">
        <x:v>9523</x:v>
      </x:c>
      <x:c r="J2085" t="s">
        <x:v>9524</x:v>
      </x:c>
    </x:row>
    <x:row r="2086">
      <x:c r="A2086" t="s">
        <x:v>9525</x:v>
      </x:c>
      <x:c r="B2086" t="s">
        <x:v>9525</x:v>
      </x:c>
      <x:c r="C2086" t="s">
        <x:v>543</x:v>
      </x:c>
      <x:c r="D2086">
        <x:v>43</x:v>
      </x:c>
      <x:c r="E2086" t="s">
        <x:v>103</x:v>
      </x:c>
      <x:c r="F2086" t="s">
        <x:v>97</x:v>
      </x:c>
      <x:c r="G2086">
        <x:v>45848</x:v>
      </x:c>
      <x:c r="H2086" t="s">
        <x:v>9526</x:v>
      </x:c>
      <x:c r="I2086" t="s">
        <x:v>9527</x:v>
      </x:c>
      <x:c r="J2086" t="s">
        <x:v>9528</x:v>
      </x:c>
    </x:row>
    <x:row r="2087">
      <x:c r="A2087" t="s">
        <x:v>9529</x:v>
      </x:c>
      <x:c r="B2087" t="s">
        <x:v>9529</x:v>
      </x:c>
      <x:c r="C2087" t="s">
        <x:v>3012</x:v>
      </x:c>
      <x:c r="D2087">
        <x:v>7</x:v>
      </x:c>
      <x:c r="E2087" t="s">
        <x:v>257</x:v>
      </x:c>
      <x:c r="F2087" t="s">
        <x:v>97</x:v>
      </x:c>
      <x:c r="G2087">
        <x:v>42275</x:v>
      </x:c>
      <x:c r="H2087" t="s">
        <x:v>9530</x:v>
      </x:c>
      <x:c r="I2087" t="s">
        <x:v>9531</x:v>
      </x:c>
      <x:c r="J2087" t="s">
        <x:v>9532</x:v>
      </x:c>
    </x:row>
    <x:row r="2088">
      <x:c r="A2088" t="s">
        <x:v>9533</x:v>
      </x:c>
      <x:c r="B2088" t="s">
        <x:v>9533</x:v>
      </x:c>
      <x:c r="C2088" t="s">
        <x:v>9534</x:v>
      </x:c>
      <x:c r="D2088">
        <x:v>6</x:v>
      </x:c>
      <x:c r="E2088" t="s">
        <x:v>103</x:v>
      </x:c>
      <x:c r="F2088" t="s">
        <x:v>97</x:v>
      </x:c>
      <x:c r="G2088">
        <x:v>41490</x:v>
      </x:c>
      <x:c r="H2088" t="s">
        <x:v>9535</x:v>
      </x:c>
      <x:c r="I2088" t="s">
        <x:v>9536</x:v>
      </x:c>
      <x:c r="J2088" t="s">
        <x:v>9537</x:v>
      </x:c>
    </x:row>
    <x:row r="2089">
      <x:c r="A2089" t="s">
        <x:v>9538</x:v>
      </x:c>
      <x:c r="B2089" t="s">
        <x:v>9538</x:v>
      </x:c>
      <x:c r="C2089" t="s">
        <x:v>9424</x:v>
      </x:c>
      <x:c r="D2089">
        <x:v>29</x:v>
      </x:c>
      <x:c r="E2089" t="s">
        <x:v>96</x:v>
      </x:c>
      <x:c r="F2089" t="s">
        <x:v>97</x:v>
      </x:c>
      <x:c r="G2089">
        <x:v>44169</x:v>
      </x:c>
      <x:c r="H2089" t="s">
        <x:v>9539</x:v>
      </x:c>
      <x:c r="I2089" t="s">
        <x:v>9540</x:v>
      </x:c>
      <x:c r="J2089" t="s">
        <x:v>9541</x:v>
      </x:c>
    </x:row>
    <x:row r="2090">
      <x:c r="A2090" t="s">
        <x:v>9542</x:v>
      </x:c>
      <x:c r="B2090" t="s">
        <x:v>9542</x:v>
      </x:c>
      <x:c r="C2090" t="s">
        <x:v>9543</x:v>
      </x:c>
      <x:c r="D2090">
        <x:v>59</x:v>
      </x:c>
      <x:c r="E2090" t="s">
        <x:v>103</x:v>
      </x:c>
      <x:c r="F2090" t="s">
        <x:v>97</x:v>
      </x:c>
      <x:c r="G2090">
        <x:v>41449</x:v>
      </x:c>
      <x:c r="H2090" t="s">
        <x:v>9544</x:v>
      </x:c>
      <x:c r="I2090" t="s">
        <x:v>9545</x:v>
      </x:c>
      <x:c r="J2090" t="s">
        <x:v>9546</x:v>
      </x:c>
    </x:row>
    <x:row r="2091">
      <x:c r="A2091" t="s">
        <x:v>9547</x:v>
      </x:c>
      <x:c r="B2091" t="s">
        <x:v>9547</x:v>
      </x:c>
      <x:c r="C2091" t="s">
        <x:v>9548</x:v>
      </x:c>
      <x:c r="D2091">
        <x:v>92</x:v>
      </x:c>
      <x:c r="E2091" t="s">
        <x:v>103</x:v>
      </x:c>
      <x:c r="F2091" t="s">
        <x:v>97</x:v>
      </x:c>
      <x:c r="G2091">
        <x:v>44836</x:v>
      </x:c>
      <x:c r="H2091" t="s">
        <x:v>9549</x:v>
      </x:c>
      <x:c r="I2091" t="s">
        <x:v>9550</x:v>
      </x:c>
      <x:c r="J2091" t="s">
        <x:v>9551</x:v>
      </x:c>
    </x:row>
    <x:row r="2092">
      <x:c r="A2092" t="s">
        <x:v>9552</x:v>
      </x:c>
      <x:c r="B2092" t="s">
        <x:v>9552</x:v>
      </x:c>
      <x:c r="C2092" t="s">
        <x:v>9548</x:v>
      </x:c>
      <x:c r="D2092">
        <x:v>29</x:v>
      </x:c>
      <x:c r="E2092" t="s">
        <x:v>103</x:v>
      </x:c>
      <x:c r="F2092" t="s">
        <x:v>97</x:v>
      </x:c>
      <x:c r="G2092">
        <x:v>44938</x:v>
      </x:c>
      <x:c r="H2092" t="s">
        <x:v>9553</x:v>
      </x:c>
      <x:c r="I2092" t="s">
        <x:v>9554</x:v>
      </x:c>
      <x:c r="J2092" t="s">
        <x:v>9555</x:v>
      </x:c>
    </x:row>
    <x:row r="2093">
      <x:c r="A2093" t="s">
        <x:v>9556</x:v>
      </x:c>
      <x:c r="B2093" t="s">
        <x:v>9556</x:v>
      </x:c>
      <x:c r="C2093" t="s">
        <x:v>9557</x:v>
      </x:c>
      <x:c r="D2093">
        <x:v>5</x:v>
      </x:c>
      <x:c r="E2093" t="s">
        <x:v>257</x:v>
      </x:c>
      <x:c r="F2093" t="s">
        <x:v>97</x:v>
      </x:c>
      <x:c r="G2093">
        <x:v>44703</x:v>
      </x:c>
      <x:c r="H2093" t="s">
        <x:v>9558</x:v>
      </x:c>
      <x:c r="I2093" t="s">
        <x:v>9559</x:v>
      </x:c>
      <x:c r="J2093" t="s">
        <x:v>9560</x:v>
      </x:c>
    </x:row>
    <x:row r="2094">
      <x:c r="A2094" t="s">
        <x:v>9561</x:v>
      </x:c>
      <x:c r="B2094" t="s">
        <x:v>9561</x:v>
      </x:c>
      <x:c r="C2094" t="s">
        <x:v>9562</x:v>
      </x:c>
      <x:c r="D2094">
        <x:v>28</x:v>
      </x:c>
      <x:c r="E2094" t="s">
        <x:v>103</x:v>
      </x:c>
      <x:c r="F2094" t="s">
        <x:v>97</x:v>
      </x:c>
      <x:c r="G2094">
        <x:v>41573</x:v>
      </x:c>
      <x:c r="H2094" t="s">
        <x:v>9563</x:v>
      </x:c>
      <x:c r="I2094" t="s">
        <x:v>9564</x:v>
      </x:c>
      <x:c r="J2094" t="s">
        <x:v>9565</x:v>
      </x:c>
    </x:row>
    <x:row r="2095">
      <x:c r="A2095" t="s">
        <x:v>9566</x:v>
      </x:c>
      <x:c r="B2095" t="s">
        <x:v>9566</x:v>
      </x:c>
      <x:c r="C2095" t="s">
        <x:v>9567</x:v>
      </x:c>
      <x:c r="D2095">
        <x:v>5</x:v>
      </x:c>
      <x:c r="E2095" t="s">
        <x:v>103</x:v>
      </x:c>
      <x:c r="F2095" t="s">
        <x:v>97</x:v>
      </x:c>
      <x:c r="G2095">
        <x:v>43971</x:v>
      </x:c>
      <x:c r="H2095" t="s">
        <x:v>9568</x:v>
      </x:c>
      <x:c r="I2095" t="s">
        <x:v>9569</x:v>
      </x:c>
      <x:c r="J2095" t="s">
        <x:v>9570</x:v>
      </x:c>
    </x:row>
    <x:row r="2096">
      <x:c r="A2096" t="s">
        <x:v>9571</x:v>
      </x:c>
      <x:c r="B2096" t="s">
        <x:v>9571</x:v>
      </x:c>
      <x:c r="C2096" t="s">
        <x:v>282</x:v>
      </x:c>
      <x:c r="D2096">
        <x:v>24</x:v>
      </x:c>
      <x:c r="E2096" t="s">
        <x:v>103</x:v>
      </x:c>
      <x:c r="F2096" t="s">
        <x:v>97</x:v>
      </x:c>
      <x:c r="G2096">
        <x:v>45704</x:v>
      </x:c>
      <x:c r="H2096" t="s">
        <x:v>9572</x:v>
      </x:c>
      <x:c r="I2096" t="s">
        <x:v>9573</x:v>
      </x:c>
      <x:c r="J2096" t="s">
        <x:v>9574</x:v>
      </x:c>
    </x:row>
    <x:row r="2097">
      <x:c r="A2097" t="s">
        <x:v>9575</x:v>
      </x:c>
      <x:c r="B2097" t="s">
        <x:v>9575</x:v>
      </x:c>
      <x:c r="C2097" t="s">
        <x:v>9576</x:v>
      </x:c>
      <x:c r="D2097">
        <x:v>7</x:v>
      </x:c>
      <x:c r="E2097" t="s">
        <x:v>257</x:v>
      </x:c>
      <x:c r="F2097" t="s">
        <x:v>97</x:v>
      </x:c>
      <x:c r="G2097">
        <x:v>42073</x:v>
      </x:c>
      <x:c r="H2097" t="s">
        <x:v>9577</x:v>
      </x:c>
      <x:c r="I2097" t="s">
        <x:v>9578</x:v>
      </x:c>
      <x:c r="J2097" t="s">
        <x:v>9579</x:v>
      </x:c>
    </x:row>
    <x:row r="2098">
      <x:c r="A2098" t="s">
        <x:v>9580</x:v>
      </x:c>
      <x:c r="B2098" t="s">
        <x:v>9580</x:v>
      </x:c>
      <x:c r="C2098" t="s">
        <x:v>1334</x:v>
      </x:c>
      <x:c r="D2098">
        <x:v>15</x:v>
      </x:c>
      <x:c r="E2098" t="s">
        <x:v>103</x:v>
      </x:c>
      <x:c r="F2098" t="s">
        <x:v>97</x:v>
      </x:c>
      <x:c r="G2098">
        <x:v>41885</x:v>
      </x:c>
      <x:c r="H2098" t="s">
        <x:v>9581</x:v>
      </x:c>
      <x:c r="I2098" t="s">
        <x:v>9582</x:v>
      </x:c>
      <x:c r="J2098" t="s">
        <x:v>9583</x:v>
      </x:c>
    </x:row>
    <x:row r="2099">
      <x:c r="A2099" t="s">
        <x:v>9584</x:v>
      </x:c>
      <x:c r="B2099" t="s">
        <x:v>9584</x:v>
      </x:c>
      <x:c r="C2099" t="s">
        <x:v>9585</x:v>
      </x:c>
      <x:c r="D2099">
        <x:v>100</x:v>
      </x:c>
      <x:c r="E2099" t="s">
        <x:v>103</x:v>
      </x:c>
      <x:c r="F2099" t="s">
        <x:v>97</x:v>
      </x:c>
      <x:c r="G2099">
        <x:v>41603</x:v>
      </x:c>
      <x:c r="H2099" t="s">
        <x:v>9586</x:v>
      </x:c>
      <x:c r="I2099" t="s">
        <x:v>9587</x:v>
      </x:c>
      <x:c r="J2099" t="s">
        <x:v>9588</x:v>
      </x:c>
    </x:row>
    <x:row r="2100">
      <x:c r="A2100" t="s">
        <x:v>9589</x:v>
      </x:c>
      <x:c r="B2100" t="s">
        <x:v>9589</x:v>
      </x:c>
      <x:c r="C2100" t="s">
        <x:v>9590</x:v>
      </x:c>
      <x:c r="D2100">
        <x:v>6</x:v>
      </x:c>
      <x:c r="E2100" t="s">
        <x:v>103</x:v>
      </x:c>
      <x:c r="F2100" t="s">
        <x:v>97</x:v>
      </x:c>
      <x:c r="G2100">
        <x:v>42100</x:v>
      </x:c>
      <x:c r="H2100" t="s">
        <x:v>9591</x:v>
      </x:c>
      <x:c r="I2100" t="s">
        <x:v>9592</x:v>
      </x:c>
      <x:c r="J2100" t="s">
        <x:v>9593</x:v>
      </x:c>
    </x:row>
    <x:row r="2101">
      <x:c r="A2101" t="s">
        <x:v>9594</x:v>
      </x:c>
      <x:c r="B2101" t="s">
        <x:v>9594</x:v>
      </x:c>
      <x:c r="C2101" t="s">
        <x:v>5053</x:v>
      </x:c>
      <x:c r="D2101">
        <x:v>10</x:v>
      </x:c>
      <x:c r="E2101" t="s">
        <x:v>257</x:v>
      </x:c>
      <x:c r="F2101" t="s">
        <x:v>97</x:v>
      </x:c>
      <x:c r="G2101">
        <x:v>42270</x:v>
      </x:c>
      <x:c r="H2101" t="s">
        <x:v>9595</x:v>
      </x:c>
      <x:c r="I2101" t="s">
        <x:v>9596</x:v>
      </x:c>
      <x:c r="J2101" t="s">
        <x:v>9597</x:v>
      </x:c>
    </x:row>
    <x:row r="2102">
      <x:c r="A2102" t="s">
        <x:v>9598</x:v>
      </x:c>
      <x:c r="B2102" t="s">
        <x:v>9598</x:v>
      </x:c>
      <x:c r="C2102" t="s">
        <x:v>1751</x:v>
      </x:c>
      <x:c r="D2102">
        <x:v>31</x:v>
      </x:c>
      <x:c r="E2102" t="s">
        <x:v>103</x:v>
      </x:c>
      <x:c r="F2102" t="s">
        <x:v>97</x:v>
      </x:c>
      <x:c r="G2102">
        <x:v>42222</x:v>
      </x:c>
      <x:c r="H2102" t="s">
        <x:v>9599</x:v>
      </x:c>
      <x:c r="I2102" t="s">
        <x:v>9600</x:v>
      </x:c>
      <x:c r="J2102" t="s">
        <x:v>9601</x:v>
      </x:c>
    </x:row>
    <x:row r="2103">
      <x:c r="A2103" t="s">
        <x:v>9602</x:v>
      </x:c>
      <x:c r="B2103" t="s">
        <x:v>9602</x:v>
      </x:c>
      <x:c r="C2103" t="s">
        <x:v>9603</x:v>
      </x:c>
      <x:c r="D2103">
        <x:v>93</x:v>
      </x:c>
      <x:c r="E2103" t="s">
        <x:v>103</x:v>
      </x:c>
      <x:c r="F2103" t="s">
        <x:v>97</x:v>
      </x:c>
      <x:c r="G2103">
        <x:v>45005</x:v>
      </x:c>
      <x:c r="H2103" t="s">
        <x:v>9604</x:v>
      </x:c>
      <x:c r="I2103" t="s">
        <x:v>9605</x:v>
      </x:c>
      <x:c r="J2103" t="s">
        <x:v>9606</x:v>
      </x:c>
    </x:row>
    <x:row r="2104">
      <x:c r="A2104" t="s">
        <x:v>9607</x:v>
      </x:c>
      <x:c r="B2104" t="s">
        <x:v>9607</x:v>
      </x:c>
      <x:c r="C2104" t="s">
        <x:v>9608</x:v>
      </x:c>
      <x:c r="D2104">
        <x:v>106</x:v>
      </x:c>
      <x:c r="E2104" t="s">
        <x:v>114</x:v>
      </x:c>
      <x:c r="F2104" t="s">
        <x:v>97</x:v>
      </x:c>
      <x:c r="G2104">
        <x:v>41711</x:v>
      </x:c>
      <x:c r="H2104" t="s">
        <x:v>9609</x:v>
      </x:c>
      <x:c r="I2104" t="s">
        <x:v>9610</x:v>
      </x:c>
      <x:c r="J2104" t="s">
        <x:v>9611</x:v>
      </x:c>
    </x:row>
    <x:row r="2105">
      <x:c r="A2105" t="s">
        <x:v>9612</x:v>
      </x:c>
      <x:c r="B2105" t="s">
        <x:v>9612</x:v>
      </x:c>
      <x:c r="C2105" t="s">
        <x:v>282</x:v>
      </x:c>
      <x:c r="D2105">
        <x:v>70</x:v>
      </x:c>
      <x:c r="E2105" t="s">
        <x:v>96</x:v>
      </x:c>
      <x:c r="F2105" t="s">
        <x:v>97</x:v>
      </x:c>
      <x:c r="G2105">
        <x:v>46208</x:v>
      </x:c>
      <x:c r="H2105" t="s">
        <x:v>9613</x:v>
      </x:c>
      <x:c r="I2105" t="s">
        <x:v>9614</x:v>
      </x:c>
      <x:c r="J2105" t="s">
        <x:v>9615</x:v>
      </x:c>
    </x:row>
    <x:row r="2106">
      <x:c r="A2106" t="s">
        <x:v>9616</x:v>
      </x:c>
      <x:c r="B2106" t="s">
        <x:v>9616</x:v>
      </x:c>
      <x:c r="C2106" t="s">
        <x:v>9617</x:v>
      </x:c>
      <x:c r="D2106">
        <x:v>6</x:v>
      </x:c>
      <x:c r="E2106" t="s">
        <x:v>103</x:v>
      </x:c>
      <x:c r="F2106" t="s">
        <x:v>97</x:v>
      </x:c>
      <x:c r="G2106">
        <x:v>42291</x:v>
      </x:c>
      <x:c r="H2106" t="s">
        <x:v>9618</x:v>
      </x:c>
      <x:c r="I2106" t="s">
        <x:v>9619</x:v>
      </x:c>
      <x:c r="J2106" t="s">
        <x:v>9620</x:v>
      </x:c>
    </x:row>
    <x:row r="2107">
      <x:c r="A2107" t="s">
        <x:v>9621</x:v>
      </x:c>
      <x:c r="B2107" t="s">
        <x:v>9621</x:v>
      </x:c>
      <x:c r="C2107" t="s">
        <x:v>4210</x:v>
      </x:c>
      <x:c r="D2107">
        <x:v>90</x:v>
      </x:c>
      <x:c r="E2107" t="s">
        <x:v>103</x:v>
      </x:c>
      <x:c r="F2107" t="s">
        <x:v>97</x:v>
      </x:c>
      <x:c r="G2107">
        <x:v>42538</x:v>
      </x:c>
      <x:c r="H2107" t="s">
        <x:v>9622</x:v>
      </x:c>
      <x:c r="I2107" t="s">
        <x:v>9623</x:v>
      </x:c>
      <x:c r="J2107" t="s">
        <x:v>9624</x:v>
      </x:c>
    </x:row>
    <x:row r="2108">
      <x:c r="A2108" t="s">
        <x:v>9625</x:v>
      </x:c>
      <x:c r="B2108" t="s">
        <x:v>9625</x:v>
      </x:c>
      <x:c r="C2108" t="s">
        <x:v>2137</x:v>
      </x:c>
      <x:c r="D2108">
        <x:v>7</x:v>
      </x:c>
      <x:c r="E2108" t="s">
        <x:v>103</x:v>
      </x:c>
      <x:c r="F2108" t="s">
        <x:v>97</x:v>
      </x:c>
      <x:c r="G2108">
        <x:v>42219</x:v>
      </x:c>
      <x:c r="H2108" t="s">
        <x:v>9626</x:v>
      </x:c>
      <x:c r="I2108" t="s">
        <x:v>9627</x:v>
      </x:c>
      <x:c r="J2108" t="s">
        <x:v>9628</x:v>
      </x:c>
    </x:row>
    <x:row r="2109">
      <x:c r="A2109" t="s">
        <x:v>9629</x:v>
      </x:c>
      <x:c r="B2109" t="s">
        <x:v>9629</x:v>
      </x:c>
      <x:c r="C2109" t="s">
        <x:v>9630</x:v>
      </x:c>
      <x:c r="D2109">
        <x:v>8</x:v>
      </x:c>
      <x:c r="E2109" t="s">
        <x:v>103</x:v>
      </x:c>
      <x:c r="F2109" t="s">
        <x:v>97</x:v>
      </x:c>
      <x:c r="G2109">
        <x:v>43471</x:v>
      </x:c>
      <x:c r="H2109" t="s">
        <x:v>9631</x:v>
      </x:c>
      <x:c r="I2109" t="s">
        <x:v>9632</x:v>
      </x:c>
      <x:c r="J2109" t="s">
        <x:v>9633</x:v>
      </x:c>
    </x:row>
    <x:row r="2110">
      <x:c r="A2110" t="s">
        <x:v>9634</x:v>
      </x:c>
      <x:c r="B2110" t="s">
        <x:v>9634</x:v>
      </x:c>
      <x:c r="C2110" t="s">
        <x:v>9635</x:v>
      </x:c>
      <x:c r="D2110">
        <x:v>26</x:v>
      </x:c>
      <x:c r="E2110" t="s">
        <x:v>103</x:v>
      </x:c>
      <x:c r="F2110" t="s">
        <x:v>97</x:v>
      </x:c>
      <x:c r="G2110">
        <x:v>42750</x:v>
      </x:c>
      <x:c r="H2110" t="s">
        <x:v>9636</x:v>
      </x:c>
      <x:c r="I2110" t="s">
        <x:v>9637</x:v>
      </x:c>
      <x:c r="J2110" t="s">
        <x:v>9638</x:v>
      </x:c>
    </x:row>
    <x:row r="2111">
      <x:c r="A2111" t="s">
        <x:v>9639</x:v>
      </x:c>
      <x:c r="B2111" t="s">
        <x:v>9639</x:v>
      </x:c>
      <x:c r="C2111" t="s">
        <x:v>9640</x:v>
      </x:c>
      <x:c r="D2111">
        <x:v>7</x:v>
      </x:c>
      <x:c r="E2111" t="s">
        <x:v>96</x:v>
      </x:c>
      <x:c r="F2111" t="s">
        <x:v>97</x:v>
      </x:c>
      <x:c r="G2111">
        <x:v>42104</x:v>
      </x:c>
      <x:c r="H2111" t="s">
        <x:v>9641</x:v>
      </x:c>
      <x:c r="I2111" t="s">
        <x:v>9642</x:v>
      </x:c>
      <x:c r="J2111" t="s">
        <x:v>9643</x:v>
      </x:c>
    </x:row>
    <x:row r="2112">
      <x:c r="A2112" t="s">
        <x:v>9644</x:v>
      </x:c>
      <x:c r="B2112" t="s">
        <x:v>9644</x:v>
      </x:c>
      <x:c r="C2112" t="s">
        <x:v>9645</x:v>
      </x:c>
      <x:c r="D2112">
        <x:v>9</x:v>
      </x:c>
      <x:c r="E2112" t="s">
        <x:v>96</x:v>
      </x:c>
      <x:c r="F2112" t="s">
        <x:v>97</x:v>
      </x:c>
      <x:c r="G2112">
        <x:v>42180</x:v>
      </x:c>
      <x:c r="H2112" t="s">
        <x:v>9646</x:v>
      </x:c>
      <x:c r="I2112" t="s">
        <x:v>9647</x:v>
      </x:c>
      <x:c r="J2112" t="s">
        <x:v>9648</x:v>
      </x:c>
    </x:row>
    <x:row r="2113">
      <x:c r="A2113" t="s">
        <x:v>9649</x:v>
      </x:c>
      <x:c r="B2113" t="s">
        <x:v>9649</x:v>
      </x:c>
      <x:c r="C2113" t="s">
        <x:v>9650</x:v>
      </x:c>
      <x:c r="D2113">
        <x:v>86</x:v>
      </x:c>
      <x:c r="E2113" t="s">
        <x:v>96</x:v>
      </x:c>
      <x:c r="F2113" t="s">
        <x:v>97</x:v>
      </x:c>
      <x:c r="G2113">
        <x:v>44511</x:v>
      </x:c>
      <x:c r="H2113" t="s">
        <x:v>9651</x:v>
      </x:c>
      <x:c r="I2113" t="s">
        <x:v>9652</x:v>
      </x:c>
      <x:c r="J2113" t="s">
        <x:v>9653</x:v>
      </x:c>
    </x:row>
    <x:row r="2114">
      <x:c r="A2114" t="s">
        <x:v>9654</x:v>
      </x:c>
      <x:c r="B2114" t="s">
        <x:v>9654</x:v>
      </x:c>
      <x:c r="C2114" t="s">
        <x:v>1334</x:v>
      </x:c>
      <x:c r="D2114">
        <x:v>22</x:v>
      </x:c>
      <x:c r="E2114" t="s">
        <x:v>103</x:v>
      </x:c>
      <x:c r="F2114" t="s">
        <x:v>97</x:v>
      </x:c>
      <x:c r="G2114">
        <x:v>41649</x:v>
      </x:c>
      <x:c r="H2114" t="s">
        <x:v>9655</x:v>
      </x:c>
      <x:c r="I2114" t="s">
        <x:v>9656</x:v>
      </x:c>
      <x:c r="J2114" t="s">
        <x:v>9657</x:v>
      </x:c>
    </x:row>
    <x:row r="2115">
      <x:c r="A2115" t="s">
        <x:v>9658</x:v>
      </x:c>
      <x:c r="B2115" t="s">
        <x:v>9658</x:v>
      </x:c>
      <x:c r="C2115" t="s">
        <x:v>9659</x:v>
      </x:c>
      <x:c r="D2115">
        <x:v>58</x:v>
      </x:c>
      <x:c r="E2115" t="s">
        <x:v>96</x:v>
      </x:c>
      <x:c r="F2115" t="s">
        <x:v>97</x:v>
      </x:c>
      <x:c r="G2115">
        <x:v>42279</x:v>
      </x:c>
      <x:c r="H2115" t="s">
        <x:v>9660</x:v>
      </x:c>
      <x:c r="I2115" t="s">
        <x:v>9661</x:v>
      </x:c>
      <x:c r="J2115" t="s">
        <x:v>9662</x:v>
      </x:c>
    </x:row>
    <x:row r="2116">
      <x:c r="A2116" t="s">
        <x:v>9663</x:v>
      </x:c>
      <x:c r="B2116" t="s">
        <x:v>9663</x:v>
      </x:c>
      <x:c r="C2116" t="s">
        <x:v>6377</x:v>
      </x:c>
      <x:c r="D2116">
        <x:v>21</x:v>
      </x:c>
      <x:c r="E2116" t="s">
        <x:v>257</x:v>
      </x:c>
      <x:c r="F2116" t="s">
        <x:v>97</x:v>
      </x:c>
      <x:c r="G2116">
        <x:v>42273</x:v>
      </x:c>
      <x:c r="H2116" t="s">
        <x:v>9664</x:v>
      </x:c>
      <x:c r="I2116" t="s">
        <x:v>9665</x:v>
      </x:c>
      <x:c r="J2116" t="s">
        <x:v>9666</x:v>
      </x:c>
    </x:row>
    <x:row r="2117">
      <x:c r="A2117" t="s">
        <x:v>9667</x:v>
      </x:c>
      <x:c r="B2117" t="s">
        <x:v>9667</x:v>
      </x:c>
      <x:c r="C2117" t="s">
        <x:v>9668</x:v>
      </x:c>
      <x:c r="D2117">
        <x:v>6</x:v>
      </x:c>
      <x:c r="E2117" t="s">
        <x:v>257</x:v>
      </x:c>
      <x:c r="F2117" t="s">
        <x:v>97</x:v>
      </x:c>
      <x:c r="G2117">
        <x:v>42131</x:v>
      </x:c>
      <x:c r="H2117" t="s">
        <x:v>9669</x:v>
      </x:c>
      <x:c r="I2117" t="s">
        <x:v>9670</x:v>
      </x:c>
      <x:c r="J2117" t="s">
        <x:v>9671</x:v>
      </x:c>
    </x:row>
    <x:row r="2118">
      <x:c r="A2118" t="s">
        <x:v>9672</x:v>
      </x:c>
      <x:c r="B2118" t="s">
        <x:v>9672</x:v>
      </x:c>
      <x:c r="C2118" t="s">
        <x:v>9673</x:v>
      </x:c>
      <x:c r="D2118">
        <x:v>4</x:v>
      </x:c>
      <x:c r="E2118" t="s">
        <x:v>257</x:v>
      </x:c>
      <x:c r="F2118" t="s">
        <x:v>97</x:v>
      </x:c>
      <x:c r="G2118">
        <x:v>42153</x:v>
      </x:c>
      <x:c r="H2118" t="s">
        <x:v>9674</x:v>
      </x:c>
      <x:c r="I2118" t="s">
        <x:v>9675</x:v>
      </x:c>
      <x:c r="J2118" t="s">
        <x:v>9676</x:v>
      </x:c>
    </x:row>
    <x:row r="2119">
      <x:c r="A2119" t="s">
        <x:v>9677</x:v>
      </x:c>
      <x:c r="B2119" t="s">
        <x:v>9677</x:v>
      </x:c>
      <x:c r="C2119" t="s">
        <x:v>9678</x:v>
      </x:c>
      <x:c r="D2119">
        <x:v>28</x:v>
      </x:c>
      <x:c r="E2119" t="s">
        <x:v>103</x:v>
      </x:c>
      <x:c r="F2119" t="s">
        <x:v>97</x:v>
      </x:c>
      <x:c r="G2119">
        <x:v>42223</x:v>
      </x:c>
      <x:c r="H2119" t="s">
        <x:v>9679</x:v>
      </x:c>
      <x:c r="I2119" t="s">
        <x:v>9680</x:v>
      </x:c>
      <x:c r="J2119" t="s">
        <x:v>9681</x:v>
      </x:c>
    </x:row>
    <x:row r="2120">
      <x:c r="A2120" t="s">
        <x:v>9682</x:v>
      </x:c>
      <x:c r="B2120" t="s">
        <x:v>9682</x:v>
      </x:c>
      <x:c r="C2120" t="s">
        <x:v>9678</x:v>
      </x:c>
      <x:c r="D2120">
        <x:v>66</x:v>
      </x:c>
      <x:c r="E2120" t="s">
        <x:v>103</x:v>
      </x:c>
      <x:c r="F2120" t="s">
        <x:v>97</x:v>
      </x:c>
      <x:c r="G2120">
        <x:v>41604</x:v>
      </x:c>
      <x:c r="H2120" t="s">
        <x:v>9683</x:v>
      </x:c>
      <x:c r="I2120" t="s">
        <x:v>9684</x:v>
      </x:c>
      <x:c r="J2120" t="s">
        <x:v>9685</x:v>
      </x:c>
    </x:row>
    <x:row r="2121">
      <x:c r="A2121" t="s">
        <x:v>9686</x:v>
      </x:c>
      <x:c r="B2121" t="s">
        <x:v>9686</x:v>
      </x:c>
      <x:c r="C2121" t="s">
        <x:v>4564</x:v>
      </x:c>
      <x:c r="D2121">
        <x:v>6</x:v>
      </x:c>
      <x:c r="E2121" t="s">
        <x:v>257</x:v>
      </x:c>
      <x:c r="F2121" t="s">
        <x:v>97</x:v>
      </x:c>
      <x:c r="G2121">
        <x:v>43548</x:v>
      </x:c>
      <x:c r="H2121" t="s">
        <x:v>9687</x:v>
      </x:c>
      <x:c r="I2121" t="s">
        <x:v>9688</x:v>
      </x:c>
      <x:c r="J2121" t="s">
        <x:v>9689</x:v>
      </x:c>
    </x:row>
    <x:row r="2122">
      <x:c r="A2122" t="s">
        <x:v>9690</x:v>
      </x:c>
      <x:c r="B2122" t="s">
        <x:v>9690</x:v>
      </x:c>
      <x:c r="C2122" t="s">
        <x:v>176</x:v>
      </x:c>
      <x:c r="D2122">
        <x:v>77</x:v>
      </x:c>
      <x:c r="E2122" t="s">
        <x:v>96</x:v>
      </x:c>
      <x:c r="F2122" t="s">
        <x:v>97</x:v>
      </x:c>
      <x:c r="G2122">
        <x:v>43646</x:v>
      </x:c>
      <x:c r="H2122" t="s">
        <x:v>9691</x:v>
      </x:c>
      <x:c r="I2122" t="s">
        <x:v>9692</x:v>
      </x:c>
      <x:c r="J2122" t="s">
        <x:v>9693</x:v>
      </x:c>
    </x:row>
    <x:row r="2123">
      <x:c r="A2123" t="s">
        <x:v>9694</x:v>
      </x:c>
      <x:c r="B2123" t="s">
        <x:v>9694</x:v>
      </x:c>
      <x:c r="C2123" t="s">
        <x:v>176</x:v>
      </x:c>
      <x:c r="D2123">
        <x:v>20</x:v>
      </x:c>
      <x:c r="E2123" t="s">
        <x:v>114</x:v>
      </x:c>
      <x:c r="F2123" t="s">
        <x:v>90</x:v>
      </x:c>
      <x:c r="G2123">
        <x:v>43881</x:v>
      </x:c>
      <x:c r="H2123" t="s">
        <x:v>9695</x:v>
      </x:c>
      <x:c r="I2123" t="s">
        <x:v>9696</x:v>
      </x:c>
      <x:c r="J2123" t="s">
        <x:v>9697</x:v>
      </x:c>
    </x:row>
    <x:row r="2124">
      <x:c r="A2124" t="s">
        <x:v>9698</x:v>
      </x:c>
      <x:c r="B2124" t="s">
        <x:v>9698</x:v>
      </x:c>
      <x:c r="C2124" t="s">
        <x:v>9699</x:v>
      </x:c>
      <x:c r="D2124">
        <x:v>7</x:v>
      </x:c>
      <x:c r="E2124" t="s">
        <x:v>257</x:v>
      </x:c>
      <x:c r="F2124" t="s">
        <x:v>97</x:v>
      </x:c>
      <x:c r="G2124">
        <x:v>41772</x:v>
      </x:c>
      <x:c r="H2124" t="s">
        <x:v>9700</x:v>
      </x:c>
      <x:c r="I2124" t="s">
        <x:v>9701</x:v>
      </x:c>
      <x:c r="J2124" t="s">
        <x:v>9702</x:v>
      </x:c>
    </x:row>
    <x:row r="2125">
      <x:c r="A2125" t="s">
        <x:v>9703</x:v>
      </x:c>
      <x:c r="B2125" t="s">
        <x:v>9703</x:v>
      </x:c>
      <x:c r="C2125" t="s">
        <x:v>9704</x:v>
      </x:c>
      <x:c r="D2125">
        <x:v>30</x:v>
      </x:c>
      <x:c r="E2125" t="s">
        <x:v>103</x:v>
      </x:c>
      <x:c r="F2125" t="s">
        <x:v>97</x:v>
      </x:c>
      <x:c r="G2125">
        <x:v>46052</x:v>
      </x:c>
      <x:c r="H2125" t="s">
        <x:v>9705</x:v>
      </x:c>
      <x:c r="I2125" t="s">
        <x:v>9706</x:v>
      </x:c>
      <x:c r="J2125" t="s">
        <x:v>9707</x:v>
      </x:c>
    </x:row>
    <x:row r="2126">
      <x:c r="A2126" t="s">
        <x:v>9708</x:v>
      </x:c>
      <x:c r="B2126" t="s">
        <x:v>9708</x:v>
      </x:c>
      <x:c r="C2126" t="s">
        <x:v>2529</x:v>
      </x:c>
      <x:c r="D2126">
        <x:v>6</x:v>
      </x:c>
      <x:c r="E2126" t="s">
        <x:v>89</x:v>
      </x:c>
      <x:c r="F2126" t="s">
        <x:v>610</x:v>
      </x:c>
      <x:c r="G2126">
        <x:v>41818</x:v>
      </x:c>
      <x:c r="H2126" t="s">
        <x:v>9709</x:v>
      </x:c>
      <x:c r="I2126" t="s">
        <x:v>9710</x:v>
      </x:c>
      <x:c r="J2126" t="s">
        <x:v>9711</x:v>
      </x:c>
    </x:row>
    <x:row r="2127">
      <x:c r="A2127" t="s">
        <x:v>9712</x:v>
      </x:c>
      <x:c r="B2127" t="s">
        <x:v>9712</x:v>
      </x:c>
      <x:c r="C2127" t="s">
        <x:v>9713</x:v>
      </x:c>
      <x:c r="D2127">
        <x:v>10</x:v>
      </x:c>
      <x:c r="E2127" t="s">
        <x:v>257</x:v>
      </x:c>
      <x:c r="F2127" t="s">
        <x:v>97</x:v>
      </x:c>
      <x:c r="G2127">
        <x:v>41447</x:v>
      </x:c>
      <x:c r="H2127" t="s">
        <x:v>9714</x:v>
      </x:c>
      <x:c r="I2127" t="s">
        <x:v>9715</x:v>
      </x:c>
      <x:c r="J2127" t="s">
        <x:v>9716</x:v>
      </x:c>
    </x:row>
    <x:row r="2128">
      <x:c r="A2128" t="s">
        <x:v>9717</x:v>
      </x:c>
      <x:c r="B2128" t="s">
        <x:v>9717</x:v>
      </x:c>
      <x:c r="C2128" t="s">
        <x:v>9718</x:v>
      </x:c>
      <x:c r="D2128">
        <x:v>11</x:v>
      </x:c>
      <x:c r="E2128" t="s">
        <x:v>257</x:v>
      </x:c>
      <x:c r="F2128" t="s">
        <x:v>97</x:v>
      </x:c>
      <x:c r="G2128">
        <x:v>44025</x:v>
      </x:c>
      <x:c r="H2128" t="s">
        <x:v>9719</x:v>
      </x:c>
      <x:c r="I2128" t="s">
        <x:v>9720</x:v>
      </x:c>
      <x:c r="J2128" t="s">
        <x:v>9721</x:v>
      </x:c>
    </x:row>
    <x:row r="2129">
      <x:c r="A2129" t="s">
        <x:v>9722</x:v>
      </x:c>
      <x:c r="B2129" t="s">
        <x:v>9722</x:v>
      </x:c>
      <x:c r="C2129" t="s">
        <x:v>1157</x:v>
      </x:c>
      <x:c r="D2129">
        <x:v>9</x:v>
      </x:c>
      <x:c r="E2129" t="s">
        <x:v>103</x:v>
      </x:c>
      <x:c r="F2129" t="s">
        <x:v>97</x:v>
      </x:c>
      <x:c r="G2129">
        <x:v>41529</x:v>
      </x:c>
      <x:c r="H2129" t="s">
        <x:v>9723</x:v>
      </x:c>
      <x:c r="I2129" t="s">
        <x:v>9724</x:v>
      </x:c>
      <x:c r="J2129" t="s">
        <x:v>9725</x:v>
      </x:c>
    </x:row>
    <x:row r="2130">
      <x:c r="A2130" t="s">
        <x:v>9726</x:v>
      </x:c>
      <x:c r="B2130" t="s">
        <x:v>9726</x:v>
      </x:c>
      <x:c r="C2130" t="s">
        <x:v>4070</x:v>
      </x:c>
      <x:c r="D2130">
        <x:v>10</x:v>
      </x:c>
      <x:c r="E2130" t="s">
        <x:v>257</x:v>
      </x:c>
      <x:c r="F2130" t="s">
        <x:v>97</x:v>
      </x:c>
      <x:c r="G2130">
        <x:v>41501</x:v>
      </x:c>
      <x:c r="H2130" t="s">
        <x:v>9727</x:v>
      </x:c>
      <x:c r="I2130" t="s">
        <x:v>9728</x:v>
      </x:c>
      <x:c r="J2130" t="s">
        <x:v>9729</x:v>
      </x:c>
    </x:row>
    <x:row r="2131">
      <x:c r="A2131" t="s">
        <x:v>9730</x:v>
      </x:c>
      <x:c r="B2131" t="s">
        <x:v>9730</x:v>
      </x:c>
      <x:c r="C2131" t="s">
        <x:v>4070</x:v>
      </x:c>
      <x:c r="D2131">
        <x:v>25</x:v>
      </x:c>
      <x:c r="E2131" t="s">
        <x:v>103</x:v>
      </x:c>
      <x:c r="F2131" t="s">
        <x:v>97</x:v>
      </x:c>
      <x:c r="G2131">
        <x:v>42224</x:v>
      </x:c>
      <x:c r="H2131" t="s">
        <x:v>9731</x:v>
      </x:c>
      <x:c r="I2131" t="s">
        <x:v>9732</x:v>
      </x:c>
      <x:c r="J2131" t="s">
        <x:v>9733</x:v>
      </x:c>
    </x:row>
    <x:row r="2132">
      <x:c r="A2132" t="s">
        <x:v>9734</x:v>
      </x:c>
      <x:c r="B2132" t="s">
        <x:v>9734</x:v>
      </x:c>
      <x:c r="C2132" t="s">
        <x:v>9735</x:v>
      </x:c>
      <x:c r="D2132">
        <x:v>25</x:v>
      </x:c>
      <x:c r="E2132" t="s">
        <x:v>96</x:v>
      </x:c>
      <x:c r="F2132" t="s">
        <x:v>97</x:v>
      </x:c>
      <x:c r="G2132">
        <x:v>46059</x:v>
      </x:c>
      <x:c r="H2132" t="s">
        <x:v>9736</x:v>
      </x:c>
      <x:c r="I2132" t="s">
        <x:v>9737</x:v>
      </x:c>
      <x:c r="J2132" t="s">
        <x:v>9738</x:v>
      </x:c>
    </x:row>
    <x:row r="2133">
      <x:c r="A2133" t="s">
        <x:v>9739</x:v>
      </x:c>
      <x:c r="B2133" t="s">
        <x:v>9739</x:v>
      </x:c>
      <x:c r="C2133" t="s">
        <x:v>9740</x:v>
      </x:c>
      <x:c r="D2133">
        <x:v>7</x:v>
      </x:c>
      <x:c r="E2133" t="s">
        <x:v>103</x:v>
      </x:c>
      <x:c r="F2133" t="s">
        <x:v>97</x:v>
      </x:c>
      <x:c r="G2133">
        <x:v>42464</x:v>
      </x:c>
      <x:c r="H2133" t="s">
        <x:v>9741</x:v>
      </x:c>
      <x:c r="I2133" t="s">
        <x:v>9742</x:v>
      </x:c>
      <x:c r="J2133" t="s">
        <x:v>9743</x:v>
      </x:c>
    </x:row>
    <x:row r="2134">
      <x:c r="A2134" t="s">
        <x:v>9744</x:v>
      </x:c>
      <x:c r="B2134" t="s">
        <x:v>9744</x:v>
      </x:c>
      <x:c r="C2134" t="s">
        <x:v>7479</x:v>
      </x:c>
      <x:c r="D2134">
        <x:v>30</x:v>
      </x:c>
      <x:c r="E2134" t="s">
        <x:v>96</x:v>
      </x:c>
      <x:c r="F2134" t="s">
        <x:v>97</x:v>
      </x:c>
      <x:c r="G2134">
        <x:v>42236</x:v>
      </x:c>
      <x:c r="H2134" t="s">
        <x:v>9745</x:v>
      </x:c>
      <x:c r="I2134" t="s">
        <x:v>9746</x:v>
      </x:c>
      <x:c r="J2134" t="s">
        <x:v>9747</x:v>
      </x:c>
    </x:row>
    <x:row r="2135">
      <x:c r="A2135" t="s">
        <x:v>9748</x:v>
      </x:c>
      <x:c r="B2135" t="s">
        <x:v>9748</x:v>
      </x:c>
      <x:c r="C2135" t="s">
        <x:v>4070</x:v>
      </x:c>
      <x:c r="D2135">
        <x:v>12</x:v>
      </x:c>
      <x:c r="E2135" t="s">
        <x:v>103</x:v>
      </x:c>
      <x:c r="F2135" t="s">
        <x:v>97</x:v>
      </x:c>
      <x:c r="G2135">
        <x:v>42219</x:v>
      </x:c>
      <x:c r="H2135" t="s">
        <x:v>9749</x:v>
      </x:c>
      <x:c r="I2135" t="s">
        <x:v>9750</x:v>
      </x:c>
      <x:c r="J2135" t="s">
        <x:v>9751</x:v>
      </x:c>
    </x:row>
    <x:row r="2136">
      <x:c r="A2136" t="s">
        <x:v>9752</x:v>
      </x:c>
      <x:c r="B2136" t="s">
        <x:v>9752</x:v>
      </x:c>
      <x:c r="C2136" t="s">
        <x:v>9753</x:v>
      </x:c>
      <x:c r="D2136">
        <x:v>6</x:v>
      </x:c>
      <x:c r="E2136" t="s">
        <x:v>257</x:v>
      </x:c>
      <x:c r="F2136" t="s">
        <x:v>97</x:v>
      </x:c>
      <x:c r="G2136">
        <x:v>42277</x:v>
      </x:c>
      <x:c r="H2136" t="s">
        <x:v>9754</x:v>
      </x:c>
      <x:c r="I2136" t="s">
        <x:v>9755</x:v>
      </x:c>
      <x:c r="J2136" t="s">
        <x:v>9756</x:v>
      </x:c>
    </x:row>
    <x:row r="2137">
      <x:c r="A2137" t="s">
        <x:v>9757</x:v>
      </x:c>
      <x:c r="B2137" t="s">
        <x:v>9757</x:v>
      </x:c>
      <x:c r="C2137" t="s">
        <x:v>9758</x:v>
      </x:c>
      <x:c r="D2137">
        <x:v>23</x:v>
      </x:c>
      <x:c r="E2137" t="s">
        <x:v>103</x:v>
      </x:c>
      <x:c r="F2137" t="s">
        <x:v>97</x:v>
      </x:c>
      <x:c r="G2137">
        <x:v>41556</x:v>
      </x:c>
      <x:c r="H2137" t="s">
        <x:v>9759</x:v>
      </x:c>
      <x:c r="I2137" t="s">
        <x:v>9760</x:v>
      </x:c>
      <x:c r="J2137" t="s">
        <x:v>9761</x:v>
      </x:c>
    </x:row>
    <x:row r="2138">
      <x:c r="A2138" t="s">
        <x:v>9762</x:v>
      </x:c>
      <x:c r="B2138" t="s">
        <x:v>9762</x:v>
      </x:c>
      <x:c r="C2138" t="s">
        <x:v>4492</x:v>
      </x:c>
      <x:c r="D2138">
        <x:v>1</x:v>
      </x:c>
      <x:c r="E2138" t="s">
        <x:v>257</x:v>
      </x:c>
      <x:c r="F2138" t="s">
        <x:v>97</x:v>
      </x:c>
      <x:c r="G2138">
        <x:v>42093</x:v>
      </x:c>
      <x:c r="H2138" t="s">
        <x:v>9763</x:v>
      </x:c>
      <x:c r="I2138" t="s">
        <x:v>9764</x:v>
      </x:c>
      <x:c r="J2138" t="s">
        <x:v>9765</x:v>
      </x:c>
    </x:row>
    <x:row r="2139">
      <x:c r="A2139" t="s">
        <x:v>9766</x:v>
      </x:c>
      <x:c r="B2139" t="s">
        <x:v>9766</x:v>
      </x:c>
      <x:c r="C2139" t="s">
        <x:v>4942</x:v>
      </x:c>
      <x:c r="D2139">
        <x:v>32</x:v>
      </x:c>
      <x:c r="E2139" t="s">
        <x:v>103</x:v>
      </x:c>
      <x:c r="F2139" t="s">
        <x:v>97</x:v>
      </x:c>
      <x:c r="G2139">
        <x:v>43654</x:v>
      </x:c>
      <x:c r="H2139" t="s">
        <x:v>9767</x:v>
      </x:c>
      <x:c r="I2139" t="s">
        <x:v>9768</x:v>
      </x:c>
      <x:c r="J2139" t="s">
        <x:v>9769</x:v>
      </x:c>
    </x:row>
    <x:row r="2140">
      <x:c r="A2140" t="s">
        <x:v>9770</x:v>
      </x:c>
      <x:c r="B2140" t="s">
        <x:v>9770</x:v>
      </x:c>
      <x:c r="C2140" t="s">
        <x:v>9230</x:v>
      </x:c>
      <x:c r="D2140">
        <x:v>15</x:v>
      </x:c>
      <x:c r="E2140" t="s">
        <x:v>103</x:v>
      </x:c>
      <x:c r="F2140" t="s">
        <x:v>97</x:v>
      </x:c>
      <x:c r="G2140">
        <x:v>42742</x:v>
      </x:c>
      <x:c r="H2140" t="s">
        <x:v>9771</x:v>
      </x:c>
      <x:c r="I2140" t="s">
        <x:v>9772</x:v>
      </x:c>
      <x:c r="J2140" t="s">
        <x:v>9773</x:v>
      </x:c>
    </x:row>
    <x:row r="2141">
      <x:c r="A2141" t="s">
        <x:v>9774</x:v>
      </x:c>
      <x:c r="B2141" t="s">
        <x:v>9774</x:v>
      </x:c>
      <x:c r="C2141" t="s">
        <x:v>2934</x:v>
      </x:c>
      <x:c r="D2141">
        <x:v>40</x:v>
      </x:c>
      <x:c r="E2141" t="s">
        <x:v>103</x:v>
      </x:c>
      <x:c r="F2141" t="s">
        <x:v>97</x:v>
      </x:c>
      <x:c r="G2141">
        <x:v>42214</x:v>
      </x:c>
      <x:c r="H2141" t="s">
        <x:v>9775</x:v>
      </x:c>
      <x:c r="I2141" t="s">
        <x:v>9776</x:v>
      </x:c>
      <x:c r="J2141" t="s">
        <x:v>9777</x:v>
      </x:c>
    </x:row>
    <x:row r="2142">
      <x:c r="A2142" t="s">
        <x:v>9778</x:v>
      </x:c>
      <x:c r="B2142" t="s">
        <x:v>9778</x:v>
      </x:c>
      <x:c r="C2142" t="s">
        <x:v>2934</x:v>
      </x:c>
      <x:c r="D2142">
        <x:v>58</x:v>
      </x:c>
      <x:c r="E2142" t="s">
        <x:v>96</x:v>
      </x:c>
      <x:c r="F2142" t="s">
        <x:v>97</x:v>
      </x:c>
      <x:c r="G2142">
        <x:v>42302</x:v>
      </x:c>
      <x:c r="H2142" t="s">
        <x:v>9779</x:v>
      </x:c>
      <x:c r="I2142" t="s">
        <x:v>9780</x:v>
      </x:c>
      <x:c r="J2142" t="s">
        <x:v>9781</x:v>
      </x:c>
    </x:row>
    <x:row r="2143">
      <x:c r="A2143" t="s">
        <x:v>9782</x:v>
      </x:c>
      <x:c r="B2143" t="s">
        <x:v>9782</x:v>
      </x:c>
      <x:c r="C2143" t="s">
        <x:v>9783</x:v>
      </x:c>
      <x:c r="D2143">
        <x:v>4</x:v>
      </x:c>
      <x:c r="E2143" t="s">
        <x:v>257</x:v>
      </x:c>
      <x:c r="F2143" t="s">
        <x:v>97</x:v>
      </x:c>
      <x:c r="G2143">
        <x:v>42216</x:v>
      </x:c>
      <x:c r="H2143" t="s">
        <x:v>9784</x:v>
      </x:c>
      <x:c r="I2143" t="s">
        <x:v>9785</x:v>
      </x:c>
      <x:c r="J2143" t="s">
        <x:v>9786</x:v>
      </x:c>
    </x:row>
    <x:row r="2144">
      <x:c r="A2144" t="s">
        <x:v>9787</x:v>
      </x:c>
      <x:c r="B2144" t="s">
        <x:v>9787</x:v>
      </x:c>
      <x:c r="C2144" t="s">
        <x:v>586</x:v>
      </x:c>
      <x:c r="D2144">
        <x:v>6</x:v>
      </x:c>
      <x:c r="E2144" t="s">
        <x:v>96</x:v>
      </x:c>
      <x:c r="F2144" t="s">
        <x:v>97</x:v>
      </x:c>
      <x:c r="G2144">
        <x:v>44208</x:v>
      </x:c>
      <x:c r="H2144" t="s">
        <x:v>9788</x:v>
      </x:c>
      <x:c r="I2144" t="s">
        <x:v>9789</x:v>
      </x:c>
      <x:c r="J2144" t="s">
        <x:v>9790</x:v>
      </x:c>
    </x:row>
    <x:row r="2145">
      <x:c r="A2145" t="s">
        <x:v>9791</x:v>
      </x:c>
      <x:c r="B2145" t="s">
        <x:v>9791</x:v>
      </x:c>
      <x:c r="C2145" t="s">
        <x:v>543</x:v>
      </x:c>
      <x:c r="D2145">
        <x:v>12</x:v>
      </x:c>
      <x:c r="E2145" t="s">
        <x:v>103</x:v>
      </x:c>
      <x:c r="F2145" t="s">
        <x:v>97</x:v>
      </x:c>
      <x:c r="G2145">
        <x:v>41682</x:v>
      </x:c>
      <x:c r="H2145" t="s">
        <x:v>9792</x:v>
      </x:c>
      <x:c r="I2145" t="s">
        <x:v>9793</x:v>
      </x:c>
      <x:c r="J2145" t="s">
        <x:v>9794</x:v>
      </x:c>
    </x:row>
    <x:row r="2146">
      <x:c r="A2146" t="s">
        <x:v>9795</x:v>
      </x:c>
      <x:c r="B2146" t="s">
        <x:v>9795</x:v>
      </x:c>
      <x:c r="C2146" t="s">
        <x:v>9796</x:v>
      </x:c>
      <x:c r="D2146">
        <x:v>31</x:v>
      </x:c>
      <x:c r="E2146" t="s">
        <x:v>103</x:v>
      </x:c>
      <x:c r="F2146" t="s">
        <x:v>97</x:v>
      </x:c>
      <x:c r="G2146">
        <x:v>43672</x:v>
      </x:c>
      <x:c r="H2146" t="s">
        <x:v>9797</x:v>
      </x:c>
      <x:c r="I2146" t="s">
        <x:v>9798</x:v>
      </x:c>
      <x:c r="J2146" t="s">
        <x:v>9799</x:v>
      </x:c>
    </x:row>
    <x:row r="2147">
      <x:c r="A2147" t="s">
        <x:v>9800</x:v>
      </x:c>
      <x:c r="B2147" t="s">
        <x:v>9800</x:v>
      </x:c>
      <x:c r="C2147" t="s">
        <x:v>5777</x:v>
      </x:c>
      <x:c r="D2147">
        <x:v>6</x:v>
      </x:c>
      <x:c r="E2147" t="s">
        <x:v>103</x:v>
      </x:c>
      <x:c r="F2147" t="s">
        <x:v>97</x:v>
      </x:c>
      <x:c r="G2147">
        <x:v>42163</x:v>
      </x:c>
      <x:c r="H2147" t="s">
        <x:v>9801</x:v>
      </x:c>
      <x:c r="I2147" t="s">
        <x:v>9802</x:v>
      </x:c>
      <x:c r="J2147" t="s">
        <x:v>9803</x:v>
      </x:c>
    </x:row>
    <x:row r="2148">
      <x:c r="A2148" t="s">
        <x:v>9804</x:v>
      </x:c>
      <x:c r="B2148" t="s">
        <x:v>9804</x:v>
      </x:c>
      <x:c r="C2148" t="s">
        <x:v>7228</x:v>
      </x:c>
      <x:c r="D2148">
        <x:v>5</x:v>
      </x:c>
      <x:c r="E2148" t="s">
        <x:v>103</x:v>
      </x:c>
      <x:c r="F2148" t="s">
        <x:v>97</x:v>
      </x:c>
      <x:c r="G2148">
        <x:v>44212</x:v>
      </x:c>
      <x:c r="H2148" t="s">
        <x:v>9805</x:v>
      </x:c>
      <x:c r="I2148" t="s">
        <x:v>9806</x:v>
      </x:c>
      <x:c r="J2148" t="s">
        <x:v>9807</x:v>
      </x:c>
    </x:row>
    <x:row r="2149">
      <x:c r="A2149" t="s">
        <x:v>9808</x:v>
      </x:c>
      <x:c r="B2149" t="s">
        <x:v>9808</x:v>
      </x:c>
      <x:c r="C2149" t="s">
        <x:v>9809</x:v>
      </x:c>
      <x:c r="D2149">
        <x:v>5</x:v>
      </x:c>
      <x:c r="E2149" t="s">
        <x:v>257</x:v>
      </x:c>
      <x:c r="F2149" t="s">
        <x:v>97</x:v>
      </x:c>
      <x:c r="G2149">
        <x:v>42081</x:v>
      </x:c>
      <x:c r="H2149" t="s">
        <x:v>9810</x:v>
      </x:c>
      <x:c r="I2149" t="s">
        <x:v>9811</x:v>
      </x:c>
      <x:c r="J2149" t="s">
        <x:v>9812</x:v>
      </x:c>
    </x:row>
    <x:row r="2150">
      <x:c r="A2150" t="s">
        <x:v>9813</x:v>
      </x:c>
      <x:c r="B2150" t="s">
        <x:v>9813</x:v>
      </x:c>
      <x:c r="C2150" t="s">
        <x:v>9814</x:v>
      </x:c>
      <x:c r="D2150">
        <x:v>46</x:v>
      </x:c>
      <x:c r="E2150" t="s">
        <x:v>103</x:v>
      </x:c>
      <x:c r="F2150" t="s">
        <x:v>97</x:v>
      </x:c>
      <x:c r="G2150">
        <x:v>41531</x:v>
      </x:c>
      <x:c r="H2150" t="s">
        <x:v>9815</x:v>
      </x:c>
      <x:c r="I2150" t="s">
        <x:v>9816</x:v>
      </x:c>
      <x:c r="J2150" t="s">
        <x:v>9817</x:v>
      </x:c>
    </x:row>
    <x:row r="2151">
      <x:c r="A2151" t="s">
        <x:v>9818</x:v>
      </x:c>
      <x:c r="B2151" t="s">
        <x:v>9818</x:v>
      </x:c>
      <x:c r="C2151" t="s">
        <x:v>9819</x:v>
      </x:c>
      <x:c r="D2151">
        <x:v>1</x:v>
      </x:c>
      <x:c r="E2151" t="s">
        <x:v>103</x:v>
      </x:c>
      <x:c r="F2151" t="s">
        <x:v>97</x:v>
      </x:c>
      <x:c r="G2151">
        <x:v>42153</x:v>
      </x:c>
      <x:c r="H2151" t="s">
        <x:v>9820</x:v>
      </x:c>
      <x:c r="I2151" t="s">
        <x:v>9821</x:v>
      </x:c>
      <x:c r="J2151" t="s">
        <x:v>9822</x:v>
      </x:c>
    </x:row>
    <x:row r="2152">
      <x:c r="A2152" t="s">
        <x:v>9823</x:v>
      </x:c>
      <x:c r="B2152" t="s">
        <x:v>9823</x:v>
      </x:c>
      <x:c r="C2152" t="s">
        <x:v>4070</x:v>
      </x:c>
      <x:c r="D2152">
        <x:v>16</x:v>
      </x:c>
      <x:c r="E2152" t="s">
        <x:v>257</x:v>
      </x:c>
      <x:c r="F2152" t="s">
        <x:v>97</x:v>
      </x:c>
      <x:c r="G2152">
        <x:v>42211</x:v>
      </x:c>
      <x:c r="H2152" t="s">
        <x:v>9824</x:v>
      </x:c>
      <x:c r="I2152" t="s">
        <x:v>9825</x:v>
      </x:c>
      <x:c r="J2152" t="s">
        <x:v>9826</x:v>
      </x:c>
    </x:row>
    <x:row r="2153">
      <x:c r="A2153" t="s">
        <x:v>9827</x:v>
      </x:c>
      <x:c r="B2153" t="s">
        <x:v>9827</x:v>
      </x:c>
      <x:c r="C2153" t="s">
        <x:v>629</x:v>
      </x:c>
      <x:c r="D2153">
        <x:v>5</x:v>
      </x:c>
      <x:c r="E2153" t="s">
        <x:v>198</x:v>
      </x:c>
      <x:c r="F2153" t="s">
        <x:v>90</x:v>
      </x:c>
      <x:c r="G2153">
        <x:v>44307</x:v>
      </x:c>
      <x:c r="H2153" t="s">
        <x:v>9828</x:v>
      </x:c>
      <x:c r="I2153" t="s">
        <x:v>9829</x:v>
      </x:c>
      <x:c r="J2153" t="s">
        <x:v>9830</x:v>
      </x:c>
    </x:row>
    <x:row r="2154">
      <x:c r="A2154" t="s">
        <x:v>9831</x:v>
      </x:c>
      <x:c r="B2154" t="s">
        <x:v>9831</x:v>
      </x:c>
      <x:c r="C2154" t="s">
        <x:v>8407</x:v>
      </x:c>
      <x:c r="D2154">
        <x:v>12</x:v>
      </x:c>
      <x:c r="E2154" t="s">
        <x:v>103</x:v>
      </x:c>
      <x:c r="F2154" t="s">
        <x:v>97</x:v>
      </x:c>
      <x:c r="G2154">
        <x:v>44090</x:v>
      </x:c>
      <x:c r="H2154" t="s">
        <x:v>9832</x:v>
      </x:c>
      <x:c r="I2154" t="s">
        <x:v>9833</x:v>
      </x:c>
      <x:c r="J2154" t="s">
        <x:v>9834</x:v>
      </x:c>
    </x:row>
    <x:row r="2155">
      <x:c r="A2155" t="s">
        <x:v>9835</x:v>
      </x:c>
      <x:c r="B2155" t="s">
        <x:v>9835</x:v>
      </x:c>
      <x:c r="C2155" t="s">
        <x:v>9836</x:v>
      </x:c>
      <x:c r="D2155">
        <x:v>8</x:v>
      </x:c>
      <x:c r="E2155" t="s">
        <x:v>96</x:v>
      </x:c>
      <x:c r="F2155" t="s">
        <x:v>97</x:v>
      </x:c>
      <x:c r="G2155">
        <x:v>42113</x:v>
      </x:c>
      <x:c r="H2155" t="s">
        <x:v>9837</x:v>
      </x:c>
      <x:c r="I2155" t="s">
        <x:v>9838</x:v>
      </x:c>
      <x:c r="J2155" t="s">
        <x:v>9839</x:v>
      </x:c>
    </x:row>
    <x:row r="2156">
      <x:c r="A2156" t="s">
        <x:v>9840</x:v>
      </x:c>
      <x:c r="B2156" t="s">
        <x:v>9840</x:v>
      </x:c>
      <x:c r="C2156" t="s">
        <x:v>5614</x:v>
      </x:c>
      <x:c r="D2156">
        <x:v>19</x:v>
      </x:c>
      <x:c r="E2156" t="s">
        <x:v>103</x:v>
      </x:c>
      <x:c r="F2156" t="s">
        <x:v>97</x:v>
      </x:c>
      <x:c r="G2156">
        <x:v>46218</x:v>
      </x:c>
      <x:c r="H2156" t="s">
        <x:v>9841</x:v>
      </x:c>
      <x:c r="I2156" t="s">
        <x:v>9842</x:v>
      </x:c>
      <x:c r="J2156" t="s">
        <x:v>9843</x:v>
      </x:c>
    </x:row>
    <x:row r="2157">
      <x:c r="A2157" t="s">
        <x:v>9844</x:v>
      </x:c>
      <x:c r="B2157" t="s">
        <x:v>9844</x:v>
      </x:c>
      <x:c r="C2157" t="s">
        <x:v>3568</x:v>
      </x:c>
      <x:c r="D2157">
        <x:v>35</x:v>
      </x:c>
      <x:c r="E2157" t="s">
        <x:v>257</x:v>
      </x:c>
      <x:c r="F2157" t="s">
        <x:v>97</x:v>
      </x:c>
      <x:c r="G2157">
        <x:v>42219</x:v>
      </x:c>
      <x:c r="H2157" t="s">
        <x:v>9845</x:v>
      </x:c>
      <x:c r="I2157" t="s">
        <x:v>9846</x:v>
      </x:c>
      <x:c r="J2157" t="s">
        <x:v>9847</x:v>
      </x:c>
    </x:row>
    <x:row r="2158">
      <x:c r="A2158" t="s">
        <x:v>9848</x:v>
      </x:c>
      <x:c r="B2158" t="s">
        <x:v>9848</x:v>
      </x:c>
      <x:c r="C2158" t="s">
        <x:v>2137</x:v>
      </x:c>
      <x:c r="D2158">
        <x:v>5</x:v>
      </x:c>
      <x:c r="E2158" t="s">
        <x:v>257</x:v>
      </x:c>
      <x:c r="F2158" t="s">
        <x:v>97</x:v>
      </x:c>
      <x:c r="G2158">
        <x:v>42252</x:v>
      </x:c>
      <x:c r="H2158" t="s">
        <x:v>9849</x:v>
      </x:c>
      <x:c r="I2158" t="s">
        <x:v>9850</x:v>
      </x:c>
      <x:c r="J2158" t="s">
        <x:v>9851</x:v>
      </x:c>
    </x:row>
    <x:row r="2159">
      <x:c r="A2159" t="s">
        <x:v>9852</x:v>
      </x:c>
      <x:c r="B2159" t="s">
        <x:v>9852</x:v>
      </x:c>
      <x:c r="C2159" t="s">
        <x:v>9853</x:v>
      </x:c>
      <x:c r="D2159">
        <x:v>14</x:v>
      </x:c>
      <x:c r="E2159" t="s">
        <x:v>103</x:v>
      </x:c>
      <x:c r="F2159" t="s">
        <x:v>97</x:v>
      </x:c>
      <x:c r="G2159">
        <x:v>42207</x:v>
      </x:c>
      <x:c r="H2159" t="s">
        <x:v>9854</x:v>
      </x:c>
      <x:c r="I2159" t="s">
        <x:v>9855</x:v>
      </x:c>
      <x:c r="J2159" t="s">
        <x:v>9856</x:v>
      </x:c>
    </x:row>
    <x:row r="2160">
      <x:c r="A2160" t="s">
        <x:v>9857</x:v>
      </x:c>
      <x:c r="B2160" t="s">
        <x:v>9857</x:v>
      </x:c>
      <x:c r="C2160" t="s">
        <x:v>9858</x:v>
      </x:c>
      <x:c r="D2160">
        <x:v>101</x:v>
      </x:c>
      <x:c r="E2160" t="s">
        <x:v>114</x:v>
      </x:c>
      <x:c r="F2160" t="s">
        <x:v>152</x:v>
      </x:c>
      <x:c r="G2160">
        <x:v>44934</x:v>
      </x:c>
      <x:c r="H2160" t="s">
        <x:v>9859</x:v>
      </x:c>
      <x:c r="I2160" t="s">
        <x:v>9860</x:v>
      </x:c>
      <x:c r="J2160" t="s">
        <x:v>9861</x:v>
      </x:c>
    </x:row>
    <x:row r="2161">
      <x:c r="A2161" t="s">
        <x:v>9862</x:v>
      </x:c>
      <x:c r="B2161" t="s">
        <x:v>9862</x:v>
      </x:c>
      <x:c r="C2161" t="s">
        <x:v>9858</x:v>
      </x:c>
      <x:c r="D2161">
        <x:v>96</x:v>
      </x:c>
      <x:c r="E2161" t="s">
        <x:v>114</x:v>
      </x:c>
      <x:c r="F2161" t="s">
        <x:v>152</x:v>
      </x:c>
      <x:c r="G2161">
        <x:v>45627</x:v>
      </x:c>
      <x:c r="H2161" t="s">
        <x:v>9863</x:v>
      </x:c>
      <x:c r="I2161" t="s">
        <x:v>9864</x:v>
      </x:c>
      <x:c r="J2161" t="s">
        <x:v>9865</x:v>
      </x:c>
    </x:row>
    <x:row r="2162">
      <x:c r="A2162" t="s">
        <x:v>9866</x:v>
      </x:c>
      <x:c r="B2162" t="s">
        <x:v>9866</x:v>
      </x:c>
      <x:c r="C2162" t="s">
        <x:v>7941</x:v>
      </x:c>
      <x:c r="D2162">
        <x:v>15</x:v>
      </x:c>
      <x:c r="E2162" t="s">
        <x:v>114</x:v>
      </x:c>
      <x:c r="F2162" t="s">
        <x:v>90</x:v>
      </x:c>
      <x:c r="G2162">
        <x:v>45559</x:v>
      </x:c>
      <x:c r="H2162" t="s">
        <x:v>9867</x:v>
      </x:c>
      <x:c r="I2162" t="s">
        <x:v>9868</x:v>
      </x:c>
      <x:c r="J2162" t="s">
        <x:v>9869</x:v>
      </x:c>
    </x:row>
    <x:row r="2163">
      <x:c r="A2163" t="s">
        <x:v>9870</x:v>
      </x:c>
      <x:c r="B2163" t="s">
        <x:v>9870</x:v>
      </x:c>
      <x:c r="C2163" t="s">
        <x:v>9871</x:v>
      </x:c>
      <x:c r="D2163">
        <x:v>11</x:v>
      </x:c>
      <x:c r="E2163" t="s">
        <x:v>89</x:v>
      </x:c>
      <x:c r="F2163" t="s">
        <x:v>90</x:v>
      </x:c>
      <x:c r="G2163">
        <x:v>44033</x:v>
      </x:c>
      <x:c r="H2163" t="s">
        <x:v>9872</x:v>
      </x:c>
      <x:c r="I2163" t="s">
        <x:v>9873</x:v>
      </x:c>
      <x:c r="J2163" t="s">
        <x:v>9874</x:v>
      </x:c>
    </x:row>
    <x:row r="2164">
      <x:c r="A2164" t="s">
        <x:v>9875</x:v>
      </x:c>
      <x:c r="B2164" t="s">
        <x:v>9875</x:v>
      </x:c>
      <x:c r="C2164" t="s">
        <x:v>9876</x:v>
      </x:c>
      <x:c r="D2164">
        <x:v>20</x:v>
      </x:c>
      <x:c r="E2164" t="s">
        <x:v>89</x:v>
      </x:c>
      <x:c r="F2164" t="s">
        <x:v>90</x:v>
      </x:c>
      <x:c r="G2164">
        <x:v>44108</x:v>
      </x:c>
      <x:c r="H2164" t="s">
        <x:v>9877</x:v>
      </x:c>
      <x:c r="I2164" t="s">
        <x:v>9878</x:v>
      </x:c>
      <x:c r="J2164" t="s">
        <x:v>9879</x:v>
      </x:c>
    </x:row>
    <x:row r="2165">
      <x:c r="A2165" t="s">
        <x:v>9880</x:v>
      </x:c>
      <x:c r="B2165" t="s">
        <x:v>9880</x:v>
      </x:c>
      <x:c r="C2165" t="s">
        <x:v>9881</x:v>
      </x:c>
      <x:c r="D2165">
        <x:v>13</x:v>
      </x:c>
      <x:c r="E2165" t="s">
        <x:v>198</x:v>
      </x:c>
      <x:c r="F2165" t="s">
        <x:v>90</x:v>
      </x:c>
      <x:c r="G2165">
        <x:v>44168</x:v>
      </x:c>
      <x:c r="H2165" t="s">
        <x:v>9882</x:v>
      </x:c>
      <x:c r="I2165" t="s">
        <x:v>9883</x:v>
      </x:c>
      <x:c r="J2165" t="s">
        <x:v>9884</x:v>
      </x:c>
    </x:row>
    <x:row r="2166">
      <x:c r="A2166" t="s">
        <x:v>9885</x:v>
      </x:c>
      <x:c r="B2166" t="s">
        <x:v>9885</x:v>
      </x:c>
      <x:c r="C2166" t="s">
        <x:v>9886</x:v>
      </x:c>
      <x:c r="D2166">
        <x:v>17</x:v>
      </x:c>
      <x:c r="E2166" t="s">
        <x:v>198</x:v>
      </x:c>
      <x:c r="F2166" t="s">
        <x:v>90</x:v>
      </x:c>
      <x:c r="G2166">
        <x:v>45854</x:v>
      </x:c>
      <x:c r="H2166" t="s">
        <x:v>9887</x:v>
      </x:c>
      <x:c r="I2166" t="s">
        <x:v>9888</x:v>
      </x:c>
      <x:c r="J2166" t="s">
        <x:v>9889</x:v>
      </x:c>
    </x:row>
    <x:row r="2167">
      <x:c r="A2167" t="s">
        <x:v>9890</x:v>
      </x:c>
      <x:c r="B2167" t="s">
        <x:v>9890</x:v>
      </x:c>
      <x:c r="C2167" t="s">
        <x:v>9891</x:v>
      </x:c>
      <x:c r="D2167">
        <x:v>6</x:v>
      </x:c>
      <x:c r="E2167" t="s">
        <x:v>89</x:v>
      </x:c>
      <x:c r="F2167" t="s">
        <x:v>97</x:v>
      </x:c>
      <x:c r="G2167">
        <x:v>44203</x:v>
      </x:c>
      <x:c r="H2167" t="s">
        <x:v>9892</x:v>
      </x:c>
      <x:c r="I2167" t="s">
        <x:v>9893</x:v>
      </x:c>
      <x:c r="J2167" t="s">
        <x:v>9894</x:v>
      </x:c>
    </x:row>
    <x:row r="2168">
      <x:c r="A2168" t="s">
        <x:v>9895</x:v>
      </x:c>
      <x:c r="B2168" t="s">
        <x:v>9895</x:v>
      </x:c>
      <x:c r="C2168" t="s">
        <x:v>4282</x:v>
      </x:c>
      <x:c r="D2168">
        <x:v>4</x:v>
      </x:c>
      <x:c r="E2168" t="s">
        <x:v>96</x:v>
      </x:c>
      <x:c r="F2168" t="s">
        <x:v>90</x:v>
      </x:c>
      <x:c r="G2168">
        <x:v>44358</x:v>
      </x:c>
      <x:c r="H2168" t="s">
        <x:v>9896</x:v>
      </x:c>
      <x:c r="I2168" t="s">
        <x:v>9897</x:v>
      </x:c>
      <x:c r="J2168" t="s">
        <x:v>9898</x:v>
      </x:c>
    </x:row>
    <x:row r="2169">
      <x:c r="A2169" t="s">
        <x:v>9899</x:v>
      </x:c>
      <x:c r="B2169" t="s">
        <x:v>9899</x:v>
      </x:c>
      <x:c r="C2169" t="s">
        <x:v>9900</x:v>
      </x:c>
      <x:c r="D2169">
        <x:v>31</x:v>
      </x:c>
      <x:c r="E2169" t="s">
        <x:v>198</x:v>
      </x:c>
      <x:c r="F2169" t="s">
        <x:v>90</x:v>
      </x:c>
      <x:c r="G2169">
        <x:v>45362</x:v>
      </x:c>
      <x:c r="H2169" t="s">
        <x:v>9901</x:v>
      </x:c>
      <x:c r="I2169" t="s">
        <x:v>9902</x:v>
      </x:c>
      <x:c r="J2169" t="s">
        <x:v>9903</x:v>
      </x:c>
    </x:row>
    <x:row r="2170">
      <x:c r="A2170" t="s">
        <x:v>9904</x:v>
      </x:c>
      <x:c r="B2170" t="s">
        <x:v>9904</x:v>
      </x:c>
      <x:c r="C2170" t="s">
        <x:v>9905</x:v>
      </x:c>
      <x:c r="D2170">
        <x:v>16</x:v>
      </x:c>
      <x:c r="E2170" t="s">
        <x:v>96</x:v>
      </x:c>
      <x:c r="F2170" t="s">
        <x:v>90</x:v>
      </x:c>
      <x:c r="G2170">
        <x:v>43977</x:v>
      </x:c>
      <x:c r="H2170" t="s">
        <x:v>9906</x:v>
      </x:c>
      <x:c r="I2170" t="s">
        <x:v>9907</x:v>
      </x:c>
      <x:c r="J2170" t="s">
        <x:v>9908</x:v>
      </x:c>
    </x:row>
    <x:row r="2171">
      <x:c r="A2171" t="s">
        <x:v>9909</x:v>
      </x:c>
      <x:c r="B2171" t="s">
        <x:v>9909</x:v>
      </x:c>
      <x:c r="C2171" t="s">
        <x:v>9910</x:v>
      </x:c>
      <x:c r="D2171">
        <x:v>12</x:v>
      </x:c>
      <x:c r="E2171" t="s">
        <x:v>114</x:v>
      </x:c>
      <x:c r="F2171" t="s">
        <x:v>90</x:v>
      </x:c>
      <x:c r="G2171">
        <x:v>45396</x:v>
      </x:c>
      <x:c r="H2171" t="s">
        <x:v>9911</x:v>
      </x:c>
      <x:c r="I2171" t="s">
        <x:v>9912</x:v>
      </x:c>
      <x:c r="J2171" t="s">
        <x:v>9913</x:v>
      </x:c>
    </x:row>
    <x:row r="2172">
      <x:c r="A2172" t="s">
        <x:v>9914</x:v>
      </x:c>
      <x:c r="B2172" t="s">
        <x:v>9914</x:v>
      </x:c>
      <x:c r="C2172" t="s">
        <x:v>9915</x:v>
      </x:c>
      <x:c r="D2172">
        <x:v>11</x:v>
      </x:c>
      <x:c r="E2172" t="s">
        <x:v>257</x:v>
      </x:c>
      <x:c r="F2172" t="s">
        <x:v>97</x:v>
      </x:c>
      <x:c r="G2172">
        <x:v>42242</x:v>
      </x:c>
      <x:c r="H2172" t="s">
        <x:v>9916</x:v>
      </x:c>
      <x:c r="I2172" t="s">
        <x:v>9917</x:v>
      </x:c>
      <x:c r="J2172" t="s">
        <x:v>9918</x:v>
      </x:c>
    </x:row>
    <x:row r="2173">
      <x:c r="A2173" t="s">
        <x:v>9919</x:v>
      </x:c>
      <x:c r="B2173" t="s">
        <x:v>9919</x:v>
      </x:c>
      <x:c r="C2173" t="s">
        <x:v>7114</x:v>
      </x:c>
      <x:c r="D2173">
        <x:v>6</x:v>
      </x:c>
      <x:c r="E2173" t="s">
        <x:v>89</x:v>
      </x:c>
      <x:c r="F2173" t="s">
        <x:v>90</x:v>
      </x:c>
      <x:c r="G2173">
        <x:v>46010</x:v>
      </x:c>
      <x:c r="H2173" t="s">
        <x:v>9920</x:v>
      </x:c>
      <x:c r="I2173" t="s">
        <x:v>9921</x:v>
      </x:c>
      <x:c r="J2173" t="s">
        <x:v>9922</x:v>
      </x:c>
    </x:row>
    <x:row r="2174">
      <x:c r="A2174" t="s">
        <x:v>9923</x:v>
      </x:c>
      <x:c r="B2174" t="s">
        <x:v>9923</x:v>
      </x:c>
      <x:c r="C2174" t="s">
        <x:v>7114</x:v>
      </x:c>
      <x:c r="D2174">
        <x:v>22</x:v>
      </x:c>
      <x:c r="E2174" t="s">
        <x:v>198</x:v>
      </x:c>
      <x:c r="F2174" t="s">
        <x:v>90</x:v>
      </x:c>
      <x:c r="G2174">
        <x:v>45951</x:v>
      </x:c>
      <x:c r="H2174" t="s">
        <x:v>9924</x:v>
      </x:c>
      <x:c r="I2174" t="s">
        <x:v>9925</x:v>
      </x:c>
      <x:c r="J2174" t="s">
        <x:v>9926</x:v>
      </x:c>
    </x:row>
    <x:row r="2175">
      <x:c r="A2175" t="s">
        <x:v>9927</x:v>
      </x:c>
      <x:c r="B2175" t="s">
        <x:v>9927</x:v>
      </x:c>
      <x:c r="C2175" t="s">
        <x:v>7114</x:v>
      </x:c>
      <x:c r="D2175">
        <x:v>30</x:v>
      </x:c>
      <x:c r="E2175" t="s">
        <x:v>114</x:v>
      </x:c>
      <x:c r="F2175" t="s">
        <x:v>90</x:v>
      </x:c>
      <x:c r="G2175">
        <x:v>46000</x:v>
      </x:c>
      <x:c r="H2175" t="s">
        <x:v>9928</x:v>
      </x:c>
      <x:c r="I2175" t="s">
        <x:v>9929</x:v>
      </x:c>
      <x:c r="J2175" t="s">
        <x:v>9930</x:v>
      </x:c>
    </x:row>
    <x:row r="2176">
      <x:c r="A2176" t="s">
        <x:v>9931</x:v>
      </x:c>
      <x:c r="B2176" t="s">
        <x:v>9931</x:v>
      </x:c>
      <x:c r="C2176" t="s">
        <x:v>9932</x:v>
      </x:c>
      <x:c r="D2176">
        <x:v>10</x:v>
      </x:c>
      <x:c r="E2176" t="s">
        <x:v>103</x:v>
      </x:c>
      <x:c r="F2176" t="s">
        <x:v>97</x:v>
      </x:c>
      <x:c r="G2176">
        <x:v>44205</x:v>
      </x:c>
      <x:c r="H2176" t="s">
        <x:v>9933</x:v>
      </x:c>
      <x:c r="I2176" t="s">
        <x:v>9934</x:v>
      </x:c>
      <x:c r="J2176" t="s">
        <x:v>9935</x:v>
      </x:c>
    </x:row>
    <x:row r="2177">
      <x:c r="A2177" t="s">
        <x:v>9936</x:v>
      </x:c>
      <x:c r="B2177" t="s">
        <x:v>9936</x:v>
      </x:c>
      <x:c r="C2177" t="s">
        <x:v>9937</x:v>
      </x:c>
      <x:c r="D2177">
        <x:v>1</x:v>
      </x:c>
      <x:c r="E2177" t="s">
        <x:v>198</x:v>
      </x:c>
      <x:c r="F2177" t="s">
        <x:v>610</x:v>
      </x:c>
      <x:c r="G2177">
        <x:v>42599</x:v>
      </x:c>
      <x:c r="H2177" t="s">
        <x:v>9938</x:v>
      </x:c>
      <x:c r="I2177" t="s">
        <x:v>9939</x:v>
      </x:c>
      <x:c r="J2177" t="s">
        <x:v>9940</x:v>
      </x:c>
    </x:row>
    <x:row r="2178">
      <x:c r="A2178" t="s">
        <x:v>9941</x:v>
      </x:c>
      <x:c r="B2178" t="s">
        <x:v>9941</x:v>
      </x:c>
      <x:c r="C2178" t="s">
        <x:v>1427</x:v>
      </x:c>
      <x:c r="D2178">
        <x:v>14</x:v>
      </x:c>
      <x:c r="E2178" t="s">
        <x:v>198</x:v>
      </x:c>
      <x:c r="F2178" t="s">
        <x:v>90</x:v>
      </x:c>
      <x:c r="G2178">
        <x:v>45762</x:v>
      </x:c>
      <x:c r="H2178" t="s">
        <x:v>9942</x:v>
      </x:c>
      <x:c r="I2178" t="s">
        <x:v>9943</x:v>
      </x:c>
      <x:c r="J2178" t="s">
        <x:v>9944</x:v>
      </x:c>
    </x:row>
    <x:row r="2179">
      <x:c r="A2179" t="s">
        <x:v>9945</x:v>
      </x:c>
      <x:c r="B2179" t="s">
        <x:v>9945</x:v>
      </x:c>
      <x:c r="C2179" t="s">
        <x:v>9946</x:v>
      </x:c>
      <x:c r="D2179">
        <x:v>8</x:v>
      </x:c>
      <x:c r="E2179" t="s">
        <x:v>96</x:v>
      </x:c>
      <x:c r="F2179" t="s">
        <x:v>90</x:v>
      </x:c>
      <x:c r="G2179">
        <x:v>44748</x:v>
      </x:c>
      <x:c r="H2179" t="s">
        <x:v>9947</x:v>
      </x:c>
      <x:c r="I2179" t="s">
        <x:v>9948</x:v>
      </x:c>
      <x:c r="J2179" t="s">
        <x:v>9949</x:v>
      </x:c>
    </x:row>
    <x:row r="2180">
      <x:c r="A2180" t="s">
        <x:v>9950</x:v>
      </x:c>
      <x:c r="B2180" t="s">
        <x:v>9950</x:v>
      </x:c>
      <x:c r="C2180" t="s">
        <x:v>9951</x:v>
      </x:c>
      <x:c r="D2180">
        <x:v>22</x:v>
      </x:c>
      <x:c r="E2180" t="s">
        <x:v>89</x:v>
      </x:c>
      <x:c r="F2180" t="s">
        <x:v>90</x:v>
      </x:c>
      <x:c r="G2180">
        <x:v>45752</x:v>
      </x:c>
      <x:c r="H2180" t="s">
        <x:v>9952</x:v>
      </x:c>
      <x:c r="I2180" t="s">
        <x:v>9953</x:v>
      </x:c>
      <x:c r="J2180" t="s">
        <x:v>9954</x:v>
      </x:c>
    </x:row>
    <x:row r="2181">
      <x:c r="A2181" t="s">
        <x:v>9955</x:v>
      </x:c>
      <x:c r="B2181" t="s">
        <x:v>9955</x:v>
      </x:c>
      <x:c r="C2181" t="s">
        <x:v>9956</x:v>
      </x:c>
      <x:c r="D2181">
        <x:v>10</x:v>
      </x:c>
      <x:c r="E2181" t="s">
        <x:v>96</x:v>
      </x:c>
      <x:c r="F2181" t="s">
        <x:v>97</x:v>
      </x:c>
      <x:c r="G2181">
        <x:v>45532</x:v>
      </x:c>
      <x:c r="H2181" t="s">
        <x:v>9957</x:v>
      </x:c>
      <x:c r="I2181" t="s">
        <x:v>9958</x:v>
      </x:c>
      <x:c r="J2181" t="s">
        <x:v>9959</x:v>
      </x:c>
    </x:row>
    <x:row r="2182">
      <x:c r="A2182" t="s">
        <x:v>9960</x:v>
      </x:c>
      <x:c r="B2182" t="s">
        <x:v>9960</x:v>
      </x:c>
      <x:c r="C2182" t="s">
        <x:v>9961</x:v>
      </x:c>
      <x:c r="D2182">
        <x:v>23</x:v>
      </x:c>
      <x:c r="E2182" t="s">
        <x:v>96</x:v>
      </x:c>
      <x:c r="F2182" t="s">
        <x:v>97</x:v>
      </x:c>
      <x:c r="G2182">
        <x:v>44545</x:v>
      </x:c>
      <x:c r="H2182" t="s">
        <x:v>9962</x:v>
      </x:c>
      <x:c r="I2182" t="s">
        <x:v>9963</x:v>
      </x:c>
      <x:c r="J2182" t="s">
        <x:v>9964</x:v>
      </x:c>
    </x:row>
    <x:row r="2183">
      <x:c r="A2183" t="s">
        <x:v>9965</x:v>
      </x:c>
      <x:c r="B2183" t="s">
        <x:v>9965</x:v>
      </x:c>
      <x:c r="C2183" t="s">
        <x:v>9961</x:v>
      </x:c>
      <x:c r="D2183">
        <x:v>21</x:v>
      </x:c>
      <x:c r="E2183" t="s">
        <x:v>96</x:v>
      </x:c>
      <x:c r="F2183" t="s">
        <x:v>152</x:v>
      </x:c>
      <x:c r="G2183">
        <x:v>44739</x:v>
      </x:c>
      <x:c r="H2183" t="s">
        <x:v>9966</x:v>
      </x:c>
      <x:c r="I2183" t="s">
        <x:v>9967</x:v>
      </x:c>
      <x:c r="J2183" t="s">
        <x:v>9968</x:v>
      </x:c>
    </x:row>
    <x:row r="2184">
      <x:c r="A2184" t="s">
        <x:v>9969</x:v>
      </x:c>
      <x:c r="B2184" t="s">
        <x:v>9969</x:v>
      </x:c>
      <x:c r="C2184" t="s">
        <x:v>9970</x:v>
      </x:c>
      <x:c r="D2184">
        <x:v>4</x:v>
      </x:c>
      <x:c r="E2184" t="s">
        <x:v>114</x:v>
      </x:c>
      <x:c r="F2184" t="s">
        <x:v>90</x:v>
      </x:c>
      <x:c r="G2184">
        <x:v>44768</x:v>
      </x:c>
      <x:c r="H2184" t="s">
        <x:v>9971</x:v>
      </x:c>
      <x:c r="I2184" t="s">
        <x:v>9972</x:v>
      </x:c>
      <x:c r="J2184" t="s">
        <x:v>9973</x:v>
      </x:c>
    </x:row>
    <x:row r="2185">
      <x:c r="A2185" t="s">
        <x:v>9974</x:v>
      </x:c>
      <x:c r="B2185" t="s">
        <x:v>9974</x:v>
      </x:c>
      <x:c r="C2185" t="s">
        <x:v>9970</x:v>
      </x:c>
      <x:c r="D2185">
        <x:v>10</x:v>
      </x:c>
      <x:c r="E2185" t="s">
        <x:v>198</x:v>
      </x:c>
      <x:c r="F2185" t="s">
        <x:v>152</x:v>
      </x:c>
      <x:c r="G2185">
        <x:v>45142</x:v>
      </x:c>
      <x:c r="H2185" t="s">
        <x:v>9975</x:v>
      </x:c>
      <x:c r="I2185" t="s">
        <x:v>9976</x:v>
      </x:c>
      <x:c r="J2185" t="s">
        <x:v>9977</x:v>
      </x:c>
    </x:row>
    <x:row r="2186">
      <x:c r="A2186" t="s">
        <x:v>9978</x:v>
      </x:c>
      <x:c r="B2186" t="s">
        <x:v>9978</x:v>
      </x:c>
      <x:c r="C2186" t="s">
        <x:v>2817</x:v>
      </x:c>
      <x:c r="D2186">
        <x:v>30</x:v>
      </x:c>
      <x:c r="E2186" t="s">
        <x:v>103</x:v>
      </x:c>
      <x:c r="F2186" t="s">
        <x:v>97</x:v>
      </x:c>
      <x:c r="G2186">
        <x:v>44007</x:v>
      </x:c>
      <x:c r="H2186" t="s">
        <x:v>9979</x:v>
      </x:c>
      <x:c r="I2186" t="s">
        <x:v>9980</x:v>
      </x:c>
      <x:c r="J2186" t="s">
        <x:v>9981</x:v>
      </x:c>
    </x:row>
    <x:row r="2187">
      <x:c r="A2187" t="s">
        <x:v>9982</x:v>
      </x:c>
      <x:c r="B2187" t="s">
        <x:v>9982</x:v>
      </x:c>
      <x:c r="C2187" t="s">
        <x:v>2817</x:v>
      </x:c>
      <x:c r="D2187">
        <x:v>42</x:v>
      </x:c>
      <x:c r="E2187" t="s">
        <x:v>96</x:v>
      </x:c>
      <x:c r="F2187" t="s">
        <x:v>97</x:v>
      </x:c>
      <x:c r="G2187">
        <x:v>44375</x:v>
      </x:c>
      <x:c r="H2187" t="s">
        <x:v>9983</x:v>
      </x:c>
      <x:c r="I2187" t="s">
        <x:v>9984</x:v>
      </x:c>
      <x:c r="J2187" t="s">
        <x:v>9985</x:v>
      </x:c>
    </x:row>
    <x:row r="2188">
      <x:c r="A2188" t="s">
        <x:v>9986</x:v>
      </x:c>
      <x:c r="B2188" t="s">
        <x:v>9986</x:v>
      </x:c>
      <x:c r="C2188" t="s">
        <x:v>2817</x:v>
      </x:c>
      <x:c r="D2188">
        <x:v>50</x:v>
      </x:c>
      <x:c r="E2188" t="s">
        <x:v>103</x:v>
      </x:c>
      <x:c r="F2188" t="s">
        <x:v>97</x:v>
      </x:c>
      <x:c r="G2188">
        <x:v>45876</x:v>
      </x:c>
      <x:c r="H2188" t="s">
        <x:v>9987</x:v>
      </x:c>
      <x:c r="I2188" t="s">
        <x:v>9988</x:v>
      </x:c>
      <x:c r="J2188" t="s">
        <x:v>9989</x:v>
      </x:c>
    </x:row>
    <x:row r="2189">
      <x:c r="A2189" t="s">
        <x:v>9990</x:v>
      </x:c>
      <x:c r="B2189" t="s">
        <x:v>9990</x:v>
      </x:c>
      <x:c r="C2189" t="s">
        <x:v>9991</x:v>
      </x:c>
      <x:c r="D2189">
        <x:v>14</x:v>
      </x:c>
      <x:c r="E2189" t="s">
        <x:v>96</x:v>
      </x:c>
      <x:c r="F2189" t="s">
        <x:v>97</x:v>
      </x:c>
      <x:c r="G2189">
        <x:v>42219</x:v>
      </x:c>
      <x:c r="H2189" t="s">
        <x:v>9992</x:v>
      </x:c>
      <x:c r="I2189" t="s">
        <x:v>9993</x:v>
      </x:c>
      <x:c r="J2189" t="s">
        <x:v>9994</x:v>
      </x:c>
    </x:row>
    <x:row r="2190">
      <x:c r="A2190" t="s">
        <x:v>9995</x:v>
      </x:c>
      <x:c r="B2190" t="s">
        <x:v>9995</x:v>
      </x:c>
      <x:c r="C2190" t="s">
        <x:v>1751</x:v>
      </x:c>
      <x:c r="D2190">
        <x:v>7</x:v>
      </x:c>
      <x:c r="E2190" t="s">
        <x:v>257</x:v>
      </x:c>
      <x:c r="F2190" t="s">
        <x:v>97</x:v>
      </x:c>
      <x:c r="G2190">
        <x:v>41856</x:v>
      </x:c>
      <x:c r="H2190" t="s">
        <x:v>9996</x:v>
      </x:c>
      <x:c r="I2190" t="s">
        <x:v>9997</x:v>
      </x:c>
      <x:c r="J2190" t="s">
        <x:v>9998</x:v>
      </x:c>
    </x:row>
    <x:row r="2191">
      <x:c r="A2191" t="s">
        <x:v>47</x:v>
      </x:c>
      <x:c r="B2191" t="s">
        <x:v>47</x:v>
      </x:c>
      <x:c r="C2191" t="s">
        <x:v>1861</x:v>
      </x:c>
      <x:c r="D2191">
        <x:v>25</x:v>
      </x:c>
      <x:c r="E2191" t="s">
        <x:v>89</x:v>
      </x:c>
      <x:c r="F2191" t="s">
        <x:v>152</x:v>
      </x:c>
      <x:c r="G2191">
        <x:v>44595</x:v>
      </x:c>
      <x:c r="H2191" t="s">
        <x:v>9999</x:v>
      </x:c>
      <x:c r="I2191" t="s">
        <x:v>10000</x:v>
      </x:c>
      <x:c r="J2191" t="s">
        <x:v>10001</x:v>
      </x:c>
    </x:row>
    <x:row r="2192">
      <x:c r="A2192" t="s">
        <x:v>10002</x:v>
      </x:c>
      <x:c r="B2192" t="s">
        <x:v>10002</x:v>
      </x:c>
      <x:c r="C2192" t="s">
        <x:v>3379</x:v>
      </x:c>
      <x:c r="D2192">
        <x:v>18</x:v>
      </x:c>
      <x:c r="E2192" t="s">
        <x:v>198</x:v>
      </x:c>
      <x:c r="F2192" t="s">
        <x:v>90</x:v>
      </x:c>
      <x:c r="G2192">
        <x:v>44095</x:v>
      </x:c>
      <x:c r="H2192" t="s">
        <x:v>10003</x:v>
      </x:c>
      <x:c r="I2192" t="s">
        <x:v>10004</x:v>
      </x:c>
      <x:c r="J2192" t="s">
        <x:v>10005</x:v>
      </x:c>
    </x:row>
    <x:row r="2193">
      <x:c r="A2193" t="s">
        <x:v>10006</x:v>
      </x:c>
      <x:c r="B2193" t="s">
        <x:v>10006</x:v>
      </x:c>
      <x:c r="C2193" t="s">
        <x:v>3379</x:v>
      </x:c>
      <x:c r="D2193">
        <x:v>18</x:v>
      </x:c>
      <x:c r="E2193" t="s">
        <x:v>89</x:v>
      </x:c>
      <x:c r="F2193" t="s">
        <x:v>90</x:v>
      </x:c>
      <x:c r="G2193">
        <x:v>44113</x:v>
      </x:c>
      <x:c r="H2193" t="s">
        <x:v>10007</x:v>
      </x:c>
      <x:c r="I2193" t="s">
        <x:v>10008</x:v>
      </x:c>
      <x:c r="J2193" t="s">
        <x:v>10009</x:v>
      </x:c>
    </x:row>
    <x:row r="2194">
      <x:c r="A2194" t="s">
        <x:v>10010</x:v>
      </x:c>
      <x:c r="B2194" t="s">
        <x:v>10010</x:v>
      </x:c>
      <x:c r="C2194" t="s">
        <x:v>9163</x:v>
      </x:c>
      <x:c r="D2194">
        <x:v>19</x:v>
      </x:c>
      <x:c r="E2194" t="s">
        <x:v>96</x:v>
      </x:c>
      <x:c r="F2194" t="s">
        <x:v>97</x:v>
      </x:c>
      <x:c r="G2194">
        <x:v>44514</x:v>
      </x:c>
      <x:c r="H2194" t="s">
        <x:v>10011</x:v>
      </x:c>
      <x:c r="I2194" t="s">
        <x:v>10012</x:v>
      </x:c>
      <x:c r="J2194" t="s">
        <x:v>10013</x:v>
      </x:c>
    </x:row>
    <x:row r="2195">
      <x:c r="A2195" t="s">
        <x:v>10014</x:v>
      </x:c>
      <x:c r="B2195" t="s">
        <x:v>10014</x:v>
      </x:c>
      <x:c r="C2195" t="s">
        <x:v>10015</x:v>
      </x:c>
      <x:c r="D2195">
        <x:v>21</x:v>
      </x:c>
      <x:c r="E2195" t="s">
        <x:v>198</x:v>
      </x:c>
      <x:c r="F2195" t="s">
        <x:v>90</x:v>
      </x:c>
      <x:c r="G2195">
        <x:v>44650</x:v>
      </x:c>
      <x:c r="H2195" t="s">
        <x:v>10016</x:v>
      </x:c>
      <x:c r="I2195" t="s">
        <x:v>10017</x:v>
      </x:c>
      <x:c r="J2195" t="s">
        <x:v>10018</x:v>
      </x:c>
    </x:row>
    <x:row r="2196">
      <x:c r="A2196" t="s">
        <x:v>10019</x:v>
      </x:c>
      <x:c r="B2196" t="s">
        <x:v>10019</x:v>
      </x:c>
      <x:c r="C2196" t="s">
        <x:v>5601</x:v>
      </x:c>
      <x:c r="D2196">
        <x:v>5</x:v>
      </x:c>
      <x:c r="E2196" t="s">
        <x:v>257</x:v>
      </x:c>
      <x:c r="F2196" t="s">
        <x:v>97</x:v>
      </x:c>
      <x:c r="G2196">
        <x:v>42221</x:v>
      </x:c>
      <x:c r="H2196" t="s">
        <x:v>10020</x:v>
      </x:c>
      <x:c r="I2196" t="s">
        <x:v>10021</x:v>
      </x:c>
      <x:c r="J2196" t="s">
        <x:v>10022</x:v>
      </x:c>
    </x:row>
    <x:row r="2197">
      <x:c r="A2197" t="s">
        <x:v>10023</x:v>
      </x:c>
      <x:c r="B2197" t="s">
        <x:v>10023</x:v>
      </x:c>
      <x:c r="C2197" t="s">
        <x:v>10024</x:v>
      </x:c>
      <x:c r="D2197">
        <x:v>29</x:v>
      </x:c>
      <x:c r="E2197" t="s">
        <x:v>257</x:v>
      </x:c>
      <x:c r="F2197" t="s">
        <x:v>97</x:v>
      </x:c>
      <x:c r="G2197">
        <x:v>42277</x:v>
      </x:c>
      <x:c r="H2197" t="s">
        <x:v>10025</x:v>
      </x:c>
      <x:c r="I2197" t="s">
        <x:v>10026</x:v>
      </x:c>
      <x:c r="J2197" t="s">
        <x:v>10027</x:v>
      </x:c>
    </x:row>
    <x:row r="2198">
      <x:c r="A2198" t="s">
        <x:v>10028</x:v>
      </x:c>
      <x:c r="B2198" t="s">
        <x:v>10028</x:v>
      </x:c>
      <x:c r="C2198" t="s">
        <x:v>2004</x:v>
      </x:c>
      <x:c r="D2198">
        <x:v>6</x:v>
      </x:c>
      <x:c r="E2198" t="s">
        <x:v>198</x:v>
      </x:c>
      <x:c r="F2198" t="s">
        <x:v>90</x:v>
      </x:c>
      <x:c r="G2198">
        <x:v>43928</x:v>
      </x:c>
      <x:c r="H2198" t="s">
        <x:v>10029</x:v>
      </x:c>
      <x:c r="I2198" t="s">
        <x:v>10030</x:v>
      </x:c>
      <x:c r="J2198" t="s">
        <x:v>10031</x:v>
      </x:c>
    </x:row>
    <x:row r="2199">
      <x:c r="A2199" t="s">
        <x:v>10032</x:v>
      </x:c>
      <x:c r="B2199" t="s">
        <x:v>10032</x:v>
      </x:c>
      <x:c r="C2199" t="s">
        <x:v>317</x:v>
      </x:c>
      <x:c r="D2199">
        <x:v>0</x:v>
      </x:c>
      <x:c r="E2199" t="s">
        <x:v>114</x:v>
      </x:c>
      <x:c r="F2199" t="s">
        <x:v>90</x:v>
      </x:c>
      <x:c r="G2199">
        <x:v>45146</x:v>
      </x:c>
      <x:c r="H2199" t="s">
        <x:v>10033</x:v>
      </x:c>
      <x:c r="I2199" t="s">
        <x:v>10034</x:v>
      </x:c>
      <x:c r="J2199" t="s">
        <x:v>10035</x:v>
      </x:c>
    </x:row>
    <x:row r="2200">
      <x:c r="A2200" t="s">
        <x:v>10036</x:v>
      </x:c>
      <x:c r="B2200" t="s">
        <x:v>10036</x:v>
      </x:c>
      <x:c r="C2200" t="s">
        <x:v>1407</x:v>
      </x:c>
      <x:c r="D2200">
        <x:v>14</x:v>
      </x:c>
      <x:c r="E2200" t="s">
        <x:v>198</x:v>
      </x:c>
      <x:c r="F2200" t="s">
        <x:v>90</x:v>
      </x:c>
      <x:c r="G2200">
        <x:v>46088</x:v>
      </x:c>
      <x:c r="H2200" t="s">
        <x:v>10037</x:v>
      </x:c>
      <x:c r="I2200" t="s">
        <x:v>10038</x:v>
      </x:c>
      <x:c r="J2200" t="s">
        <x:v>10039</x:v>
      </x:c>
    </x:row>
    <x:row r="2201">
      <x:c r="A2201" t="s">
        <x:v>10040</x:v>
      </x:c>
      <x:c r="B2201" t="s">
        <x:v>10040</x:v>
      </x:c>
      <x:c r="C2201" t="s">
        <x:v>2118</x:v>
      </x:c>
      <x:c r="D2201">
        <x:v>23</x:v>
      </x:c>
      <x:c r="E2201" t="s">
        <x:v>198</x:v>
      </x:c>
      <x:c r="F2201" t="s">
        <x:v>90</x:v>
      </x:c>
      <x:c r="G2201">
        <x:v>45953</x:v>
      </x:c>
      <x:c r="H2201" t="s">
        <x:v>10041</x:v>
      </x:c>
      <x:c r="I2201" t="s">
        <x:v>10042</x:v>
      </x:c>
      <x:c r="J2201" t="s">
        <x:v>10043</x:v>
      </x:c>
    </x:row>
    <x:row r="2202">
      <x:c r="A2202" t="s">
        <x:v>10044</x:v>
      </x:c>
      <x:c r="B2202" t="s">
        <x:v>10044</x:v>
      </x:c>
      <x:c r="C2202" t="s">
        <x:v>10045</x:v>
      </x:c>
      <x:c r="D2202">
        <x:v>12</x:v>
      </x:c>
      <x:c r="E2202" t="s">
        <x:v>114</x:v>
      </x:c>
      <x:c r="F2202" t="s">
        <x:v>90</x:v>
      </x:c>
      <x:c r="G2202">
        <x:v>42875</x:v>
      </x:c>
      <x:c r="H2202" t="s">
        <x:v>10046</x:v>
      </x:c>
      <x:c r="I2202" t="s">
        <x:v>10047</x:v>
      </x:c>
      <x:c r="J2202" t="s">
        <x:v>10048</x:v>
      </x:c>
    </x:row>
    <x:row r="2203">
      <x:c r="A2203" t="s">
        <x:v>10049</x:v>
      </x:c>
      <x:c r="B2203" t="s">
        <x:v>10049</x:v>
      </x:c>
      <x:c r="C2203" t="s">
        <x:v>4040</x:v>
      </x:c>
      <x:c r="D2203">
        <x:v>4</x:v>
      </x:c>
      <x:c r="E2203" t="s">
        <x:v>257</x:v>
      </x:c>
      <x:c r="F2203" t="s">
        <x:v>97</x:v>
      </x:c>
      <x:c r="G2203">
        <x:v>42044</x:v>
      </x:c>
      <x:c r="H2203" t="s">
        <x:v>10050</x:v>
      </x:c>
      <x:c r="I2203" t="s">
        <x:v>10051</x:v>
      </x:c>
      <x:c r="J2203" t="s">
        <x:v>10052</x:v>
      </x:c>
    </x:row>
    <x:row r="2204">
      <x:c r="A2204" t="s">
        <x:v>10053</x:v>
      </x:c>
      <x:c r="B2204" t="s">
        <x:v>10053</x:v>
      </x:c>
      <x:c r="C2204" t="s">
        <x:v>3426</x:v>
      </x:c>
      <x:c r="D2204">
        <x:v>9</x:v>
      </x:c>
      <x:c r="E2204" t="s">
        <x:v>198</x:v>
      </x:c>
      <x:c r="F2204" t="s">
        <x:v>90</x:v>
      </x:c>
      <x:c r="G2204">
        <x:v>45730</x:v>
      </x:c>
      <x:c r="H2204" t="s">
        <x:v>10054</x:v>
      </x:c>
      <x:c r="I2204" t="s">
        <x:v>10055</x:v>
      </x:c>
      <x:c r="J2204" t="s">
        <x:v>10056</x:v>
      </x:c>
    </x:row>
    <x:row r="2205">
      <x:c r="A2205" t="s">
        <x:v>10057</x:v>
      </x:c>
      <x:c r="B2205" t="s">
        <x:v>10057</x:v>
      </x:c>
      <x:c r="C2205" t="s">
        <x:v>3426</x:v>
      </x:c>
      <x:c r="D2205">
        <x:v>7</x:v>
      </x:c>
      <x:c r="E2205" t="s">
        <x:v>114</x:v>
      </x:c>
      <x:c r="F2205" t="s">
        <x:v>90</x:v>
      </x:c>
      <x:c r="G2205">
        <x:v>45868</x:v>
      </x:c>
      <x:c r="H2205" t="s">
        <x:v>10058</x:v>
      </x:c>
      <x:c r="I2205" t="s">
        <x:v>10059</x:v>
      </x:c>
      <x:c r="J2205" t="s">
        <x:v>10060</x:v>
      </x:c>
    </x:row>
    <x:row r="2206">
      <x:c r="A2206" t="s">
        <x:v>10061</x:v>
      </x:c>
      <x:c r="B2206" t="s">
        <x:v>10061</x:v>
      </x:c>
      <x:c r="C2206" t="s">
        <x:v>2170</x:v>
      </x:c>
      <x:c r="D2206">
        <x:v>35</x:v>
      </x:c>
      <x:c r="E2206" t="s">
        <x:v>89</x:v>
      </x:c>
      <x:c r="F2206" t="s">
        <x:v>97</x:v>
      </x:c>
      <x:c r="G2206">
        <x:v>44212</x:v>
      </x:c>
      <x:c r="H2206" t="s">
        <x:v>10062</x:v>
      </x:c>
      <x:c r="I2206" t="s">
        <x:v>10063</x:v>
      </x:c>
      <x:c r="J2206" t="s">
        <x:v>10064</x:v>
      </x:c>
    </x:row>
    <x:row r="2207">
      <x:c r="A2207" t="s">
        <x:v>10065</x:v>
      </x:c>
      <x:c r="B2207" t="s">
        <x:v>10065</x:v>
      </x:c>
      <x:c r="C2207" t="s">
        <x:v>10066</x:v>
      </x:c>
      <x:c r="D2207">
        <x:v>13</x:v>
      </x:c>
      <x:c r="E2207" t="s">
        <x:v>96</x:v>
      </x:c>
      <x:c r="F2207" t="s">
        <x:v>90</x:v>
      </x:c>
      <x:c r="G2207">
        <x:v>43559</x:v>
      </x:c>
      <x:c r="H2207" t="s">
        <x:v>10067</x:v>
      </x:c>
      <x:c r="I2207" t="s">
        <x:v>10068</x:v>
      </x:c>
      <x:c r="J2207" t="s">
        <x:v>10069</x:v>
      </x:c>
    </x:row>
    <x:row r="2208">
      <x:c r="A2208" t="s">
        <x:v>10070</x:v>
      </x:c>
      <x:c r="B2208" t="s">
        <x:v>10070</x:v>
      </x:c>
      <x:c r="C2208" t="s">
        <x:v>1782</x:v>
      </x:c>
      <x:c r="D2208">
        <x:v>16</x:v>
      </x:c>
      <x:c r="E2208" t="s">
        <x:v>198</x:v>
      </x:c>
      <x:c r="F2208" t="s">
        <x:v>90</x:v>
      </x:c>
      <x:c r="G2208">
        <x:v>44396</x:v>
      </x:c>
      <x:c r="H2208" t="s">
        <x:v>10071</x:v>
      </x:c>
      <x:c r="I2208" t="s">
        <x:v>10072</x:v>
      </x:c>
      <x:c r="J2208" t="s">
        <x:v>10073</x:v>
      </x:c>
    </x:row>
    <x:row r="2209">
      <x:c r="A2209" t="s">
        <x:v>10074</x:v>
      </x:c>
      <x:c r="B2209" t="s">
        <x:v>10074</x:v>
      </x:c>
      <x:c r="C2209" t="s">
        <x:v>1826</x:v>
      </x:c>
      <x:c r="D2209">
        <x:v>60</x:v>
      </x:c>
      <x:c r="E2209" t="s">
        <x:v>89</x:v>
      </x:c>
      <x:c r="F2209" t="s">
        <x:v>97</x:v>
      </x:c>
      <x:c r="G2209">
        <x:v>41705</x:v>
      </x:c>
      <x:c r="H2209" t="s">
        <x:v>10075</x:v>
      </x:c>
      <x:c r="I2209" t="s">
        <x:v>10076</x:v>
      </x:c>
      <x:c r="J2209" t="s">
        <x:v>10077</x:v>
      </x:c>
    </x:row>
    <x:row r="2210">
      <x:c r="A2210" t="s">
        <x:v>10078</x:v>
      </x:c>
      <x:c r="B2210" t="s">
        <x:v>10078</x:v>
      </x:c>
      <x:c r="C2210" t="s">
        <x:v>1826</x:v>
      </x:c>
      <x:c r="D2210">
        <x:v>78</x:v>
      </x:c>
      <x:c r="E2210" t="s">
        <x:v>96</x:v>
      </x:c>
      <x:c r="F2210" t="s">
        <x:v>97</x:v>
      </x:c>
      <x:c r="G2210">
        <x:v>41600</x:v>
      </x:c>
      <x:c r="H2210" t="s">
        <x:v>10079</x:v>
      </x:c>
      <x:c r="I2210" t="s">
        <x:v>10080</x:v>
      </x:c>
      <x:c r="J2210" t="s">
        <x:v>10081</x:v>
      </x:c>
    </x:row>
    <x:row r="2211">
      <x:c r="A2211" t="s">
        <x:v>10082</x:v>
      </x:c>
      <x:c r="B2211" t="s">
        <x:v>10082</x:v>
      </x:c>
      <x:c r="C2211" t="s">
        <x:v>10083</x:v>
      </x:c>
      <x:c r="D2211">
        <x:v>9</x:v>
      </x:c>
      <x:c r="E2211" t="s">
        <x:v>89</x:v>
      </x:c>
      <x:c r="F2211" t="s">
        <x:v>90</x:v>
      </x:c>
      <x:c r="G2211">
        <x:v>43962</x:v>
      </x:c>
      <x:c r="H2211" t="s">
        <x:v>10084</x:v>
      </x:c>
      <x:c r="I2211" t="s">
        <x:v>10085</x:v>
      </x:c>
      <x:c r="J2211" t="s">
        <x:v>10086</x:v>
      </x:c>
    </x:row>
    <x:row r="2212">
      <x:c r="A2212" t="s">
        <x:v>10087</x:v>
      </x:c>
      <x:c r="B2212" t="s">
        <x:v>10087</x:v>
      </x:c>
      <x:c r="C2212" t="s">
        <x:v>10088</x:v>
      </x:c>
      <x:c r="D2212">
        <x:v>5</x:v>
      </x:c>
      <x:c r="E2212" t="s">
        <x:v>257</x:v>
      </x:c>
      <x:c r="F2212" t="s">
        <x:v>97</x:v>
      </x:c>
      <x:c r="G2212">
        <x:v>43185</x:v>
      </x:c>
      <x:c r="H2212" t="s">
        <x:v>10089</x:v>
      </x:c>
      <x:c r="I2212" t="s">
        <x:v>10090</x:v>
      </x:c>
      <x:c r="J2212" t="s">
        <x:v>10091</x:v>
      </x:c>
    </x:row>
    <x:row r="2213">
      <x:c r="A2213" t="s">
        <x:v>10092</x:v>
      </x:c>
      <x:c r="B2213" t="s">
        <x:v>10092</x:v>
      </x:c>
      <x:c r="C2213" t="s">
        <x:v>10093</x:v>
      </x:c>
      <x:c r="D2213">
        <x:v>75</x:v>
      </x:c>
      <x:c r="E2213" t="s">
        <x:v>103</x:v>
      </x:c>
      <x:c r="F2213" t="s">
        <x:v>97</x:v>
      </x:c>
      <x:c r="G2213">
        <x:v>45932</x:v>
      </x:c>
      <x:c r="H2213" t="s">
        <x:v>10094</x:v>
      </x:c>
      <x:c r="I2213" t="s">
        <x:v>10095</x:v>
      </x:c>
      <x:c r="J2213" t="s">
        <x:v>10096</x:v>
      </x:c>
    </x:row>
    <x:row r="2214">
      <x:c r="A2214" t="s">
        <x:v>10097</x:v>
      </x:c>
      <x:c r="B2214" t="s">
        <x:v>10097</x:v>
      </x:c>
      <x:c r="C2214" t="s">
        <x:v>4374</x:v>
      </x:c>
      <x:c r="D2214">
        <x:v>18</x:v>
      </x:c>
      <x:c r="E2214" t="s">
        <x:v>103</x:v>
      </x:c>
      <x:c r="F2214" t="s">
        <x:v>97</x:v>
      </x:c>
      <x:c r="G2214">
        <x:v>42087</x:v>
      </x:c>
      <x:c r="H2214" t="s">
        <x:v>10098</x:v>
      </x:c>
      <x:c r="I2214" t="s">
        <x:v>10099</x:v>
      </x:c>
      <x:c r="J2214" t="s">
        <x:v>10100</x:v>
      </x:c>
    </x:row>
    <x:row r="2215">
      <x:c r="A2215" t="s">
        <x:v>10101</x:v>
      </x:c>
      <x:c r="B2215" t="s">
        <x:v>10101</x:v>
      </x:c>
      <x:c r="C2215" t="s">
        <x:v>10102</x:v>
      </x:c>
      <x:c r="D2215">
        <x:v>4</x:v>
      </x:c>
      <x:c r="E2215" t="s">
        <x:v>96</x:v>
      </x:c>
      <x:c r="F2215" t="s">
        <x:v>90</x:v>
      </x:c>
      <x:c r="G2215">
        <x:v>45100</x:v>
      </x:c>
      <x:c r="H2215" t="s">
        <x:v>10103</x:v>
      </x:c>
      <x:c r="I2215" t="s">
        <x:v>10104</x:v>
      </x:c>
      <x:c r="J2215" t="s">
        <x:v>10105</x:v>
      </x:c>
    </x:row>
    <x:row r="2216">
      <x:c r="A2216" t="s">
        <x:v>10106</x:v>
      </x:c>
      <x:c r="B2216" t="s">
        <x:v>10106</x:v>
      </x:c>
      <x:c r="C2216" t="s">
        <x:v>10107</x:v>
      </x:c>
      <x:c r="D2216">
        <x:v>28</x:v>
      </x:c>
      <x:c r="E2216" t="s">
        <x:v>198</x:v>
      </x:c>
      <x:c r="F2216" t="s">
        <x:v>3171</x:v>
      </x:c>
      <x:c r="G2216">
        <x:v>42738</x:v>
      </x:c>
      <x:c r="H2216" t="s">
        <x:v>10108</x:v>
      </x:c>
      <x:c r="I2216" t="s">
        <x:v>10109</x:v>
      </x:c>
      <x:c r="J2216" t="s">
        <x:v>10110</x:v>
      </x:c>
    </x:row>
    <x:row r="2217">
      <x:c r="A2217" t="s">
        <x:v>10111</x:v>
      </x:c>
      <x:c r="B2217" t="s">
        <x:v>10111</x:v>
      </x:c>
      <x:c r="C2217" t="s">
        <x:v>10112</x:v>
      </x:c>
      <x:c r="D2217">
        <x:v>5</x:v>
      </x:c>
      <x:c r="E2217" t="s">
        <x:v>96</x:v>
      </x:c>
      <x:c r="F2217" t="s">
        <x:v>97</x:v>
      </x:c>
      <x:c r="G2217">
        <x:v>42081</x:v>
      </x:c>
      <x:c r="H2217" t="s">
        <x:v>10113</x:v>
      </x:c>
      <x:c r="I2217" t="s">
        <x:v>10114</x:v>
      </x:c>
      <x:c r="J2217" t="s">
        <x:v>10115</x:v>
      </x:c>
    </x:row>
    <x:row r="2218">
      <x:c r="A2218" t="s">
        <x:v>10116</x:v>
      </x:c>
      <x:c r="B2218" t="s">
        <x:v>10116</x:v>
      </x:c>
      <x:c r="C2218" t="s">
        <x:v>1995</x:v>
      </x:c>
      <x:c r="D2218">
        <x:v>15</x:v>
      </x:c>
      <x:c r="E2218" t="s">
        <x:v>89</x:v>
      </x:c>
      <x:c r="F2218" t="s">
        <x:v>90</x:v>
      </x:c>
      <x:c r="G2218">
        <x:v>44441</x:v>
      </x:c>
      <x:c r="H2218" t="s">
        <x:v>10117</x:v>
      </x:c>
      <x:c r="I2218" t="s">
        <x:v>10118</x:v>
      </x:c>
      <x:c r="J2218" t="s">
        <x:v>10119</x:v>
      </x:c>
    </x:row>
    <x:row r="2219">
      <x:c r="A2219" t="s">
        <x:v>10120</x:v>
      </x:c>
      <x:c r="B2219" t="s">
        <x:v>10120</x:v>
      </x:c>
      <x:c r="C2219" t="s">
        <x:v>2609</x:v>
      </x:c>
      <x:c r="D2219">
        <x:v>16</x:v>
      </x:c>
      <x:c r="E2219" t="s">
        <x:v>114</x:v>
      </x:c>
      <x:c r="F2219" t="s">
        <x:v>90</x:v>
      </x:c>
      <x:c r="G2219">
        <x:v>45802</x:v>
      </x:c>
      <x:c r="H2219" t="s">
        <x:v>10121</x:v>
      </x:c>
      <x:c r="I2219" t="s">
        <x:v>10122</x:v>
      </x:c>
      <x:c r="J2219" t="s">
        <x:v>10123</x:v>
      </x:c>
    </x:row>
    <x:row r="2220">
      <x:c r="A2220" t="s">
        <x:v>10124</x:v>
      </x:c>
      <x:c r="B2220" t="s">
        <x:v>10124</x:v>
      </x:c>
      <x:c r="C2220" t="s">
        <x:v>10015</x:v>
      </x:c>
      <x:c r="D2220">
        <x:v>22</x:v>
      </x:c>
      <x:c r="E2220" t="s">
        <x:v>125</x:v>
      </x:c>
      <x:c r="F2220" t="s">
        <x:v>90</x:v>
      </x:c>
      <x:c r="G2220">
        <x:v>46095</x:v>
      </x:c>
      <x:c r="H2220" t="s">
        <x:v>10125</x:v>
      </x:c>
      <x:c r="I2220" t="s">
        <x:v>10126</x:v>
      </x:c>
      <x:c r="J2220" t="s">
        <x:v>10127</x:v>
      </x:c>
    </x:row>
    <x:row r="2221">
      <x:c r="A2221" t="s">
        <x:v>10128</x:v>
      </x:c>
      <x:c r="B2221" t="s">
        <x:v>10128</x:v>
      </x:c>
      <x:c r="C2221" t="s">
        <x:v>1608</x:v>
      </x:c>
      <x:c r="D2221">
        <x:v>19</x:v>
      </x:c>
      <x:c r="E2221" t="s">
        <x:v>89</x:v>
      </x:c>
      <x:c r="F2221" t="s">
        <x:v>90</x:v>
      </x:c>
      <x:c r="G2221">
        <x:v>46163</x:v>
      </x:c>
      <x:c r="H2221" t="s">
        <x:v>10129</x:v>
      </x:c>
      <x:c r="I2221" t="s">
        <x:v>10130</x:v>
      </x:c>
      <x:c r="J2221" t="s">
        <x:v>10131</x:v>
      </x:c>
    </x:row>
    <x:row r="2222">
      <x:c r="A2222" t="s">
        <x:v>10132</x:v>
      </x:c>
      <x:c r="B2222" t="s">
        <x:v>10132</x:v>
      </x:c>
      <x:c r="C2222" t="s">
        <x:v>5389</x:v>
      </x:c>
      <x:c r="D2222">
        <x:v>77</x:v>
      </x:c>
      <x:c r="E2222" t="s">
        <x:v>96</x:v>
      </x:c>
      <x:c r="F2222" t="s">
        <x:v>97</x:v>
      </x:c>
      <x:c r="G2222">
        <x:v>44764</x:v>
      </x:c>
      <x:c r="H2222" t="s">
        <x:v>10133</x:v>
      </x:c>
      <x:c r="I2222" t="s">
        <x:v>10134</x:v>
      </x:c>
      <x:c r="J2222" t="s">
        <x:v>10135</x:v>
      </x:c>
    </x:row>
    <x:row r="2223">
      <x:c r="A2223" t="s">
        <x:v>10136</x:v>
      </x:c>
      <x:c r="B2223" t="s">
        <x:v>10136</x:v>
      </x:c>
      <x:c r="C2223" t="s">
        <x:v>933</x:v>
      </x:c>
      <x:c r="D2223">
        <x:v>20</x:v>
      </x:c>
      <x:c r="E2223" t="s">
        <x:v>125</x:v>
      </x:c>
      <x:c r="F2223" t="s">
        <x:v>90</x:v>
      </x:c>
      <x:c r="G2223">
        <x:v>42458</x:v>
      </x:c>
      <x:c r="H2223" t="s">
        <x:v>10137</x:v>
      </x:c>
      <x:c r="I2223" t="s">
        <x:v>10138</x:v>
      </x:c>
      <x:c r="J2223" t="s">
        <x:v>10139</x:v>
      </x:c>
    </x:row>
    <x:row r="2224">
      <x:c r="A2224" t="s">
        <x:v>10140</x:v>
      </x:c>
      <x:c r="B2224" t="s">
        <x:v>10140</x:v>
      </x:c>
      <x:c r="C2224" t="s">
        <x:v>6817</x:v>
      </x:c>
      <x:c r="D2224">
        <x:v>26</x:v>
      </x:c>
      <x:c r="E2224" t="s">
        <x:v>114</x:v>
      </x:c>
      <x:c r="F2224" t="s">
        <x:v>90</x:v>
      </x:c>
      <x:c r="G2224">
        <x:v>43830</x:v>
      </x:c>
      <x:c r="H2224" t="s">
        <x:v>10141</x:v>
      </x:c>
      <x:c r="I2224" t="s">
        <x:v>10142</x:v>
      </x:c>
      <x:c r="J2224" t="s">
        <x:v>10143</x:v>
      </x:c>
    </x:row>
    <x:row r="2225">
      <x:c r="A2225" t="s">
        <x:v>10144</x:v>
      </x:c>
      <x:c r="B2225" t="s">
        <x:v>10144</x:v>
      </x:c>
      <x:c r="C2225" t="s">
        <x:v>10145</x:v>
      </x:c>
      <x:c r="D2225">
        <x:v>34</x:v>
      </x:c>
      <x:c r="E2225" t="s">
        <x:v>103</x:v>
      </x:c>
      <x:c r="F2225" t="s">
        <x:v>97</x:v>
      </x:c>
      <x:c r="G2225">
        <x:v>42278</x:v>
      </x:c>
      <x:c r="H2225" t="s">
        <x:v>10146</x:v>
      </x:c>
      <x:c r="I2225" t="s">
        <x:v>10147</x:v>
      </x:c>
      <x:c r="J2225" t="s">
        <x:v>10148</x:v>
      </x:c>
    </x:row>
    <x:row r="2226">
      <x:c r="A2226" t="s">
        <x:v>10149</x:v>
      </x:c>
      <x:c r="B2226" t="s">
        <x:v>10149</x:v>
      </x:c>
      <x:c r="C2226" t="s">
        <x:v>9900</x:v>
      </x:c>
      <x:c r="D2226">
        <x:v>25</x:v>
      </x:c>
      <x:c r="E2226" t="s">
        <x:v>89</x:v>
      </x:c>
      <x:c r="F2226" t="s">
        <x:v>90</x:v>
      </x:c>
      <x:c r="G2226">
        <x:v>43447</x:v>
      </x:c>
      <x:c r="H2226" t="s">
        <x:v>10150</x:v>
      </x:c>
      <x:c r="I2226" t="s">
        <x:v>10151</x:v>
      </x:c>
      <x:c r="J2226" t="s">
        <x:v>10152</x:v>
      </x:c>
    </x:row>
    <x:row r="2227">
      <x:c r="A2227" t="s">
        <x:v>10153</x:v>
      </x:c>
      <x:c r="B2227" t="s">
        <x:v>10153</x:v>
      </x:c>
      <x:c r="C2227" t="s">
        <x:v>1841</x:v>
      </x:c>
      <x:c r="D2227">
        <x:v>23</x:v>
      </x:c>
      <x:c r="E2227" t="s">
        <x:v>89</x:v>
      </x:c>
      <x:c r="F2227" t="s">
        <x:v>97</x:v>
      </x:c>
      <x:c r="G2227">
        <x:v>43899</x:v>
      </x:c>
      <x:c r="H2227" t="s">
        <x:v>10154</x:v>
      </x:c>
      <x:c r="I2227" t="s">
        <x:v>10155</x:v>
      </x:c>
      <x:c r="J2227" t="s">
        <x:v>10156</x:v>
      </x:c>
    </x:row>
    <x:row r="2228">
      <x:c r="A2228" t="s">
        <x:v>10157</x:v>
      </x:c>
      <x:c r="B2228" t="s">
        <x:v>10157</x:v>
      </x:c>
      <x:c r="C2228" t="s">
        <x:v>1841</x:v>
      </x:c>
      <x:c r="D2228">
        <x:v>10</x:v>
      </x:c>
      <x:c r="E2228" t="s">
        <x:v>89</x:v>
      </x:c>
      <x:c r="F2228" t="s">
        <x:v>97</x:v>
      </x:c>
      <x:c r="G2228">
        <x:v>44037</x:v>
      </x:c>
      <x:c r="H2228" t="s">
        <x:v>10158</x:v>
      </x:c>
      <x:c r="I2228" t="s">
        <x:v>10159</x:v>
      </x:c>
      <x:c r="J2228" t="s">
        <x:v>10160</x:v>
      </x:c>
    </x:row>
    <x:row r="2229">
      <x:c r="A2229" t="s">
        <x:v>10161</x:v>
      </x:c>
      <x:c r="B2229" t="s">
        <x:v>10161</x:v>
      </x:c>
      <x:c r="C2229" t="s">
        <x:v>2432</x:v>
      </x:c>
      <x:c r="D2229">
        <x:v>14</x:v>
      </x:c>
      <x:c r="E2229" t="s">
        <x:v>89</x:v>
      </x:c>
      <x:c r="F2229" t="s">
        <x:v>90</x:v>
      </x:c>
      <x:c r="G2229">
        <x:v>43383</x:v>
      </x:c>
      <x:c r="H2229" t="s">
        <x:v>10162</x:v>
      </x:c>
      <x:c r="I2229" t="s">
        <x:v>10163</x:v>
      </x:c>
      <x:c r="J2229" t="s">
        <x:v>10164</x:v>
      </x:c>
    </x:row>
    <x:row r="2230">
      <x:c r="A2230" t="s">
        <x:v>10165</x:v>
      </x:c>
      <x:c r="B2230" t="s">
        <x:v>10165</x:v>
      </x:c>
      <x:c r="C2230" t="s">
        <x:v>2432</x:v>
      </x:c>
      <x:c r="D2230">
        <x:v>17</x:v>
      </x:c>
      <x:c r="E2230" t="s">
        <x:v>198</x:v>
      </x:c>
      <x:c r="F2230" t="s">
        <x:v>90</x:v>
      </x:c>
      <x:c r="G2230">
        <x:v>43679</x:v>
      </x:c>
      <x:c r="H2230" t="s">
        <x:v>10166</x:v>
      </x:c>
      <x:c r="I2230" t="s">
        <x:v>10167</x:v>
      </x:c>
      <x:c r="J2230" t="s">
        <x:v>10168</x:v>
      </x:c>
    </x:row>
    <x:row r="2231">
      <x:c r="A2231" t="s">
        <x:v>10169</x:v>
      </x:c>
      <x:c r="B2231" t="s">
        <x:v>10169</x:v>
      </x:c>
      <x:c r="C2231" t="s">
        <x:v>6661</x:v>
      </x:c>
      <x:c r="D2231">
        <x:v>22</x:v>
      </x:c>
      <x:c r="E2231" t="s">
        <x:v>198</x:v>
      </x:c>
      <x:c r="F2231" t="s">
        <x:v>90</x:v>
      </x:c>
      <x:c r="G2231">
        <x:v>43409</x:v>
      </x:c>
      <x:c r="H2231" t="s">
        <x:v>10170</x:v>
      </x:c>
      <x:c r="I2231" t="s">
        <x:v>10171</x:v>
      </x:c>
      <x:c r="J2231" t="s">
        <x:v>10172</x:v>
      </x:c>
    </x:row>
    <x:row r="2232">
      <x:c r="A2232" t="s">
        <x:v>10173</x:v>
      </x:c>
      <x:c r="B2232" t="s">
        <x:v>10173</x:v>
      </x:c>
      <x:c r="C2232" t="s">
        <x:v>3426</x:v>
      </x:c>
      <x:c r="D2232">
        <x:v>4</x:v>
      </x:c>
      <x:c r="E2232" t="s">
        <x:v>198</x:v>
      </x:c>
      <x:c r="F2232" t="s">
        <x:v>90</x:v>
      </x:c>
      <x:c r="G2232">
        <x:v>45820</x:v>
      </x:c>
      <x:c r="H2232" t="s">
        <x:v>10174</x:v>
      </x:c>
      <x:c r="I2232" t="s">
        <x:v>10175</x:v>
      </x:c>
      <x:c r="J2232" t="s">
        <x:v>10176</x:v>
      </x:c>
    </x:row>
    <x:row r="2233">
      <x:c r="A2233" t="s">
        <x:v>10177</x:v>
      </x:c>
      <x:c r="B2233" t="s">
        <x:v>10177</x:v>
      </x:c>
      <x:c r="C2233" t="s">
        <x:v>586</x:v>
      </x:c>
      <x:c r="D2233">
        <x:v>11</x:v>
      </x:c>
      <x:c r="E2233" t="s">
        <x:v>96</x:v>
      </x:c>
      <x:c r="F2233" t="s">
        <x:v>610</x:v>
      </x:c>
      <x:c r="G2233">
        <x:v>43102</x:v>
      </x:c>
      <x:c r="H2233" t="s">
        <x:v>10178</x:v>
      </x:c>
      <x:c r="I2233" t="s">
        <x:v>10179</x:v>
      </x:c>
      <x:c r="J2233" t="s">
        <x:v>10180</x:v>
      </x:c>
    </x:row>
    <x:row r="2234">
      <x:c r="A2234" t="s">
        <x:v>10181</x:v>
      </x:c>
      <x:c r="B2234" t="s">
        <x:v>10181</x:v>
      </x:c>
      <x:c r="C2234" t="s">
        <x:v>10182</x:v>
      </x:c>
      <x:c r="D2234">
        <x:v>10</x:v>
      </x:c>
      <x:c r="E2234" t="s">
        <x:v>103</x:v>
      </x:c>
      <x:c r="F2234" t="s">
        <x:v>97</x:v>
      </x:c>
      <x:c r="G2234">
        <x:v>44580</x:v>
      </x:c>
      <x:c r="H2234" t="s">
        <x:v>10183</x:v>
      </x:c>
      <x:c r="I2234" t="s">
        <x:v>10184</x:v>
      </x:c>
      <x:c r="J2234" t="s">
        <x:v>10185</x:v>
      </x:c>
    </x:row>
    <x:row r="2235">
      <x:c r="A2235" t="s">
        <x:v>10186</x:v>
      </x:c>
      <x:c r="B2235" t="s">
        <x:v>10186</x:v>
      </x:c>
      <x:c r="C2235" t="s">
        <x:v>3357</x:v>
      </x:c>
      <x:c r="D2235">
        <x:v>23</x:v>
      </x:c>
      <x:c r="E2235" t="s">
        <x:v>198</x:v>
      </x:c>
      <x:c r="F2235" t="s">
        <x:v>90</x:v>
      </x:c>
      <x:c r="G2235">
        <x:v>44677</x:v>
      </x:c>
      <x:c r="H2235" t="s">
        <x:v>10187</x:v>
      </x:c>
      <x:c r="I2235" t="s">
        <x:v>10188</x:v>
      </x:c>
      <x:c r="J2235" t="s">
        <x:v>10189</x:v>
      </x:c>
    </x:row>
    <x:row r="2236">
      <x:c r="A2236" t="s">
        <x:v>10190</x:v>
      </x:c>
      <x:c r="B2236" t="s">
        <x:v>10190</x:v>
      </x:c>
      <x:c r="C2236" t="s">
        <x:v>3357</x:v>
      </x:c>
      <x:c r="D2236">
        <x:v>18</x:v>
      </x:c>
      <x:c r="E2236" t="s">
        <x:v>198</x:v>
      </x:c>
      <x:c r="F2236" t="s">
        <x:v>90</x:v>
      </x:c>
      <x:c r="G2236">
        <x:v>44858</x:v>
      </x:c>
      <x:c r="H2236" t="s">
        <x:v>10191</x:v>
      </x:c>
      <x:c r="I2236" t="s">
        <x:v>10192</x:v>
      </x:c>
      <x:c r="J2236" t="s">
        <x:v>10193</x:v>
      </x:c>
    </x:row>
    <x:row r="2237">
      <x:c r="A2237" t="s">
        <x:v>10194</x:v>
      </x:c>
      <x:c r="B2237" t="s">
        <x:v>10194</x:v>
      </x:c>
      <x:c r="C2237" t="s">
        <x:v>10195</x:v>
      </x:c>
      <x:c r="D2237">
        <x:v>25</x:v>
      </x:c>
      <x:c r="E2237" t="s">
        <x:v>198</x:v>
      </x:c>
      <x:c r="F2237" t="s">
        <x:v>90</x:v>
      </x:c>
      <x:c r="G2237">
        <x:v>43232</x:v>
      </x:c>
      <x:c r="H2237" t="s">
        <x:v>10196</x:v>
      </x:c>
      <x:c r="I2237" t="s">
        <x:v>10197</x:v>
      </x:c>
      <x:c r="J2237" t="s">
        <x:v>10198</x:v>
      </x:c>
    </x:row>
    <x:row r="2238">
      <x:c r="A2238" t="s">
        <x:v>10199</x:v>
      </x:c>
      <x:c r="B2238" t="s">
        <x:v>10199</x:v>
      </x:c>
      <x:c r="C2238" t="s">
        <x:v>10200</x:v>
      </x:c>
      <x:c r="D2238">
        <x:v>10</x:v>
      </x:c>
      <x:c r="E2238" t="s">
        <x:v>96</x:v>
      </x:c>
      <x:c r="F2238" t="s">
        <x:v>90</x:v>
      </x:c>
      <x:c r="G2238">
        <x:v>44300</x:v>
      </x:c>
      <x:c r="H2238" t="s">
        <x:v>10201</x:v>
      </x:c>
      <x:c r="I2238" t="s">
        <x:v>10202</x:v>
      </x:c>
      <x:c r="J2238" t="s">
        <x:v>10203</x:v>
      </x:c>
    </x:row>
    <x:row r="2239">
      <x:c r="A2239" t="s">
        <x:v>10204</x:v>
      </x:c>
      <x:c r="B2239" t="s">
        <x:v>10204</x:v>
      </x:c>
      <x:c r="C2239" t="s">
        <x:v>988</x:v>
      </x:c>
      <x:c r="D2239">
        <x:v>13</x:v>
      </x:c>
      <x:c r="E2239" t="s">
        <x:v>114</x:v>
      </x:c>
      <x:c r="F2239" t="s">
        <x:v>90</x:v>
      </x:c>
      <x:c r="G2239">
        <x:v>43527</x:v>
      </x:c>
      <x:c r="H2239" t="s">
        <x:v>10205</x:v>
      </x:c>
      <x:c r="I2239" t="s">
        <x:v>10206</x:v>
      </x:c>
      <x:c r="J2239" t="s">
        <x:v>10207</x:v>
      </x:c>
    </x:row>
    <x:row r="2240">
      <x:c r="A2240" t="s">
        <x:v>10208</x:v>
      </x:c>
      <x:c r="B2240" t="s">
        <x:v>10208</x:v>
      </x:c>
      <x:c r="C2240" t="s">
        <x:v>988</x:v>
      </x:c>
      <x:c r="D2240">
        <x:v>15</x:v>
      </x:c>
      <x:c r="E2240" t="s">
        <x:v>198</x:v>
      </x:c>
      <x:c r="F2240" t="s">
        <x:v>90</x:v>
      </x:c>
      <x:c r="G2240">
        <x:v>43446</x:v>
      </x:c>
      <x:c r="H2240" t="s">
        <x:v>10209</x:v>
      </x:c>
      <x:c r="I2240" t="s">
        <x:v>10210</x:v>
      </x:c>
      <x:c r="J2240" t="s">
        <x:v>10211</x:v>
      </x:c>
    </x:row>
    <x:row r="2241">
      <x:c r="A2241" t="s">
        <x:v>10212</x:v>
      </x:c>
      <x:c r="B2241" t="s">
        <x:v>10212</x:v>
      </x:c>
      <x:c r="C2241" t="s">
        <x:v>3915</x:v>
      </x:c>
      <x:c r="D2241">
        <x:v>11</x:v>
      </x:c>
      <x:c r="E2241" t="s">
        <x:v>89</x:v>
      </x:c>
      <x:c r="F2241" t="s">
        <x:v>90</x:v>
      </x:c>
      <x:c r="G2241">
        <x:v>45377</x:v>
      </x:c>
      <x:c r="H2241" t="s">
        <x:v>10213</x:v>
      </x:c>
      <x:c r="I2241" t="s">
        <x:v>10214</x:v>
      </x:c>
      <x:c r="J2241" t="s">
        <x:v>10215</x:v>
      </x:c>
    </x:row>
    <x:row r="2242">
      <x:c r="A2242" t="s">
        <x:v>10216</x:v>
      </x:c>
      <x:c r="B2242" t="s">
        <x:v>10216</x:v>
      </x:c>
      <x:c r="C2242" t="s">
        <x:v>10217</x:v>
      </x:c>
      <x:c r="D2242">
        <x:v>9</x:v>
      </x:c>
      <x:c r="E2242" t="s">
        <x:v>89</x:v>
      </x:c>
      <x:c r="F2242" t="s">
        <x:v>90</x:v>
      </x:c>
      <x:c r="G2242">
        <x:v>44291</x:v>
      </x:c>
      <x:c r="H2242" t="s">
        <x:v>10218</x:v>
      </x:c>
      <x:c r="I2242" t="s">
        <x:v>10219</x:v>
      </x:c>
      <x:c r="J2242" t="s">
        <x:v>10220</x:v>
      </x:c>
    </x:row>
    <x:row r="2243">
      <x:c r="A2243" t="s">
        <x:v>10221</x:v>
      </x:c>
      <x:c r="B2243" t="s">
        <x:v>10221</x:v>
      </x:c>
      <x:c r="C2243" t="s">
        <x:v>10222</x:v>
      </x:c>
      <x:c r="D2243">
        <x:v>11</x:v>
      </x:c>
      <x:c r="E2243" t="s">
        <x:v>89</x:v>
      </x:c>
      <x:c r="F2243" t="s">
        <x:v>97</x:v>
      </x:c>
      <x:c r="G2243">
        <x:v>44554</x:v>
      </x:c>
      <x:c r="H2243" t="s">
        <x:v>10223</x:v>
      </x:c>
      <x:c r="I2243" t="s">
        <x:v>10224</x:v>
      </x:c>
      <x:c r="J2243" t="s">
        <x:v>10225</x:v>
      </x:c>
    </x:row>
    <x:row r="2244">
      <x:c r="A2244" t="s">
        <x:v>10226</x:v>
      </x:c>
      <x:c r="B2244" t="s">
        <x:v>10226</x:v>
      </x:c>
      <x:c r="C2244" t="s">
        <x:v>1427</x:v>
      </x:c>
      <x:c r="D2244">
        <x:v>14</x:v>
      </x:c>
      <x:c r="E2244" t="s">
        <x:v>96</x:v>
      </x:c>
      <x:c r="F2244" t="s">
        <x:v>90</x:v>
      </x:c>
      <x:c r="G2244">
        <x:v>45509</x:v>
      </x:c>
      <x:c r="H2244" t="s">
        <x:v>10227</x:v>
      </x:c>
      <x:c r="I2244" t="s">
        <x:v>10228</x:v>
      </x:c>
      <x:c r="J2244" t="s">
        <x:v>10229</x:v>
      </x:c>
    </x:row>
    <x:row r="2245">
      <x:c r="A2245" t="s">
        <x:v>10230</x:v>
      </x:c>
      <x:c r="B2245" t="s">
        <x:v>10230</x:v>
      </x:c>
      <x:c r="C2245" t="s">
        <x:v>10231</x:v>
      </x:c>
      <x:c r="D2245">
        <x:v>3</x:v>
      </x:c>
      <x:c r="E2245" t="s">
        <x:v>103</x:v>
      </x:c>
      <x:c r="F2245" t="s">
        <x:v>97</x:v>
      </x:c>
      <x:c r="G2245">
        <x:v>42044</x:v>
      </x:c>
      <x:c r="H2245" t="s">
        <x:v>10232</x:v>
      </x:c>
      <x:c r="I2245" t="s">
        <x:v>10233</x:v>
      </x:c>
      <x:c r="J2245" t="s">
        <x:v>10234</x:v>
      </x:c>
    </x:row>
    <x:row r="2246">
      <x:c r="A2246" t="s">
        <x:v>10235</x:v>
      </x:c>
      <x:c r="B2246" t="s">
        <x:v>10235</x:v>
      </x:c>
      <x:c r="C2246" t="s">
        <x:v>10236</x:v>
      </x:c>
      <x:c r="D2246">
        <x:v>7</x:v>
      </x:c>
      <x:c r="E2246" t="s">
        <x:v>96</x:v>
      </x:c>
      <x:c r="F2246" t="s">
        <x:v>90</x:v>
      </x:c>
      <x:c r="G2246">
        <x:v>44683</x:v>
      </x:c>
      <x:c r="H2246" t="s">
        <x:v>10237</x:v>
      </x:c>
      <x:c r="I2246" t="s">
        <x:v>10238</x:v>
      </x:c>
      <x:c r="J2246" t="s">
        <x:v>10239</x:v>
      </x:c>
    </x:row>
    <x:row r="2247">
      <x:c r="A2247" t="s">
        <x:v>10240</x:v>
      </x:c>
      <x:c r="B2247" t="s">
        <x:v>10240</x:v>
      </x:c>
      <x:c r="C2247" t="s">
        <x:v>3692</x:v>
      </x:c>
      <x:c r="D2247">
        <x:v>18</x:v>
      </x:c>
      <x:c r="E2247" t="s">
        <x:v>96</x:v>
      </x:c>
      <x:c r="F2247" t="s">
        <x:v>90</x:v>
      </x:c>
      <x:c r="G2247">
        <x:v>43646</x:v>
      </x:c>
      <x:c r="H2247" t="s">
        <x:v>10241</x:v>
      </x:c>
      <x:c r="I2247" t="s">
        <x:v>10242</x:v>
      </x:c>
      <x:c r="J2247" t="s">
        <x:v>10243</x:v>
      </x:c>
    </x:row>
    <x:row r="2248">
      <x:c r="A2248" t="s">
        <x:v>10244</x:v>
      </x:c>
      <x:c r="B2248" t="s">
        <x:v>10244</x:v>
      </x:c>
      <x:c r="C2248" t="s">
        <x:v>7323</x:v>
      </x:c>
      <x:c r="D2248">
        <x:v>20</x:v>
      </x:c>
      <x:c r="E2248" t="s">
        <x:v>257</x:v>
      </x:c>
      <x:c r="F2248" t="s">
        <x:v>97</x:v>
      </x:c>
      <x:c r="G2248">
        <x:v>44065</x:v>
      </x:c>
      <x:c r="H2248" t="s">
        <x:v>10245</x:v>
      </x:c>
      <x:c r="I2248" t="s">
        <x:v>10246</x:v>
      </x:c>
      <x:c r="J2248" t="s">
        <x:v>10247</x:v>
      </x:c>
    </x:row>
    <x:row r="2249">
      <x:c r="A2249" t="s">
        <x:v>10248</x:v>
      </x:c>
      <x:c r="B2249" t="s">
        <x:v>10248</x:v>
      </x:c>
      <x:c r="C2249" t="s">
        <x:v>10249</x:v>
      </x:c>
      <x:c r="D2249">
        <x:v>105</x:v>
      </x:c>
      <x:c r="E2249" t="s">
        <x:v>96</x:v>
      </x:c>
      <x:c r="F2249" t="s">
        <x:v>97</x:v>
      </x:c>
      <x:c r="G2249">
        <x:v>44541</x:v>
      </x:c>
      <x:c r="H2249" t="s">
        <x:v>10250</x:v>
      </x:c>
      <x:c r="I2249" t="s">
        <x:v>10251</x:v>
      </x:c>
      <x:c r="J2249" t="s">
        <x:v>10252</x:v>
      </x:c>
    </x:row>
    <x:row r="2250">
      <x:c r="A2250" t="s">
        <x:v>10253</x:v>
      </x:c>
      <x:c r="B2250" t="s">
        <x:v>10253</x:v>
      </x:c>
      <x:c r="C2250" t="s">
        <x:v>10254</x:v>
      </x:c>
      <x:c r="D2250">
        <x:v>4</x:v>
      </x:c>
      <x:c r="E2250" t="s">
        <x:v>96</x:v>
      </x:c>
      <x:c r="F2250" t="s">
        <x:v>152</x:v>
      </x:c>
      <x:c r="G2250">
        <x:v>45021</x:v>
      </x:c>
      <x:c r="H2250" t="s">
        <x:v>10255</x:v>
      </x:c>
      <x:c r="I2250" t="s">
        <x:v>10256</x:v>
      </x:c>
      <x:c r="J2250" t="s">
        <x:v>10257</x:v>
      </x:c>
    </x:row>
    <x:row r="2251">
      <x:c r="A2251" t="s">
        <x:v>10258</x:v>
      </x:c>
      <x:c r="B2251" t="s">
        <x:v>10258</x:v>
      </x:c>
      <x:c r="C2251" t="s">
        <x:v>10259</x:v>
      </x:c>
      <x:c r="D2251">
        <x:v>6</x:v>
      </x:c>
      <x:c r="E2251" t="s">
        <x:v>103</x:v>
      </x:c>
      <x:c r="F2251" t="s">
        <x:v>97</x:v>
      </x:c>
      <x:c r="G2251">
        <x:v>43021</x:v>
      </x:c>
      <x:c r="H2251" t="s">
        <x:v>10260</x:v>
      </x:c>
      <x:c r="I2251" t="s">
        <x:v>10261</x:v>
      </x:c>
      <x:c r="J2251" t="s">
        <x:v>10262</x:v>
      </x:c>
    </x:row>
    <x:row r="2252">
      <x:c r="A2252" t="s">
        <x:v>10263</x:v>
      </x:c>
      <x:c r="B2252" t="s">
        <x:v>10263</x:v>
      </x:c>
      <x:c r="C2252" t="s">
        <x:v>2170</x:v>
      </x:c>
      <x:c r="D2252">
        <x:v>5</x:v>
      </x:c>
      <x:c r="E2252" t="s">
        <x:v>96</x:v>
      </x:c>
      <x:c r="F2252" t="s">
        <x:v>97</x:v>
      </x:c>
      <x:c r="G2252">
        <x:v>43604</x:v>
      </x:c>
      <x:c r="H2252" t="s">
        <x:v>10264</x:v>
      </x:c>
      <x:c r="I2252" t="s">
        <x:v>10265</x:v>
      </x:c>
      <x:c r="J2252" t="s">
        <x:v>10266</x:v>
      </x:c>
    </x:row>
    <x:row r="2253">
      <x:c r="A2253" t="s">
        <x:v>10267</x:v>
      </x:c>
      <x:c r="B2253" t="s">
        <x:v>10267</x:v>
      </x:c>
      <x:c r="C2253" t="s">
        <x:v>10268</x:v>
      </x:c>
      <x:c r="D2253">
        <x:v>15</x:v>
      </x:c>
      <x:c r="E2253" t="s">
        <x:v>89</x:v>
      </x:c>
      <x:c r="F2253" t="s">
        <x:v>90</x:v>
      </x:c>
      <x:c r="G2253">
        <x:v>43409</x:v>
      </x:c>
      <x:c r="H2253" t="s">
        <x:v>10269</x:v>
      </x:c>
      <x:c r="I2253" t="s">
        <x:v>10270</x:v>
      </x:c>
      <x:c r="J2253" t="s">
        <x:v>10271</x:v>
      </x:c>
    </x:row>
    <x:row r="2254">
      <x:c r="A2254" t="s">
        <x:v>10272</x:v>
      </x:c>
      <x:c r="B2254" t="s">
        <x:v>10272</x:v>
      </x:c>
      <x:c r="C2254" t="s">
        <x:v>3651</x:v>
      </x:c>
      <x:c r="D2254">
        <x:v>13</x:v>
      </x:c>
      <x:c r="E2254" t="s">
        <x:v>96</x:v>
      </x:c>
      <x:c r="F2254" t="s">
        <x:v>90</x:v>
      </x:c>
      <x:c r="G2254">
        <x:v>45072</x:v>
      </x:c>
      <x:c r="H2254" t="s">
        <x:v>10273</x:v>
      </x:c>
      <x:c r="I2254" t="s">
        <x:v>10274</x:v>
      </x:c>
      <x:c r="J2254" t="s">
        <x:v>10275</x:v>
      </x:c>
    </x:row>
    <x:row r="2255">
      <x:c r="A2255" t="s">
        <x:v>10276</x:v>
      </x:c>
      <x:c r="B2255" t="s">
        <x:v>10276</x:v>
      </x:c>
      <x:c r="C2255" t="s">
        <x:v>10277</x:v>
      </x:c>
      <x:c r="D2255">
        <x:v>18</x:v>
      </x:c>
      <x:c r="E2255" t="s">
        <x:v>103</x:v>
      </x:c>
      <x:c r="F2255" t="s">
        <x:v>97</x:v>
      </x:c>
      <x:c r="G2255">
        <x:v>46099</x:v>
      </x:c>
      <x:c r="H2255" t="s">
        <x:v>10278</x:v>
      </x:c>
      <x:c r="I2255" t="s">
        <x:v>10279</x:v>
      </x:c>
      <x:c r="J2255" t="s">
        <x:v>10280</x:v>
      </x:c>
    </x:row>
    <x:row r="2256">
      <x:c r="A2256" t="s">
        <x:v>10281</x:v>
      </x:c>
      <x:c r="B2256" t="s">
        <x:v>10281</x:v>
      </x:c>
      <x:c r="C2256" t="s">
        <x:v>10282</x:v>
      </x:c>
      <x:c r="D2256">
        <x:v>8</x:v>
      </x:c>
      <x:c r="E2256" t="s">
        <x:v>198</x:v>
      </x:c>
      <x:c r="F2256" t="s">
        <x:v>90</x:v>
      </x:c>
      <x:c r="G2256">
        <x:v>45931</x:v>
      </x:c>
      <x:c r="H2256" t="s">
        <x:v>10283</x:v>
      </x:c>
      <x:c r="I2256" t="s">
        <x:v>10284</x:v>
      </x:c>
      <x:c r="J2256" t="s">
        <x:v>10285</x:v>
      </x:c>
    </x:row>
    <x:row r="2257">
      <x:c r="A2257" t="s">
        <x:v>10286</x:v>
      </x:c>
      <x:c r="B2257" t="s">
        <x:v>10286</x:v>
      </x:c>
      <x:c r="C2257" t="s">
        <x:v>10287</x:v>
      </x:c>
      <x:c r="D2257">
        <x:v>8</x:v>
      </x:c>
      <x:c r="E2257" t="s">
        <x:v>103</x:v>
      </x:c>
      <x:c r="F2257" t="s">
        <x:v>97</x:v>
      </x:c>
      <x:c r="G2257">
        <x:v>43886</x:v>
      </x:c>
      <x:c r="H2257" t="s">
        <x:v>10288</x:v>
      </x:c>
      <x:c r="I2257" t="s">
        <x:v>10289</x:v>
      </x:c>
      <x:c r="J2257" t="s">
        <x:v>10290</x:v>
      </x:c>
    </x:row>
    <x:row r="2258">
      <x:c r="A2258" t="s">
        <x:v>10291</x:v>
      </x:c>
      <x:c r="B2258" t="s">
        <x:v>10291</x:v>
      </x:c>
      <x:c r="C2258" t="s">
        <x:v>10292</x:v>
      </x:c>
      <x:c r="D2258">
        <x:v>33</x:v>
      </x:c>
      <x:c r="E2258" t="s">
        <x:v>198</x:v>
      </x:c>
      <x:c r="F2258" t="s">
        <x:v>90</x:v>
      </x:c>
      <x:c r="G2258">
        <x:v>44159</x:v>
      </x:c>
      <x:c r="H2258" t="s">
        <x:v>10293</x:v>
      </x:c>
      <x:c r="I2258" t="s">
        <x:v>10294</x:v>
      </x:c>
      <x:c r="J2258" t="s">
        <x:v>10295</x:v>
      </x:c>
    </x:row>
    <x:row r="2259">
      <x:c r="A2259" t="s">
        <x:v>10296</x:v>
      </x:c>
      <x:c r="B2259" t="s">
        <x:v>10296</x:v>
      </x:c>
      <x:c r="C2259" t="s">
        <x:v>10292</x:v>
      </x:c>
      <x:c r="D2259">
        <x:v>14</x:v>
      </x:c>
      <x:c r="E2259" t="s">
        <x:v>198</x:v>
      </x:c>
      <x:c r="F2259" t="s">
        <x:v>90</x:v>
      </x:c>
      <x:c r="G2259">
        <x:v>44652</x:v>
      </x:c>
      <x:c r="H2259" t="s">
        <x:v>10297</x:v>
      </x:c>
      <x:c r="I2259" t="s">
        <x:v>10298</x:v>
      </x:c>
      <x:c r="J2259" t="s">
        <x:v>10299</x:v>
      </x:c>
    </x:row>
    <x:row r="2260">
      <x:c r="A2260" t="s">
        <x:v>10300</x:v>
      </x:c>
      <x:c r="B2260" t="s">
        <x:v>10300</x:v>
      </x:c>
      <x:c r="C2260" t="s">
        <x:v>10301</x:v>
      </x:c>
      <x:c r="D2260">
        <x:v>11</x:v>
      </x:c>
      <x:c r="E2260" t="s">
        <x:v>198</x:v>
      </x:c>
      <x:c r="F2260" t="s">
        <x:v>90</x:v>
      </x:c>
      <x:c r="G2260">
        <x:v>43928</x:v>
      </x:c>
      <x:c r="H2260" t="s">
        <x:v>10302</x:v>
      </x:c>
      <x:c r="I2260" t="s">
        <x:v>10303</x:v>
      </x:c>
      <x:c r="J2260" t="s">
        <x:v>10304</x:v>
      </x:c>
    </x:row>
    <x:row r="2261">
      <x:c r="A2261" t="s">
        <x:v>10305</x:v>
      </x:c>
      <x:c r="B2261" t="s">
        <x:v>10305</x:v>
      </x:c>
      <x:c r="C2261" t="s">
        <x:v>10301</x:v>
      </x:c>
      <x:c r="D2261">
        <x:v>17</x:v>
      </x:c>
      <x:c r="E2261" t="s">
        <x:v>198</x:v>
      </x:c>
      <x:c r="F2261" t="s">
        <x:v>90</x:v>
      </x:c>
      <x:c r="G2261">
        <x:v>44235</x:v>
      </x:c>
      <x:c r="H2261" t="s">
        <x:v>10306</x:v>
      </x:c>
      <x:c r="I2261" t="s">
        <x:v>10307</x:v>
      </x:c>
      <x:c r="J2261" t="s">
        <x:v>10308</x:v>
      </x:c>
    </x:row>
    <x:row r="2262">
      <x:c r="A2262" t="s">
        <x:v>10309</x:v>
      </x:c>
      <x:c r="B2262" t="s">
        <x:v>10309</x:v>
      </x:c>
      <x:c r="C2262" t="s">
        <x:v>1427</x:v>
      </x:c>
      <x:c r="D2262">
        <x:v>9</x:v>
      </x:c>
      <x:c r="E2262" t="s">
        <x:v>96</x:v>
      </x:c>
      <x:c r="F2262" t="s">
        <x:v>90</x:v>
      </x:c>
      <x:c r="G2262">
        <x:v>45632</x:v>
      </x:c>
      <x:c r="H2262" t="s">
        <x:v>10310</x:v>
      </x:c>
      <x:c r="I2262" t="s">
        <x:v>10311</x:v>
      </x:c>
      <x:c r="J2262" t="s">
        <x:v>10312</x:v>
      </x:c>
    </x:row>
    <x:row r="2263">
      <x:c r="A2263" t="s">
        <x:v>10313</x:v>
      </x:c>
      <x:c r="B2263" t="s">
        <x:v>10313</x:v>
      </x:c>
      <x:c r="C2263" t="s">
        <x:v>3012</x:v>
      </x:c>
      <x:c r="D2263">
        <x:v>9</x:v>
      </x:c>
      <x:c r="E2263" t="s">
        <x:v>89</x:v>
      </x:c>
      <x:c r="F2263" t="s">
        <x:v>90</x:v>
      </x:c>
      <x:c r="G2263">
        <x:v>45819</x:v>
      </x:c>
      <x:c r="H2263" t="s">
        <x:v>10314</x:v>
      </x:c>
      <x:c r="I2263" t="s">
        <x:v>10315</x:v>
      </x:c>
      <x:c r="J2263" t="s">
        <x:v>10316</x:v>
      </x:c>
    </x:row>
    <x:row r="2264">
      <x:c r="A2264" t="s">
        <x:v>10317</x:v>
      </x:c>
      <x:c r="B2264" t="s">
        <x:v>10317</x:v>
      </x:c>
      <x:c r="C2264" t="s">
        <x:v>1618</x:v>
      </x:c>
      <x:c r="D2264">
        <x:v>20</x:v>
      </x:c>
      <x:c r="E2264" t="s">
        <x:v>198</x:v>
      </x:c>
      <x:c r="F2264" t="s">
        <x:v>90</x:v>
      </x:c>
      <x:c r="G2264">
        <x:v>43124</x:v>
      </x:c>
      <x:c r="H2264" t="s">
        <x:v>10318</x:v>
      </x:c>
      <x:c r="I2264" t="s">
        <x:v>10319</x:v>
      </x:c>
      <x:c r="J2264" t="s">
        <x:v>10320</x:v>
      </x:c>
    </x:row>
    <x:row r="2265">
      <x:c r="A2265" t="s">
        <x:v>10321</x:v>
      </x:c>
      <x:c r="B2265" t="s">
        <x:v>10321</x:v>
      </x:c>
      <x:c r="C2265" t="s">
        <x:v>10322</x:v>
      </x:c>
      <x:c r="D2265">
        <x:v>11</x:v>
      </x:c>
      <x:c r="E2265" t="s">
        <x:v>198</x:v>
      </x:c>
      <x:c r="F2265" t="s">
        <x:v>90</x:v>
      </x:c>
      <x:c r="G2265">
        <x:v>45509</x:v>
      </x:c>
      <x:c r="H2265" t="s">
        <x:v>10323</x:v>
      </x:c>
      <x:c r="I2265" t="s">
        <x:v>10324</x:v>
      </x:c>
      <x:c r="J2265" t="s">
        <x:v>10325</x:v>
      </x:c>
    </x:row>
    <x:row r="2266">
      <x:c r="A2266" t="s">
        <x:v>10326</x:v>
      </x:c>
      <x:c r="B2266" t="s">
        <x:v>10326</x:v>
      </x:c>
      <x:c r="C2266" t="s">
        <x:v>1969</x:v>
      </x:c>
      <x:c r="D2266">
        <x:v>9</x:v>
      </x:c>
      <x:c r="E2266" t="s">
        <x:v>114</x:v>
      </x:c>
      <x:c r="F2266" t="s">
        <x:v>90</x:v>
      </x:c>
      <x:c r="G2266">
        <x:v>44662</x:v>
      </x:c>
      <x:c r="H2266" t="s">
        <x:v>10327</x:v>
      </x:c>
      <x:c r="I2266" t="s">
        <x:v>10328</x:v>
      </x:c>
      <x:c r="J2266" t="s">
        <x:v>10329</x:v>
      </x:c>
    </x:row>
    <x:row r="2267">
      <x:c r="A2267" t="s">
        <x:v>10330</x:v>
      </x:c>
      <x:c r="B2267" t="s">
        <x:v>10330</x:v>
      </x:c>
      <x:c r="C2267" t="s">
        <x:v>3012</x:v>
      </x:c>
      <x:c r="D2267">
        <x:v>12</x:v>
      </x:c>
      <x:c r="E2267" t="s">
        <x:v>198</x:v>
      </x:c>
      <x:c r="F2267" t="s">
        <x:v>90</x:v>
      </x:c>
      <x:c r="G2267">
        <x:v>45668</x:v>
      </x:c>
      <x:c r="H2267" t="s">
        <x:v>10331</x:v>
      </x:c>
      <x:c r="I2267" t="s">
        <x:v>10332</x:v>
      </x:c>
      <x:c r="J2267" t="s">
        <x:v>10333</x:v>
      </x:c>
    </x:row>
    <x:row r="2268">
      <x:c r="A2268" t="s">
        <x:v>10334</x:v>
      </x:c>
      <x:c r="B2268" t="s">
        <x:v>10334</x:v>
      </x:c>
      <x:c r="C2268" t="s">
        <x:v>1836</x:v>
      </x:c>
      <x:c r="D2268">
        <x:v>14</x:v>
      </x:c>
      <x:c r="E2268" t="s">
        <x:v>198</x:v>
      </x:c>
      <x:c r="F2268" t="s">
        <x:v>90</x:v>
      </x:c>
      <x:c r="G2268">
        <x:v>44690</x:v>
      </x:c>
      <x:c r="H2268" t="s">
        <x:v>10335</x:v>
      </x:c>
      <x:c r="I2268" t="s">
        <x:v>10336</x:v>
      </x:c>
      <x:c r="J2268" t="s">
        <x:v>10337</x:v>
      </x:c>
    </x:row>
    <x:row r="2269">
      <x:c r="A2269" t="s">
        <x:v>10338</x:v>
      </x:c>
      <x:c r="B2269" t="s">
        <x:v>10338</x:v>
      </x:c>
      <x:c r="C2269" t="s">
        <x:v>10339</x:v>
      </x:c>
      <x:c r="D2269">
        <x:v>7</x:v>
      </x:c>
      <x:c r="E2269" t="s">
        <x:v>103</x:v>
      </x:c>
      <x:c r="F2269" t="s">
        <x:v>97</x:v>
      </x:c>
      <x:c r="G2269">
        <x:v>45877</x:v>
      </x:c>
      <x:c r="H2269" t="s">
        <x:v>10340</x:v>
      </x:c>
      <x:c r="I2269" t="s">
        <x:v>10341</x:v>
      </x:c>
      <x:c r="J2269" t="s">
        <x:v>10342</x:v>
      </x:c>
    </x:row>
    <x:row r="2270">
      <x:c r="A2270" t="s">
        <x:v>10343</x:v>
      </x:c>
      <x:c r="B2270" t="s">
        <x:v>10343</x:v>
      </x:c>
      <x:c r="C2270" t="s">
        <x:v>7479</x:v>
      </x:c>
      <x:c r="D2270">
        <x:v>19</x:v>
      </x:c>
      <x:c r="E2270" t="s">
        <x:v>103</x:v>
      </x:c>
      <x:c r="F2270" t="s">
        <x:v>97</x:v>
      </x:c>
      <x:c r="G2270">
        <x:v>42003</x:v>
      </x:c>
      <x:c r="H2270" t="s">
        <x:v>10344</x:v>
      </x:c>
      <x:c r="I2270" t="s">
        <x:v>10345</x:v>
      </x:c>
      <x:c r="J2270" t="s">
        <x:v>10346</x:v>
      </x:c>
    </x:row>
    <x:row r="2271">
      <x:c r="A2271" t="s">
        <x:v>10347</x:v>
      </x:c>
      <x:c r="B2271" t="s">
        <x:v>10347</x:v>
      </x:c>
      <x:c r="C2271" t="s">
        <x:v>466</x:v>
      </x:c>
      <x:c r="D2271">
        <x:v>11</x:v>
      </x:c>
      <x:c r="E2271" t="s">
        <x:v>114</x:v>
      </x:c>
      <x:c r="F2271" t="s">
        <x:v>90</x:v>
      </x:c>
      <x:c r="G2271">
        <x:v>44107</x:v>
      </x:c>
      <x:c r="H2271" t="s">
        <x:v>10348</x:v>
      </x:c>
      <x:c r="I2271" t="s">
        <x:v>10349</x:v>
      </x:c>
      <x:c r="J2271" t="s">
        <x:v>10350</x:v>
      </x:c>
    </x:row>
    <x:row r="2272">
      <x:c r="A2272" t="s">
        <x:v>10351</x:v>
      </x:c>
      <x:c r="B2272" t="s">
        <x:v>10351</x:v>
      </x:c>
      <x:c r="C2272" t="s">
        <x:v>466</x:v>
      </x:c>
      <x:c r="D2272">
        <x:v>11</x:v>
      </x:c>
      <x:c r="E2272" t="s">
        <x:v>114</x:v>
      </x:c>
      <x:c r="F2272" t="s">
        <x:v>90</x:v>
      </x:c>
      <x:c r="G2272">
        <x:v>45300</x:v>
      </x:c>
      <x:c r="H2272" t="s">
        <x:v>10352</x:v>
      </x:c>
      <x:c r="I2272" t="s">
        <x:v>10353</x:v>
      </x:c>
      <x:c r="J2272" t="s">
        <x:v>10354</x:v>
      </x:c>
    </x:row>
    <x:row r="2273">
      <x:c r="A2273" t="s">
        <x:v>10355</x:v>
      </x:c>
      <x:c r="B2273" t="s">
        <x:v>10355</x:v>
      </x:c>
      <x:c r="C2273" t="s">
        <x:v>10356</x:v>
      </x:c>
      <x:c r="D2273">
        <x:v>23</x:v>
      </x:c>
      <x:c r="E2273" t="s">
        <x:v>103</x:v>
      </x:c>
      <x:c r="F2273" t="s">
        <x:v>97</x:v>
      </x:c>
      <x:c r="G2273">
        <x:v>43473</x:v>
      </x:c>
      <x:c r="H2273" t="s">
        <x:v>10357</x:v>
      </x:c>
      <x:c r="I2273" t="s">
        <x:v>10358</x:v>
      </x:c>
      <x:c r="J2273" t="s">
        <x:v>10359</x:v>
      </x:c>
    </x:row>
    <x:row r="2274">
      <x:c r="A2274" t="s">
        <x:v>10360</x:v>
      </x:c>
      <x:c r="B2274" t="s">
        <x:v>10360</x:v>
      </x:c>
      <x:c r="C2274" t="s">
        <x:v>10361</x:v>
      </x:c>
      <x:c r="D2274">
        <x:v>17</x:v>
      </x:c>
      <x:c r="E2274" t="s">
        <x:v>96</x:v>
      </x:c>
      <x:c r="F2274" t="s">
        <x:v>90</x:v>
      </x:c>
      <x:c r="G2274">
        <x:v>45146</x:v>
      </x:c>
      <x:c r="H2274" t="s">
        <x:v>10362</x:v>
      </x:c>
      <x:c r="I2274" t="s">
        <x:v>10363</x:v>
      </x:c>
      <x:c r="J2274" t="s">
        <x:v>10364</x:v>
      </x:c>
    </x:row>
    <x:row r="2275">
      <x:c r="A2275" t="s">
        <x:v>10365</x:v>
      </x:c>
      <x:c r="B2275" t="s">
        <x:v>10365</x:v>
      </x:c>
      <x:c r="C2275" t="s">
        <x:v>10361</x:v>
      </x:c>
      <x:c r="D2275">
        <x:v>11</x:v>
      </x:c>
      <x:c r="E2275" t="s">
        <x:v>89</x:v>
      </x:c>
      <x:c r="F2275" t="s">
        <x:v>90</x:v>
      </x:c>
      <x:c r="G2275">
        <x:v>45301</x:v>
      </x:c>
      <x:c r="H2275" t="s">
        <x:v>10366</x:v>
      </x:c>
      <x:c r="I2275" t="s">
        <x:v>10367</x:v>
      </x:c>
      <x:c r="J2275" t="s">
        <x:v>10368</x:v>
      </x:c>
    </x:row>
    <x:row r="2276">
      <x:c r="A2276" t="s">
        <x:v>10369</x:v>
      </x:c>
      <x:c r="B2276" t="s">
        <x:v>10369</x:v>
      </x:c>
      <x:c r="C2276" t="s">
        <x:v>988</x:v>
      </x:c>
      <x:c r="D2276">
        <x:v>11</x:v>
      </x:c>
      <x:c r="E2276" t="s">
        <x:v>198</x:v>
      </x:c>
      <x:c r="F2276" t="s">
        <x:v>90</x:v>
      </x:c>
      <x:c r="G2276">
        <x:v>43409</x:v>
      </x:c>
      <x:c r="H2276" t="s">
        <x:v>10370</x:v>
      </x:c>
      <x:c r="I2276" t="s">
        <x:v>10371</x:v>
      </x:c>
      <x:c r="J2276" t="s">
        <x:v>10372</x:v>
      </x:c>
    </x:row>
    <x:row r="2277">
      <x:c r="A2277" t="s">
        <x:v>10373</x:v>
      </x:c>
      <x:c r="B2277" t="s">
        <x:v>10373</x:v>
      </x:c>
      <x:c r="C2277" t="s">
        <x:v>988</x:v>
      </x:c>
      <x:c r="D2277">
        <x:v>12</x:v>
      </x:c>
      <x:c r="E2277" t="s">
        <x:v>198</x:v>
      </x:c>
      <x:c r="F2277" t="s">
        <x:v>90</x:v>
      </x:c>
      <x:c r="G2277">
        <x:v>43405</x:v>
      </x:c>
      <x:c r="H2277" t="s">
        <x:v>10374</x:v>
      </x:c>
      <x:c r="I2277" t="s">
        <x:v>10375</x:v>
      </x:c>
      <x:c r="J2277" t="s">
        <x:v>10376</x:v>
      </x:c>
    </x:row>
    <x:row r="2278">
      <x:c r="A2278" t="s">
        <x:v>10377</x:v>
      </x:c>
      <x:c r="B2278" t="s">
        <x:v>10377</x:v>
      </x:c>
      <x:c r="C2278" t="s">
        <x:v>95</x:v>
      </x:c>
      <x:c r="D2278">
        <x:v>69</x:v>
      </x:c>
      <x:c r="E2278" t="s">
        <x:v>89</x:v>
      </x:c>
      <x:c r="F2278" t="s">
        <x:v>97</x:v>
      </x:c>
      <x:c r="G2278">
        <x:v>43314</x:v>
      </x:c>
      <x:c r="H2278" t="s">
        <x:v>10378</x:v>
      </x:c>
      <x:c r="I2278" t="s">
        <x:v>10379</x:v>
      </x:c>
      <x:c r="J2278" t="s">
        <x:v>10380</x:v>
      </x:c>
    </x:row>
    <x:row r="2279">
      <x:c r="A2279" t="s">
        <x:v>10381</x:v>
      </x:c>
      <x:c r="B2279" t="s">
        <x:v>10381</x:v>
      </x:c>
      <x:c r="C2279" t="s">
        <x:v>10382</x:v>
      </x:c>
      <x:c r="D2279">
        <x:v>11</x:v>
      </x:c>
      <x:c r="E2279" t="s">
        <x:v>96</x:v>
      </x:c>
      <x:c r="F2279" t="s">
        <x:v>90</x:v>
      </x:c>
      <x:c r="G2279">
        <x:v>44452</x:v>
      </x:c>
      <x:c r="H2279" t="s">
        <x:v>10383</x:v>
      </x:c>
      <x:c r="I2279" t="s">
        <x:v>10384</x:v>
      </x:c>
      <x:c r="J2279" t="s">
        <x:v>10385</x:v>
      </x:c>
    </x:row>
    <x:row r="2280">
      <x:c r="A2280" t="s">
        <x:v>10386</x:v>
      </x:c>
      <x:c r="B2280" t="s">
        <x:v>10386</x:v>
      </x:c>
      <x:c r="C2280" t="s">
        <x:v>282</x:v>
      </x:c>
      <x:c r="D2280">
        <x:v>11</x:v>
      </x:c>
      <x:c r="E2280" t="s">
        <x:v>103</x:v>
      </x:c>
      <x:c r="F2280" t="s">
        <x:v>97</x:v>
      </x:c>
      <x:c r="G2280">
        <x:v>46215</x:v>
      </x:c>
      <x:c r="H2280" t="s">
        <x:v>10387</x:v>
      </x:c>
      <x:c r="I2280" t="s">
        <x:v>10388</x:v>
      </x:c>
      <x:c r="J2280" t="s">
        <x:v>10389</x:v>
      </x:c>
    </x:row>
    <x:row r="2281">
      <x:c r="A2281" t="s">
        <x:v>10390</x:v>
      </x:c>
      <x:c r="B2281" t="s">
        <x:v>10390</x:v>
      </x:c>
      <x:c r="C2281" t="s">
        <x:v>162</x:v>
      </x:c>
      <x:c r="D2281">
        <x:v>31</x:v>
      </x:c>
      <x:c r="E2281" t="s">
        <x:v>89</x:v>
      </x:c>
      <x:c r="F2281" t="s">
        <x:v>90</x:v>
      </x:c>
      <x:c r="G2281">
        <x:v>43735</x:v>
      </x:c>
      <x:c r="H2281" t="s">
        <x:v>10391</x:v>
      </x:c>
      <x:c r="I2281" t="s">
        <x:v>10392</x:v>
      </x:c>
      <x:c r="J2281" t="s">
        <x:v>10393</x:v>
      </x:c>
    </x:row>
    <x:row r="2282">
      <x:c r="A2282" t="s">
        <x:v>10394</x:v>
      </x:c>
      <x:c r="B2282" t="s">
        <x:v>10394</x:v>
      </x:c>
      <x:c r="C2282" t="s">
        <x:v>162</x:v>
      </x:c>
      <x:c r="D2282">
        <x:v>22</x:v>
      </x:c>
      <x:c r="E2282" t="s">
        <x:v>198</x:v>
      </x:c>
      <x:c r="F2282" t="s">
        <x:v>90</x:v>
      </x:c>
      <x:c r="G2282">
        <x:v>43977</x:v>
      </x:c>
      <x:c r="H2282" t="s">
        <x:v>10395</x:v>
      </x:c>
      <x:c r="I2282" t="s">
        <x:v>10396</x:v>
      </x:c>
      <x:c r="J2282" t="s">
        <x:v>10397</x:v>
      </x:c>
    </x:row>
    <x:row r="2283">
      <x:c r="A2283" t="s">
        <x:v>10398</x:v>
      </x:c>
      <x:c r="B2283" t="s">
        <x:v>10398</x:v>
      </x:c>
      <x:c r="C2283" t="s">
        <x:v>8474</x:v>
      </x:c>
      <x:c r="D2283">
        <x:v>23</x:v>
      </x:c>
      <x:c r="E2283" t="s">
        <x:v>103</x:v>
      </x:c>
      <x:c r="F2283" t="s">
        <x:v>97</x:v>
      </x:c>
      <x:c r="G2283">
        <x:v>41563</x:v>
      </x:c>
      <x:c r="H2283" t="s">
        <x:v>10399</x:v>
      </x:c>
      <x:c r="I2283" t="s">
        <x:v>10400</x:v>
      </x:c>
      <x:c r="J2283" t="s">
        <x:v>10401</x:v>
      </x:c>
    </x:row>
    <x:row r="2284">
      <x:c r="A2284" t="s">
        <x:v>10402</x:v>
      </x:c>
      <x:c r="B2284" t="s">
        <x:v>10402</x:v>
      </x:c>
      <x:c r="C2284" t="s">
        <x:v>237</x:v>
      </x:c>
      <x:c r="D2284">
        <x:v>3</x:v>
      </x:c>
      <x:c r="E2284" t="s">
        <x:v>96</x:v>
      </x:c>
      <x:c r="F2284" t="s">
        <x:v>90</x:v>
      </x:c>
      <x:c r="G2284">
        <x:v>43866</x:v>
      </x:c>
      <x:c r="H2284" t="s">
        <x:v>10403</x:v>
      </x:c>
      <x:c r="I2284" t="s">
        <x:v>10404</x:v>
      </x:c>
      <x:c r="J2284" t="s">
        <x:v>10405</x:v>
      </x:c>
    </x:row>
    <x:row r="2285">
      <x:c r="A2285" t="s">
        <x:v>10406</x:v>
      </x:c>
      <x:c r="B2285" t="s">
        <x:v>10406</x:v>
      </x:c>
      <x:c r="C2285" t="s">
        <x:v>918</x:v>
      </x:c>
      <x:c r="D2285">
        <x:v>3</x:v>
      </x:c>
      <x:c r="E2285" t="s">
        <x:v>114</x:v>
      </x:c>
      <x:c r="F2285" t="s">
        <x:v>3171</x:v>
      </x:c>
      <x:c r="G2285">
        <x:v>45424</x:v>
      </x:c>
      <x:c r="H2285" t="s">
        <x:v>10407</x:v>
      </x:c>
      <x:c r="I2285" t="s">
        <x:v>10408</x:v>
      </x:c>
      <x:c r="J2285" t="s">
        <x:v>10409</x:v>
      </x:c>
    </x:row>
    <x:row r="2286">
      <x:c r="A2286" t="s">
        <x:v>10410</x:v>
      </x:c>
      <x:c r="B2286" t="s">
        <x:v>10410</x:v>
      </x:c>
      <x:c r="C2286" t="s">
        <x:v>1861</x:v>
      </x:c>
      <x:c r="D2286">
        <x:v>36</x:v>
      </x:c>
      <x:c r="E2286" t="s">
        <x:v>89</x:v>
      </x:c>
      <x:c r="F2286" t="s">
        <x:v>152</x:v>
      </x:c>
      <x:c r="G2286">
        <x:v>45732</x:v>
      </x:c>
      <x:c r="H2286" t="s">
        <x:v>10411</x:v>
      </x:c>
      <x:c r="I2286" t="s">
        <x:v>10412</x:v>
      </x:c>
      <x:c r="J2286" t="s">
        <x:v>10413</x:v>
      </x:c>
    </x:row>
    <x:row r="2287">
      <x:c r="A2287" t="s">
        <x:v>10414</x:v>
      </x:c>
      <x:c r="B2287" t="s">
        <x:v>10414</x:v>
      </x:c>
      <x:c r="C2287" t="s">
        <x:v>10415</x:v>
      </x:c>
      <x:c r="D2287">
        <x:v>25</x:v>
      </x:c>
      <x:c r="E2287" t="s">
        <x:v>96</x:v>
      </x:c>
      <x:c r="F2287" t="s">
        <x:v>97</x:v>
      </x:c>
      <x:c r="G2287">
        <x:v>44372</x:v>
      </x:c>
      <x:c r="H2287" t="s">
        <x:v>10416</x:v>
      </x:c>
      <x:c r="I2287" t="s">
        <x:v>10417</x:v>
      </x:c>
      <x:c r="J2287" t="s">
        <x:v>10418</x:v>
      </x:c>
    </x:row>
    <x:row r="2288">
      <x:c r="A2288" t="s">
        <x:v>10419</x:v>
      </x:c>
      <x:c r="B2288" t="s">
        <x:v>10419</x:v>
      </x:c>
      <x:c r="C2288" t="s">
        <x:v>10420</x:v>
      </x:c>
      <x:c r="D2288">
        <x:v>14</x:v>
      </x:c>
      <x:c r="E2288" t="s">
        <x:v>89</x:v>
      </x:c>
      <x:c r="F2288" t="s">
        <x:v>90</x:v>
      </x:c>
      <x:c r="G2288">
        <x:v>44364</x:v>
      </x:c>
      <x:c r="H2288" t="s">
        <x:v>10421</x:v>
      </x:c>
      <x:c r="I2288" t="s">
        <x:v>10422</x:v>
      </x:c>
      <x:c r="J2288" t="s">
        <x:v>10423</x:v>
      </x:c>
    </x:row>
    <x:row r="2289">
      <x:c r="A2289" t="s">
        <x:v>10424</x:v>
      </x:c>
      <x:c r="B2289" t="s">
        <x:v>10424</x:v>
      </x:c>
      <x:c r="C2289" t="s">
        <x:v>1427</x:v>
      </x:c>
      <x:c r="D2289">
        <x:v>13</x:v>
      </x:c>
      <x:c r="E2289" t="s">
        <x:v>96</x:v>
      </x:c>
      <x:c r="F2289" t="s">
        <x:v>90</x:v>
      </x:c>
      <x:c r="G2289">
        <x:v>45819</x:v>
      </x:c>
      <x:c r="H2289" t="s">
        <x:v>10425</x:v>
      </x:c>
      <x:c r="I2289" t="s">
        <x:v>10426</x:v>
      </x:c>
      <x:c r="J2289" t="s">
        <x:v>10427</x:v>
      </x:c>
    </x:row>
    <x:row r="2290">
      <x:c r="A2290" t="s">
        <x:v>10428</x:v>
      </x:c>
      <x:c r="B2290" t="s">
        <x:v>10428</x:v>
      </x:c>
      <x:c r="C2290" t="s">
        <x:v>10429</x:v>
      </x:c>
      <x:c r="D2290">
        <x:v>11</x:v>
      </x:c>
      <x:c r="E2290" t="s">
        <x:v>103</x:v>
      </x:c>
      <x:c r="F2290" t="s">
        <x:v>97</x:v>
      </x:c>
      <x:c r="G2290">
        <x:v>42266</x:v>
      </x:c>
      <x:c r="H2290" t="s">
        <x:v>10430</x:v>
      </x:c>
      <x:c r="I2290" t="s">
        <x:v>10431</x:v>
      </x:c>
      <x:c r="J2290" t="s">
        <x:v>10432</x:v>
      </x:c>
    </x:row>
    <x:row r="2291">
      <x:c r="A2291" t="s">
        <x:v>10433</x:v>
      </x:c>
      <x:c r="B2291" t="s">
        <x:v>10433</x:v>
      </x:c>
      <x:c r="C2291" t="s">
        <x:v>4192</x:v>
      </x:c>
      <x:c r="D2291">
        <x:v>7</x:v>
      </x:c>
      <x:c r="E2291" t="s">
        <x:v>198</x:v>
      </x:c>
      <x:c r="F2291" t="s">
        <x:v>90</x:v>
      </x:c>
      <x:c r="G2291">
        <x:v>44518</x:v>
      </x:c>
      <x:c r="H2291" t="s">
        <x:v>10434</x:v>
      </x:c>
      <x:c r="I2291" t="s">
        <x:v>10435</x:v>
      </x:c>
      <x:c r="J2291" t="s">
        <x:v>10436</x:v>
      </x:c>
    </x:row>
    <x:row r="2292">
      <x:c r="A2292" t="s">
        <x:v>10437</x:v>
      </x:c>
      <x:c r="B2292" t="s">
        <x:v>10437</x:v>
      </x:c>
      <x:c r="C2292" t="s">
        <x:v>4374</x:v>
      </x:c>
      <x:c r="D2292">
        <x:v>25</x:v>
      </x:c>
      <x:c r="E2292" t="s">
        <x:v>103</x:v>
      </x:c>
      <x:c r="F2292" t="s">
        <x:v>97</x:v>
      </x:c>
      <x:c r="G2292">
        <x:v>42266</x:v>
      </x:c>
      <x:c r="H2292" t="s">
        <x:v>10438</x:v>
      </x:c>
      <x:c r="I2292" t="s">
        <x:v>10439</x:v>
      </x:c>
      <x:c r="J2292" t="s">
        <x:v>10440</x:v>
      </x:c>
    </x:row>
    <x:row r="2293">
      <x:c r="A2293" t="s">
        <x:v>10441</x:v>
      </x:c>
      <x:c r="B2293" t="s">
        <x:v>10441</x:v>
      </x:c>
      <x:c r="C2293" t="s">
        <x:v>10442</x:v>
      </x:c>
      <x:c r="D2293">
        <x:v>16</x:v>
      </x:c>
      <x:c r="E2293" t="s">
        <x:v>198</x:v>
      </x:c>
      <x:c r="F2293" t="s">
        <x:v>90</x:v>
      </x:c>
      <x:c r="G2293">
        <x:v>43750</x:v>
      </x:c>
      <x:c r="H2293" t="s">
        <x:v>10443</x:v>
      </x:c>
      <x:c r="I2293" t="s">
        <x:v>10444</x:v>
      </x:c>
      <x:c r="J2293" t="s">
        <x:v>10445</x:v>
      </x:c>
    </x:row>
    <x:row r="2294">
      <x:c r="A2294" t="s">
        <x:v>10446</x:v>
      </x:c>
      <x:c r="B2294" t="s">
        <x:v>10446</x:v>
      </x:c>
      <x:c r="C2294" t="s">
        <x:v>10447</x:v>
      </x:c>
      <x:c r="D2294">
        <x:v>3</x:v>
      </x:c>
      <x:c r="E2294" t="s">
        <x:v>89</x:v>
      </x:c>
      <x:c r="F2294" t="s">
        <x:v>90</x:v>
      </x:c>
      <x:c r="G2294">
        <x:v>43917</x:v>
      </x:c>
      <x:c r="H2294" t="s">
        <x:v>10448</x:v>
      </x:c>
      <x:c r="I2294" t="s">
        <x:v>10449</x:v>
      </x:c>
      <x:c r="J2294" t="s">
        <x:v>10450</x:v>
      </x:c>
    </x:row>
    <x:row r="2295">
      <x:c r="A2295" t="s">
        <x:v>10451</x:v>
      </x:c>
      <x:c r="B2295" t="s">
        <x:v>10451</x:v>
      </x:c>
      <x:c r="C2295" t="s">
        <x:v>10452</x:v>
      </x:c>
      <x:c r="D2295">
        <x:v>6</x:v>
      </x:c>
      <x:c r="E2295" t="s">
        <x:v>103</x:v>
      </x:c>
      <x:c r="F2295" t="s">
        <x:v>97</x:v>
      </x:c>
      <x:c r="G2295">
        <x:v>42265</x:v>
      </x:c>
      <x:c r="H2295" t="s">
        <x:v>10453</x:v>
      </x:c>
      <x:c r="I2295" t="s">
        <x:v>10454</x:v>
      </x:c>
      <x:c r="J2295" t="s">
        <x:v>10455</x:v>
      </x:c>
    </x:row>
    <x:row r="2296">
      <x:c r="A2296" t="s">
        <x:v>10456</x:v>
      </x:c>
      <x:c r="B2296" t="s">
        <x:v>10456</x:v>
      </x:c>
      <x:c r="C2296" t="s">
        <x:v>2179</x:v>
      </x:c>
      <x:c r="D2296">
        <x:v>12</x:v>
      </x:c>
      <x:c r="E2296" t="s">
        <x:v>114</x:v>
      </x:c>
      <x:c r="F2296" t="s">
        <x:v>90</x:v>
      </x:c>
      <x:c r="G2296">
        <x:v>43843</x:v>
      </x:c>
      <x:c r="H2296" t="s">
        <x:v>10457</x:v>
      </x:c>
      <x:c r="I2296" t="s">
        <x:v>10458</x:v>
      </x:c>
      <x:c r="J2296" t="s">
        <x:v>10459</x:v>
      </x:c>
    </x:row>
    <x:row r="2297">
      <x:c r="A2297" t="s">
        <x:v>10460</x:v>
      </x:c>
      <x:c r="B2297" t="s">
        <x:v>10460</x:v>
      </x:c>
      <x:c r="C2297" t="s">
        <x:v>2863</x:v>
      </x:c>
      <x:c r="D2297">
        <x:v>9</x:v>
      </x:c>
      <x:c r="E2297" t="s">
        <x:v>198</x:v>
      </x:c>
      <x:c r="F2297" t="s">
        <x:v>90</x:v>
      </x:c>
      <x:c r="G2297">
        <x:v>42959</x:v>
      </x:c>
      <x:c r="H2297" t="s">
        <x:v>10461</x:v>
      </x:c>
      <x:c r="I2297" t="s">
        <x:v>10462</x:v>
      </x:c>
      <x:c r="J2297" t="s">
        <x:v>10463</x:v>
      </x:c>
    </x:row>
    <x:row r="2298">
      <x:c r="A2298" t="s">
        <x:v>10464</x:v>
      </x:c>
      <x:c r="B2298" t="s">
        <x:v>10464</x:v>
      </x:c>
      <x:c r="C2298" t="s">
        <x:v>10465</x:v>
      </x:c>
      <x:c r="D2298">
        <x:v>15</x:v>
      </x:c>
      <x:c r="E2298" t="s">
        <x:v>96</x:v>
      </x:c>
      <x:c r="F2298" t="s">
        <x:v>90</x:v>
      </x:c>
      <x:c r="G2298">
        <x:v>45815</x:v>
      </x:c>
      <x:c r="H2298" t="s">
        <x:v>10466</x:v>
      </x:c>
      <x:c r="I2298" t="s">
        <x:v>10467</x:v>
      </x:c>
      <x:c r="J2298" t="s">
        <x:v>10468</x:v>
      </x:c>
    </x:row>
    <x:row r="2299">
      <x:c r="A2299" t="s">
        <x:v>10469</x:v>
      </x:c>
      <x:c r="B2299" t="s">
        <x:v>10469</x:v>
      </x:c>
      <x:c r="C2299" t="s">
        <x:v>586</x:v>
      </x:c>
      <x:c r="D2299">
        <x:v>63</x:v>
      </x:c>
      <x:c r="E2299" t="s">
        <x:v>96</x:v>
      </x:c>
      <x:c r="F2299" t="s">
        <x:v>97</x:v>
      </x:c>
      <x:c r="G2299">
        <x:v>43576</x:v>
      </x:c>
      <x:c r="H2299" t="s">
        <x:v>10470</x:v>
      </x:c>
      <x:c r="I2299" t="s">
        <x:v>10471</x:v>
      </x:c>
      <x:c r="J2299" t="s">
        <x:v>10472</x:v>
      </x:c>
    </x:row>
    <x:row r="2300">
      <x:c r="A2300" t="s">
        <x:v>10473</x:v>
      </x:c>
      <x:c r="B2300" t="s">
        <x:v>10473</x:v>
      </x:c>
      <x:c r="C2300" t="s">
        <x:v>88</x:v>
      </x:c>
      <x:c r="D2300">
        <x:v>1</x:v>
      </x:c>
      <x:c r="E2300" t="s">
        <x:v>89</x:v>
      </x:c>
      <x:c r="F2300" t="s">
        <x:v>90</x:v>
      </x:c>
      <x:c r="G2300">
        <x:v>44832</x:v>
      </x:c>
      <x:c r="H2300" t="s">
        <x:v>10474</x:v>
      </x:c>
      <x:c r="I2300" t="s">
        <x:v>10475</x:v>
      </x:c>
      <x:c r="J2300" t="s">
        <x:v>10476</x:v>
      </x:c>
    </x:row>
    <x:row r="2301">
      <x:c r="A2301" t="s">
        <x:v>10477</x:v>
      </x:c>
      <x:c r="B2301" t="s">
        <x:v>10477</x:v>
      </x:c>
      <x:c r="C2301" t="s">
        <x:v>10478</x:v>
      </x:c>
      <x:c r="D2301">
        <x:v>6</x:v>
      </x:c>
      <x:c r="E2301" t="s">
        <x:v>103</x:v>
      </x:c>
      <x:c r="F2301" t="s">
        <x:v>97</x:v>
      </x:c>
      <x:c r="G2301">
        <x:v>42220</x:v>
      </x:c>
      <x:c r="H2301" t="s">
        <x:v>10479</x:v>
      </x:c>
      <x:c r="I2301" t="s">
        <x:v>10480</x:v>
      </x:c>
      <x:c r="J2301" t="s">
        <x:v>10481</x:v>
      </x:c>
    </x:row>
    <x:row r="2302">
      <x:c r="A2302" t="s">
        <x:v>10482</x:v>
      </x:c>
      <x:c r="B2302" t="s">
        <x:v>10482</x:v>
      </x:c>
      <x:c r="C2302" t="s">
        <x:v>875</x:v>
      </x:c>
      <x:c r="D2302">
        <x:v>15</x:v>
      </x:c>
      <x:c r="E2302" t="s">
        <x:v>114</x:v>
      </x:c>
      <x:c r="F2302" t="s">
        <x:v>90</x:v>
      </x:c>
      <x:c r="G2302">
        <x:v>44607</x:v>
      </x:c>
      <x:c r="H2302" t="s">
        <x:v>10483</x:v>
      </x:c>
      <x:c r="I2302" t="s">
        <x:v>10484</x:v>
      </x:c>
      <x:c r="J2302" t="s">
        <x:v>10485</x:v>
      </x:c>
    </x:row>
    <x:row r="2303">
      <x:c r="A2303" t="s">
        <x:v>10486</x:v>
      </x:c>
      <x:c r="B2303" t="s">
        <x:v>10486</x:v>
      </x:c>
      <x:c r="C2303" t="s">
        <x:v>10487</x:v>
      </x:c>
      <x:c r="D2303">
        <x:v>10</x:v>
      </x:c>
      <x:c r="E2303" t="s">
        <x:v>114</x:v>
      </x:c>
      <x:c r="F2303" t="s">
        <x:v>90</x:v>
      </x:c>
      <x:c r="G2303">
        <x:v>44772</x:v>
      </x:c>
      <x:c r="H2303" t="s">
        <x:v>10488</x:v>
      </x:c>
      <x:c r="I2303" t="s">
        <x:v>10489</x:v>
      </x:c>
      <x:c r="J2303" t="s">
        <x:v>10490</x:v>
      </x:c>
    </x:row>
    <x:row r="2304">
      <x:c r="A2304" t="s">
        <x:v>10491</x:v>
      </x:c>
      <x:c r="B2304" t="s">
        <x:v>10491</x:v>
      </x:c>
      <x:c r="C2304" t="s">
        <x:v>10487</x:v>
      </x:c>
      <x:c r="D2304">
        <x:v>13</x:v>
      </x:c>
      <x:c r="E2304" t="s">
        <x:v>96</x:v>
      </x:c>
      <x:c r="F2304" t="s">
        <x:v>90</x:v>
      </x:c>
      <x:c r="G2304">
        <x:v>44644</x:v>
      </x:c>
      <x:c r="H2304" t="s">
        <x:v>10492</x:v>
      </x:c>
      <x:c r="I2304" t="s">
        <x:v>10493</x:v>
      </x:c>
      <x:c r="J2304" t="s">
        <x:v>10494</x:v>
      </x:c>
    </x:row>
    <x:row r="2305">
      <x:c r="A2305" t="s">
        <x:v>10495</x:v>
      </x:c>
      <x:c r="B2305" t="s">
        <x:v>10495</x:v>
      </x:c>
      <x:c r="C2305" t="s">
        <x:v>10487</x:v>
      </x:c>
      <x:c r="D2305">
        <x:v>13</x:v>
      </x:c>
      <x:c r="E2305" t="s">
        <x:v>198</x:v>
      </x:c>
      <x:c r="F2305" t="s">
        <x:v>90</x:v>
      </x:c>
      <x:c r="G2305">
        <x:v>44707</x:v>
      </x:c>
      <x:c r="H2305" t="s">
        <x:v>10496</x:v>
      </x:c>
      <x:c r="I2305" t="s">
        <x:v>10497</x:v>
      </x:c>
      <x:c r="J2305" t="s">
        <x:v>10498</x:v>
      </x:c>
    </x:row>
    <x:row r="2306">
      <x:c r="A2306" t="s">
        <x:v>10499</x:v>
      </x:c>
      <x:c r="B2306" t="s">
        <x:v>10499</x:v>
      </x:c>
      <x:c r="C2306" t="s">
        <x:v>1243</x:v>
      </x:c>
      <x:c r="D2306">
        <x:v>14</x:v>
      </x:c>
      <x:c r="E2306" t="s">
        <x:v>198</x:v>
      </x:c>
      <x:c r="F2306" t="s">
        <x:v>90</x:v>
      </x:c>
      <x:c r="G2306">
        <x:v>45071</x:v>
      </x:c>
      <x:c r="H2306" t="s">
        <x:v>10500</x:v>
      </x:c>
      <x:c r="I2306" t="s">
        <x:v>10501</x:v>
      </x:c>
      <x:c r="J2306" t="s">
        <x:v>10502</x:v>
      </x:c>
    </x:row>
    <x:row r="2307">
      <x:c r="A2307" t="s">
        <x:v>10503</x:v>
      </x:c>
      <x:c r="B2307" t="s">
        <x:v>10503</x:v>
      </x:c>
      <x:c r="C2307" t="s">
        <x:v>10504</x:v>
      </x:c>
      <x:c r="D2307">
        <x:v>27</x:v>
      </x:c>
      <x:c r="E2307" t="s">
        <x:v>198</x:v>
      </x:c>
      <x:c r="F2307" t="s">
        <x:v>90</x:v>
      </x:c>
      <x:c r="G2307">
        <x:v>44085</x:v>
      </x:c>
      <x:c r="H2307" t="s">
        <x:v>10505</x:v>
      </x:c>
      <x:c r="I2307" t="s">
        <x:v>10506</x:v>
      </x:c>
      <x:c r="J2307" t="s">
        <x:v>10507</x:v>
      </x:c>
    </x:row>
    <x:row r="2308">
      <x:c r="A2308" t="s">
        <x:v>10508</x:v>
      </x:c>
      <x:c r="B2308" t="s">
        <x:v>10508</x:v>
      </x:c>
      <x:c r="C2308" t="s">
        <x:v>1427</x:v>
      </x:c>
      <x:c r="D2308">
        <x:v>13</x:v>
      </x:c>
      <x:c r="E2308" t="s">
        <x:v>96</x:v>
      </x:c>
      <x:c r="F2308" t="s">
        <x:v>90</x:v>
      </x:c>
      <x:c r="G2308">
        <x:v>45405</x:v>
      </x:c>
      <x:c r="H2308" t="s">
        <x:v>10509</x:v>
      </x:c>
      <x:c r="I2308" t="s">
        <x:v>10510</x:v>
      </x:c>
      <x:c r="J2308" t="s">
        <x:v>10511</x:v>
      </x:c>
    </x:row>
    <x:row r="2309">
      <x:c r="A2309" t="s">
        <x:v>10512</x:v>
      </x:c>
      <x:c r="B2309" t="s">
        <x:v>10512</x:v>
      </x:c>
      <x:c r="C2309" t="s">
        <x:v>1427</x:v>
      </x:c>
      <x:c r="D2309">
        <x:v>12</x:v>
      </x:c>
      <x:c r="E2309" t="s">
        <x:v>96</x:v>
      </x:c>
      <x:c r="F2309" t="s">
        <x:v>90</x:v>
      </x:c>
      <x:c r="G2309">
        <x:v>45211</x:v>
      </x:c>
      <x:c r="H2309" t="s">
        <x:v>10513</x:v>
      </x:c>
      <x:c r="I2309" t="s">
        <x:v>10514</x:v>
      </x:c>
      <x:c r="J2309" t="s">
        <x:v>10515</x:v>
      </x:c>
    </x:row>
    <x:row r="2310">
      <x:c r="A2310" t="s">
        <x:v>10516</x:v>
      </x:c>
      <x:c r="B2310" t="s">
        <x:v>10516</x:v>
      </x:c>
      <x:c r="C2310" t="s">
        <x:v>1393</x:v>
      </x:c>
      <x:c r="D2310">
        <x:v>17</x:v>
      </x:c>
      <x:c r="E2310" t="s">
        <x:v>89</x:v>
      </x:c>
      <x:c r="F2310" t="s">
        <x:v>90</x:v>
      </x:c>
      <x:c r="G2310">
        <x:v>45014</x:v>
      </x:c>
      <x:c r="H2310" t="s">
        <x:v>10517</x:v>
      </x:c>
      <x:c r="I2310" t="s">
        <x:v>10518</x:v>
      </x:c>
      <x:c r="J2310" t="s">
        <x:v>10519</x:v>
      </x:c>
    </x:row>
    <x:row r="2311">
      <x:c r="A2311" t="s">
        <x:v>10520</x:v>
      </x:c>
      <x:c r="B2311" t="s">
        <x:v>10520</x:v>
      </x:c>
      <x:c r="C2311" t="s">
        <x:v>10521</x:v>
      </x:c>
      <x:c r="D2311">
        <x:v>9</x:v>
      </x:c>
      <x:c r="E2311" t="s">
        <x:v>198</x:v>
      </x:c>
      <x:c r="F2311" t="s">
        <x:v>90</x:v>
      </x:c>
      <x:c r="G2311">
        <x:v>43818</x:v>
      </x:c>
      <x:c r="H2311" t="s">
        <x:v>10522</x:v>
      </x:c>
      <x:c r="I2311" t="s">
        <x:v>10523</x:v>
      </x:c>
      <x:c r="J2311" t="s">
        <x:v>10524</x:v>
      </x:c>
    </x:row>
    <x:row r="2312">
      <x:c r="A2312" t="s">
        <x:v>10525</x:v>
      </x:c>
      <x:c r="B2312" t="s">
        <x:v>10525</x:v>
      </x:c>
      <x:c r="C2312" t="s">
        <x:v>2146</x:v>
      </x:c>
      <x:c r="D2312">
        <x:v>6</x:v>
      </x:c>
      <x:c r="E2312" t="s">
        <x:v>103</x:v>
      </x:c>
      <x:c r="F2312" t="s">
        <x:v>97</x:v>
      </x:c>
      <x:c r="G2312">
        <x:v>45931</x:v>
      </x:c>
      <x:c r="H2312" t="s">
        <x:v>10526</x:v>
      </x:c>
      <x:c r="I2312" t="s">
        <x:v>10527</x:v>
      </x:c>
      <x:c r="J2312" t="s">
        <x:v>10528</x:v>
      </x:c>
    </x:row>
    <x:row r="2313">
      <x:c r="A2313" t="s">
        <x:v>10529</x:v>
      </x:c>
      <x:c r="B2313" t="s">
        <x:v>10529</x:v>
      </x:c>
      <x:c r="C2313" t="s">
        <x:v>10530</x:v>
      </x:c>
      <x:c r="D2313">
        <x:v>17</x:v>
      </x:c>
      <x:c r="E2313" t="s">
        <x:v>89</x:v>
      </x:c>
      <x:c r="F2313" t="s">
        <x:v>90</x:v>
      </x:c>
      <x:c r="G2313">
        <x:v>44001</x:v>
      </x:c>
      <x:c r="H2313" t="s">
        <x:v>10531</x:v>
      </x:c>
      <x:c r="I2313" t="s">
        <x:v>10532</x:v>
      </x:c>
      <x:c r="J2313" t="s">
        <x:v>10533</x:v>
      </x:c>
    </x:row>
    <x:row r="2314">
      <x:c r="A2314" t="s">
        <x:v>10534</x:v>
      </x:c>
      <x:c r="B2314" t="s">
        <x:v>10534</x:v>
      </x:c>
      <x:c r="C2314" t="s">
        <x:v>2267</x:v>
      </x:c>
      <x:c r="D2314">
        <x:v>2</x:v>
      </x:c>
      <x:c r="E2314" t="s">
        <x:v>89</x:v>
      </x:c>
      <x:c r="F2314" t="s">
        <x:v>90</x:v>
      </x:c>
      <x:c r="G2314">
        <x:v>45279</x:v>
      </x:c>
      <x:c r="H2314" t="s">
        <x:v>10535</x:v>
      </x:c>
      <x:c r="I2314" t="s">
        <x:v>10536</x:v>
      </x:c>
      <x:c r="J2314" t="s">
        <x:v>10537</x:v>
      </x:c>
    </x:row>
    <x:row r="2315">
      <x:c r="A2315" t="s">
        <x:v>10538</x:v>
      </x:c>
      <x:c r="B2315" t="s">
        <x:v>10538</x:v>
      </x:c>
      <x:c r="C2315" t="s">
        <x:v>141</x:v>
      </x:c>
      <x:c r="D2315">
        <x:v>1</x:v>
      </x:c>
      <x:c r="E2315" t="s">
        <x:v>114</x:v>
      </x:c>
      <x:c r="F2315" t="s">
        <x:v>90</x:v>
      </x:c>
      <x:c r="G2315">
        <x:v>44447</x:v>
      </x:c>
      <x:c r="H2315" t="s">
        <x:v>10539</x:v>
      </x:c>
      <x:c r="I2315" t="s">
        <x:v>10540</x:v>
      </x:c>
      <x:c r="J2315" t="s">
        <x:v>10541</x:v>
      </x:c>
    </x:row>
    <x:row r="2316">
      <x:c r="A2316" t="s">
        <x:v>10542</x:v>
      </x:c>
      <x:c r="B2316" t="s">
        <x:v>10542</x:v>
      </x:c>
      <x:c r="C2316" t="s">
        <x:v>10543</x:v>
      </x:c>
      <x:c r="D2316">
        <x:v>24</x:v>
      </x:c>
      <x:c r="E2316" t="s">
        <x:v>103</x:v>
      </x:c>
      <x:c r="F2316" t="s">
        <x:v>97</x:v>
      </x:c>
      <x:c r="G2316">
        <x:v>42310</x:v>
      </x:c>
      <x:c r="H2316" t="s">
        <x:v>10544</x:v>
      </x:c>
      <x:c r="I2316" t="s">
        <x:v>10545</x:v>
      </x:c>
      <x:c r="J2316" t="s">
        <x:v>10546</x:v>
      </x:c>
    </x:row>
    <x:row r="2317">
      <x:c r="A2317" t="s">
        <x:v>10547</x:v>
      </x:c>
      <x:c r="B2317" t="s">
        <x:v>10547</x:v>
      </x:c>
      <x:c r="C2317" t="s">
        <x:v>10548</x:v>
      </x:c>
      <x:c r="D2317">
        <x:v>11</x:v>
      </x:c>
      <x:c r="E2317" t="s">
        <x:v>125</x:v>
      </x:c>
      <x:c r="F2317" t="s">
        <x:v>90</x:v>
      </x:c>
      <x:c r="G2317">
        <x:v>46086</x:v>
      </x:c>
      <x:c r="H2317" t="s">
        <x:v>10549</x:v>
      </x:c>
      <x:c r="I2317" t="s">
        <x:v>10550</x:v>
      </x:c>
      <x:c r="J2317" t="s">
        <x:v>10551</x:v>
      </x:c>
    </x:row>
    <x:row r="2318">
      <x:c r="A2318" t="s">
        <x:v>10552</x:v>
      </x:c>
      <x:c r="B2318" t="s">
        <x:v>10552</x:v>
      </x:c>
      <x:c r="C2318" t="s">
        <x:v>8459</x:v>
      </x:c>
      <x:c r="D2318">
        <x:v>14</x:v>
      </x:c>
      <x:c r="E2318" t="s">
        <x:v>257</x:v>
      </x:c>
      <x:c r="F2318" t="s">
        <x:v>97</x:v>
      </x:c>
      <x:c r="G2318">
        <x:v>42294</x:v>
      </x:c>
      <x:c r="H2318" t="s">
        <x:v>10553</x:v>
      </x:c>
      <x:c r="I2318" t="s">
        <x:v>10554</x:v>
      </x:c>
      <x:c r="J2318" t="s">
        <x:v>10555</x:v>
      </x:c>
    </x:row>
    <x:row r="2319">
      <x:c r="A2319" t="s">
        <x:v>10556</x:v>
      </x:c>
      <x:c r="B2319" t="s">
        <x:v>10556</x:v>
      </x:c>
      <x:c r="C2319" t="s">
        <x:v>983</x:v>
      </x:c>
      <x:c r="D2319">
        <x:v>11</x:v>
      </x:c>
      <x:c r="E2319" t="s">
        <x:v>89</x:v>
      </x:c>
      <x:c r="F2319" t="s">
        <x:v>97</x:v>
      </x:c>
      <x:c r="G2319">
        <x:v>46112</x:v>
      </x:c>
      <x:c r="H2319" t="s">
        <x:v>10557</x:v>
      </x:c>
      <x:c r="I2319" t="s">
        <x:v>10558</x:v>
      </x:c>
      <x:c r="J2319" t="s">
        <x:v>10559</x:v>
      </x:c>
    </x:row>
    <x:row r="2320">
      <x:c r="A2320" t="s">
        <x:v>10560</x:v>
      </x:c>
      <x:c r="B2320" t="s">
        <x:v>10560</x:v>
      </x:c>
      <x:c r="C2320" t="s">
        <x:v>3896</x:v>
      </x:c>
      <x:c r="D2320">
        <x:v>1</x:v>
      </x:c>
      <x:c r="E2320" t="s">
        <x:v>125</x:v>
      </x:c>
      <x:c r="F2320" t="s">
        <x:v>90</x:v>
      </x:c>
      <x:c r="G2320">
        <x:v>44376</x:v>
      </x:c>
      <x:c r="H2320" t="s">
        <x:v>10561</x:v>
      </x:c>
      <x:c r="I2320" t="s">
        <x:v>10562</x:v>
      </x:c>
      <x:c r="J2320" t="s">
        <x:v>10563</x:v>
      </x:c>
    </x:row>
    <x:row r="2321">
      <x:c r="A2321" t="s">
        <x:v>10564</x:v>
      </x:c>
      <x:c r="B2321" t="s">
        <x:v>10564</x:v>
      </x:c>
      <x:c r="C2321" t="s">
        <x:v>10565</x:v>
      </x:c>
      <x:c r="D2321">
        <x:v>89</x:v>
      </x:c>
      <x:c r="E2321" t="s">
        <x:v>125</x:v>
      </x:c>
      <x:c r="F2321" t="s">
        <x:v>90</x:v>
      </x:c>
      <x:c r="G2321">
        <x:v>42788</x:v>
      </x:c>
      <x:c r="H2321" t="s">
        <x:v>10566</x:v>
      </x:c>
      <x:c r="I2321" t="s">
        <x:v>10567</x:v>
      </x:c>
      <x:c r="J2321" t="s">
        <x:v>10568</x:v>
      </x:c>
    </x:row>
    <x:row r="2322">
      <x:c r="A2322" t="s">
        <x:v>10569</x:v>
      </x:c>
      <x:c r="B2322" t="s">
        <x:v>10569</x:v>
      </x:c>
      <x:c r="C2322" t="s">
        <x:v>10565</x:v>
      </x:c>
      <x:c r="D2322">
        <x:v>89</x:v>
      </x:c>
      <x:c r="E2322" t="s">
        <x:v>125</x:v>
      </x:c>
      <x:c r="F2322" t="s">
        <x:v>90</x:v>
      </x:c>
      <x:c r="G2322">
        <x:v>44946</x:v>
      </x:c>
      <x:c r="H2322" t="s">
        <x:v>10570</x:v>
      </x:c>
      <x:c r="I2322" t="s">
        <x:v>10571</x:v>
      </x:c>
      <x:c r="J2322" t="s">
        <x:v>10572</x:v>
      </x:c>
    </x:row>
    <x:row r="2323">
      <x:c r="A2323" t="s">
        <x:v>10573</x:v>
      </x:c>
      <x:c r="B2323" t="s">
        <x:v>10573</x:v>
      </x:c>
      <x:c r="C2323" t="s">
        <x:v>1608</x:v>
      </x:c>
      <x:c r="D2323">
        <x:v>0</x:v>
      </x:c>
      <x:c r="E2323" t="s">
        <x:v>89</x:v>
      </x:c>
      <x:c r="F2323" t="s">
        <x:v>90</x:v>
      </x:c>
      <x:c r="G2323">
        <x:v>44309</x:v>
      </x:c>
      <x:c r="H2323" t="s">
        <x:v>10574</x:v>
      </x:c>
      <x:c r="I2323" t="s">
        <x:v>10575</x:v>
      </x:c>
      <x:c r="J2323" t="s">
        <x:v>10576</x:v>
      </x:c>
    </x:row>
    <x:row r="2324">
      <x:c r="A2324" t="s">
        <x:v>10577</x:v>
      </x:c>
      <x:c r="B2324" t="s">
        <x:v>10577</x:v>
      </x:c>
      <x:c r="C2324" t="s">
        <x:v>10578</x:v>
      </x:c>
      <x:c r="D2324">
        <x:v>0</x:v>
      </x:c>
      <x:c r="E2324" t="s">
        <x:v>96</x:v>
      </x:c>
      <x:c r="F2324" t="s">
        <x:v>97</x:v>
      </x:c>
      <x:c r="G2324">
        <x:v>45762</x:v>
      </x:c>
      <x:c r="H2324" t="s">
        <x:v>10579</x:v>
      </x:c>
      <x:c r="I2324" t="s">
        <x:v>10580</x:v>
      </x:c>
      <x:c r="J2324" t="s">
        <x:v>10581</x:v>
      </x:c>
    </x:row>
    <x:row r="2325">
      <x:c r="A2325" t="s">
        <x:v>10582</x:v>
      </x:c>
      <x:c r="B2325" t="s">
        <x:v>10582</x:v>
      </x:c>
      <x:c r="C2325" t="s">
        <x:v>1467</x:v>
      </x:c>
      <x:c r="D2325">
        <x:v>8</x:v>
      </x:c>
      <x:c r="E2325" t="s">
        <x:v>198</x:v>
      </x:c>
      <x:c r="F2325" t="s">
        <x:v>90</x:v>
      </x:c>
      <x:c r="G2325">
        <x:v>45244</x:v>
      </x:c>
      <x:c r="H2325" t="s">
        <x:v>10583</x:v>
      </x:c>
      <x:c r="I2325" t="s">
        <x:v>10584</x:v>
      </x:c>
      <x:c r="J2325" t="s">
        <x:v>10585</x:v>
      </x:c>
    </x:row>
    <x:row r="2326">
      <x:c r="A2326" t="s">
        <x:v>10586</x:v>
      </x:c>
      <x:c r="B2326" t="s">
        <x:v>10586</x:v>
      </x:c>
      <x:c r="C2326" t="s">
        <x:v>2557</x:v>
      </x:c>
      <x:c r="D2326">
        <x:v>21</x:v>
      </x:c>
      <x:c r="E2326" t="s">
        <x:v>114</x:v>
      </x:c>
      <x:c r="F2326" t="s">
        <x:v>90</x:v>
      </x:c>
      <x:c r="G2326">
        <x:v>46215</x:v>
      </x:c>
      <x:c r="H2326" t="s">
        <x:v>10587</x:v>
      </x:c>
      <x:c r="I2326" t="s">
        <x:v>10588</x:v>
      </x:c>
      <x:c r="J2326" t="s">
        <x:v>10589</x:v>
      </x:c>
    </x:row>
    <x:row r="2327">
      <x:c r="A2327" t="s">
        <x:v>10590</x:v>
      </x:c>
      <x:c r="B2327" t="s">
        <x:v>10590</x:v>
      </x:c>
      <x:c r="C2327" t="s">
        <x:v>10591</x:v>
      </x:c>
      <x:c r="D2327">
        <x:v>24</x:v>
      </x:c>
      <x:c r="E2327" t="s">
        <x:v>198</x:v>
      </x:c>
      <x:c r="F2327" t="s">
        <x:v>90</x:v>
      </x:c>
      <x:c r="G2327">
        <x:v>44163</x:v>
      </x:c>
      <x:c r="H2327" t="s">
        <x:v>10592</x:v>
      </x:c>
      <x:c r="I2327" t="s">
        <x:v>10593</x:v>
      </x:c>
      <x:c r="J2327" t="s">
        <x:v>10594</x:v>
      </x:c>
    </x:row>
    <x:row r="2328">
      <x:c r="A2328" t="s">
        <x:v>10595</x:v>
      </x:c>
      <x:c r="B2328" t="s">
        <x:v>10595</x:v>
      </x:c>
      <x:c r="C2328" t="s">
        <x:v>10591</x:v>
      </x:c>
      <x:c r="D2328">
        <x:v>20</x:v>
      </x:c>
      <x:c r="E2328" t="s">
        <x:v>198</x:v>
      </x:c>
      <x:c r="F2328" t="s">
        <x:v>90</x:v>
      </x:c>
      <x:c r="G2328">
        <x:v>44366</x:v>
      </x:c>
      <x:c r="H2328" t="s">
        <x:v>10596</x:v>
      </x:c>
      <x:c r="I2328" t="s">
        <x:v>10597</x:v>
      </x:c>
      <x:c r="J2328" t="s">
        <x:v>10598</x:v>
      </x:c>
    </x:row>
    <x:row r="2329">
      <x:c r="A2329" t="s">
        <x:v>10599</x:v>
      </x:c>
      <x:c r="B2329" t="s">
        <x:v>10599</x:v>
      </x:c>
      <x:c r="C2329" t="s">
        <x:v>282</x:v>
      </x:c>
      <x:c r="D2329">
        <x:v>16</x:v>
      </x:c>
      <x:c r="E2329" t="s">
        <x:v>103</x:v>
      </x:c>
      <x:c r="F2329" t="s">
        <x:v>97</x:v>
      </x:c>
      <x:c r="G2329">
        <x:v>43859</x:v>
      </x:c>
      <x:c r="H2329" t="s">
        <x:v>10600</x:v>
      </x:c>
      <x:c r="I2329" t="s">
        <x:v>10601</x:v>
      </x:c>
      <x:c r="J2329" t="s">
        <x:v>10602</x:v>
      </x:c>
    </x:row>
    <x:row r="2330">
      <x:c r="A2330" t="s">
        <x:v>10603</x:v>
      </x:c>
      <x:c r="B2330" t="s">
        <x:v>10603</x:v>
      </x:c>
      <x:c r="C2330" t="s">
        <x:v>10604</x:v>
      </x:c>
      <x:c r="D2330">
        <x:v>5</x:v>
      </x:c>
      <x:c r="E2330" t="s">
        <x:v>103</x:v>
      </x:c>
      <x:c r="F2330" t="s">
        <x:v>97</x:v>
      </x:c>
      <x:c r="G2330">
        <x:v>42248</x:v>
      </x:c>
      <x:c r="H2330" t="s">
        <x:v>10605</x:v>
      </x:c>
      <x:c r="I2330" t="s">
        <x:v>10606</x:v>
      </x:c>
      <x:c r="J2330" t="s">
        <x:v>10607</x:v>
      </x:c>
    </x:row>
    <x:row r="2331">
      <x:c r="A2331" t="s">
        <x:v>10608</x:v>
      </x:c>
      <x:c r="B2331" t="s">
        <x:v>10608</x:v>
      </x:c>
      <x:c r="C2331" t="s">
        <x:v>10604</x:v>
      </x:c>
      <x:c r="D2331">
        <x:v>26</x:v>
      </x:c>
      <x:c r="E2331" t="s">
        <x:v>103</x:v>
      </x:c>
      <x:c r="F2331" t="s">
        <x:v>97</x:v>
      </x:c>
      <x:c r="G2331">
        <x:v>42223</x:v>
      </x:c>
      <x:c r="H2331" t="s">
        <x:v>10609</x:v>
      </x:c>
      <x:c r="I2331" t="s">
        <x:v>10610</x:v>
      </x:c>
      <x:c r="J2331" t="s">
        <x:v>10611</x:v>
      </x:c>
    </x:row>
    <x:row r="2332">
      <x:c r="A2332" t="s">
        <x:v>10612</x:v>
      </x:c>
      <x:c r="B2332" t="s">
        <x:v>10612</x:v>
      </x:c>
      <x:c r="C2332" t="s">
        <x:v>543</x:v>
      </x:c>
      <x:c r="D2332">
        <x:v>10</x:v>
      </x:c>
      <x:c r="E2332" t="s">
        <x:v>103</x:v>
      </x:c>
      <x:c r="F2332" t="s">
        <x:v>97</x:v>
      </x:c>
      <x:c r="G2332">
        <x:v>43904</x:v>
      </x:c>
      <x:c r="H2332" t="s">
        <x:v>10613</x:v>
      </x:c>
      <x:c r="I2332" t="s">
        <x:v>10614</x:v>
      </x:c>
      <x:c r="J2332" t="s">
        <x:v>10615</x:v>
      </x:c>
    </x:row>
    <x:row r="2333">
      <x:c r="A2333" t="s">
        <x:v>10616</x:v>
      </x:c>
      <x:c r="B2333" t="s">
        <x:v>10616</x:v>
      </x:c>
      <x:c r="C2333" t="s">
        <x:v>2189</x:v>
      </x:c>
      <x:c r="D2333">
        <x:v>10</x:v>
      </x:c>
      <x:c r="E2333" t="s">
        <x:v>89</x:v>
      </x:c>
      <x:c r="F2333" t="s">
        <x:v>97</x:v>
      </x:c>
      <x:c r="G2333">
        <x:v>44927</x:v>
      </x:c>
      <x:c r="H2333" t="s">
        <x:v>10617</x:v>
      </x:c>
      <x:c r="I2333" t="s">
        <x:v>10618</x:v>
      </x:c>
      <x:c r="J2333" t="s">
        <x:v>10619</x:v>
      </x:c>
    </x:row>
    <x:row r="2334">
      <x:c r="A2334" t="s">
        <x:v>10620</x:v>
      </x:c>
      <x:c r="B2334" t="s">
        <x:v>10620</x:v>
      </x:c>
      <x:c r="C2334" t="s">
        <x:v>2189</x:v>
      </x:c>
      <x:c r="D2334">
        <x:v>10</x:v>
      </x:c>
      <x:c r="E2334" t="s">
        <x:v>89</x:v>
      </x:c>
      <x:c r="F2334" t="s">
        <x:v>97</x:v>
      </x:c>
      <x:c r="G2334">
        <x:v>44980</x:v>
      </x:c>
      <x:c r="H2334" t="s">
        <x:v>10621</x:v>
      </x:c>
      <x:c r="I2334" t="s">
        <x:v>10622</x:v>
      </x:c>
      <x:c r="J2334" t="s">
        <x:v>10623</x:v>
      </x:c>
    </x:row>
    <x:row r="2335">
      <x:c r="A2335" t="s">
        <x:v>10624</x:v>
      </x:c>
      <x:c r="B2335" t="s">
        <x:v>10624</x:v>
      </x:c>
      <x:c r="C2335" t="s">
        <x:v>10521</x:v>
      </x:c>
      <x:c r="D2335">
        <x:v>11</x:v>
      </x:c>
      <x:c r="E2335" t="s">
        <x:v>89</x:v>
      </x:c>
      <x:c r="F2335" t="s">
        <x:v>90</x:v>
      </x:c>
      <x:c r="G2335">
        <x:v>43532</x:v>
      </x:c>
      <x:c r="H2335" t="s">
        <x:v>10625</x:v>
      </x:c>
      <x:c r="I2335" t="s">
        <x:v>10626</x:v>
      </x:c>
      <x:c r="J2335" t="s">
        <x:v>10627</x:v>
      </x:c>
    </x:row>
    <x:row r="2336">
      <x:c r="A2336" t="s">
        <x:v>10628</x:v>
      </x:c>
      <x:c r="B2336" t="s">
        <x:v>10628</x:v>
      </x:c>
      <x:c r="C2336" t="s">
        <x:v>10521</x:v>
      </x:c>
      <x:c r="D2336">
        <x:v>15</x:v>
      </x:c>
      <x:c r="E2336" t="s">
        <x:v>198</x:v>
      </x:c>
      <x:c r="F2336" t="s">
        <x:v>90</x:v>
      </x:c>
      <x:c r="G2336">
        <x:v>43637</x:v>
      </x:c>
      <x:c r="H2336" t="s">
        <x:v>10629</x:v>
      </x:c>
      <x:c r="I2336" t="s">
        <x:v>10630</x:v>
      </x:c>
      <x:c r="J2336" t="s">
        <x:v>10631</x:v>
      </x:c>
    </x:row>
    <x:row r="2337">
      <x:c r="A2337" t="s">
        <x:v>10632</x:v>
      </x:c>
      <x:c r="B2337" t="s">
        <x:v>10632</x:v>
      </x:c>
      <x:c r="C2337" t="s">
        <x:v>2072</x:v>
      </x:c>
      <x:c r="D2337">
        <x:v>21</x:v>
      </x:c>
      <x:c r="E2337" t="s">
        <x:v>198</x:v>
      </x:c>
      <x:c r="F2337" t="s">
        <x:v>90</x:v>
      </x:c>
      <x:c r="G2337">
        <x:v>44183</x:v>
      </x:c>
      <x:c r="H2337" t="s">
        <x:v>10633</x:v>
      </x:c>
      <x:c r="I2337" t="s">
        <x:v>10634</x:v>
      </x:c>
      <x:c r="J2337" t="s">
        <x:v>10635</x:v>
      </x:c>
    </x:row>
    <x:row r="2338">
      <x:c r="A2338" t="s">
        <x:v>10636</x:v>
      </x:c>
      <x:c r="B2338" t="s">
        <x:v>10636</x:v>
      </x:c>
      <x:c r="C2338" t="s">
        <x:v>10637</x:v>
      </x:c>
      <x:c r="D2338">
        <x:v>4</x:v>
      </x:c>
      <x:c r="E2338" t="s">
        <x:v>103</x:v>
      </x:c>
      <x:c r="F2338" t="s">
        <x:v>97</x:v>
      </x:c>
      <x:c r="G2338">
        <x:v>42207</x:v>
      </x:c>
      <x:c r="H2338" t="s">
        <x:v>10638</x:v>
      </x:c>
      <x:c r="I2338" t="s">
        <x:v>10639</x:v>
      </x:c>
      <x:c r="J2338" t="s">
        <x:v>10640</x:v>
      </x:c>
    </x:row>
    <x:row r="2339">
      <x:c r="A2339" t="s">
        <x:v>10641</x:v>
      </x:c>
      <x:c r="B2339" t="s">
        <x:v>10641</x:v>
      </x:c>
      <x:c r="C2339" t="s">
        <x:v>4833</x:v>
      </x:c>
      <x:c r="D2339">
        <x:v>12</x:v>
      </x:c>
      <x:c r="E2339" t="s">
        <x:v>103</x:v>
      </x:c>
      <x:c r="F2339" t="s">
        <x:v>97</x:v>
      </x:c>
      <x:c r="G2339">
        <x:v>45461</x:v>
      </x:c>
      <x:c r="H2339" t="s">
        <x:v>10642</x:v>
      </x:c>
      <x:c r="I2339" t="s">
        <x:v>10643</x:v>
      </x:c>
      <x:c r="J2339" t="s">
        <x:v>10644</x:v>
      </x:c>
    </x:row>
    <x:row r="2340">
      <x:c r="A2340" t="s">
        <x:v>10645</x:v>
      </x:c>
      <x:c r="B2340" t="s">
        <x:v>10645</x:v>
      </x:c>
      <x:c r="C2340" t="s">
        <x:v>7549</x:v>
      </x:c>
      <x:c r="D2340">
        <x:v>41</x:v>
      </x:c>
      <x:c r="E2340" t="s">
        <x:v>96</x:v>
      </x:c>
      <x:c r="F2340" t="s">
        <x:v>97</x:v>
      </x:c>
      <x:c r="G2340">
        <x:v>42348</x:v>
      </x:c>
      <x:c r="H2340" t="s">
        <x:v>10646</x:v>
      </x:c>
      <x:c r="I2340" t="s">
        <x:v>10647</x:v>
      </x:c>
      <x:c r="J2340" t="s">
        <x:v>10648</x:v>
      </x:c>
    </x:row>
    <x:row r="2341">
      <x:c r="A2341" t="s">
        <x:v>10649</x:v>
      </x:c>
      <x:c r="B2341" t="s">
        <x:v>10649</x:v>
      </x:c>
      <x:c r="C2341" t="s">
        <x:v>7323</x:v>
      </x:c>
      <x:c r="D2341">
        <x:v>5</x:v>
      </x:c>
      <x:c r="E2341" t="s">
        <x:v>89</x:v>
      </x:c>
      <x:c r="F2341" t="s">
        <x:v>90</x:v>
      </x:c>
      <x:c r="G2341">
        <x:v>44760</x:v>
      </x:c>
      <x:c r="H2341" t="s">
        <x:v>10650</x:v>
      </x:c>
      <x:c r="I2341" t="s">
        <x:v>10651</x:v>
      </x:c>
      <x:c r="J2341" t="s">
        <x:v>10652</x:v>
      </x:c>
    </x:row>
    <x:row r="2342">
      <x:c r="A2342" t="s">
        <x:v>10653</x:v>
      </x:c>
      <x:c r="B2342" t="s">
        <x:v>10653</x:v>
      </x:c>
      <x:c r="C2342" t="s">
        <x:v>1167</x:v>
      </x:c>
      <x:c r="D2342">
        <x:v>6</x:v>
      </x:c>
      <x:c r="E2342" t="s">
        <x:v>96</x:v>
      </x:c>
      <x:c r="F2342" t="s">
        <x:v>97</x:v>
      </x:c>
      <x:c r="G2342">
        <x:v>45960</x:v>
      </x:c>
      <x:c r="H2342" t="s">
        <x:v>10654</x:v>
      </x:c>
      <x:c r="I2342" t="s">
        <x:v>10655</x:v>
      </x:c>
      <x:c r="J2342" t="s">
        <x:v>10656</x:v>
      </x:c>
    </x:row>
    <x:row r="2343">
      <x:c r="A2343" t="s">
        <x:v>10657</x:v>
      </x:c>
      <x:c r="B2343" t="s">
        <x:v>10657</x:v>
      </x:c>
      <x:c r="C2343" t="s">
        <x:v>10658</x:v>
      </x:c>
      <x:c r="D2343">
        <x:v>116</x:v>
      </x:c>
      <x:c r="E2343" t="s">
        <x:v>96</x:v>
      </x:c>
      <x:c r="F2343" t="s">
        <x:v>97</x:v>
      </x:c>
      <x:c r="G2343">
        <x:v>44706</x:v>
      </x:c>
      <x:c r="H2343" t="s">
        <x:v>10659</x:v>
      </x:c>
      <x:c r="I2343" t="s">
        <x:v>10660</x:v>
      </x:c>
      <x:c r="J2343" t="s">
        <x:v>10661</x:v>
      </x:c>
    </x:row>
    <x:row r="2344">
      <x:c r="A2344" t="s">
        <x:v>10662</x:v>
      </x:c>
      <x:c r="B2344" t="s">
        <x:v>10662</x:v>
      </x:c>
      <x:c r="C2344" t="s">
        <x:v>10658</x:v>
      </x:c>
      <x:c r="D2344">
        <x:v>131</x:v>
      </x:c>
      <x:c r="E2344" t="s">
        <x:v>96</x:v>
      </x:c>
      <x:c r="F2344" t="s">
        <x:v>97</x:v>
      </x:c>
      <x:c r="G2344">
        <x:v>44879</x:v>
      </x:c>
      <x:c r="H2344" t="s">
        <x:v>10663</x:v>
      </x:c>
      <x:c r="I2344" t="s">
        <x:v>10664</x:v>
      </x:c>
      <x:c r="J2344" t="s">
        <x:v>10665</x:v>
      </x:c>
    </x:row>
    <x:row r="2345">
      <x:c r="A2345" t="s">
        <x:v>10666</x:v>
      </x:c>
      <x:c r="B2345" t="s">
        <x:v>10666</x:v>
      </x:c>
      <x:c r="C2345" t="s">
        <x:v>771</x:v>
      </x:c>
      <x:c r="D2345">
        <x:v>76</x:v>
      </x:c>
      <x:c r="E2345" t="s">
        <x:v>96</x:v>
      </x:c>
      <x:c r="F2345" t="s">
        <x:v>97</x:v>
      </x:c>
      <x:c r="G2345">
        <x:v>42583</x:v>
      </x:c>
      <x:c r="H2345" t="s">
        <x:v>10667</x:v>
      </x:c>
      <x:c r="I2345" t="s">
        <x:v>10668</x:v>
      </x:c>
      <x:c r="J2345" t="s">
        <x:v>10669</x:v>
      </x:c>
    </x:row>
    <x:row r="2346">
      <x:c r="A2346" t="s">
        <x:v>10670</x:v>
      </x:c>
      <x:c r="B2346" t="s">
        <x:v>10670</x:v>
      </x:c>
      <x:c r="C2346" t="s">
        <x:v>771</x:v>
      </x:c>
      <x:c r="D2346">
        <x:v>113</x:v>
      </x:c>
      <x:c r="E2346" t="s">
        <x:v>96</x:v>
      </x:c>
      <x:c r="F2346" t="s">
        <x:v>97</x:v>
      </x:c>
      <x:c r="G2346">
        <x:v>43280</x:v>
      </x:c>
      <x:c r="H2346" t="s">
        <x:v>10671</x:v>
      </x:c>
      <x:c r="I2346" t="s">
        <x:v>10672</x:v>
      </x:c>
      <x:c r="J2346" t="s">
        <x:v>10673</x:v>
      </x:c>
    </x:row>
    <x:row r="2347">
      <x:c r="A2347" t="s">
        <x:v>10674</x:v>
      </x:c>
      <x:c r="B2347" t="s">
        <x:v>10674</x:v>
      </x:c>
      <x:c r="C2347" t="s">
        <x:v>771</x:v>
      </x:c>
      <x:c r="D2347">
        <x:v>150</x:v>
      </x:c>
      <x:c r="E2347" t="s">
        <x:v>96</x:v>
      </x:c>
      <x:c r="F2347" t="s">
        <x:v>97</x:v>
      </x:c>
      <x:c r="G2347">
        <x:v>44868</x:v>
      </x:c>
      <x:c r="H2347" t="s">
        <x:v>10675</x:v>
      </x:c>
      <x:c r="I2347" t="s">
        <x:v>10676</x:v>
      </x:c>
      <x:c r="J2347" t="s">
        <x:v>10677</x:v>
      </x:c>
    </x:row>
    <x:row r="2348">
      <x:c r="A2348" t="s">
        <x:v>10678</x:v>
      </x:c>
      <x:c r="B2348" t="s">
        <x:v>10678</x:v>
      </x:c>
      <x:c r="C2348" t="s">
        <x:v>10679</x:v>
      </x:c>
      <x:c r="D2348">
        <x:v>27</x:v>
      </x:c>
      <x:c r="E2348" t="s">
        <x:v>96</x:v>
      </x:c>
      <x:c r="F2348" t="s">
        <x:v>97</x:v>
      </x:c>
      <x:c r="G2348">
        <x:v>44581</x:v>
      </x:c>
      <x:c r="H2348" t="s">
        <x:v>10680</x:v>
      </x:c>
      <x:c r="I2348" t="s">
        <x:v>10681</x:v>
      </x:c>
      <x:c r="J2348" t="s">
        <x:v>10682</x:v>
      </x:c>
    </x:row>
    <x:row r="2349">
      <x:c r="A2349" t="s">
        <x:v>10683</x:v>
      </x:c>
      <x:c r="B2349" t="s">
        <x:v>10683</x:v>
      </x:c>
      <x:c r="C2349" t="s">
        <x:v>3924</x:v>
      </x:c>
      <x:c r="D2349">
        <x:v>37</x:v>
      </x:c>
      <x:c r="E2349" t="s">
        <x:v>89</x:v>
      </x:c>
      <x:c r="F2349" t="s">
        <x:v>97</x:v>
      </x:c>
      <x:c r="G2349">
        <x:v>45900</x:v>
      </x:c>
      <x:c r="H2349" t="s">
        <x:v>10684</x:v>
      </x:c>
      <x:c r="I2349" t="s">
        <x:v>10685</x:v>
      </x:c>
      <x:c r="J2349" t="s">
        <x:v>10686</x:v>
      </x:c>
    </x:row>
    <x:row r="2350">
      <x:c r="A2350" t="s">
        <x:v>10687</x:v>
      </x:c>
      <x:c r="B2350" t="s">
        <x:v>10687</x:v>
      </x:c>
      <x:c r="C2350" t="s">
        <x:v>9809</x:v>
      </x:c>
      <x:c r="D2350">
        <x:v>6</x:v>
      </x:c>
      <x:c r="E2350" t="s">
        <x:v>257</x:v>
      </x:c>
      <x:c r="F2350" t="s">
        <x:v>97</x:v>
      </x:c>
      <x:c r="G2350">
        <x:v>42235</x:v>
      </x:c>
      <x:c r="H2350" t="s">
        <x:v>10688</x:v>
      </x:c>
      <x:c r="I2350" t="s">
        <x:v>10689</x:v>
      </x:c>
      <x:c r="J2350" t="s">
        <x:v>10690</x:v>
      </x:c>
    </x:row>
    <x:row r="2351">
      <x:c r="A2351" t="s">
        <x:v>10691</x:v>
      </x:c>
      <x:c r="B2351" t="s">
        <x:v>10691</x:v>
      </x:c>
      <x:c r="C2351" t="s">
        <x:v>262</x:v>
      </x:c>
      <x:c r="D2351">
        <x:v>10</x:v>
      </x:c>
      <x:c r="E2351" t="s">
        <x:v>103</x:v>
      </x:c>
      <x:c r="F2351" t="s">
        <x:v>97</x:v>
      </x:c>
      <x:c r="G2351">
        <x:v>42102</x:v>
      </x:c>
      <x:c r="H2351" t="s">
        <x:v>10692</x:v>
      </x:c>
      <x:c r="I2351" t="s">
        <x:v>10693</x:v>
      </x:c>
      <x:c r="J2351" t="s">
        <x:v>10694</x:v>
      </x:c>
    </x:row>
    <x:row r="2352">
      <x:c r="A2352" t="s">
        <x:v>10695</x:v>
      </x:c>
      <x:c r="B2352" t="s">
        <x:v>10695</x:v>
      </x:c>
      <x:c r="C2352" t="s">
        <x:v>10696</x:v>
      </x:c>
      <x:c r="D2352">
        <x:v>5</x:v>
      </x:c>
      <x:c r="E2352" t="s">
        <x:v>257</x:v>
      </x:c>
      <x:c r="F2352" t="s">
        <x:v>97</x:v>
      </x:c>
      <x:c r="G2352">
        <x:v>42311</x:v>
      </x:c>
      <x:c r="H2352" t="s">
        <x:v>10697</x:v>
      </x:c>
      <x:c r="I2352" t="s">
        <x:v>10698</x:v>
      </x:c>
      <x:c r="J2352" t="s">
        <x:v>10699</x:v>
      </x:c>
    </x:row>
    <x:row r="2353">
      <x:c r="A2353" t="s">
        <x:v>10700</x:v>
      </x:c>
      <x:c r="B2353" t="s">
        <x:v>10700</x:v>
      </x:c>
      <x:c r="C2353" t="s">
        <x:v>771</x:v>
      </x:c>
      <x:c r="D2353">
        <x:v>114</x:v>
      </x:c>
      <x:c r="E2353" t="s">
        <x:v>96</x:v>
      </x:c>
      <x:c r="F2353" t="s">
        <x:v>97</x:v>
      </x:c>
      <x:c r="G2353">
        <x:v>45498</x:v>
      </x:c>
      <x:c r="H2353" t="s">
        <x:v>10701</x:v>
      </x:c>
      <x:c r="I2353" t="s">
        <x:v>10702</x:v>
      </x:c>
      <x:c r="J2353" t="s">
        <x:v>10703</x:v>
      </x:c>
    </x:row>
    <x:row r="2354">
      <x:c r="A2354" t="s">
        <x:v>10704</x:v>
      </x:c>
      <x:c r="B2354" t="s">
        <x:v>10704</x:v>
      </x:c>
      <x:c r="C2354" t="s">
        <x:v>771</x:v>
      </x:c>
      <x:c r="D2354">
        <x:v>86</x:v>
      </x:c>
      <x:c r="E2354" t="s">
        <x:v>96</x:v>
      </x:c>
      <x:c r="F2354" t="s">
        <x:v>97</x:v>
      </x:c>
      <x:c r="G2354">
        <x:v>41831</x:v>
      </x:c>
      <x:c r="H2354" t="s">
        <x:v>10705</x:v>
      </x:c>
      <x:c r="I2354" t="s">
        <x:v>10706</x:v>
      </x:c>
      <x:c r="J2354" t="s">
        <x:v>10707</x:v>
      </x:c>
    </x:row>
    <x:row r="2355">
      <x:c r="A2355" t="s">
        <x:v>10708</x:v>
      </x:c>
      <x:c r="B2355" t="s">
        <x:v>10708</x:v>
      </x:c>
      <x:c r="C2355" t="s">
        <x:v>771</x:v>
      </x:c>
      <x:c r="D2355">
        <x:v>121</x:v>
      </x:c>
      <x:c r="E2355" t="s">
        <x:v>89</x:v>
      </x:c>
      <x:c r="F2355" t="s">
        <x:v>97</x:v>
      </x:c>
      <x:c r="G2355">
        <x:v>42121</x:v>
      </x:c>
      <x:c r="H2355" t="s">
        <x:v>10709</x:v>
      </x:c>
      <x:c r="I2355" t="s">
        <x:v>10710</x:v>
      </x:c>
      <x:c r="J2355" t="s">
        <x:v>10711</x:v>
      </x:c>
    </x:row>
    <x:row r="2356">
      <x:c r="A2356" t="s">
        <x:v>10712</x:v>
      </x:c>
      <x:c r="B2356" t="s">
        <x:v>10712</x:v>
      </x:c>
      <x:c r="C2356" t="s">
        <x:v>771</x:v>
      </x:c>
      <x:c r="D2356">
        <x:v>152</x:v>
      </x:c>
      <x:c r="E2356" t="s">
        <x:v>89</x:v>
      </x:c>
      <x:c r="F2356" t="s">
        <x:v>97</x:v>
      </x:c>
      <x:c r="G2356">
        <x:v>42725</x:v>
      </x:c>
      <x:c r="H2356" t="s">
        <x:v>10713</x:v>
      </x:c>
      <x:c r="I2356" t="s">
        <x:v>10714</x:v>
      </x:c>
      <x:c r="J2356" t="s">
        <x:v>10715</x:v>
      </x:c>
    </x:row>
    <x:row r="2357">
      <x:c r="A2357" t="s">
        <x:v>10716</x:v>
      </x:c>
      <x:c r="B2357" t="s">
        <x:v>10716</x:v>
      </x:c>
      <x:c r="C2357" t="s">
        <x:v>1751</x:v>
      </x:c>
      <x:c r="D2357">
        <x:v>93</x:v>
      </x:c>
      <x:c r="E2357" t="s">
        <x:v>96</x:v>
      </x:c>
      <x:c r="F2357" t="s">
        <x:v>97</x:v>
      </x:c>
      <x:c r="G2357">
        <x:v>45800</x:v>
      </x:c>
      <x:c r="H2357" t="s">
        <x:v>10717</x:v>
      </x:c>
      <x:c r="I2357" t="s">
        <x:v>10718</x:v>
      </x:c>
      <x:c r="J2357" t="s">
        <x:v>10719</x:v>
      </x:c>
    </x:row>
    <x:row r="2358">
      <x:c r="A2358" t="s">
        <x:v>10720</x:v>
      </x:c>
      <x:c r="B2358" t="s">
        <x:v>10720</x:v>
      </x:c>
      <x:c r="C2358" t="s">
        <x:v>10721</x:v>
      </x:c>
      <x:c r="D2358">
        <x:v>6</x:v>
      </x:c>
      <x:c r="E2358" t="s">
        <x:v>257</x:v>
      </x:c>
      <x:c r="F2358" t="s">
        <x:v>97</x:v>
      </x:c>
      <x:c r="G2358">
        <x:v>42339</x:v>
      </x:c>
      <x:c r="H2358" t="s">
        <x:v>10722</x:v>
      </x:c>
      <x:c r="I2358" t="s">
        <x:v>10723</x:v>
      </x:c>
      <x:c r="J2358" t="s">
        <x:v>10724</x:v>
      </x:c>
    </x:row>
    <x:row r="2359">
      <x:c r="A2359" t="s">
        <x:v>10725</x:v>
      </x:c>
      <x:c r="B2359" t="s">
        <x:v>10725</x:v>
      </x:c>
      <x:c r="C2359" t="s">
        <x:v>1594</x:v>
      </x:c>
      <x:c r="D2359">
        <x:v>14</x:v>
      </x:c>
      <x:c r="E2359" t="s">
        <x:v>114</x:v>
      </x:c>
      <x:c r="F2359" t="s">
        <x:v>90</x:v>
      </x:c>
      <x:c r="G2359">
        <x:v>45447</x:v>
      </x:c>
      <x:c r="H2359" t="s">
        <x:v>10726</x:v>
      </x:c>
      <x:c r="I2359" t="s">
        <x:v>10727</x:v>
      </x:c>
      <x:c r="J2359" t="s">
        <x:v>10728</x:v>
      </x:c>
    </x:row>
    <x:row r="2360">
      <x:c r="A2360" t="s">
        <x:v>10729</x:v>
      </x:c>
      <x:c r="B2360" t="s">
        <x:v>10729</x:v>
      </x:c>
      <x:c r="C2360" t="s">
        <x:v>7096</x:v>
      </x:c>
      <x:c r="D2360">
        <x:v>10</x:v>
      </x:c>
      <x:c r="E2360" t="s">
        <x:v>198</x:v>
      </x:c>
      <x:c r="F2360" t="s">
        <x:v>90</x:v>
      </x:c>
      <x:c r="G2360">
        <x:v>45941</x:v>
      </x:c>
      <x:c r="H2360" t="s">
        <x:v>10730</x:v>
      </x:c>
      <x:c r="I2360" t="s">
        <x:v>10731</x:v>
      </x:c>
      <x:c r="J2360" t="s">
        <x:v>10732</x:v>
      </x:c>
    </x:row>
    <x:row r="2361">
      <x:c r="A2361" t="s">
        <x:v>10733</x:v>
      </x:c>
      <x:c r="B2361" t="s">
        <x:v>10733</x:v>
      </x:c>
      <x:c r="C2361" t="s">
        <x:v>10734</x:v>
      </x:c>
      <x:c r="D2361">
        <x:v>45</x:v>
      </x:c>
      <x:c r="E2361" t="s">
        <x:v>103</x:v>
      </x:c>
      <x:c r="F2361" t="s">
        <x:v>97</x:v>
      </x:c>
      <x:c r="G2361">
        <x:v>43218</x:v>
      </x:c>
      <x:c r="H2361" t="s">
        <x:v>10735</x:v>
      </x:c>
      <x:c r="I2361" t="s">
        <x:v>10736</x:v>
      </x:c>
      <x:c r="J2361" t="s">
        <x:v>10737</x:v>
      </x:c>
    </x:row>
    <x:row r="2362">
      <x:c r="A2362" t="s">
        <x:v>10738</x:v>
      </x:c>
      <x:c r="B2362" t="s">
        <x:v>10738</x:v>
      </x:c>
      <x:c r="C2362" t="s">
        <x:v>7238</x:v>
      </x:c>
      <x:c r="D2362">
        <x:v>10</x:v>
      </x:c>
      <x:c r="E2362" t="s">
        <x:v>89</x:v>
      </x:c>
      <x:c r="F2362" t="s">
        <x:v>90</x:v>
      </x:c>
      <x:c r="G2362">
        <x:v>45078</x:v>
      </x:c>
      <x:c r="H2362" t="s">
        <x:v>10739</x:v>
      </x:c>
      <x:c r="I2362" t="s">
        <x:v>10740</x:v>
      </x:c>
      <x:c r="J2362" t="s">
        <x:v>10741</x:v>
      </x:c>
    </x:row>
    <x:row r="2363">
      <x:c r="A2363" t="s">
        <x:v>10742</x:v>
      </x:c>
      <x:c r="B2363" t="s">
        <x:v>10742</x:v>
      </x:c>
      <x:c r="C2363" t="s">
        <x:v>10743</x:v>
      </x:c>
      <x:c r="D2363">
        <x:v>10</x:v>
      </x:c>
      <x:c r="E2363" t="s">
        <x:v>257</x:v>
      </x:c>
      <x:c r="F2363" t="s">
        <x:v>97</x:v>
      </x:c>
      <x:c r="G2363">
        <x:v>41545</x:v>
      </x:c>
      <x:c r="H2363" t="s">
        <x:v>10744</x:v>
      </x:c>
      <x:c r="I2363" t="s">
        <x:v>10745</x:v>
      </x:c>
      <x:c r="J2363" t="s">
        <x:v>10746</x:v>
      </x:c>
    </x:row>
    <x:row r="2364">
      <x:c r="A2364" t="s">
        <x:v>10747</x:v>
      </x:c>
      <x:c r="B2364" t="s">
        <x:v>10747</x:v>
      </x:c>
      <x:c r="C2364" t="s">
        <x:v>10743</x:v>
      </x:c>
      <x:c r="D2364">
        <x:v>8</x:v>
      </x:c>
      <x:c r="E2364" t="s">
        <x:v>103</x:v>
      </x:c>
      <x:c r="F2364" t="s">
        <x:v>97</x:v>
      </x:c>
      <x:c r="G2364">
        <x:v>41573</x:v>
      </x:c>
      <x:c r="H2364" t="s">
        <x:v>10748</x:v>
      </x:c>
      <x:c r="I2364" t="s">
        <x:v>10749</x:v>
      </x:c>
      <x:c r="J2364" t="s">
        <x:v>10750</x:v>
      </x:c>
    </x:row>
    <x:row r="2365">
      <x:c r="A2365" t="s">
        <x:v>10751</x:v>
      </x:c>
      <x:c r="B2365" t="s">
        <x:v>10751</x:v>
      </x:c>
      <x:c r="C2365" t="s">
        <x:v>10752</x:v>
      </x:c>
      <x:c r="D2365">
        <x:v>3</x:v>
      </x:c>
      <x:c r="E2365" t="s">
        <x:v>103</x:v>
      </x:c>
      <x:c r="F2365" t="s">
        <x:v>97</x:v>
      </x:c>
      <x:c r="G2365">
        <x:v>42040</x:v>
      </x:c>
      <x:c r="H2365" t="s">
        <x:v>10753</x:v>
      </x:c>
      <x:c r="I2365" t="s">
        <x:v>10754</x:v>
      </x:c>
      <x:c r="J2365" t="s">
        <x:v>10755</x:v>
      </x:c>
    </x:row>
    <x:row r="2366">
      <x:c r="A2366" t="s">
        <x:v>10756</x:v>
      </x:c>
      <x:c r="B2366" t="s">
        <x:v>10756</x:v>
      </x:c>
      <x:c r="C2366" t="s">
        <x:v>2099</x:v>
      </x:c>
      <x:c r="D2366">
        <x:v>5</x:v>
      </x:c>
      <x:c r="E2366" t="s">
        <x:v>96</x:v>
      </x:c>
      <x:c r="F2366" t="s">
        <x:v>610</x:v>
      </x:c>
      <x:c r="G2366">
        <x:v>43520</x:v>
      </x:c>
      <x:c r="H2366" t="s">
        <x:v>10757</x:v>
      </x:c>
      <x:c r="I2366" t="s">
        <x:v>10758</x:v>
      </x:c>
      <x:c r="J2366" t="s">
        <x:v>10759</x:v>
      </x:c>
    </x:row>
    <x:row r="2367">
      <x:c r="A2367" t="s">
        <x:v>10760</x:v>
      </x:c>
      <x:c r="B2367" t="s">
        <x:v>10760</x:v>
      </x:c>
      <x:c r="C2367" t="s">
        <x:v>742</x:v>
      </x:c>
      <x:c r="D2367">
        <x:v>0</x:v>
      </x:c>
      <x:c r="E2367" t="s">
        <x:v>257</x:v>
      </x:c>
      <x:c r="F2367" t="s">
        <x:v>97</x:v>
      </x:c>
      <x:c r="G2367">
        <x:v>45604</x:v>
      </x:c>
      <x:c r="H2367" t="s">
        <x:v>10761</x:v>
      </x:c>
      <x:c r="I2367" t="s">
        <x:v>10762</x:v>
      </x:c>
      <x:c r="J2367" t="s">
        <x:v>10763</x:v>
      </x:c>
    </x:row>
    <x:row r="2368">
      <x:c r="A2368" t="s">
        <x:v>10764</x:v>
      </x:c>
      <x:c r="B2368" t="s">
        <x:v>10764</x:v>
      </x:c>
      <x:c r="C2368" t="s">
        <x:v>379</x:v>
      </x:c>
      <x:c r="D2368">
        <x:v>1</x:v>
      </x:c>
      <x:c r="E2368" t="s">
        <x:v>114</x:v>
      </x:c>
      <x:c r="F2368" t="s">
        <x:v>90</x:v>
      </x:c>
      <x:c r="G2368">
        <x:v>45074</x:v>
      </x:c>
      <x:c r="H2368" t="s">
        <x:v>10765</x:v>
      </x:c>
      <x:c r="I2368" t="s">
        <x:v>10766</x:v>
      </x:c>
      <x:c r="J2368" t="s">
        <x:v>10767</x:v>
      </x:c>
    </x:row>
    <x:row r="2369">
      <x:c r="A2369" t="s">
        <x:v>10768</x:v>
      </x:c>
      <x:c r="B2369" t="s">
        <x:v>10768</x:v>
      </x:c>
      <x:c r="C2369" t="s">
        <x:v>379</x:v>
      </x:c>
      <x:c r="D2369">
        <x:v>1</x:v>
      </x:c>
      <x:c r="E2369" t="s">
        <x:v>125</x:v>
      </x:c>
      <x:c r="F2369" t="s">
        <x:v>90</x:v>
      </x:c>
      <x:c r="G2369">
        <x:v>46000</x:v>
      </x:c>
      <x:c r="H2369" t="s">
        <x:v>10769</x:v>
      </x:c>
      <x:c r="I2369" t="s">
        <x:v>10770</x:v>
      </x:c>
      <x:c r="J2369" t="s">
        <x:v>10771</x:v>
      </x:c>
    </x:row>
    <x:row r="2370">
      <x:c r="A2370" t="s">
        <x:v>10772</x:v>
      </x:c>
      <x:c r="B2370" t="s">
        <x:v>10772</x:v>
      </x:c>
      <x:c r="C2370" t="s">
        <x:v>1955</x:v>
      </x:c>
      <x:c r="D2370">
        <x:v>0</x:v>
      </x:c>
      <x:c r="E2370" t="s">
        <x:v>198</x:v>
      </x:c>
      <x:c r="F2370" t="s">
        <x:v>90</x:v>
      </x:c>
      <x:c r="G2370">
        <x:v>46090</x:v>
      </x:c>
      <x:c r="H2370" t="s">
        <x:v>10773</x:v>
      </x:c>
      <x:c r="I2370" t="s">
        <x:v>10774</x:v>
      </x:c>
      <x:c r="J2370" t="s">
        <x:v>10775</x:v>
      </x:c>
    </x:row>
    <x:row r="2371">
      <x:c r="A2371" t="s">
        <x:v>10776</x:v>
      </x:c>
      <x:c r="B2371" t="s">
        <x:v>10776</x:v>
      </x:c>
      <x:c r="C2371" t="s">
        <x:v>2099</x:v>
      </x:c>
      <x:c r="D2371">
        <x:v>12</x:v>
      </x:c>
      <x:c r="E2371" t="s">
        <x:v>198</x:v>
      </x:c>
      <x:c r="F2371" t="s">
        <x:v>90</x:v>
      </x:c>
      <x:c r="G2371">
        <x:v>43696</x:v>
      </x:c>
      <x:c r="H2371" t="s">
        <x:v>10777</x:v>
      </x:c>
      <x:c r="I2371" t="s">
        <x:v>10778</x:v>
      </x:c>
      <x:c r="J2371" t="s">
        <x:v>10779</x:v>
      </x:c>
    </x:row>
    <x:row r="2372">
      <x:c r="A2372" t="s">
        <x:v>10780</x:v>
      </x:c>
      <x:c r="B2372" t="s">
        <x:v>10780</x:v>
      </x:c>
      <x:c r="C2372" t="s">
        <x:v>447</x:v>
      </x:c>
      <x:c r="D2372">
        <x:v>6</x:v>
      </x:c>
      <x:c r="E2372" t="s">
        <x:v>257</x:v>
      </x:c>
      <x:c r="F2372" t="s">
        <x:v>97</x:v>
      </x:c>
      <x:c r="G2372">
        <x:v>42027</x:v>
      </x:c>
      <x:c r="H2372" t="s">
        <x:v>10781</x:v>
      </x:c>
      <x:c r="I2372" t="s">
        <x:v>10782</x:v>
      </x:c>
      <x:c r="J2372" t="s">
        <x:v>10783</x:v>
      </x:c>
    </x:row>
    <x:row r="2373">
      <x:c r="A2373" t="s">
        <x:v>10784</x:v>
      </x:c>
      <x:c r="B2373" t="s">
        <x:v>10784</x:v>
      </x:c>
      <x:c r="C2373" t="s">
        <x:v>447</x:v>
      </x:c>
      <x:c r="D2373">
        <x:v>9</x:v>
      </x:c>
      <x:c r="E2373" t="s">
        <x:v>103</x:v>
      </x:c>
      <x:c r="F2373" t="s">
        <x:v>97</x:v>
      </x:c>
      <x:c r="G2373">
        <x:v>41701</x:v>
      </x:c>
      <x:c r="H2373" t="s">
        <x:v>10785</x:v>
      </x:c>
      <x:c r="I2373" t="s">
        <x:v>10786</x:v>
      </x:c>
      <x:c r="J2373" t="s">
        <x:v>10787</x:v>
      </x:c>
    </x:row>
    <x:row r="2374">
      <x:c r="A2374" t="s">
        <x:v>10788</x:v>
      </x:c>
      <x:c r="B2374" t="s">
        <x:v>10788</x:v>
      </x:c>
      <x:c r="C2374" t="s">
        <x:v>3611</x:v>
      </x:c>
      <x:c r="D2374">
        <x:v>12</x:v>
      </x:c>
      <x:c r="E2374" t="s">
        <x:v>198</x:v>
      </x:c>
      <x:c r="F2374" t="s">
        <x:v>90</x:v>
      </x:c>
      <x:c r="G2374">
        <x:v>45603</x:v>
      </x:c>
      <x:c r="H2374" t="s">
        <x:v>10789</x:v>
      </x:c>
      <x:c r="I2374" t="s">
        <x:v>10790</x:v>
      </x:c>
      <x:c r="J2374" t="s">
        <x:v>10791</x:v>
      </x:c>
    </x:row>
    <x:row r="2375">
      <x:c r="A2375" t="s">
        <x:v>10792</x:v>
      </x:c>
      <x:c r="B2375" t="s">
        <x:v>10792</x:v>
      </x:c>
      <x:c r="C2375" t="s">
        <x:v>10793</x:v>
      </x:c>
      <x:c r="D2375">
        <x:v>14</x:v>
      </x:c>
      <x:c r="E2375" t="s">
        <x:v>114</x:v>
      </x:c>
      <x:c r="F2375" t="s">
        <x:v>90</x:v>
      </x:c>
      <x:c r="G2375">
        <x:v>46101</x:v>
      </x:c>
      <x:c r="H2375" t="s">
        <x:v>10794</x:v>
      </x:c>
      <x:c r="I2375" t="s">
        <x:v>10795</x:v>
      </x:c>
      <x:c r="J2375" t="s">
        <x:v>10796</x:v>
      </x:c>
    </x:row>
    <x:row r="2376">
      <x:c r="A2376" t="s">
        <x:v>10797</x:v>
      </x:c>
      <x:c r="B2376" t="s">
        <x:v>10797</x:v>
      </x:c>
      <x:c r="C2376" t="s">
        <x:v>1516</x:v>
      </x:c>
      <x:c r="D2376">
        <x:v>12</x:v>
      </x:c>
      <x:c r="E2376" t="s">
        <x:v>198</x:v>
      </x:c>
      <x:c r="F2376" t="s">
        <x:v>90</x:v>
      </x:c>
      <x:c r="G2376">
        <x:v>45389</x:v>
      </x:c>
      <x:c r="H2376" t="s">
        <x:v>10798</x:v>
      </x:c>
      <x:c r="I2376" t="s">
        <x:v>10799</x:v>
      </x:c>
      <x:c r="J2376" t="s">
        <x:v>10800</x:v>
      </x:c>
    </x:row>
    <x:row r="2377">
      <x:c r="A2377" t="s">
        <x:v>10801</x:v>
      </x:c>
      <x:c r="B2377" t="s">
        <x:v>10801</x:v>
      </x:c>
      <x:c r="C2377" t="s">
        <x:v>10802</x:v>
      </x:c>
      <x:c r="D2377">
        <x:v>100</x:v>
      </x:c>
      <x:c r="E2377" t="s">
        <x:v>96</x:v>
      </x:c>
      <x:c r="F2377" t="s">
        <x:v>97</x:v>
      </x:c>
      <x:c r="G2377">
        <x:v>42167</x:v>
      </x:c>
      <x:c r="H2377" t="s">
        <x:v>10803</x:v>
      </x:c>
      <x:c r="I2377" t="s">
        <x:v>10804</x:v>
      </x:c>
      <x:c r="J2377" t="s">
        <x:v>10805</x:v>
      </x:c>
    </x:row>
    <x:row r="2378">
      <x:c r="A2378" t="s">
        <x:v>10806</x:v>
      </x:c>
      <x:c r="B2378" t="s">
        <x:v>10806</x:v>
      </x:c>
      <x:c r="C2378" t="s">
        <x:v>10802</x:v>
      </x:c>
      <x:c r="D2378">
        <x:v>107</x:v>
      </x:c>
      <x:c r="E2378" t="s">
        <x:v>96</x:v>
      </x:c>
      <x:c r="F2378" t="s">
        <x:v>97</x:v>
      </x:c>
      <x:c r="G2378">
        <x:v>42594</x:v>
      </x:c>
      <x:c r="H2378" t="s">
        <x:v>10807</x:v>
      </x:c>
      <x:c r="I2378" t="s">
        <x:v>10808</x:v>
      </x:c>
      <x:c r="J2378" t="s">
        <x:v>10809</x:v>
      </x:c>
    </x:row>
    <x:row r="2379">
      <x:c r="A2379" t="s">
        <x:v>10810</x:v>
      </x:c>
      <x:c r="B2379" t="s">
        <x:v>10810</x:v>
      </x:c>
      <x:c r="C2379" t="s">
        <x:v>2939</x:v>
      </x:c>
      <x:c r="D2379">
        <x:v>102</x:v>
      </x:c>
      <x:c r="E2379" t="s">
        <x:v>96</x:v>
      </x:c>
      <x:c r="F2379" t="s">
        <x:v>97</x:v>
      </x:c>
      <x:c r="G2379">
        <x:v>41916</x:v>
      </x:c>
      <x:c r="H2379" t="s">
        <x:v>10811</x:v>
      </x:c>
      <x:c r="I2379" t="s">
        <x:v>10812</x:v>
      </x:c>
      <x:c r="J2379" t="s">
        <x:v>10813</x:v>
      </x:c>
    </x:row>
    <x:row r="2380">
      <x:c r="A2380" t="s">
        <x:v>10814</x:v>
      </x:c>
      <x:c r="B2380" t="s">
        <x:v>10814</x:v>
      </x:c>
      <x:c r="C2380" t="s">
        <x:v>2939</x:v>
      </x:c>
      <x:c r="D2380">
        <x:v>23</x:v>
      </x:c>
      <x:c r="E2380" t="s">
        <x:v>103</x:v>
      </x:c>
      <x:c r="F2380" t="s">
        <x:v>97</x:v>
      </x:c>
      <x:c r="G2380">
        <x:v>41808</x:v>
      </x:c>
      <x:c r="H2380" t="s">
        <x:v>10815</x:v>
      </x:c>
      <x:c r="I2380" t="s">
        <x:v>10816</x:v>
      </x:c>
      <x:c r="J2380" t="s">
        <x:v>10817</x:v>
      </x:c>
    </x:row>
    <x:row r="2381">
      <x:c r="A2381" t="s">
        <x:v>10818</x:v>
      </x:c>
      <x:c r="B2381" t="s">
        <x:v>10818</x:v>
      </x:c>
      <x:c r="C2381" t="s">
        <x:v>666</x:v>
      </x:c>
      <x:c r="D2381">
        <x:v>4</x:v>
      </x:c>
      <x:c r="E2381" t="s">
        <x:v>89</x:v>
      </x:c>
      <x:c r="F2381" t="s">
        <x:v>152</x:v>
      </x:c>
      <x:c r="G2381">
        <x:v>46113</x:v>
      </x:c>
      <x:c r="H2381" t="s">
        <x:v>10819</x:v>
      </x:c>
      <x:c r="I2381" t="s">
        <x:v>10820</x:v>
      </x:c>
      <x:c r="J2381" t="s">
        <x:v>10821</x:v>
      </x:c>
    </x:row>
    <x:row r="2382">
      <x:c r="A2382" t="s">
        <x:v>10822</x:v>
      </x:c>
      <x:c r="B2382" t="s">
        <x:v>10822</x:v>
      </x:c>
      <x:c r="C2382" t="s">
        <x:v>237</x:v>
      </x:c>
      <x:c r="D2382">
        <x:v>4</x:v>
      </x:c>
      <x:c r="E2382" t="s">
        <x:v>198</x:v>
      </x:c>
      <x:c r="F2382" t="s">
        <x:v>90</x:v>
      </x:c>
      <x:c r="G2382">
        <x:v>44592</x:v>
      </x:c>
      <x:c r="H2382" t="s">
        <x:v>10823</x:v>
      </x:c>
      <x:c r="I2382" t="s">
        <x:v>10824</x:v>
      </x:c>
      <x:c r="J2382" t="s">
        <x:v>10825</x:v>
      </x:c>
    </x:row>
    <x:row r="2383">
      <x:c r="A2383" t="s">
        <x:v>10826</x:v>
      </x:c>
      <x:c r="B2383" t="s">
        <x:v>10826</x:v>
      </x:c>
      <x:c r="C2383" t="s">
        <x:v>10827</x:v>
      </x:c>
      <x:c r="D2383">
        <x:v>32</x:v>
      </x:c>
      <x:c r="E2383" t="s">
        <x:v>257</x:v>
      </x:c>
      <x:c r="F2383" t="s">
        <x:v>97</x:v>
      </x:c>
      <x:c r="G2383">
        <x:v>41570</x:v>
      </x:c>
      <x:c r="H2383" t="s">
        <x:v>10828</x:v>
      </x:c>
      <x:c r="I2383" t="s">
        <x:v>10829</x:v>
      </x:c>
      <x:c r="J2383" t="s">
        <x:v>10830</x:v>
      </x:c>
    </x:row>
    <x:row r="2384">
      <x:c r="A2384" t="s">
        <x:v>10831</x:v>
      </x:c>
      <x:c r="B2384" t="s">
        <x:v>10831</x:v>
      </x:c>
      <x:c r="C2384" t="s">
        <x:v>10832</x:v>
      </x:c>
      <x:c r="D2384">
        <x:v>34</x:v>
      </x:c>
      <x:c r="E2384" t="s">
        <x:v>96</x:v>
      </x:c>
      <x:c r="F2384" t="s">
        <x:v>97</x:v>
      </x:c>
      <x:c r="G2384">
        <x:v>44655</x:v>
      </x:c>
      <x:c r="H2384" t="s">
        <x:v>10833</x:v>
      </x:c>
      <x:c r="I2384" t="s">
        <x:v>10834</x:v>
      </x:c>
      <x:c r="J2384" t="s">
        <x:v>10835</x:v>
      </x:c>
    </x:row>
    <x:row r="2385">
      <x:c r="A2385" t="s">
        <x:v>10836</x:v>
      </x:c>
      <x:c r="B2385" t="s">
        <x:v>10836</x:v>
      </x:c>
      <x:c r="C2385" t="s">
        <x:v>10832</x:v>
      </x:c>
      <x:c r="D2385">
        <x:v>41</x:v>
      </x:c>
      <x:c r="E2385" t="s">
        <x:v>96</x:v>
      </x:c>
      <x:c r="F2385" t="s">
        <x:v>97</x:v>
      </x:c>
      <x:c r="G2385">
        <x:v>44736</x:v>
      </x:c>
      <x:c r="H2385" t="s">
        <x:v>10837</x:v>
      </x:c>
      <x:c r="I2385" t="s">
        <x:v>10838</x:v>
      </x:c>
      <x:c r="J2385" t="s">
        <x:v>10839</x:v>
      </x:c>
    </x:row>
    <x:row r="2386">
      <x:c r="A2386" t="s">
        <x:v>10840</x:v>
      </x:c>
      <x:c r="B2386" t="s">
        <x:v>10840</x:v>
      </x:c>
      <x:c r="C2386" t="s">
        <x:v>10832</x:v>
      </x:c>
      <x:c r="D2386">
        <x:v>44</x:v>
      </x:c>
      <x:c r="E2386" t="s">
        <x:v>96</x:v>
      </x:c>
      <x:c r="F2386" t="s">
        <x:v>97</x:v>
      </x:c>
      <x:c r="G2386">
        <x:v>44914</x:v>
      </x:c>
      <x:c r="H2386" t="s">
        <x:v>10841</x:v>
      </x:c>
      <x:c r="I2386" t="s">
        <x:v>10842</x:v>
      </x:c>
      <x:c r="J2386" t="s">
        <x:v>10843</x:v>
      </x:c>
    </x:row>
    <x:row r="2387">
      <x:c r="A2387" t="s">
        <x:v>10844</x:v>
      </x:c>
      <x:c r="B2387" t="s">
        <x:v>10844</x:v>
      </x:c>
      <x:c r="C2387" t="s">
        <x:v>10845</x:v>
      </x:c>
      <x:c r="D2387">
        <x:v>4</x:v>
      </x:c>
      <x:c r="E2387" t="s">
        <x:v>96</x:v>
      </x:c>
      <x:c r="F2387" t="s">
        <x:v>97</x:v>
      </x:c>
      <x:c r="G2387">
        <x:v>42345</x:v>
      </x:c>
      <x:c r="H2387" t="s">
        <x:v>10846</x:v>
      </x:c>
      <x:c r="I2387" t="s">
        <x:v>10847</x:v>
      </x:c>
      <x:c r="J2387" t="s">
        <x:v>10848</x:v>
      </x:c>
    </x:row>
    <x:row r="2388">
      <x:c r="A2388" t="s">
        <x:v>10849</x:v>
      </x:c>
      <x:c r="B2388" t="s">
        <x:v>10849</x:v>
      </x:c>
      <x:c r="C2388" t="s">
        <x:v>10850</x:v>
      </x:c>
      <x:c r="D2388">
        <x:v>8</x:v>
      </x:c>
      <x:c r="E2388" t="s">
        <x:v>125</x:v>
      </x:c>
      <x:c r="F2388" t="s">
        <x:v>90</x:v>
      </x:c>
      <x:c r="G2388">
        <x:v>45883</x:v>
      </x:c>
      <x:c r="H2388" t="s">
        <x:v>10851</x:v>
      </x:c>
      <x:c r="I2388" t="s">
        <x:v>10852</x:v>
      </x:c>
      <x:c r="J2388" t="s">
        <x:v>10853</x:v>
      </x:c>
    </x:row>
    <x:row r="2389">
      <x:c r="A2389" t="s">
        <x:v>10854</x:v>
      </x:c>
      <x:c r="B2389" t="s">
        <x:v>10854</x:v>
      </x:c>
      <x:c r="C2389" t="s">
        <x:v>10855</x:v>
      </x:c>
      <x:c r="D2389">
        <x:v>8</x:v>
      </x:c>
      <x:c r="E2389" t="s">
        <x:v>103</x:v>
      </x:c>
      <x:c r="F2389" t="s">
        <x:v>97</x:v>
      </x:c>
      <x:c r="G2389">
        <x:v>45391</x:v>
      </x:c>
      <x:c r="H2389" t="s">
        <x:v>10856</x:v>
      </x:c>
      <x:c r="I2389" t="s">
        <x:v>10857</x:v>
      </x:c>
      <x:c r="J2389" t="s">
        <x:v>10858</x:v>
      </x:c>
    </x:row>
    <x:row r="2390">
      <x:c r="A2390" t="s">
        <x:v>10859</x:v>
      </x:c>
      <x:c r="B2390" t="s">
        <x:v>10859</x:v>
      </x:c>
      <x:c r="C2390" t="s">
        <x:v>10860</x:v>
      </x:c>
      <x:c r="D2390">
        <x:v>12</x:v>
      </x:c>
      <x:c r="E2390" t="s">
        <x:v>198</x:v>
      </x:c>
      <x:c r="F2390" t="s">
        <x:v>90</x:v>
      </x:c>
      <x:c r="G2390">
        <x:v>44972</x:v>
      </x:c>
      <x:c r="H2390" t="s">
        <x:v>10861</x:v>
      </x:c>
      <x:c r="I2390" t="s">
        <x:v>10862</x:v>
      </x:c>
      <x:c r="J2390" t="s">
        <x:v>10863</x:v>
      </x:c>
    </x:row>
    <x:row r="2391">
      <x:c r="A2391" t="s">
        <x:v>10864</x:v>
      </x:c>
      <x:c r="B2391" t="s">
        <x:v>10864</x:v>
      </x:c>
      <x:c r="C2391" t="s">
        <x:v>2468</x:v>
      </x:c>
      <x:c r="D2391">
        <x:v>0</x:v>
      </x:c>
      <x:c r="E2391" t="s">
        <x:v>96</x:v>
      </x:c>
      <x:c r="F2391" t="s">
        <x:v>90</x:v>
      </x:c>
      <x:c r="G2391">
        <x:v>45307</x:v>
      </x:c>
      <x:c r="H2391" t="s">
        <x:v>10865</x:v>
      </x:c>
      <x:c r="I2391" t="s">
        <x:v>10866</x:v>
      </x:c>
      <x:c r="J2391" t="s">
        <x:v>10867</x:v>
      </x:c>
    </x:row>
    <x:row r="2392">
      <x:c r="A2392" t="s">
        <x:v>10868</x:v>
      </x:c>
      <x:c r="B2392" t="s">
        <x:v>10868</x:v>
      </x:c>
      <x:c r="C2392" t="s">
        <x:v>2297</x:v>
      </x:c>
      <x:c r="D2392">
        <x:v>13</x:v>
      </x:c>
      <x:c r="E2392" t="s">
        <x:v>103</x:v>
      </x:c>
      <x:c r="F2392" t="s">
        <x:v>97</x:v>
      </x:c>
      <x:c r="G2392">
        <x:v>42976</x:v>
      </x:c>
      <x:c r="H2392" t="s">
        <x:v>10869</x:v>
      </x:c>
      <x:c r="I2392" t="s">
        <x:v>10870</x:v>
      </x:c>
      <x:c r="J2392" t="s">
        <x:v>10871</x:v>
      </x:c>
    </x:row>
    <x:row r="2393">
      <x:c r="A2393" t="s">
        <x:v>10872</x:v>
      </x:c>
      <x:c r="B2393" t="s">
        <x:v>10872</x:v>
      </x:c>
      <x:c r="C2393" t="s">
        <x:v>4992</x:v>
      </x:c>
      <x:c r="D2393">
        <x:v>5</x:v>
      </x:c>
      <x:c r="E2393" t="s">
        <x:v>114</x:v>
      </x:c>
      <x:c r="F2393" t="s">
        <x:v>90</x:v>
      </x:c>
      <x:c r="G2393">
        <x:v>45054</x:v>
      </x:c>
      <x:c r="H2393" t="s">
        <x:v>10873</x:v>
      </x:c>
      <x:c r="I2393" t="s">
        <x:v>10874</x:v>
      </x:c>
      <x:c r="J2393" t="s">
        <x:v>10875</x:v>
      </x:c>
    </x:row>
    <x:row r="2394">
      <x:c r="A2394" t="s">
        <x:v>10876</x:v>
      </x:c>
      <x:c r="B2394" t="s">
        <x:v>10876</x:v>
      </x:c>
      <x:c r="C2394" t="s">
        <x:v>10637</x:v>
      </x:c>
      <x:c r="D2394">
        <x:v>8</x:v>
      </x:c>
      <x:c r="E2394" t="s">
        <x:v>257</x:v>
      </x:c>
      <x:c r="F2394" t="s">
        <x:v>97</x:v>
      </x:c>
      <x:c r="G2394">
        <x:v>42259</x:v>
      </x:c>
      <x:c r="H2394" t="s">
        <x:v>10877</x:v>
      </x:c>
      <x:c r="I2394" t="s">
        <x:v>10878</x:v>
      </x:c>
      <x:c r="J2394" t="s">
        <x:v>10879</x:v>
      </x:c>
    </x:row>
    <x:row r="2395">
      <x:c r="A2395" t="s">
        <x:v>10880</x:v>
      </x:c>
      <x:c r="B2395" t="s">
        <x:v>10880</x:v>
      </x:c>
      <x:c r="C2395" t="s">
        <x:v>10881</x:v>
      </x:c>
      <x:c r="D2395">
        <x:v>49</x:v>
      </x:c>
      <x:c r="E2395" t="s">
        <x:v>103</x:v>
      </x:c>
      <x:c r="F2395" t="s">
        <x:v>97</x:v>
      </x:c>
      <x:c r="G2395">
        <x:v>42218</x:v>
      </x:c>
      <x:c r="H2395" t="s">
        <x:v>10882</x:v>
      </x:c>
      <x:c r="I2395" t="s">
        <x:v>10883</x:v>
      </x:c>
      <x:c r="J2395" t="s">
        <x:v>10884</x:v>
      </x:c>
    </x:row>
    <x:row r="2396">
      <x:c r="A2396" t="s">
        <x:v>10885</x:v>
      </x:c>
      <x:c r="B2396" t="s">
        <x:v>10885</x:v>
      </x:c>
      <x:c r="C2396" t="s">
        <x:v>10881</x:v>
      </x:c>
      <x:c r="D2396">
        <x:v>7</x:v>
      </x:c>
      <x:c r="E2396" t="s">
        <x:v>257</x:v>
      </x:c>
      <x:c r="F2396" t="s">
        <x:v>97</x:v>
      </x:c>
      <x:c r="G2396">
        <x:v>41445</x:v>
      </x:c>
      <x:c r="H2396" t="s">
        <x:v>10886</x:v>
      </x:c>
      <x:c r="I2396" t="s">
        <x:v>10887</x:v>
      </x:c>
      <x:c r="J2396" t="s">
        <x:v>10888</x:v>
      </x:c>
    </x:row>
    <x:row r="2397">
      <x:c r="A2397" t="s">
        <x:v>10889</x:v>
      </x:c>
      <x:c r="B2397" t="s">
        <x:v>10889</x:v>
      </x:c>
      <x:c r="C2397" t="s">
        <x:v>223</x:v>
      </x:c>
      <x:c r="D2397">
        <x:v>22</x:v>
      </x:c>
      <x:c r="E2397" t="s">
        <x:v>103</x:v>
      </x:c>
      <x:c r="F2397" t="s">
        <x:v>97</x:v>
      </x:c>
      <x:c r="G2397">
        <x:v>42243</x:v>
      </x:c>
      <x:c r="H2397" t="s">
        <x:v>10890</x:v>
      </x:c>
      <x:c r="I2397" t="s">
        <x:v>10891</x:v>
      </x:c>
      <x:c r="J2397" t="s">
        <x:v>10892</x:v>
      </x:c>
    </x:row>
    <x:row r="2398">
      <x:c r="A2398" t="s">
        <x:v>10893</x:v>
      </x:c>
      <x:c r="B2398" t="s">
        <x:v>10893</x:v>
      </x:c>
      <x:c r="C2398" t="s">
        <x:v>10894</x:v>
      </x:c>
      <x:c r="D2398">
        <x:v>1</x:v>
      </x:c>
      <x:c r="E2398" t="s">
        <x:v>96</x:v>
      </x:c>
      <x:c r="F2398" t="s">
        <x:v>610</x:v>
      </x:c>
      <x:c r="G2398">
        <x:v>41808</x:v>
      </x:c>
      <x:c r="H2398" t="s">
        <x:v>10895</x:v>
      </x:c>
      <x:c r="I2398" t="s">
        <x:v>10896</x:v>
      </x:c>
      <x:c r="J2398" t="s">
        <x:v>10897</x:v>
      </x:c>
    </x:row>
    <x:row r="2399">
      <x:c r="A2399" t="s">
        <x:v>10898</x:v>
      </x:c>
      <x:c r="B2399" t="s">
        <x:v>10898</x:v>
      </x:c>
      <x:c r="C2399" t="s">
        <x:v>666</x:v>
      </x:c>
      <x:c r="D2399">
        <x:v>9</x:v>
      </x:c>
      <x:c r="E2399" t="s">
        <x:v>89</x:v>
      </x:c>
      <x:c r="F2399" t="s">
        <x:v>152</x:v>
      </x:c>
      <x:c r="G2399">
        <x:v>46132</x:v>
      </x:c>
      <x:c r="H2399" t="s">
        <x:v>10899</x:v>
      </x:c>
      <x:c r="I2399" t="s">
        <x:v>10900</x:v>
      </x:c>
      <x:c r="J2399" t="s">
        <x:v>10901</x:v>
      </x:c>
    </x:row>
    <x:row r="2400">
      <x:c r="A2400" t="s">
        <x:v>10902</x:v>
      </x:c>
      <x:c r="B2400" t="s">
        <x:v>10902</x:v>
      </x:c>
      <x:c r="C2400" t="s">
        <x:v>10793</x:v>
      </x:c>
      <x:c r="D2400">
        <x:v>16</x:v>
      </x:c>
      <x:c r="E2400" t="s">
        <x:v>125</x:v>
      </x:c>
      <x:c r="F2400" t="s">
        <x:v>90</x:v>
      </x:c>
      <x:c r="G2400">
        <x:v>46116</x:v>
      </x:c>
      <x:c r="H2400" t="s">
        <x:v>10903</x:v>
      </x:c>
      <x:c r="I2400" t="s">
        <x:v>10904</x:v>
      </x:c>
      <x:c r="J2400" t="s">
        <x:v>10905</x:v>
      </x:c>
    </x:row>
    <x:row r="2401">
      <x:c r="A2401" t="s">
        <x:v>10906</x:v>
      </x:c>
      <x:c r="B2401" t="s">
        <x:v>10906</x:v>
      </x:c>
      <x:c r="C2401" t="s">
        <x:v>10907</x:v>
      </x:c>
      <x:c r="D2401">
        <x:v>12</x:v>
      </x:c>
      <x:c r="E2401" t="s">
        <x:v>103</x:v>
      </x:c>
      <x:c r="F2401" t="s">
        <x:v>97</x:v>
      </x:c>
      <x:c r="G2401">
        <x:v>42783</x:v>
      </x:c>
      <x:c r="H2401" t="s">
        <x:v>10908</x:v>
      </x:c>
      <x:c r="I2401" t="s">
        <x:v>10909</x:v>
      </x:c>
      <x:c r="J2401" t="s">
        <x:v>10910</x:v>
      </x:c>
    </x:row>
    <x:row r="2402">
      <x:c r="A2402" t="s">
        <x:v>10911</x:v>
      </x:c>
      <x:c r="B2402" t="s">
        <x:v>10911</x:v>
      </x:c>
      <x:c r="C2402" t="s">
        <x:v>10912</x:v>
      </x:c>
      <x:c r="D2402">
        <x:v>18</x:v>
      </x:c>
      <x:c r="E2402" t="s">
        <x:v>114</x:v>
      </x:c>
      <x:c r="F2402" t="s">
        <x:v>90</x:v>
      </x:c>
      <x:c r="G2402">
        <x:v>44670</x:v>
      </x:c>
      <x:c r="H2402" t="s">
        <x:v>10913</x:v>
      </x:c>
      <x:c r="I2402" t="s">
        <x:v>10914</x:v>
      </x:c>
      <x:c r="J2402" t="s">
        <x:v>10915</x:v>
      </x:c>
    </x:row>
    <x:row r="2403">
      <x:c r="A2403" t="s">
        <x:v>10916</x:v>
      </x:c>
      <x:c r="B2403" t="s">
        <x:v>10916</x:v>
      </x:c>
      <x:c r="C2403" t="s">
        <x:v>1861</x:v>
      </x:c>
      <x:c r="D2403">
        <x:v>0</x:v>
      </x:c>
      <x:c r="E2403" t="s">
        <x:v>257</x:v>
      </x:c>
      <x:c r="F2403" t="s">
        <x:v>97</x:v>
      </x:c>
      <x:c r="G2403">
        <x:v>45961</x:v>
      </x:c>
      <x:c r="H2403" t="s">
        <x:v>10917</x:v>
      </x:c>
      <x:c r="I2403" t="s">
        <x:v>10918</x:v>
      </x:c>
      <x:c r="J2403" t="s">
        <x:v>10919</x:v>
      </x:c>
    </x:row>
    <x:row r="2404">
      <x:c r="A2404" t="s">
        <x:v>10920</x:v>
      </x:c>
      <x:c r="B2404" t="s">
        <x:v>10920</x:v>
      </x:c>
      <x:c r="C2404" t="s">
        <x:v>3924</x:v>
      </x:c>
      <x:c r="D2404">
        <x:v>17</x:v>
      </x:c>
      <x:c r="E2404" t="s">
        <x:v>96</x:v>
      </x:c>
      <x:c r="F2404" t="s">
        <x:v>97</x:v>
      </x:c>
      <x:c r="G2404">
        <x:v>45696</x:v>
      </x:c>
      <x:c r="H2404" t="s">
        <x:v>10921</x:v>
      </x:c>
      <x:c r="I2404" t="s">
        <x:v>10922</x:v>
      </x:c>
      <x:c r="J2404" t="s">
        <x:v>10923</x:v>
      </x:c>
    </x:row>
    <x:row r="2405">
      <x:c r="A2405" t="s">
        <x:v>10924</x:v>
      </x:c>
      <x:c r="B2405" t="s">
        <x:v>10924</x:v>
      </x:c>
      <x:c r="C2405" t="s">
        <x:v>3176</x:v>
      </x:c>
      <x:c r="D2405">
        <x:v>8</x:v>
      </x:c>
      <x:c r="E2405" t="s">
        <x:v>198</x:v>
      </x:c>
      <x:c r="F2405" t="s">
        <x:v>90</x:v>
      </x:c>
      <x:c r="G2405">
        <x:v>44736</x:v>
      </x:c>
      <x:c r="H2405" t="s">
        <x:v>10925</x:v>
      </x:c>
      <x:c r="I2405" t="s">
        <x:v>10926</x:v>
      </x:c>
      <x:c r="J2405" t="s">
        <x:v>10927</x:v>
      </x:c>
    </x:row>
    <x:row r="2406">
      <x:c r="A2406" t="s">
        <x:v>10928</x:v>
      </x:c>
      <x:c r="B2406" t="s">
        <x:v>10928</x:v>
      </x:c>
      <x:c r="C2406" t="s">
        <x:v>10929</x:v>
      </x:c>
      <x:c r="D2406">
        <x:v>4</x:v>
      </x:c>
      <x:c r="E2406" t="s">
        <x:v>103</x:v>
      </x:c>
      <x:c r="F2406" t="s">
        <x:v>97</x:v>
      </x:c>
      <x:c r="G2406">
        <x:v>42163</x:v>
      </x:c>
      <x:c r="H2406" t="s">
        <x:v>10930</x:v>
      </x:c>
      <x:c r="I2406" t="s">
        <x:v>10931</x:v>
      </x:c>
      <x:c r="J2406" t="s">
        <x:v>10932</x:v>
      </x:c>
    </x:row>
    <x:row r="2407">
      <x:c r="A2407" t="s">
        <x:v>10933</x:v>
      </x:c>
      <x:c r="B2407" t="s">
        <x:v>10933</x:v>
      </x:c>
      <x:c r="C2407" t="s">
        <x:v>2189</x:v>
      </x:c>
      <x:c r="D2407">
        <x:v>33</x:v>
      </x:c>
      <x:c r="E2407" t="s">
        <x:v>257</x:v>
      </x:c>
      <x:c r="F2407" t="s">
        <x:v>97</x:v>
      </x:c>
      <x:c r="G2407">
        <x:v>42445</x:v>
      </x:c>
      <x:c r="H2407" t="s">
        <x:v>10934</x:v>
      </x:c>
      <x:c r="I2407" t="s">
        <x:v>10935</x:v>
      </x:c>
      <x:c r="J2407" t="s">
        <x:v>10936</x:v>
      </x:c>
    </x:row>
    <x:row r="2408">
      <x:c r="A2408" t="s">
        <x:v>10937</x:v>
      </x:c>
      <x:c r="B2408" t="s">
        <x:v>10937</x:v>
      </x:c>
      <x:c r="C2408" t="s">
        <x:v>2189</x:v>
      </x:c>
      <x:c r="D2408">
        <x:v>28</x:v>
      </x:c>
      <x:c r="E2408" t="s">
        <x:v>89</x:v>
      </x:c>
      <x:c r="F2408" t="s">
        <x:v>97</x:v>
      </x:c>
      <x:c r="G2408">
        <x:v>42695</x:v>
      </x:c>
      <x:c r="H2408" t="s">
        <x:v>10938</x:v>
      </x:c>
      <x:c r="I2408" t="s">
        <x:v>10939</x:v>
      </x:c>
      <x:c r="J2408" t="s">
        <x:v>10940</x:v>
      </x:c>
    </x:row>
    <x:row r="2409">
      <x:c r="A2409" t="s">
        <x:v>10941</x:v>
      </x:c>
      <x:c r="B2409" t="s">
        <x:v>10941</x:v>
      </x:c>
      <x:c r="C2409" t="s">
        <x:v>2189</x:v>
      </x:c>
      <x:c r="D2409">
        <x:v>5</x:v>
      </x:c>
      <x:c r="E2409" t="s">
        <x:v>89</x:v>
      </x:c>
      <x:c r="F2409" t="s">
        <x:v>97</x:v>
      </x:c>
      <x:c r="G2409">
        <x:v>42697</x:v>
      </x:c>
      <x:c r="H2409" t="s">
        <x:v>10942</x:v>
      </x:c>
      <x:c r="I2409" t="s">
        <x:v>10943</x:v>
      </x:c>
      <x:c r="J2409" t="s">
        <x:v>10944</x:v>
      </x:c>
    </x:row>
    <x:row r="2410">
      <x:c r="A2410" t="s">
        <x:v>10945</x:v>
      </x:c>
      <x:c r="B2410" t="s">
        <x:v>10945</x:v>
      </x:c>
      <x:c r="C2410" t="s">
        <x:v>1344</x:v>
      </x:c>
      <x:c r="D2410">
        <x:v>0</x:v>
      </x:c>
      <x:c r="E2410" t="s">
        <x:v>96</x:v>
      </x:c>
      <x:c r="F2410" t="s">
        <x:v>97</x:v>
      </x:c>
      <x:c r="G2410">
        <x:v>45177</x:v>
      </x:c>
      <x:c r="H2410" t="s">
        <x:v>10946</x:v>
      </x:c>
      <x:c r="I2410" t="s">
        <x:v>10947</x:v>
      </x:c>
      <x:c r="J2410" t="s">
        <x:v>10948</x:v>
      </x:c>
    </x:row>
    <x:row r="2411">
      <x:c r="A2411" t="s">
        <x:v>10949</x:v>
      </x:c>
      <x:c r="B2411" t="s">
        <x:v>10949</x:v>
      </x:c>
      <x:c r="C2411" t="s">
        <x:v>10950</x:v>
      </x:c>
      <x:c r="D2411">
        <x:v>12</x:v>
      </x:c>
      <x:c r="E2411" t="s">
        <x:v>103</x:v>
      </x:c>
      <x:c r="F2411" t="s">
        <x:v>97</x:v>
      </x:c>
      <x:c r="G2411">
        <x:v>44428</x:v>
      </x:c>
      <x:c r="H2411" t="s">
        <x:v>10951</x:v>
      </x:c>
      <x:c r="I2411" t="s">
        <x:v>10952</x:v>
      </x:c>
      <x:c r="J2411" t="s">
        <x:v>10953</x:v>
      </x:c>
    </x:row>
    <x:row r="2412">
      <x:c r="A2412" t="s">
        <x:v>10954</x:v>
      </x:c>
      <x:c r="B2412" t="s">
        <x:v>10954</x:v>
      </x:c>
      <x:c r="C2412" t="s">
        <x:v>491</x:v>
      </x:c>
      <x:c r="D2412">
        <x:v>4</x:v>
      </x:c>
      <x:c r="E2412" t="s">
        <x:v>198</x:v>
      </x:c>
      <x:c r="F2412" t="s">
        <x:v>90</x:v>
      </x:c>
      <x:c r="G2412">
        <x:v>44613</x:v>
      </x:c>
      <x:c r="H2412" t="s">
        <x:v>10955</x:v>
      </x:c>
      <x:c r="I2412" t="s">
        <x:v>10956</x:v>
      </x:c>
      <x:c r="J2412" t="s">
        <x:v>10957</x:v>
      </x:c>
    </x:row>
    <x:row r="2413">
      <x:c r="A2413" t="s">
        <x:v>10958</x:v>
      </x:c>
      <x:c r="B2413" t="s">
        <x:v>10958</x:v>
      </x:c>
      <x:c r="C2413" t="s">
        <x:v>7323</x:v>
      </x:c>
      <x:c r="D2413">
        <x:v>7</x:v>
      </x:c>
      <x:c r="E2413" t="s">
        <x:v>198</x:v>
      </x:c>
      <x:c r="F2413" t="s">
        <x:v>90</x:v>
      </x:c>
      <x:c r="G2413">
        <x:v>44519</x:v>
      </x:c>
      <x:c r="H2413" t="s">
        <x:v>10959</x:v>
      </x:c>
      <x:c r="I2413" t="s">
        <x:v>10960</x:v>
      </x:c>
      <x:c r="J2413" t="s">
        <x:v>10961</x:v>
      </x:c>
    </x:row>
    <x:row r="2414">
      <x:c r="A2414" t="s">
        <x:v>10962</x:v>
      </x:c>
      <x:c r="B2414" t="s">
        <x:v>10962</x:v>
      </x:c>
      <x:c r="C2414" t="s">
        <x:v>3596</x:v>
      </x:c>
      <x:c r="D2414">
        <x:v>0</x:v>
      </x:c>
      <x:c r="E2414" t="s">
        <x:v>89</x:v>
      </x:c>
      <x:c r="F2414" t="s">
        <x:v>97</x:v>
      </x:c>
      <x:c r="G2414">
        <x:v>45898</x:v>
      </x:c>
      <x:c r="H2414" t="s">
        <x:v>10963</x:v>
      </x:c>
      <x:c r="I2414" t="s">
        <x:v>10964</x:v>
      </x:c>
      <x:c r="J2414" t="s">
        <x:v>10965</x:v>
      </x:c>
    </x:row>
    <x:row r="2415">
      <x:c r="A2415" t="s">
        <x:v>10966</x:v>
      </x:c>
      <x:c r="B2415" t="s">
        <x:v>10966</x:v>
      </x:c>
      <x:c r="C2415" t="s">
        <x:v>282</x:v>
      </x:c>
      <x:c r="D2415">
        <x:v>9</x:v>
      </x:c>
      <x:c r="E2415" t="s">
        <x:v>103</x:v>
      </x:c>
      <x:c r="F2415" t="s">
        <x:v>97</x:v>
      </x:c>
      <x:c r="G2415">
        <x:v>43770</x:v>
      </x:c>
      <x:c r="H2415" t="s">
        <x:v>10967</x:v>
      </x:c>
      <x:c r="I2415" t="s">
        <x:v>10968</x:v>
      </x:c>
      <x:c r="J2415" t="s">
        <x:v>10969</x:v>
      </x:c>
    </x:row>
    <x:row r="2416">
      <x:c r="A2416" t="s">
        <x:v>10970</x:v>
      </x:c>
      <x:c r="B2416" t="s">
        <x:v>10970</x:v>
      </x:c>
      <x:c r="C2416" t="s">
        <x:v>10971</x:v>
      </x:c>
      <x:c r="D2416">
        <x:v>9</x:v>
      </x:c>
      <x:c r="E2416" t="s">
        <x:v>103</x:v>
      </x:c>
      <x:c r="F2416" t="s">
        <x:v>97</x:v>
      </x:c>
      <x:c r="G2416">
        <x:v>41545</x:v>
      </x:c>
      <x:c r="H2416" t="s">
        <x:v>10972</x:v>
      </x:c>
      <x:c r="I2416" t="s">
        <x:v>10973</x:v>
      </x:c>
      <x:c r="J2416" t="s">
        <x:v>10974</x:v>
      </x:c>
    </x:row>
    <x:row r="2417">
      <x:c r="A2417" t="s">
        <x:v>10975</x:v>
      </x:c>
      <x:c r="B2417" t="s">
        <x:v>10975</x:v>
      </x:c>
      <x:c r="C2417" t="s">
        <x:v>2109</x:v>
      </x:c>
      <x:c r="D2417">
        <x:v>53</x:v>
      </x:c>
      <x:c r="E2417" t="s">
        <x:v>103</x:v>
      </x:c>
      <x:c r="F2417" t="s">
        <x:v>97</x:v>
      </x:c>
      <x:c r="G2417">
        <x:v>42484</x:v>
      </x:c>
      <x:c r="H2417" t="s">
        <x:v>10976</x:v>
      </x:c>
      <x:c r="I2417" t="s">
        <x:v>10977</x:v>
      </x:c>
      <x:c r="J2417" t="s">
        <x:v>10978</x:v>
      </x:c>
    </x:row>
    <x:row r="2418">
      <x:c r="A2418" t="s">
        <x:v>10979</x:v>
      </x:c>
      <x:c r="B2418" t="s">
        <x:v>10979</x:v>
      </x:c>
      <x:c r="C2418" t="s">
        <x:v>708</x:v>
      </x:c>
      <x:c r="D2418">
        <x:v>13</x:v>
      </x:c>
      <x:c r="E2418" t="s">
        <x:v>125</x:v>
      </x:c>
      <x:c r="F2418" t="s">
        <x:v>90</x:v>
      </x:c>
      <x:c r="G2418">
        <x:v>45377</x:v>
      </x:c>
      <x:c r="H2418" t="s">
        <x:v>10980</x:v>
      </x:c>
      <x:c r="I2418" t="s">
        <x:v>10981</x:v>
      </x:c>
      <x:c r="J2418" t="s">
        <x:v>10982</x:v>
      </x:c>
    </x:row>
    <x:row r="2419">
      <x:c r="A2419" t="s">
        <x:v>10983</x:v>
      </x:c>
      <x:c r="B2419" t="s">
        <x:v>10983</x:v>
      </x:c>
      <x:c r="C2419" t="s">
        <x:v>9758</x:v>
      </x:c>
      <x:c r="D2419">
        <x:v>2</x:v>
      </x:c>
      <x:c r="E2419" t="s">
        <x:v>103</x:v>
      </x:c>
      <x:c r="F2419" t="s">
        <x:v>97</x:v>
      </x:c>
      <x:c r="G2419">
        <x:v>41521</x:v>
      </x:c>
      <x:c r="H2419" t="s">
        <x:v>10984</x:v>
      </x:c>
      <x:c r="I2419" t="s">
        <x:v>10985</x:v>
      </x:c>
      <x:c r="J2419" t="s">
        <x:v>10986</x:v>
      </x:c>
    </x:row>
    <x:row r="2420">
      <x:c r="A2420" t="s">
        <x:v>10987</x:v>
      </x:c>
      <x:c r="B2420" t="s">
        <x:v>10987</x:v>
      </x:c>
      <x:c r="C2420" t="s">
        <x:v>10988</x:v>
      </x:c>
      <x:c r="D2420">
        <x:v>1</x:v>
      </x:c>
      <x:c r="E2420" t="s">
        <x:v>96</x:v>
      </x:c>
      <x:c r="F2420" t="s">
        <x:v>97</x:v>
      </x:c>
      <x:c r="G2420">
        <x:v>42691</x:v>
      </x:c>
      <x:c r="H2420" t="s">
        <x:v>10989</x:v>
      </x:c>
      <x:c r="I2420" t="s">
        <x:v>10990</x:v>
      </x:c>
      <x:c r="J2420" t="s">
        <x:v>10991</x:v>
      </x:c>
    </x:row>
    <x:row r="2421">
      <x:c r="A2421" t="s">
        <x:v>10992</x:v>
      </x:c>
      <x:c r="B2421" t="s">
        <x:v>10992</x:v>
      </x:c>
      <x:c r="C2421" t="s">
        <x:v>10907</x:v>
      </x:c>
      <x:c r="D2421">
        <x:v>0</x:v>
      </x:c>
      <x:c r="E2421" t="s">
        <x:v>103</x:v>
      </x:c>
      <x:c r="F2421" t="s">
        <x:v>97</x:v>
      </x:c>
      <x:c r="G2421">
        <x:v>42691</x:v>
      </x:c>
      <x:c r="H2421" t="s">
        <x:v>10993</x:v>
      </x:c>
      <x:c r="I2421" t="s">
        <x:v>10994</x:v>
      </x:c>
      <x:c r="J2421" t="s">
        <x:v>10995</x:v>
      </x:c>
    </x:row>
    <x:row r="2422">
      <x:c r="A2422" t="s">
        <x:v>10996</x:v>
      </x:c>
      <x:c r="B2422" t="s">
        <x:v>10996</x:v>
      </x:c>
      <x:c r="C2422" t="s">
        <x:v>10997</x:v>
      </x:c>
      <x:c r="D2422">
        <x:v>10</x:v>
      </x:c>
      <x:c r="E2422" t="s">
        <x:v>198</x:v>
      </x:c>
      <x:c r="F2422" t="s">
        <x:v>90</x:v>
      </x:c>
      <x:c r="G2422">
        <x:v>45047</x:v>
      </x:c>
      <x:c r="H2422" t="s">
        <x:v>10998</x:v>
      </x:c>
      <x:c r="I2422" t="s">
        <x:v>10999</x:v>
      </x:c>
      <x:c r="J2422" t="s">
        <x:v>11000</x:v>
      </x:c>
    </x:row>
    <x:row r="2423">
      <x:c r="A2423" t="s">
        <x:v>11001</x:v>
      </x:c>
      <x:c r="B2423" t="s">
        <x:v>11001</x:v>
      </x:c>
      <x:c r="C2423" t="s">
        <x:v>2604</x:v>
      </x:c>
      <x:c r="D2423">
        <x:v>14</x:v>
      </x:c>
      <x:c r="E2423" t="s">
        <x:v>103</x:v>
      </x:c>
      <x:c r="F2423" t="s">
        <x:v>97</x:v>
      </x:c>
      <x:c r="G2423">
        <x:v>42458</x:v>
      </x:c>
      <x:c r="H2423" t="s">
        <x:v>11002</x:v>
      </x:c>
      <x:c r="I2423" t="s">
        <x:v>11003</x:v>
      </x:c>
      <x:c r="J2423" t="s">
        <x:v>11004</x:v>
      </x:c>
    </x:row>
    <x:row r="2424">
      <x:c r="A2424" t="s">
        <x:v>11005</x:v>
      </x:c>
      <x:c r="B2424" t="s">
        <x:v>11005</x:v>
      </x:c>
      <x:c r="C2424" t="s">
        <x:v>11006</x:v>
      </x:c>
      <x:c r="D2424">
        <x:v>1</x:v>
      </x:c>
      <x:c r="E2424" t="s">
        <x:v>103</x:v>
      </x:c>
      <x:c r="F2424" t="s">
        <x:v>97</x:v>
      </x:c>
      <x:c r="G2424">
        <x:v>46036</x:v>
      </x:c>
      <x:c r="H2424" t="s">
        <x:v>11007</x:v>
      </x:c>
      <x:c r="I2424" t="s">
        <x:v>11008</x:v>
      </x:c>
      <x:c r="J2424" t="s">
        <x:v>11009</x:v>
      </x:c>
    </x:row>
    <x:row r="2425">
      <x:c r="A2425" t="s">
        <x:v>11010</x:v>
      </x:c>
      <x:c r="B2425" t="s">
        <x:v>11010</x:v>
      </x:c>
      <x:c r="C2425" t="s">
        <x:v>11011</x:v>
      </x:c>
      <x:c r="D2425">
        <x:v>16</x:v>
      </x:c>
      <x:c r="E2425" t="s">
        <x:v>89</x:v>
      </x:c>
      <x:c r="F2425" t="s">
        <x:v>90</x:v>
      </x:c>
      <x:c r="G2425">
        <x:v>44133</x:v>
      </x:c>
      <x:c r="H2425" t="s">
        <x:v>11012</x:v>
      </x:c>
      <x:c r="I2425" t="s">
        <x:v>11013</x:v>
      </x:c>
      <x:c r="J2425" t="s">
        <x:v>11014</x:v>
      </x:c>
    </x:row>
    <x:row r="2426">
      <x:c r="A2426" t="s">
        <x:v>11015</x:v>
      </x:c>
      <x:c r="B2426" t="s">
        <x:v>11015</x:v>
      </x:c>
      <x:c r="C2426" t="s">
        <x:v>282</x:v>
      </x:c>
      <x:c r="D2426">
        <x:v>8</x:v>
      </x:c>
      <x:c r="E2426" t="s">
        <x:v>103</x:v>
      </x:c>
      <x:c r="F2426" t="s">
        <x:v>97</x:v>
      </x:c>
      <x:c r="G2426">
        <x:v>43569</x:v>
      </x:c>
      <x:c r="H2426" t="s">
        <x:v>11016</x:v>
      </x:c>
      <x:c r="I2426" t="s">
        <x:v>11017</x:v>
      </x:c>
      <x:c r="J2426" t="s">
        <x:v>11018</x:v>
      </x:c>
    </x:row>
    <x:row r="2427">
      <x:c r="A2427" t="s">
        <x:v>11019</x:v>
      </x:c>
      <x:c r="B2427" t="s">
        <x:v>11019</x:v>
      </x:c>
      <x:c r="C2427" t="s">
        <x:v>1768</x:v>
      </x:c>
      <x:c r="D2427">
        <x:v>54</x:v>
      </x:c>
      <x:c r="E2427" t="s">
        <x:v>114</x:v>
      </x:c>
      <x:c r="F2427" t="s">
        <x:v>90</x:v>
      </x:c>
      <x:c r="G2427">
        <x:v>43374</x:v>
      </x:c>
      <x:c r="H2427" t="s">
        <x:v>11020</x:v>
      </x:c>
      <x:c r="I2427" t="s">
        <x:v>11021</x:v>
      </x:c>
      <x:c r="J2427" t="s">
        <x:v>11022</x:v>
      </x:c>
    </x:row>
    <x:row r="2428">
      <x:c r="A2428" t="s">
        <x:v>11023</x:v>
      </x:c>
      <x:c r="B2428" t="s">
        <x:v>11023</x:v>
      </x:c>
      <x:c r="C2428" t="s">
        <x:v>4505</x:v>
      </x:c>
      <x:c r="D2428">
        <x:v>6</x:v>
      </x:c>
      <x:c r="E2428" t="s">
        <x:v>103</x:v>
      </x:c>
      <x:c r="F2428" t="s">
        <x:v>97</x:v>
      </x:c>
      <x:c r="G2428">
        <x:v>43178</x:v>
      </x:c>
      <x:c r="H2428" t="s">
        <x:v>11024</x:v>
      </x:c>
      <x:c r="I2428" t="s">
        <x:v>11025</x:v>
      </x:c>
      <x:c r="J2428" t="s">
        <x:v>11026</x:v>
      </x:c>
    </x:row>
    <x:row r="2429">
      <x:c r="A2429" t="s">
        <x:v>11027</x:v>
      </x:c>
      <x:c r="B2429" t="s">
        <x:v>11027</x:v>
      </x:c>
      <x:c r="C2429" t="s">
        <x:v>409</x:v>
      </x:c>
      <x:c r="D2429">
        <x:v>16</x:v>
      </x:c>
      <x:c r="E2429" t="s">
        <x:v>198</x:v>
      </x:c>
      <x:c r="F2429" t="s">
        <x:v>90</x:v>
      </x:c>
      <x:c r="G2429">
        <x:v>44456</x:v>
      </x:c>
      <x:c r="H2429" t="s">
        <x:v>11028</x:v>
      </x:c>
      <x:c r="I2429" t="s">
        <x:v>11029</x:v>
      </x:c>
      <x:c r="J2429" t="s">
        <x:v>11030</x:v>
      </x:c>
    </x:row>
    <x:row r="2430">
      <x:c r="A2430" t="s">
        <x:v>11031</x:v>
      </x:c>
      <x:c r="B2430" t="s">
        <x:v>11031</x:v>
      </x:c>
      <x:c r="C2430" t="s">
        <x:v>5619</x:v>
      </x:c>
      <x:c r="D2430">
        <x:v>14</x:v>
      </x:c>
      <x:c r="E2430" t="s">
        <x:v>103</x:v>
      </x:c>
      <x:c r="F2430" t="s">
        <x:v>97</x:v>
      </x:c>
      <x:c r="G2430">
        <x:v>44098</x:v>
      </x:c>
      <x:c r="H2430" t="s">
        <x:v>11032</x:v>
      </x:c>
      <x:c r="I2430" t="s">
        <x:v>11033</x:v>
      </x:c>
      <x:c r="J2430" t="s">
        <x:v>11034</x:v>
      </x:c>
    </x:row>
    <x:row r="2431">
      <x:c r="A2431" t="s">
        <x:v>11035</x:v>
      </x:c>
      <x:c r="B2431" t="s">
        <x:v>11035</x:v>
      </x:c>
      <x:c r="C2431" t="s">
        <x:v>11036</x:v>
      </x:c>
      <x:c r="D2431">
        <x:v>13</x:v>
      </x:c>
      <x:c r="E2431" t="s">
        <x:v>198</x:v>
      </x:c>
      <x:c r="F2431" t="s">
        <x:v>90</x:v>
      </x:c>
      <x:c r="G2431">
        <x:v>45323</x:v>
      </x:c>
      <x:c r="H2431" t="s">
        <x:v>11037</x:v>
      </x:c>
      <x:c r="I2431" t="s">
        <x:v>11038</x:v>
      </x:c>
      <x:c r="J2431" t="s">
        <x:v>11039</x:v>
      </x:c>
    </x:row>
    <x:row r="2432">
      <x:c r="A2432" t="s">
        <x:v>11040</x:v>
      </x:c>
      <x:c r="B2432" t="s">
        <x:v>11040</x:v>
      </x:c>
      <x:c r="C2432" t="s">
        <x:v>7531</x:v>
      </x:c>
      <x:c r="D2432">
        <x:v>37</x:v>
      </x:c>
      <x:c r="E2432" t="s">
        <x:v>103</x:v>
      </x:c>
      <x:c r="F2432" t="s">
        <x:v>97</x:v>
      </x:c>
      <x:c r="G2432">
        <x:v>42304</x:v>
      </x:c>
      <x:c r="H2432" t="s">
        <x:v>11041</x:v>
      </x:c>
      <x:c r="I2432" t="s">
        <x:v>11042</x:v>
      </x:c>
      <x:c r="J2432" t="s">
        <x:v>11043</x:v>
      </x:c>
    </x:row>
    <x:row r="2433">
      <x:c r="A2433" t="s">
        <x:v>11044</x:v>
      </x:c>
      <x:c r="B2433" t="s">
        <x:v>11044</x:v>
      </x:c>
      <x:c r="C2433" t="s">
        <x:v>7531</x:v>
      </x:c>
      <x:c r="D2433">
        <x:v>36</x:v>
      </x:c>
      <x:c r="E2433" t="s">
        <x:v>103</x:v>
      </x:c>
      <x:c r="F2433" t="s">
        <x:v>97</x:v>
      </x:c>
      <x:c r="G2433">
        <x:v>42281</x:v>
      </x:c>
      <x:c r="H2433" t="s">
        <x:v>11045</x:v>
      </x:c>
      <x:c r="I2433" t="s">
        <x:v>11046</x:v>
      </x:c>
      <x:c r="J2433" t="s">
        <x:v>11047</x:v>
      </x:c>
    </x:row>
    <x:row r="2434">
      <x:c r="A2434" t="s">
        <x:v>11048</x:v>
      </x:c>
      <x:c r="B2434" t="s">
        <x:v>11048</x:v>
      </x:c>
      <x:c r="C2434" t="s">
        <x:v>2557</x:v>
      </x:c>
      <x:c r="D2434">
        <x:v>22</x:v>
      </x:c>
      <x:c r="E2434" t="s">
        <x:v>114</x:v>
      </x:c>
      <x:c r="F2434" t="s">
        <x:v>90</x:v>
      </x:c>
      <x:c r="G2434">
        <x:v>45721</x:v>
      </x:c>
      <x:c r="H2434" t="s">
        <x:v>11049</x:v>
      </x:c>
      <x:c r="I2434" t="s">
        <x:v>11050</x:v>
      </x:c>
      <x:c r="J2434" t="s">
        <x:v>11051</x:v>
      </x:c>
    </x:row>
    <x:row r="2435">
      <x:c r="A2435" t="s">
        <x:v>11052</x:v>
      </x:c>
      <x:c r="B2435" t="s">
        <x:v>11052</x:v>
      </x:c>
      <x:c r="C2435" t="s">
        <x:v>1558</x:v>
      </x:c>
      <x:c r="D2435">
        <x:v>14</x:v>
      </x:c>
      <x:c r="E2435" t="s">
        <x:v>96</x:v>
      </x:c>
      <x:c r="F2435" t="s">
        <x:v>97</x:v>
      </x:c>
      <x:c r="G2435">
        <x:v>44607</x:v>
      </x:c>
      <x:c r="H2435" t="s">
        <x:v>11053</x:v>
      </x:c>
      <x:c r="I2435" t="s">
        <x:v>11054</x:v>
      </x:c>
      <x:c r="J2435" t="s">
        <x:v>11055</x:v>
      </x:c>
    </x:row>
    <x:row r="2436">
      <x:c r="A2436" t="s">
        <x:v>11056</x:v>
      </x:c>
      <x:c r="B2436" t="s">
        <x:v>11056</x:v>
      </x:c>
      <x:c r="C2436" t="s">
        <x:v>586</x:v>
      </x:c>
      <x:c r="D2436">
        <x:v>15</x:v>
      </x:c>
      <x:c r="E2436" t="s">
        <x:v>103</x:v>
      </x:c>
      <x:c r="F2436" t="s">
        <x:v>97</x:v>
      </x:c>
      <x:c r="G2436">
        <x:v>42628</x:v>
      </x:c>
      <x:c r="H2436" t="s">
        <x:v>11057</x:v>
      </x:c>
      <x:c r="I2436" t="s">
        <x:v>11058</x:v>
      </x:c>
      <x:c r="J2436" t="s">
        <x:v>11059</x:v>
      </x:c>
    </x:row>
    <x:row r="2437">
      <x:c r="A2437" t="s">
        <x:v>11060</x:v>
      </x:c>
      <x:c r="B2437" t="s">
        <x:v>11060</x:v>
      </x:c>
      <x:c r="C2437" t="s">
        <x:v>2170</x:v>
      </x:c>
      <x:c r="D2437">
        <x:v>2</x:v>
      </x:c>
      <x:c r="E2437" t="s">
        <x:v>96</x:v>
      </x:c>
      <x:c r="F2437" t="s">
        <x:v>97</x:v>
      </x:c>
      <x:c r="G2437">
        <x:v>41974</x:v>
      </x:c>
      <x:c r="H2437" t="s">
        <x:v>11061</x:v>
      </x:c>
      <x:c r="I2437" t="s">
        <x:v>11062</x:v>
      </x:c>
      <x:c r="J2437" t="s">
        <x:v>11063</x:v>
      </x:c>
    </x:row>
    <x:row r="2438">
      <x:c r="A2438" t="s">
        <x:v>11064</x:v>
      </x:c>
      <x:c r="B2438" t="s">
        <x:v>11064</x:v>
      </x:c>
      <x:c r="C2438" t="s">
        <x:v>491</x:v>
      </x:c>
      <x:c r="D2438">
        <x:v>20</x:v>
      </x:c>
      <x:c r="E2438" t="s">
        <x:v>89</x:v>
      </x:c>
      <x:c r="F2438" t="s">
        <x:v>90</x:v>
      </x:c>
      <x:c r="G2438">
        <x:v>45145</x:v>
      </x:c>
      <x:c r="H2438" t="s">
        <x:v>11065</x:v>
      </x:c>
      <x:c r="I2438" t="s">
        <x:v>11066</x:v>
      </x:c>
      <x:c r="J2438" t="s">
        <x:v>11067</x:v>
      </x:c>
    </x:row>
    <x:row r="2439">
      <x:c r="A2439" t="s">
        <x:v>11068</x:v>
      </x:c>
      <x:c r="B2439" t="s">
        <x:v>11068</x:v>
      </x:c>
      <x:c r="C2439" t="s">
        <x:v>491</x:v>
      </x:c>
      <x:c r="D2439">
        <x:v>18</x:v>
      </x:c>
      <x:c r="E2439" t="s">
        <x:v>89</x:v>
      </x:c>
      <x:c r="F2439" t="s">
        <x:v>90</x:v>
      </x:c>
      <x:c r="G2439">
        <x:v>45195</x:v>
      </x:c>
      <x:c r="H2439" t="s">
        <x:v>11069</x:v>
      </x:c>
      <x:c r="I2439" t="s">
        <x:v>11070</x:v>
      </x:c>
      <x:c r="J2439" t="s">
        <x:v>11071</x:v>
      </x:c>
    </x:row>
    <x:row r="2440">
      <x:c r="A2440" t="s">
        <x:v>11072</x:v>
      </x:c>
      <x:c r="B2440" t="s">
        <x:v>11072</x:v>
      </x:c>
      <x:c r="C2440" t="s">
        <x:v>11073</x:v>
      </x:c>
      <x:c r="D2440">
        <x:v>77</x:v>
      </x:c>
      <x:c r="E2440" t="s">
        <x:v>96</x:v>
      </x:c>
      <x:c r="F2440" t="s">
        <x:v>97</x:v>
      </x:c>
      <x:c r="G2440">
        <x:v>41620</x:v>
      </x:c>
      <x:c r="H2440" t="s">
        <x:v>11074</x:v>
      </x:c>
      <x:c r="I2440" t="s">
        <x:v>11075</x:v>
      </x:c>
      <x:c r="J2440" t="s">
        <x:v>11076</x:v>
      </x:c>
    </x:row>
    <x:row r="2441">
      <x:c r="A2441" t="s">
        <x:v>11077</x:v>
      </x:c>
      <x:c r="B2441" t="s">
        <x:v>11077</x:v>
      </x:c>
      <x:c r="C2441" t="s">
        <x:v>4942</x:v>
      </x:c>
      <x:c r="D2441">
        <x:v>2</x:v>
      </x:c>
      <x:c r="E2441" t="s">
        <x:v>103</x:v>
      </x:c>
      <x:c r="F2441" t="s">
        <x:v>97</x:v>
      </x:c>
      <x:c r="G2441">
        <x:v>42018</x:v>
      </x:c>
      <x:c r="H2441" t="s">
        <x:v>11078</x:v>
      </x:c>
      <x:c r="I2441" t="s">
        <x:v>11079</x:v>
      </x:c>
      <x:c r="J2441" t="s">
        <x:v>11080</x:v>
      </x:c>
    </x:row>
    <x:row r="2442">
      <x:c r="A2442" t="s">
        <x:v>11081</x:v>
      </x:c>
      <x:c r="B2442" t="s">
        <x:v>11081</x:v>
      </x:c>
      <x:c r="C2442" t="s">
        <x:v>4942</x:v>
      </x:c>
      <x:c r="D2442">
        <x:v>6</x:v>
      </x:c>
      <x:c r="E2442" t="s">
        <x:v>103</x:v>
      </x:c>
      <x:c r="F2442" t="s">
        <x:v>97</x:v>
      </x:c>
      <x:c r="G2442">
        <x:v>41533</x:v>
      </x:c>
      <x:c r="H2442" t="s">
        <x:v>11082</x:v>
      </x:c>
      <x:c r="I2442" t="s">
        <x:v>11083</x:v>
      </x:c>
      <x:c r="J2442" t="s">
        <x:v>11084</x:v>
      </x:c>
    </x:row>
    <x:row r="2443">
      <x:c r="A2443" t="s">
        <x:v>11085</x:v>
      </x:c>
      <x:c r="B2443" t="s">
        <x:v>11085</x:v>
      </x:c>
      <x:c r="C2443" t="s">
        <x:v>4942</x:v>
      </x:c>
      <x:c r="D2443">
        <x:v>15</x:v>
      </x:c>
      <x:c r="E2443" t="s">
        <x:v>103</x:v>
      </x:c>
      <x:c r="F2443" t="s">
        <x:v>97</x:v>
      </x:c>
      <x:c r="G2443">
        <x:v>41563</x:v>
      </x:c>
      <x:c r="H2443" t="s">
        <x:v>11086</x:v>
      </x:c>
      <x:c r="I2443" t="s">
        <x:v>11087</x:v>
      </x:c>
      <x:c r="J2443" t="s">
        <x:v>11088</x:v>
      </x:c>
    </x:row>
    <x:row r="2444">
      <x:c r="A2444" t="s">
        <x:v>11089</x:v>
      </x:c>
      <x:c r="B2444" t="s">
        <x:v>11089</x:v>
      </x:c>
      <x:c r="C2444" t="s">
        <x:v>8671</x:v>
      </x:c>
      <x:c r="D2444">
        <x:v>54</x:v>
      </x:c>
      <x:c r="E2444" t="s">
        <x:v>96</x:v>
      </x:c>
      <x:c r="F2444" t="s">
        <x:v>97</x:v>
      </x:c>
      <x:c r="G2444">
        <x:v>42299</x:v>
      </x:c>
      <x:c r="H2444" t="s">
        <x:v>11090</x:v>
      </x:c>
      <x:c r="I2444" t="s">
        <x:v>11091</x:v>
      </x:c>
      <x:c r="J2444" t="s">
        <x:v>11092</x:v>
      </x:c>
    </x:row>
    <x:row r="2445">
      <x:c r="A2445" t="s">
        <x:v>11093</x:v>
      </x:c>
      <x:c r="B2445" t="s">
        <x:v>11093</x:v>
      </x:c>
      <x:c r="C2445" t="s">
        <x:v>11094</x:v>
      </x:c>
      <x:c r="D2445">
        <x:v>6</x:v>
      </x:c>
      <x:c r="E2445" t="s">
        <x:v>103</x:v>
      </x:c>
      <x:c r="F2445" t="s">
        <x:v>97</x:v>
      </x:c>
      <x:c r="G2445">
        <x:v>41535</x:v>
      </x:c>
      <x:c r="H2445" t="s">
        <x:v>11095</x:v>
      </x:c>
      <x:c r="I2445" t="s">
        <x:v>11096</x:v>
      </x:c>
      <x:c r="J2445" t="s">
        <x:v>11097</x:v>
      </x:c>
    </x:row>
    <x:row r="2446">
      <x:c r="A2446" t="s">
        <x:v>11098</x:v>
      </x:c>
      <x:c r="B2446" t="s">
        <x:v>11098</x:v>
      </x:c>
      <x:c r="C2446" t="s">
        <x:v>374</x:v>
      </x:c>
      <x:c r="D2446">
        <x:v>4</x:v>
      </x:c>
      <x:c r="E2446" t="s">
        <x:v>103</x:v>
      </x:c>
      <x:c r="F2446" t="s">
        <x:v>97</x:v>
      </x:c>
      <x:c r="G2446">
        <x:v>42066</x:v>
      </x:c>
      <x:c r="H2446" t="s">
        <x:v>11099</x:v>
      </x:c>
      <x:c r="I2446" t="s">
        <x:v>11100</x:v>
      </x:c>
      <x:c r="J2446" t="s">
        <x:v>11101</x:v>
      </x:c>
    </x:row>
    <x:row r="2447">
      <x:c r="A2447" t="s">
        <x:v>11102</x:v>
      </x:c>
      <x:c r="B2447" t="s">
        <x:v>11102</x:v>
      </x:c>
      <x:c r="C2447" t="s">
        <x:v>11103</x:v>
      </x:c>
      <x:c r="D2447">
        <x:v>32</x:v>
      </x:c>
      <x:c r="E2447" t="s">
        <x:v>103</x:v>
      </x:c>
      <x:c r="F2447" t="s">
        <x:v>97</x:v>
      </x:c>
      <x:c r="G2447">
        <x:v>45138</x:v>
      </x:c>
      <x:c r="H2447" t="s">
        <x:v>11104</x:v>
      </x:c>
      <x:c r="I2447" t="s">
        <x:v>11105</x:v>
      </x:c>
      <x:c r="J2447" t="s">
        <x:v>11106</x:v>
      </x:c>
    </x:row>
    <x:row r="2448">
      <x:c r="A2448" t="s">
        <x:v>11107</x:v>
      </x:c>
      <x:c r="B2448" t="s">
        <x:v>11107</x:v>
      </x:c>
      <x:c r="C2448" t="s">
        <x:v>11108</x:v>
      </x:c>
      <x:c r="D2448">
        <x:v>6</x:v>
      </x:c>
      <x:c r="E2448" t="s">
        <x:v>257</x:v>
      </x:c>
      <x:c r="F2448" t="s">
        <x:v>97</x:v>
      </x:c>
      <x:c r="G2448">
        <x:v>42317</x:v>
      </x:c>
      <x:c r="H2448" t="s">
        <x:v>11109</x:v>
      </x:c>
      <x:c r="I2448" t="s">
        <x:v>11110</x:v>
      </x:c>
      <x:c r="J2448" t="s">
        <x:v>11111</x:v>
      </x:c>
    </x:row>
    <x:row r="2449">
      <x:c r="A2449" t="s">
        <x:v>11112</x:v>
      </x:c>
      <x:c r="B2449" t="s">
        <x:v>11112</x:v>
      </x:c>
      <x:c r="C2449" t="s">
        <x:v>11113</x:v>
      </x:c>
      <x:c r="D2449">
        <x:v>25</x:v>
      </x:c>
      <x:c r="E2449" t="s">
        <x:v>96</x:v>
      </x:c>
      <x:c r="F2449" t="s">
        <x:v>97</x:v>
      </x:c>
      <x:c r="G2449">
        <x:v>44167</x:v>
      </x:c>
      <x:c r="H2449" t="s">
        <x:v>11114</x:v>
      </x:c>
      <x:c r="I2449" t="s">
        <x:v>11115</x:v>
      </x:c>
      <x:c r="J2449" t="s">
        <x:v>11116</x:v>
      </x:c>
    </x:row>
    <x:row r="2450">
      <x:c r="A2450" t="s">
        <x:v>11117</x:v>
      </x:c>
      <x:c r="B2450" t="s">
        <x:v>11117</x:v>
      </x:c>
      <x:c r="C2450" t="s">
        <x:v>11118</x:v>
      </x:c>
      <x:c r="D2450">
        <x:v>0</x:v>
      </x:c>
      <x:c r="E2450" t="s">
        <x:v>103</x:v>
      </x:c>
      <x:c r="F2450" t="s">
        <x:v>97</x:v>
      </x:c>
      <x:c r="G2450">
        <x:v>44676</x:v>
      </x:c>
      <x:c r="H2450" t="s">
        <x:v>11119</x:v>
      </x:c>
      <x:c r="I2450" t="s">
        <x:v>11120</x:v>
      </x:c>
      <x:c r="J2450" t="s">
        <x:v>11121</x:v>
      </x:c>
    </x:row>
    <x:row r="2451">
      <x:c r="A2451" t="s">
        <x:v>11122</x:v>
      </x:c>
      <x:c r="B2451" t="s">
        <x:v>11122</x:v>
      </x:c>
      <x:c r="C2451" t="s">
        <x:v>4300</x:v>
      </x:c>
      <x:c r="D2451">
        <x:v>44</x:v>
      </x:c>
      <x:c r="E2451" t="s">
        <x:v>103</x:v>
      </x:c>
      <x:c r="F2451" t="s">
        <x:v>97</x:v>
      </x:c>
      <x:c r="G2451">
        <x:v>43955</x:v>
      </x:c>
      <x:c r="H2451" t="s">
        <x:v>11123</x:v>
      </x:c>
      <x:c r="I2451" t="s">
        <x:v>11124</x:v>
      </x:c>
      <x:c r="J2451" t="s">
        <x:v>11125</x:v>
      </x:c>
    </x:row>
    <x:row r="2452">
      <x:c r="A2452" t="s">
        <x:v>11126</x:v>
      </x:c>
      <x:c r="B2452" t="s">
        <x:v>11126</x:v>
      </x:c>
      <x:c r="C2452" t="s">
        <x:v>11127</x:v>
      </x:c>
      <x:c r="D2452">
        <x:v>11</x:v>
      </x:c>
      <x:c r="E2452" t="s">
        <x:v>103</x:v>
      </x:c>
      <x:c r="F2452" t="s">
        <x:v>97</x:v>
      </x:c>
      <x:c r="G2452">
        <x:v>42276</x:v>
      </x:c>
      <x:c r="H2452" t="s">
        <x:v>11128</x:v>
      </x:c>
      <x:c r="I2452" t="s">
        <x:v>11129</x:v>
      </x:c>
      <x:c r="J2452" t="s">
        <x:v>11130</x:v>
      </x:c>
    </x:row>
    <x:row r="2453">
      <x:c r="A2453" t="s">
        <x:v>11131</x:v>
      </x:c>
      <x:c r="B2453" t="s">
        <x:v>11131</x:v>
      </x:c>
      <x:c r="C2453" t="s">
        <x:v>11132</x:v>
      </x:c>
      <x:c r="D2453">
        <x:v>13</x:v>
      </x:c>
      <x:c r="E2453" t="s">
        <x:v>103</x:v>
      </x:c>
      <x:c r="F2453" t="s">
        <x:v>97</x:v>
      </x:c>
      <x:c r="G2453">
        <x:v>42302</x:v>
      </x:c>
      <x:c r="H2453" t="s">
        <x:v>11133</x:v>
      </x:c>
      <x:c r="I2453" t="s">
        <x:v>11134</x:v>
      </x:c>
      <x:c r="J2453" t="s">
        <x:v>11135</x:v>
      </x:c>
    </x:row>
    <x:row r="2454">
      <x:c r="A2454" t="s">
        <x:v>11136</x:v>
      </x:c>
      <x:c r="B2454" t="s">
        <x:v>11136</x:v>
      </x:c>
      <x:c r="C2454" t="s">
        <x:v>11137</x:v>
      </x:c>
      <x:c r="D2454">
        <x:v>2</x:v>
      </x:c>
      <x:c r="E2454" t="s">
        <x:v>257</x:v>
      </x:c>
      <x:c r="F2454" t="s">
        <x:v>97</x:v>
      </x:c>
      <x:c r="G2454">
        <x:v>42018</x:v>
      </x:c>
      <x:c r="H2454" t="s">
        <x:v>11138</x:v>
      </x:c>
      <x:c r="I2454" t="s">
        <x:v>11139</x:v>
      </x:c>
      <x:c r="J2454" t="s">
        <x:v>11140</x:v>
      </x:c>
    </x:row>
    <x:row r="2455">
      <x:c r="A2455" t="s">
        <x:v>11141</x:v>
      </x:c>
      <x:c r="B2455" t="s">
        <x:v>11141</x:v>
      </x:c>
      <x:c r="C2455" t="s">
        <x:v>3265</x:v>
      </x:c>
      <x:c r="D2455">
        <x:v>5</x:v>
      </x:c>
      <x:c r="E2455" t="s">
        <x:v>257</x:v>
      </x:c>
      <x:c r="F2455" t="s">
        <x:v>97</x:v>
      </x:c>
      <x:c r="G2455">
        <x:v>42265</x:v>
      </x:c>
      <x:c r="H2455" t="s">
        <x:v>11142</x:v>
      </x:c>
      <x:c r="I2455" t="s">
        <x:v>11143</x:v>
      </x:c>
      <x:c r="J2455" t="s">
        <x:v>11144</x:v>
      </x:c>
    </x:row>
    <x:row r="2456">
      <x:c r="A2456" t="s">
        <x:v>11145</x:v>
      </x:c>
      <x:c r="B2456" t="s">
        <x:v>11145</x:v>
      </x:c>
      <x:c r="C2456" t="s">
        <x:v>3243</x:v>
      </x:c>
      <x:c r="D2456">
        <x:v>1</x:v>
      </x:c>
      <x:c r="E2456" t="s">
        <x:v>103</x:v>
      </x:c>
      <x:c r="F2456" t="s">
        <x:v>97</x:v>
      </x:c>
      <x:c r="G2456">
        <x:v>42017</x:v>
      </x:c>
      <x:c r="H2456" t="s">
        <x:v>11146</x:v>
      </x:c>
      <x:c r="I2456" t="s">
        <x:v>11147</x:v>
      </x:c>
      <x:c r="J2456" t="s">
        <x:v>11148</x:v>
      </x:c>
    </x:row>
    <x:row r="2457">
      <x:c r="A2457" t="s">
        <x:v>11149</x:v>
      </x:c>
      <x:c r="B2457" t="s">
        <x:v>11149</x:v>
      </x:c>
      <x:c r="C2457" t="s">
        <x:v>11150</x:v>
      </x:c>
      <x:c r="D2457">
        <x:v>4</x:v>
      </x:c>
      <x:c r="E2457" t="s">
        <x:v>198</x:v>
      </x:c>
      <x:c r="F2457" t="s">
        <x:v>90</x:v>
      </x:c>
      <x:c r="G2457">
        <x:v>42222</x:v>
      </x:c>
      <x:c r="H2457" t="s">
        <x:v>11151</x:v>
      </x:c>
      <x:c r="I2457" t="s">
        <x:v>11152</x:v>
      </x:c>
      <x:c r="J2457" t="s">
        <x:v>11153</x:v>
      </x:c>
    </x:row>
    <x:row r="2458">
      <x:c r="A2458" t="s">
        <x:v>11154</x:v>
      </x:c>
      <x:c r="B2458" t="s">
        <x:v>11154</x:v>
      </x:c>
      <x:c r="C2458" t="s">
        <x:v>11155</x:v>
      </x:c>
      <x:c r="D2458">
        <x:v>12</x:v>
      </x:c>
      <x:c r="E2458" t="s">
        <x:v>103</x:v>
      </x:c>
      <x:c r="F2458" t="s">
        <x:v>97</x:v>
      </x:c>
      <x:c r="G2458">
        <x:v>41567</x:v>
      </x:c>
      <x:c r="H2458" t="s">
        <x:v>11156</x:v>
      </x:c>
      <x:c r="I2458" t="s">
        <x:v>11157</x:v>
      </x:c>
      <x:c r="J2458" t="s">
        <x:v>11158</x:v>
      </x:c>
    </x:row>
    <x:row r="2459">
      <x:c r="A2459" t="s">
        <x:v>11159</x:v>
      </x:c>
      <x:c r="B2459" t="s">
        <x:v>11159</x:v>
      </x:c>
      <x:c r="C2459" t="s">
        <x:v>11160</x:v>
      </x:c>
      <x:c r="D2459">
        <x:v>11</x:v>
      </x:c>
      <x:c r="E2459" t="s">
        <x:v>114</x:v>
      </x:c>
      <x:c r="F2459" t="s">
        <x:v>90</x:v>
      </x:c>
      <x:c r="G2459">
        <x:v>44631</x:v>
      </x:c>
      <x:c r="H2459" t="s">
        <x:v>11161</x:v>
      </x:c>
      <x:c r="I2459" t="s">
        <x:v>11162</x:v>
      </x:c>
      <x:c r="J2459" t="s">
        <x:v>11163</x:v>
      </x:c>
    </x:row>
    <x:row r="2460">
      <x:c r="A2460" t="s">
        <x:v>11164</x:v>
      </x:c>
      <x:c r="B2460" t="s">
        <x:v>11164</x:v>
      </x:c>
      <x:c r="C2460" t="s">
        <x:v>1831</x:v>
      </x:c>
      <x:c r="D2460">
        <x:v>19</x:v>
      </x:c>
      <x:c r="E2460" t="s">
        <x:v>198</x:v>
      </x:c>
      <x:c r="F2460" t="s">
        <x:v>90</x:v>
      </x:c>
      <x:c r="G2460">
        <x:v>44480</x:v>
      </x:c>
      <x:c r="H2460" t="s">
        <x:v>11165</x:v>
      </x:c>
      <x:c r="I2460" t="s">
        <x:v>11166</x:v>
      </x:c>
      <x:c r="J2460" t="s">
        <x:v>11167</x:v>
      </x:c>
    </x:row>
    <x:row r="2461">
      <x:c r="A2461" t="s">
        <x:v>11168</x:v>
      </x:c>
      <x:c r="B2461" t="s">
        <x:v>11168</x:v>
      </x:c>
      <x:c r="C2461" t="s">
        <x:v>11169</x:v>
      </x:c>
      <x:c r="D2461">
        <x:v>96</x:v>
      </x:c>
      <x:c r="E2461" t="s">
        <x:v>114</x:v>
      </x:c>
      <x:c r="F2461" t="s">
        <x:v>97</x:v>
      </x:c>
      <x:c r="G2461">
        <x:v>41582</x:v>
      </x:c>
      <x:c r="H2461" t="s">
        <x:v>11170</x:v>
      </x:c>
      <x:c r="I2461" t="s">
        <x:v>11171</x:v>
      </x:c>
      <x:c r="J2461" t="s">
        <x:v>11172</x:v>
      </x:c>
    </x:row>
    <x:row r="2462">
      <x:c r="A2462" t="s">
        <x:v>11173</x:v>
      </x:c>
      <x:c r="B2462" t="s">
        <x:v>11173</x:v>
      </x:c>
      <x:c r="C2462" t="s">
        <x:v>2184</x:v>
      </x:c>
      <x:c r="D2462">
        <x:v>9</x:v>
      </x:c>
      <x:c r="E2462" t="s">
        <x:v>96</x:v>
      </x:c>
      <x:c r="F2462" t="s">
        <x:v>97</x:v>
      </x:c>
      <x:c r="G2462">
        <x:v>42040</x:v>
      </x:c>
      <x:c r="H2462" t="s">
        <x:v>11174</x:v>
      </x:c>
      <x:c r="I2462" t="s">
        <x:v>11175</x:v>
      </x:c>
      <x:c r="J2462" t="s">
        <x:v>11176</x:v>
      </x:c>
    </x:row>
    <x:row r="2463">
      <x:c r="A2463" t="s">
        <x:v>11177</x:v>
      </x:c>
      <x:c r="B2463" t="s">
        <x:v>11177</x:v>
      </x:c>
      <x:c r="C2463" t="s">
        <x:v>5218</x:v>
      </x:c>
      <x:c r="D2463">
        <x:v>1</x:v>
      </x:c>
      <x:c r="E2463" t="s">
        <x:v>96</x:v>
      </x:c>
      <x:c r="F2463" t="s">
        <x:v>97</x:v>
      </x:c>
      <x:c r="G2463">
        <x:v>42155</x:v>
      </x:c>
      <x:c r="H2463" t="s">
        <x:v>11178</x:v>
      </x:c>
      <x:c r="I2463" t="s">
        <x:v>11179</x:v>
      </x:c>
      <x:c r="J2463" t="s">
        <x:v>11180</x:v>
      </x:c>
    </x:row>
    <x:row r="2464">
      <x:c r="A2464" t="s">
        <x:v>11181</x:v>
      </x:c>
      <x:c r="B2464" t="s">
        <x:v>11181</x:v>
      </x:c>
      <x:c r="C2464" t="s">
        <x:v>3509</x:v>
      </x:c>
      <x:c r="D2464">
        <x:v>15</x:v>
      </x:c>
      <x:c r="E2464" t="s">
        <x:v>96</x:v>
      </x:c>
      <x:c r="F2464" t="s">
        <x:v>97</x:v>
      </x:c>
      <x:c r="G2464">
        <x:v>45407</x:v>
      </x:c>
      <x:c r="H2464" t="s">
        <x:v>11182</x:v>
      </x:c>
      <x:c r="I2464" t="s">
        <x:v>11183</x:v>
      </x:c>
      <x:c r="J2464" t="s">
        <x:v>11184</x:v>
      </x:c>
    </x:row>
    <x:row r="2465">
      <x:c r="A2465" t="s">
        <x:v>11185</x:v>
      </x:c>
      <x:c r="B2465" t="s">
        <x:v>11185</x:v>
      </x:c>
      <x:c r="C2465" t="s">
        <x:v>1568</x:v>
      </x:c>
      <x:c r="D2465">
        <x:v>1</x:v>
      </x:c>
      <x:c r="E2465" t="s">
        <x:v>114</x:v>
      </x:c>
      <x:c r="F2465" t="s">
        <x:v>126</x:v>
      </x:c>
      <x:c r="G2465">
        <x:v>42939</x:v>
      </x:c>
      <x:c r="H2465" t="s">
        <x:v>11186</x:v>
      </x:c>
      <x:c r="I2465" t="s">
        <x:v>11187</x:v>
      </x:c>
      <x:c r="J2465" t="s">
        <x:v>11188</x:v>
      </x:c>
    </x:row>
    <x:row r="2466">
      <x:c r="A2466" t="s">
        <x:v>11189</x:v>
      </x:c>
      <x:c r="B2466" t="s">
        <x:v>11189</x:v>
      </x:c>
      <x:c r="C2466" t="s">
        <x:v>11190</x:v>
      </x:c>
      <x:c r="D2466">
        <x:v>1</x:v>
      </x:c>
      <x:c r="E2466" t="s">
        <x:v>114</x:v>
      </x:c>
      <x:c r="F2466" t="s">
        <x:v>126</x:v>
      </x:c>
      <x:c r="G2466">
        <x:v>45209</x:v>
      </x:c>
      <x:c r="H2466" t="s">
        <x:v>11191</x:v>
      </x:c>
      <x:c r="I2466" t="s">
        <x:v>11192</x:v>
      </x:c>
      <x:c r="J2466" t="s">
        <x:v>11193</x:v>
      </x:c>
    </x:row>
    <x:row r="2467">
      <x:c r="A2467" t="s">
        <x:v>11194</x:v>
      </x:c>
      <x:c r="B2467" t="s">
        <x:v>11194</x:v>
      </x:c>
      <x:c r="C2467" t="s">
        <x:v>11195</x:v>
      </x:c>
      <x:c r="D2467">
        <x:v>17</x:v>
      </x:c>
      <x:c r="E2467" t="s">
        <x:v>257</x:v>
      </x:c>
      <x:c r="F2467" t="s">
        <x:v>97</x:v>
      </x:c>
      <x:c r="G2467">
        <x:v>42256</x:v>
      </x:c>
      <x:c r="H2467" t="s">
        <x:v>11196</x:v>
      </x:c>
      <x:c r="I2467" t="s">
        <x:v>11197</x:v>
      </x:c>
      <x:c r="J2467" t="s">
        <x:v>11198</x:v>
      </x:c>
    </x:row>
    <x:row r="2468">
      <x:c r="A2468" t="s">
        <x:v>11199</x:v>
      </x:c>
      <x:c r="B2468" t="s">
        <x:v>11199</x:v>
      </x:c>
      <x:c r="C2468" t="s">
        <x:v>10850</x:v>
      </x:c>
      <x:c r="D2468">
        <x:v>5</x:v>
      </x:c>
      <x:c r="E2468" t="s">
        <x:v>125</x:v>
      </x:c>
      <x:c r="F2468" t="s">
        <x:v>90</x:v>
      </x:c>
      <x:c r="G2468">
        <x:v>45127</x:v>
      </x:c>
      <x:c r="H2468" t="s">
        <x:v>11200</x:v>
      </x:c>
      <x:c r="I2468" t="s">
        <x:v>11201</x:v>
      </x:c>
      <x:c r="J2468" t="s">
        <x:v>11202</x:v>
      </x:c>
    </x:row>
    <x:row r="2469">
      <x:c r="A2469" t="s">
        <x:v>11203</x:v>
      </x:c>
      <x:c r="B2469" t="s">
        <x:v>11203</x:v>
      </x:c>
      <x:c r="C2469" t="s">
        <x:v>2501</x:v>
      </x:c>
      <x:c r="D2469">
        <x:v>22</x:v>
      </x:c>
      <x:c r="E2469" t="s">
        <x:v>198</x:v>
      </x:c>
      <x:c r="F2469" t="s">
        <x:v>90</x:v>
      </x:c>
      <x:c r="G2469">
        <x:v>44384</x:v>
      </x:c>
      <x:c r="H2469" t="s">
        <x:v>11204</x:v>
      </x:c>
      <x:c r="I2469" t="s">
        <x:v>11205</x:v>
      </x:c>
      <x:c r="J2469" t="s">
        <x:v>11206</x:v>
      </x:c>
    </x:row>
    <x:row r="2470">
      <x:c r="A2470" t="s">
        <x:v>11207</x:v>
      </x:c>
      <x:c r="B2470" t="s">
        <x:v>11207</x:v>
      </x:c>
      <x:c r="C2470" t="s">
        <x:v>11208</x:v>
      </x:c>
      <x:c r="D2470">
        <x:v>8</x:v>
      </x:c>
      <x:c r="E2470" t="s">
        <x:v>198</x:v>
      </x:c>
      <x:c r="F2470" t="s">
        <x:v>90</x:v>
      </x:c>
      <x:c r="G2470">
        <x:v>46194</x:v>
      </x:c>
      <x:c r="H2470" t="s">
        <x:v>11209</x:v>
      </x:c>
      <x:c r="I2470" t="s">
        <x:v>11210</x:v>
      </x:c>
      <x:c r="J2470" t="s">
        <x:v>11211</x:v>
      </x:c>
    </x:row>
    <x:row r="2471">
      <x:c r="A2471" t="s">
        <x:v>11212</x:v>
      </x:c>
      <x:c r="B2471" t="s">
        <x:v>11212</x:v>
      </x:c>
      <x:c r="C2471" t="s">
        <x:v>11213</x:v>
      </x:c>
      <x:c r="D2471">
        <x:v>24</x:v>
      </x:c>
      <x:c r="E2471" t="s">
        <x:v>103</x:v>
      </x:c>
      <x:c r="F2471" t="s">
        <x:v>97</x:v>
      </x:c>
      <x:c r="G2471">
        <x:v>44152</x:v>
      </x:c>
      <x:c r="H2471" t="s">
        <x:v>11214</x:v>
      </x:c>
      <x:c r="I2471" t="s">
        <x:v>11215</x:v>
      </x:c>
      <x:c r="J2471" t="s">
        <x:v>11216</x:v>
      </x:c>
    </x:row>
    <x:row r="2472">
      <x:c r="A2472" t="s">
        <x:v>11217</x:v>
      </x:c>
      <x:c r="B2472" t="s">
        <x:v>11217</x:v>
      </x:c>
      <x:c r="C2472" t="s">
        <x:v>11218</x:v>
      </x:c>
      <x:c r="D2472">
        <x:v>7</x:v>
      </x:c>
      <x:c r="E2472" t="s">
        <x:v>103</x:v>
      </x:c>
      <x:c r="F2472" t="s">
        <x:v>97</x:v>
      </x:c>
      <x:c r="G2472">
        <x:v>41451</x:v>
      </x:c>
      <x:c r="H2472" t="s">
        <x:v>11219</x:v>
      </x:c>
      <x:c r="I2472" t="s">
        <x:v>11220</x:v>
      </x:c>
      <x:c r="J2472" t="s">
        <x:v>11221</x:v>
      </x:c>
    </x:row>
    <x:row r="2473">
      <x:c r="A2473" t="s">
        <x:v>11222</x:v>
      </x:c>
      <x:c r="B2473" t="s">
        <x:v>11222</x:v>
      </x:c>
      <x:c r="C2473" t="s">
        <x:v>282</x:v>
      </x:c>
      <x:c r="D2473">
        <x:v>34</x:v>
      </x:c>
      <x:c r="E2473" t="s">
        <x:v>96</x:v>
      </x:c>
      <x:c r="F2473" t="s">
        <x:v>97</x:v>
      </x:c>
      <x:c r="G2473">
        <x:v>44868</x:v>
      </x:c>
      <x:c r="H2473" t="s">
        <x:v>11223</x:v>
      </x:c>
      <x:c r="I2473" t="s">
        <x:v>11224</x:v>
      </x:c>
      <x:c r="J2473" t="s">
        <x:v>11225</x:v>
      </x:c>
    </x:row>
    <x:row r="2474">
      <x:c r="A2474" t="s">
        <x:v>11226</x:v>
      </x:c>
      <x:c r="B2474" t="s">
        <x:v>11226</x:v>
      </x:c>
      <x:c r="C2474" t="s">
        <x:v>11227</x:v>
      </x:c>
      <x:c r="D2474">
        <x:v>62</x:v>
      </x:c>
      <x:c r="E2474" t="s">
        <x:v>103</x:v>
      </x:c>
      <x:c r="F2474" t="s">
        <x:v>97</x:v>
      </x:c>
      <x:c r="G2474">
        <x:v>42300</x:v>
      </x:c>
      <x:c r="H2474" t="s">
        <x:v>11228</x:v>
      </x:c>
      <x:c r="I2474" t="s">
        <x:v>11229</x:v>
      </x:c>
      <x:c r="J2474" t="s">
        <x:v>11230</x:v>
      </x:c>
    </x:row>
    <x:row r="2475">
      <x:c r="A2475" t="s">
        <x:v>11231</x:v>
      </x:c>
      <x:c r="B2475" t="s">
        <x:v>11231</x:v>
      </x:c>
      <x:c r="C2475" t="s">
        <x:v>1608</x:v>
      </x:c>
      <x:c r="D2475">
        <x:v>15</x:v>
      </x:c>
      <x:c r="E2475" t="s">
        <x:v>114</x:v>
      </x:c>
      <x:c r="F2475" t="s">
        <x:v>90</x:v>
      </x:c>
      <x:c r="G2475">
        <x:v>44302</x:v>
      </x:c>
      <x:c r="H2475" t="s">
        <x:v>11232</x:v>
      </x:c>
      <x:c r="I2475" t="s">
        <x:v>11233</x:v>
      </x:c>
      <x:c r="J2475" t="s">
        <x:v>11234</x:v>
      </x:c>
    </x:row>
    <x:row r="2476">
      <x:c r="A2476" t="s">
        <x:v>11235</x:v>
      </x:c>
      <x:c r="B2476" t="s">
        <x:v>11235</x:v>
      </x:c>
      <x:c r="C2476" t="s">
        <x:v>1608</x:v>
      </x:c>
      <x:c r="D2476">
        <x:v>10</x:v>
      </x:c>
      <x:c r="E2476" t="s">
        <x:v>114</x:v>
      </x:c>
      <x:c r="F2476" t="s">
        <x:v>90</x:v>
      </x:c>
      <x:c r="G2476">
        <x:v>44656</x:v>
      </x:c>
      <x:c r="H2476" t="s">
        <x:v>11236</x:v>
      </x:c>
      <x:c r="I2476" t="s">
        <x:v>11237</x:v>
      </x:c>
      <x:c r="J2476" t="s">
        <x:v>11238</x:v>
      </x:c>
    </x:row>
    <x:row r="2477">
      <x:c r="A2477" t="s">
        <x:v>11239</x:v>
      </x:c>
      <x:c r="B2477" t="s">
        <x:v>11239</x:v>
      </x:c>
      <x:c r="C2477" t="s">
        <x:v>11240</x:v>
      </x:c>
      <x:c r="D2477">
        <x:v>13</x:v>
      </x:c>
      <x:c r="E2477" t="s">
        <x:v>103</x:v>
      </x:c>
      <x:c r="F2477" t="s">
        <x:v>97</x:v>
      </x:c>
      <x:c r="G2477">
        <x:v>42209</x:v>
      </x:c>
      <x:c r="H2477" t="s">
        <x:v>11241</x:v>
      </x:c>
      <x:c r="I2477" t="s">
        <x:v>11242</x:v>
      </x:c>
      <x:c r="J2477" t="s">
        <x:v>11243</x:v>
      </x:c>
    </x:row>
    <x:row r="2478">
      <x:c r="A2478" t="s">
        <x:v>11244</x:v>
      </x:c>
      <x:c r="B2478" t="s">
        <x:v>11244</x:v>
      </x:c>
      <x:c r="C2478" t="s">
        <x:v>685</x:v>
      </x:c>
      <x:c r="D2478">
        <x:v>22</x:v>
      </x:c>
      <x:c r="E2478" t="s">
        <x:v>198</x:v>
      </x:c>
      <x:c r="F2478" t="s">
        <x:v>90</x:v>
      </x:c>
      <x:c r="G2478">
        <x:v>44962</x:v>
      </x:c>
      <x:c r="H2478" t="s">
        <x:v>11245</x:v>
      </x:c>
      <x:c r="I2478" t="s">
        <x:v>11246</x:v>
      </x:c>
      <x:c r="J2478" t="s">
        <x:v>11247</x:v>
      </x:c>
    </x:row>
    <x:row r="2479">
      <x:c r="A2479" t="s">
        <x:v>11248</x:v>
      </x:c>
      <x:c r="B2479" t="s">
        <x:v>11248</x:v>
      </x:c>
      <x:c r="C2479" t="s">
        <x:v>11249</x:v>
      </x:c>
      <x:c r="D2479">
        <x:v>7</x:v>
      </x:c>
      <x:c r="E2479" t="s">
        <x:v>257</x:v>
      </x:c>
      <x:c r="F2479" t="s">
        <x:v>97</x:v>
      </x:c>
      <x:c r="G2479">
        <x:v>42279</x:v>
      </x:c>
      <x:c r="H2479" t="s">
        <x:v>11250</x:v>
      </x:c>
      <x:c r="I2479" t="s">
        <x:v>11251</x:v>
      </x:c>
      <x:c r="J2479" t="s">
        <x:v>11252</x:v>
      </x:c>
    </x:row>
    <x:row r="2480">
      <x:c r="A2480" t="s">
        <x:v>11253</x:v>
      </x:c>
      <x:c r="B2480" t="s">
        <x:v>11253</x:v>
      </x:c>
      <x:c r="C2480" t="s">
        <x:v>11254</x:v>
      </x:c>
      <x:c r="D2480">
        <x:v>96</x:v>
      </x:c>
      <x:c r="E2480" t="s">
        <x:v>96</x:v>
      </x:c>
      <x:c r="F2480" t="s">
        <x:v>97</x:v>
      </x:c>
      <x:c r="G2480">
        <x:v>42339</x:v>
      </x:c>
      <x:c r="H2480" t="s">
        <x:v>11255</x:v>
      </x:c>
      <x:c r="I2480" t="s">
        <x:v>11256</x:v>
      </x:c>
      <x:c r="J2480" t="s">
        <x:v>11257</x:v>
      </x:c>
    </x:row>
    <x:row r="2481">
      <x:c r="A2481" t="s">
        <x:v>11258</x:v>
      </x:c>
      <x:c r="B2481" t="s">
        <x:v>11258</x:v>
      </x:c>
      <x:c r="C2481" t="s">
        <x:v>7054</x:v>
      </x:c>
      <x:c r="D2481">
        <x:v>14</x:v>
      </x:c>
      <x:c r="E2481" t="s">
        <x:v>103</x:v>
      </x:c>
      <x:c r="F2481" t="s">
        <x:v>97</x:v>
      </x:c>
      <x:c r="G2481">
        <x:v>42207</x:v>
      </x:c>
      <x:c r="H2481" t="s">
        <x:v>11259</x:v>
      </x:c>
      <x:c r="I2481" t="s">
        <x:v>11260</x:v>
      </x:c>
      <x:c r="J2481" t="s">
        <x:v>11261</x:v>
      </x:c>
    </x:row>
    <x:row r="2482">
      <x:c r="A2482" t="s">
        <x:v>11262</x:v>
      </x:c>
      <x:c r="B2482" t="s">
        <x:v>11262</x:v>
      </x:c>
      <x:c r="C2482" t="s">
        <x:v>2391</x:v>
      </x:c>
      <x:c r="D2482">
        <x:v>15</x:v>
      </x:c>
      <x:c r="E2482" t="s">
        <x:v>198</x:v>
      </x:c>
      <x:c r="F2482" t="s">
        <x:v>90</x:v>
      </x:c>
      <x:c r="G2482">
        <x:v>44113</x:v>
      </x:c>
      <x:c r="H2482" t="s">
        <x:v>11263</x:v>
      </x:c>
      <x:c r="I2482" t="s">
        <x:v>11264</x:v>
      </x:c>
      <x:c r="J2482" t="s">
        <x:v>11265</x:v>
      </x:c>
    </x:row>
    <x:row r="2483">
      <x:c r="A2483" t="s">
        <x:v>11266</x:v>
      </x:c>
      <x:c r="B2483" t="s">
        <x:v>11266</x:v>
      </x:c>
      <x:c r="C2483" t="s">
        <x:v>2391</x:v>
      </x:c>
      <x:c r="D2483">
        <x:v>20</x:v>
      </x:c>
      <x:c r="E2483" t="s">
        <x:v>114</x:v>
      </x:c>
      <x:c r="F2483" t="s">
        <x:v>90</x:v>
      </x:c>
      <x:c r="G2483">
        <x:v>44600</x:v>
      </x:c>
      <x:c r="H2483" t="s">
        <x:v>11267</x:v>
      </x:c>
      <x:c r="I2483" t="s">
        <x:v>11268</x:v>
      </x:c>
      <x:c r="J2483" t="s">
        <x:v>11269</x:v>
      </x:c>
    </x:row>
    <x:row r="2484">
      <x:c r="A2484" t="s">
        <x:v>11270</x:v>
      </x:c>
      <x:c r="B2484" t="s">
        <x:v>11270</x:v>
      </x:c>
      <x:c r="C2484" t="s">
        <x:v>11271</x:v>
      </x:c>
      <x:c r="D2484">
        <x:v>1</x:v>
      </x:c>
      <x:c r="E2484" t="s">
        <x:v>103</x:v>
      </x:c>
      <x:c r="F2484" t="s">
        <x:v>97</x:v>
      </x:c>
      <x:c r="G2484">
        <x:v>45320</x:v>
      </x:c>
      <x:c r="H2484" t="s">
        <x:v>11272</x:v>
      </x:c>
      <x:c r="I2484" t="s">
        <x:v>11273</x:v>
      </x:c>
      <x:c r="J2484" t="s">
        <x:v>11274</x:v>
      </x:c>
    </x:row>
    <x:row r="2485">
      <x:c r="A2485" t="s">
        <x:v>11275</x:v>
      </x:c>
      <x:c r="B2485" t="s">
        <x:v>11275</x:v>
      </x:c>
      <x:c r="C2485" t="s">
        <x:v>11276</x:v>
      </x:c>
      <x:c r="D2485">
        <x:v>7</x:v>
      </x:c>
      <x:c r="E2485" t="s">
        <x:v>96</x:v>
      </x:c>
      <x:c r="F2485" t="s">
        <x:v>97</x:v>
      </x:c>
      <x:c r="G2485">
        <x:v>42231</x:v>
      </x:c>
      <x:c r="H2485" t="s">
        <x:v>11277</x:v>
      </x:c>
      <x:c r="I2485" t="s">
        <x:v>11278</x:v>
      </x:c>
      <x:c r="J2485" t="s">
        <x:v>11279</x:v>
      </x:c>
    </x:row>
    <x:row r="2486">
      <x:c r="A2486" t="s">
        <x:v>11280</x:v>
      </x:c>
      <x:c r="B2486" t="s">
        <x:v>11280</x:v>
      </x:c>
      <x:c r="C2486" t="s">
        <x:v>11281</x:v>
      </x:c>
      <x:c r="D2486">
        <x:v>12</x:v>
      </x:c>
      <x:c r="E2486" t="s">
        <x:v>198</x:v>
      </x:c>
      <x:c r="F2486" t="s">
        <x:v>90</x:v>
      </x:c>
      <x:c r="G2486">
        <x:v>43444</x:v>
      </x:c>
      <x:c r="H2486" t="s">
        <x:v>11282</x:v>
      </x:c>
      <x:c r="I2486" t="s">
        <x:v>11283</x:v>
      </x:c>
      <x:c r="J2486" t="s">
        <x:v>11284</x:v>
      </x:c>
    </x:row>
    <x:row r="2487">
      <x:c r="A2487" t="s">
        <x:v>11285</x:v>
      </x:c>
      <x:c r="B2487" t="s">
        <x:v>11285</x:v>
      </x:c>
      <x:c r="C2487" t="s">
        <x:v>1383</x:v>
      </x:c>
      <x:c r="D2487">
        <x:v>11</x:v>
      </x:c>
      <x:c r="E2487" t="s">
        <x:v>114</x:v>
      </x:c>
      <x:c r="F2487" t="s">
        <x:v>90</x:v>
      </x:c>
      <x:c r="G2487">
        <x:v>43260</x:v>
      </x:c>
      <x:c r="H2487" t="s">
        <x:v>11286</x:v>
      </x:c>
      <x:c r="I2487" t="s">
        <x:v>11287</x:v>
      </x:c>
      <x:c r="J2487" t="s">
        <x:v>11288</x:v>
      </x:c>
    </x:row>
    <x:row r="2488">
      <x:c r="A2488" t="s">
        <x:v>11289</x:v>
      </x:c>
      <x:c r="B2488" t="s">
        <x:v>11289</x:v>
      </x:c>
      <x:c r="C2488" t="s">
        <x:v>1636</x:v>
      </x:c>
      <x:c r="D2488">
        <x:v>96</x:v>
      </x:c>
      <x:c r="E2488" t="s">
        <x:v>198</x:v>
      </x:c>
      <x:c r="F2488" t="s">
        <x:v>97</x:v>
      </x:c>
      <x:c r="G2488">
        <x:v>41455</x:v>
      </x:c>
      <x:c r="H2488" t="s">
        <x:v>11290</x:v>
      </x:c>
      <x:c r="I2488" t="s">
        <x:v>11291</x:v>
      </x:c>
      <x:c r="J2488" t="s">
        <x:v>11292</x:v>
      </x:c>
    </x:row>
    <x:row r="2489">
      <x:c r="A2489" t="s">
        <x:v>11293</x:v>
      </x:c>
      <x:c r="B2489" t="s">
        <x:v>11293</x:v>
      </x:c>
      <x:c r="C2489" t="s">
        <x:v>1636</x:v>
      </x:c>
      <x:c r="D2489">
        <x:v>112</x:v>
      </x:c>
      <x:c r="E2489" t="s">
        <x:v>89</x:v>
      </x:c>
      <x:c r="F2489" t="s">
        <x:v>97</x:v>
      </x:c>
      <x:c r="G2489">
        <x:v>41967</x:v>
      </x:c>
      <x:c r="H2489" t="s">
        <x:v>11294</x:v>
      </x:c>
      <x:c r="I2489" t="s">
        <x:v>11295</x:v>
      </x:c>
      <x:c r="J2489" t="s">
        <x:v>11296</x:v>
      </x:c>
    </x:row>
    <x:row r="2490">
      <x:c r="A2490" t="s">
        <x:v>11297</x:v>
      </x:c>
      <x:c r="B2490" t="s">
        <x:v>11297</x:v>
      </x:c>
      <x:c r="C2490" t="s">
        <x:v>1636</x:v>
      </x:c>
      <x:c r="D2490">
        <x:v>109</x:v>
      </x:c>
      <x:c r="E2490" t="s">
        <x:v>89</x:v>
      </x:c>
      <x:c r="F2490" t="s">
        <x:v>97</x:v>
      </x:c>
      <x:c r="G2490">
        <x:v>41455</x:v>
      </x:c>
      <x:c r="H2490" t="s">
        <x:v>11298</x:v>
      </x:c>
      <x:c r="I2490" t="s">
        <x:v>11299</x:v>
      </x:c>
      <x:c r="J2490" t="s">
        <x:v>11300</x:v>
      </x:c>
    </x:row>
    <x:row r="2491">
      <x:c r="A2491" t="s">
        <x:v>11301</x:v>
      </x:c>
      <x:c r="B2491" t="s">
        <x:v>11301</x:v>
      </x:c>
      <x:c r="C2491" t="s">
        <x:v>1636</x:v>
      </x:c>
      <x:c r="D2491">
        <x:v>117</x:v>
      </x:c>
      <x:c r="E2491" t="s">
        <x:v>89</x:v>
      </x:c>
      <x:c r="F2491" t="s">
        <x:v>97</x:v>
      </x:c>
      <x:c r="G2491">
        <x:v>43071</x:v>
      </x:c>
      <x:c r="H2491" t="s">
        <x:v>11302</x:v>
      </x:c>
      <x:c r="I2491" t="s">
        <x:v>11303</x:v>
      </x:c>
      <x:c r="J2491" t="s">
        <x:v>11304</x:v>
      </x:c>
    </x:row>
    <x:row r="2492">
      <x:c r="A2492" t="s">
        <x:v>11305</x:v>
      </x:c>
      <x:c r="B2492" t="s">
        <x:v>11305</x:v>
      </x:c>
      <x:c r="C2492" t="s">
        <x:v>9264</x:v>
      </x:c>
      <x:c r="D2492">
        <x:v>10</x:v>
      </x:c>
      <x:c r="E2492" t="s">
        <x:v>103</x:v>
      </x:c>
      <x:c r="F2492" t="s">
        <x:v>97</x:v>
      </x:c>
      <x:c r="G2492">
        <x:v>44084</x:v>
      </x:c>
      <x:c r="H2492" t="s">
        <x:v>11306</x:v>
      </x:c>
      <x:c r="I2492" t="s">
        <x:v>11307</x:v>
      </x:c>
      <x:c r="J2492" t="s">
        <x:v>11308</x:v>
      </x:c>
    </x:row>
    <x:row r="2493">
      <x:c r="A2493" t="s">
        <x:v>11309</x:v>
      </x:c>
      <x:c r="B2493" t="s">
        <x:v>11309</x:v>
      </x:c>
      <x:c r="C2493" t="s">
        <x:v>11310</x:v>
      </x:c>
      <x:c r="D2493">
        <x:v>11</x:v>
      </x:c>
      <x:c r="E2493" t="s">
        <x:v>257</x:v>
      </x:c>
      <x:c r="F2493" t="s">
        <x:v>97</x:v>
      </x:c>
      <x:c r="G2493">
        <x:v>42241</x:v>
      </x:c>
      <x:c r="H2493" t="s">
        <x:v>11311</x:v>
      </x:c>
      <x:c r="I2493" t="s">
        <x:v>11312</x:v>
      </x:c>
      <x:c r="J2493" t="s">
        <x:v>11313</x:v>
      </x:c>
    </x:row>
    <x:row r="2494">
      <x:c r="A2494" t="s">
        <x:v>11314</x:v>
      </x:c>
      <x:c r="B2494" t="s">
        <x:v>11314</x:v>
      </x:c>
      <x:c r="C2494" t="s">
        <x:v>11315</x:v>
      </x:c>
      <x:c r="D2494">
        <x:v>85</x:v>
      </x:c>
      <x:c r="E2494" t="s">
        <x:v>96</x:v>
      </x:c>
      <x:c r="F2494" t="s">
        <x:v>97</x:v>
      </x:c>
      <x:c r="G2494">
        <x:v>41657</x:v>
      </x:c>
      <x:c r="H2494" t="s">
        <x:v>11316</x:v>
      </x:c>
      <x:c r="I2494" t="s">
        <x:v>11317</x:v>
      </x:c>
      <x:c r="J2494" t="s">
        <x:v>11318</x:v>
      </x:c>
    </x:row>
    <x:row r="2495">
      <x:c r="A2495" t="s">
        <x:v>11319</x:v>
      </x:c>
      <x:c r="B2495" t="s">
        <x:v>11319</x:v>
      </x:c>
      <x:c r="C2495" t="s">
        <x:v>4505</x:v>
      </x:c>
      <x:c r="D2495">
        <x:v>7</x:v>
      </x:c>
      <x:c r="E2495" t="s">
        <x:v>257</x:v>
      </x:c>
      <x:c r="F2495" t="s">
        <x:v>97</x:v>
      </x:c>
      <x:c r="G2495">
        <x:v>42211</x:v>
      </x:c>
      <x:c r="H2495" t="s">
        <x:v>11320</x:v>
      </x:c>
      <x:c r="I2495" t="s">
        <x:v>11321</x:v>
      </x:c>
      <x:c r="J2495" t="s">
        <x:v>11322</x:v>
      </x:c>
    </x:row>
    <x:row r="2496">
      <x:c r="A2496" t="s">
        <x:v>11323</x:v>
      </x:c>
      <x:c r="B2496" t="s">
        <x:v>11323</x:v>
      </x:c>
      <x:c r="C2496" t="s">
        <x:v>4505</x:v>
      </x:c>
      <x:c r="D2496">
        <x:v>10</x:v>
      </x:c>
      <x:c r="E2496" t="s">
        <x:v>103</x:v>
      </x:c>
      <x:c r="F2496" t="s">
        <x:v>97</x:v>
      </x:c>
      <x:c r="G2496">
        <x:v>42546</x:v>
      </x:c>
      <x:c r="H2496" t="s">
        <x:v>11324</x:v>
      </x:c>
      <x:c r="I2496" t="s">
        <x:v>11325</x:v>
      </x:c>
      <x:c r="J2496" t="s">
        <x:v>11326</x:v>
      </x:c>
    </x:row>
    <x:row r="2497">
      <x:c r="A2497" t="s">
        <x:v>11327</x:v>
      </x:c>
      <x:c r="B2497" t="s">
        <x:v>11327</x:v>
      </x:c>
      <x:c r="C2497" t="s">
        <x:v>6642</x:v>
      </x:c>
      <x:c r="D2497">
        <x:v>10</x:v>
      </x:c>
      <x:c r="E2497" t="s">
        <x:v>257</x:v>
      </x:c>
      <x:c r="F2497" t="s">
        <x:v>97</x:v>
      </x:c>
      <x:c r="G2497">
        <x:v>41447</x:v>
      </x:c>
      <x:c r="H2497" t="s">
        <x:v>11328</x:v>
      </x:c>
      <x:c r="I2497" t="s">
        <x:v>11329</x:v>
      </x:c>
      <x:c r="J2497" t="s">
        <x:v>11330</x:v>
      </x:c>
    </x:row>
    <x:row r="2498">
      <x:c r="A2498" t="s">
        <x:v>11331</x:v>
      </x:c>
      <x:c r="B2498" t="s">
        <x:v>11331</x:v>
      </x:c>
      <x:c r="C2498" t="s">
        <x:v>11332</x:v>
      </x:c>
      <x:c r="D2498">
        <x:v>18</x:v>
      </x:c>
      <x:c r="E2498" t="s">
        <x:v>257</x:v>
      </x:c>
      <x:c r="F2498" t="s">
        <x:v>97</x:v>
      </x:c>
      <x:c r="G2498">
        <x:v>42312</x:v>
      </x:c>
      <x:c r="H2498" t="s">
        <x:v>11333</x:v>
      </x:c>
      <x:c r="I2498" t="s">
        <x:v>11334</x:v>
      </x:c>
      <x:c r="J2498" t="s">
        <x:v>11335</x:v>
      </x:c>
    </x:row>
    <x:row r="2499">
      <x:c r="A2499" t="s">
        <x:v>11336</x:v>
      </x:c>
      <x:c r="B2499" t="s">
        <x:v>11336</x:v>
      </x:c>
      <x:c r="C2499" t="s">
        <x:v>1472</x:v>
      </x:c>
      <x:c r="D2499">
        <x:v>8</x:v>
      </x:c>
      <x:c r="E2499" t="s">
        <x:v>89</x:v>
      </x:c>
      <x:c r="F2499" t="s">
        <x:v>90</x:v>
      </x:c>
      <x:c r="G2499">
        <x:v>45585</x:v>
      </x:c>
      <x:c r="H2499" t="s">
        <x:v>11337</x:v>
      </x:c>
      <x:c r="I2499" t="s">
        <x:v>11338</x:v>
      </x:c>
      <x:c r="J2499" t="s">
        <x:v>11339</x:v>
      </x:c>
    </x:row>
    <x:row r="2500">
      <x:c r="A2500" t="s">
        <x:v>11340</x:v>
      </x:c>
      <x:c r="B2500" t="s">
        <x:v>11340</x:v>
      </x:c>
      <x:c r="C2500" t="s">
        <x:v>11341</x:v>
      </x:c>
      <x:c r="D2500">
        <x:v>4</x:v>
      </x:c>
      <x:c r="E2500" t="s">
        <x:v>257</x:v>
      </x:c>
      <x:c r="F2500" t="s">
        <x:v>97</x:v>
      </x:c>
      <x:c r="G2500">
        <x:v>42209</x:v>
      </x:c>
      <x:c r="H2500" t="s">
        <x:v>11342</x:v>
      </x:c>
      <x:c r="I2500" t="s">
        <x:v>11343</x:v>
      </x:c>
      <x:c r="J2500" t="s">
        <x:v>11344</x:v>
      </x:c>
    </x:row>
    <x:row r="2501">
      <x:c r="A2501" t="s">
        <x:v>11345</x:v>
      </x:c>
      <x:c r="B2501" t="s">
        <x:v>11345</x:v>
      </x:c>
      <x:c r="C2501" t="s">
        <x:v>11346</x:v>
      </x:c>
      <x:c r="D2501">
        <x:v>16</x:v>
      </x:c>
      <x:c r="E2501" t="s">
        <x:v>96</x:v>
      </x:c>
      <x:c r="F2501" t="s">
        <x:v>90</x:v>
      </x:c>
      <x:c r="G2501">
        <x:v>44487</x:v>
      </x:c>
      <x:c r="H2501" t="s">
        <x:v>11347</x:v>
      </x:c>
      <x:c r="I2501" t="s">
        <x:v>11348</x:v>
      </x:c>
      <x:c r="J2501" t="s">
        <x:v>11349</x:v>
      </x:c>
    </x:row>
    <x:row r="2502">
      <x:c r="A2502" t="s">
        <x:v>11350</x:v>
      </x:c>
      <x:c r="B2502" t="s">
        <x:v>11350</x:v>
      </x:c>
      <x:c r="C2502" t="s">
        <x:v>11346</x:v>
      </x:c>
      <x:c r="D2502">
        <x:v>12</x:v>
      </x:c>
      <x:c r="E2502" t="s">
        <x:v>96</x:v>
      </x:c>
      <x:c r="F2502" t="s">
        <x:v>90</x:v>
      </x:c>
      <x:c r="G2502">
        <x:v>44797</x:v>
      </x:c>
      <x:c r="H2502" t="s">
        <x:v>11351</x:v>
      </x:c>
      <x:c r="I2502" t="s">
        <x:v>11352</x:v>
      </x:c>
      <x:c r="J2502" t="s">
        <x:v>11353</x:v>
      </x:c>
    </x:row>
    <x:row r="2503">
      <x:c r="A2503" t="s">
        <x:v>11354</x:v>
      </x:c>
      <x:c r="B2503" t="s">
        <x:v>11354</x:v>
      </x:c>
      <x:c r="C2503" t="s">
        <x:v>11346</x:v>
      </x:c>
      <x:c r="D2503">
        <x:v>13</x:v>
      </x:c>
      <x:c r="E2503" t="s">
        <x:v>89</x:v>
      </x:c>
      <x:c r="F2503" t="s">
        <x:v>90</x:v>
      </x:c>
      <x:c r="G2503">
        <x:v>44613</x:v>
      </x:c>
      <x:c r="H2503" t="s">
        <x:v>11355</x:v>
      </x:c>
      <x:c r="I2503" t="s">
        <x:v>11356</x:v>
      </x:c>
      <x:c r="J2503" t="s">
        <x:v>11357</x:v>
      </x:c>
    </x:row>
    <x:row r="2504">
      <x:c r="A2504" t="s">
        <x:v>11358</x:v>
      </x:c>
      <x:c r="B2504" t="s">
        <x:v>11358</x:v>
      </x:c>
      <x:c r="C2504" t="s">
        <x:v>11359</x:v>
      </x:c>
      <x:c r="D2504">
        <x:v>1</x:v>
      </x:c>
      <x:c r="E2504" t="s">
        <x:v>198</x:v>
      </x:c>
      <x:c r="F2504" t="s">
        <x:v>90</x:v>
      </x:c>
      <x:c r="G2504">
        <x:v>45215</x:v>
      </x:c>
      <x:c r="H2504" t="s">
        <x:v>11360</x:v>
      </x:c>
      <x:c r="I2504" t="s">
        <x:v>11361</x:v>
      </x:c>
      <x:c r="J2504" t="s">
        <x:v>11362</x:v>
      </x:c>
    </x:row>
    <x:row r="2505">
      <x:c r="A2505" t="s">
        <x:v>11363</x:v>
      </x:c>
      <x:c r="B2505" t="s">
        <x:v>11363</x:v>
      </x:c>
      <x:c r="C2505" t="s">
        <x:v>11364</x:v>
      </x:c>
      <x:c r="D2505">
        <x:v>38</x:v>
      </x:c>
      <x:c r="E2505" t="s">
        <x:v>257</x:v>
      </x:c>
      <x:c r="F2505" t="s">
        <x:v>97</x:v>
      </x:c>
      <x:c r="G2505">
        <x:v>42972</x:v>
      </x:c>
      <x:c r="H2505" t="s">
        <x:v>11365</x:v>
      </x:c>
      <x:c r="I2505" t="s">
        <x:v>11366</x:v>
      </x:c>
      <x:c r="J2505" t="s">
        <x:v>11367</x:v>
      </x:c>
    </x:row>
    <x:row r="2506">
      <x:c r="A2506" t="s">
        <x:v>11368</x:v>
      </x:c>
      <x:c r="B2506" t="s">
        <x:v>11368</x:v>
      </x:c>
      <x:c r="C2506" t="s">
        <x:v>11369</x:v>
      </x:c>
      <x:c r="D2506">
        <x:v>38</x:v>
      </x:c>
      <x:c r="E2506" t="s">
        <x:v>114</x:v>
      </x:c>
      <x:c r="F2506" t="s">
        <x:v>90</x:v>
      </x:c>
      <x:c r="G2506">
        <x:v>45349</x:v>
      </x:c>
      <x:c r="H2506" t="s">
        <x:v>11370</x:v>
      </x:c>
      <x:c r="I2506" t="s">
        <x:v>11371</x:v>
      </x:c>
      <x:c r="J2506" t="s">
        <x:v>11372</x:v>
      </x:c>
    </x:row>
    <x:row r="2507">
      <x:c r="A2507" t="s">
        <x:v>11373</x:v>
      </x:c>
      <x:c r="B2507" t="s">
        <x:v>11373</x:v>
      </x:c>
      <x:c r="C2507" t="s">
        <x:v>3322</x:v>
      </x:c>
      <x:c r="D2507">
        <x:v>5</x:v>
      </x:c>
      <x:c r="E2507" t="s">
        <x:v>103</x:v>
      </x:c>
      <x:c r="F2507" t="s">
        <x:v>97</x:v>
      </x:c>
      <x:c r="G2507">
        <x:v>42293</x:v>
      </x:c>
      <x:c r="H2507" t="s">
        <x:v>11374</x:v>
      </x:c>
      <x:c r="I2507" t="s">
        <x:v>11375</x:v>
      </x:c>
      <x:c r="J2507" t="s">
        <x:v>11376</x:v>
      </x:c>
    </x:row>
    <x:row r="2508">
      <x:c r="A2508" t="s">
        <x:v>11377</x:v>
      </x:c>
      <x:c r="B2508" t="s">
        <x:v>11377</x:v>
      </x:c>
      <x:c r="C2508" t="s">
        <x:v>983</x:v>
      </x:c>
      <x:c r="D2508">
        <x:v>12</x:v>
      </x:c>
      <x:c r="E2508" t="s">
        <x:v>114</x:v>
      </x:c>
      <x:c r="F2508" t="s">
        <x:v>90</x:v>
      </x:c>
      <x:c r="G2508">
        <x:v>46004</x:v>
      </x:c>
      <x:c r="H2508" t="s">
        <x:v>11378</x:v>
      </x:c>
      <x:c r="I2508" t="s">
        <x:v>11379</x:v>
      </x:c>
      <x:c r="J2508" t="s">
        <x:v>11380</x:v>
      </x:c>
    </x:row>
    <x:row r="2509">
      <x:c r="A2509" t="s">
        <x:v>11381</x:v>
      </x:c>
      <x:c r="B2509" t="s">
        <x:v>11381</x:v>
      </x:c>
      <x:c r="C2509" t="s">
        <x:v>11382</x:v>
      </x:c>
      <x:c r="D2509">
        <x:v>47</x:v>
      </x:c>
      <x:c r="E2509" t="s">
        <x:v>103</x:v>
      </x:c>
      <x:c r="F2509" t="s">
        <x:v>97</x:v>
      </x:c>
      <x:c r="G2509">
        <x:v>42219</x:v>
      </x:c>
      <x:c r="H2509" t="s">
        <x:v>11383</x:v>
      </x:c>
      <x:c r="I2509" t="s">
        <x:v>11384</x:v>
      </x:c>
      <x:c r="J2509" t="s">
        <x:v>11385</x:v>
      </x:c>
    </x:row>
    <x:row r="2510">
      <x:c r="A2510" t="s">
        <x:v>11386</x:v>
      </x:c>
      <x:c r="B2510" t="s">
        <x:v>11386</x:v>
      </x:c>
      <x:c r="C2510" t="s">
        <x:v>11387</x:v>
      </x:c>
      <x:c r="D2510">
        <x:v>6</x:v>
      </x:c>
      <x:c r="E2510" t="s">
        <x:v>103</x:v>
      </x:c>
      <x:c r="F2510" t="s">
        <x:v>97</x:v>
      </x:c>
      <x:c r="G2510">
        <x:v>42288</x:v>
      </x:c>
      <x:c r="H2510" t="s">
        <x:v>11388</x:v>
      </x:c>
      <x:c r="I2510" t="s">
        <x:v>11389</x:v>
      </x:c>
      <x:c r="J2510" t="s">
        <x:v>11390</x:v>
      </x:c>
    </x:row>
    <x:row r="2511">
      <x:c r="A2511" t="s">
        <x:v>11391</x:v>
      </x:c>
      <x:c r="B2511" t="s">
        <x:v>11391</x:v>
      </x:c>
      <x:c r="C2511" t="s">
        <x:v>11392</x:v>
      </x:c>
      <x:c r="D2511">
        <x:v>39</x:v>
      </x:c>
      <x:c r="E2511" t="s">
        <x:v>96</x:v>
      </x:c>
      <x:c r="F2511" t="s">
        <x:v>97</x:v>
      </x:c>
      <x:c r="G2511">
        <x:v>42397</x:v>
      </x:c>
      <x:c r="H2511" t="s">
        <x:v>11393</x:v>
      </x:c>
      <x:c r="I2511" t="s">
        <x:v>11394</x:v>
      </x:c>
      <x:c r="J2511" t="s">
        <x:v>11395</x:v>
      </x:c>
    </x:row>
    <x:row r="2512">
      <x:c r="A2512" t="s">
        <x:v>11396</x:v>
      </x:c>
      <x:c r="B2512" t="s">
        <x:v>11396</x:v>
      </x:c>
      <x:c r="C2512" t="s">
        <x:v>524</x:v>
      </x:c>
      <x:c r="D2512">
        <x:v>7</x:v>
      </x:c>
      <x:c r="E2512" t="s">
        <x:v>198</x:v>
      </x:c>
      <x:c r="F2512" t="s">
        <x:v>90</x:v>
      </x:c>
      <x:c r="G2512">
        <x:v>44683</x:v>
      </x:c>
      <x:c r="H2512" t="s">
        <x:v>11397</x:v>
      </x:c>
      <x:c r="I2512" t="s">
        <x:v>11398</x:v>
      </x:c>
      <x:c r="J2512" t="s">
        <x:v>11399</x:v>
      </x:c>
    </x:row>
    <x:row r="2513">
      <x:c r="A2513" t="s">
        <x:v>11400</x:v>
      </x:c>
      <x:c r="B2513" t="s">
        <x:v>11400</x:v>
      </x:c>
      <x:c r="C2513" t="s">
        <x:v>11401</x:v>
      </x:c>
      <x:c r="D2513">
        <x:v>11</x:v>
      </x:c>
      <x:c r="E2513" t="s">
        <x:v>198</x:v>
      </x:c>
      <x:c r="F2513" t="s">
        <x:v>90</x:v>
      </x:c>
      <x:c r="G2513">
        <x:v>43630</x:v>
      </x:c>
      <x:c r="H2513" t="s">
        <x:v>11402</x:v>
      </x:c>
      <x:c r="I2513" t="s">
        <x:v>11403</x:v>
      </x:c>
      <x:c r="J2513" t="s">
        <x:v>11404</x:v>
      </x:c>
    </x:row>
    <x:row r="2514">
      <x:c r="A2514" t="s">
        <x:v>11405</x:v>
      </x:c>
      <x:c r="B2514" t="s">
        <x:v>11405</x:v>
      </x:c>
      <x:c r="C2514" t="s">
        <x:v>11406</x:v>
      </x:c>
      <x:c r="D2514">
        <x:v>26</x:v>
      </x:c>
      <x:c r="E2514" t="s">
        <x:v>198</x:v>
      </x:c>
      <x:c r="F2514" t="s">
        <x:v>90</x:v>
      </x:c>
      <x:c r="G2514">
        <x:v>44365</x:v>
      </x:c>
      <x:c r="H2514" t="s">
        <x:v>11407</x:v>
      </x:c>
      <x:c r="I2514" t="s">
        <x:v>11408</x:v>
      </x:c>
      <x:c r="J2514" t="s">
        <x:v>11409</x:v>
      </x:c>
    </x:row>
    <x:row r="2515">
      <x:c r="A2515" t="s">
        <x:v>11410</x:v>
      </x:c>
      <x:c r="B2515" t="s">
        <x:v>11410</x:v>
      </x:c>
      <x:c r="C2515" t="s">
        <x:v>1613</x:v>
      </x:c>
      <x:c r="D2515">
        <x:v>42</x:v>
      </x:c>
      <x:c r="E2515" t="s">
        <x:v>89</x:v>
      </x:c>
      <x:c r="F2515" t="s">
        <x:v>90</x:v>
      </x:c>
      <x:c r="G2515">
        <x:v>44617</x:v>
      </x:c>
      <x:c r="H2515" t="s">
        <x:v>11411</x:v>
      </x:c>
      <x:c r="I2515" t="s">
        <x:v>11412</x:v>
      </x:c>
      <x:c r="J2515" t="s">
        <x:v>11413</x:v>
      </x:c>
    </x:row>
    <x:row r="2516">
      <x:c r="A2516" t="s">
        <x:v>11414</x:v>
      </x:c>
      <x:c r="B2516" t="s">
        <x:v>11414</x:v>
      </x:c>
      <x:c r="C2516" t="s">
        <x:v>11415</x:v>
      </x:c>
      <x:c r="D2516">
        <x:v>92</x:v>
      </x:c>
      <x:c r="E2516" t="s">
        <x:v>103</x:v>
      </x:c>
      <x:c r="F2516" t="s">
        <x:v>97</x:v>
      </x:c>
      <x:c r="G2516">
        <x:v>42229</x:v>
      </x:c>
      <x:c r="H2516" t="s">
        <x:v>11416</x:v>
      </x:c>
      <x:c r="I2516" t="s">
        <x:v>11417</x:v>
      </x:c>
      <x:c r="J2516" t="s">
        <x:v>11418</x:v>
      </x:c>
    </x:row>
    <x:row r="2517">
      <x:c r="A2517" t="s">
        <x:v>11419</x:v>
      </x:c>
      <x:c r="B2517" t="s">
        <x:v>11419</x:v>
      </x:c>
      <x:c r="C2517" t="s">
        <x:v>11415</x:v>
      </x:c>
      <x:c r="D2517">
        <x:v>93</x:v>
      </x:c>
      <x:c r="E2517" t="s">
        <x:v>103</x:v>
      </x:c>
      <x:c r="F2517" t="s">
        <x:v>97</x:v>
      </x:c>
      <x:c r="G2517">
        <x:v>41667</x:v>
      </x:c>
      <x:c r="H2517" t="s">
        <x:v>11420</x:v>
      </x:c>
      <x:c r="I2517" t="s">
        <x:v>11421</x:v>
      </x:c>
      <x:c r="J2517" t="s">
        <x:v>11422</x:v>
      </x:c>
    </x:row>
    <x:row r="2518">
      <x:c r="A2518" t="s">
        <x:v>11423</x:v>
      </x:c>
      <x:c r="B2518" t="s">
        <x:v>11423</x:v>
      </x:c>
      <x:c r="C2518" t="s">
        <x:v>262</x:v>
      </x:c>
      <x:c r="D2518">
        <x:v>8</x:v>
      </x:c>
      <x:c r="E2518" t="s">
        <x:v>257</x:v>
      </x:c>
      <x:c r="F2518" t="s">
        <x:v>97</x:v>
      </x:c>
      <x:c r="G2518">
        <x:v>42845</x:v>
      </x:c>
      <x:c r="H2518" t="s">
        <x:v>11424</x:v>
      </x:c>
      <x:c r="I2518" t="s">
        <x:v>11425</x:v>
      </x:c>
      <x:c r="J2518" t="s">
        <x:v>11426</x:v>
      </x:c>
    </x:row>
    <x:row r="2519">
      <x:c r="A2519" t="s">
        <x:v>11427</x:v>
      </x:c>
      <x:c r="B2519" t="s">
        <x:v>11427</x:v>
      </x:c>
      <x:c r="C2519" t="s">
        <x:v>11428</x:v>
      </x:c>
      <x:c r="D2519">
        <x:v>6</x:v>
      </x:c>
      <x:c r="E2519" t="s">
        <x:v>89</x:v>
      </x:c>
      <x:c r="F2519" t="s">
        <x:v>90</x:v>
      </x:c>
      <x:c r="G2519">
        <x:v>44060</x:v>
      </x:c>
      <x:c r="H2519" t="s">
        <x:v>11429</x:v>
      </x:c>
      <x:c r="I2519" t="s">
        <x:v>11430</x:v>
      </x:c>
      <x:c r="J2519" t="s">
        <x:v>11431</x:v>
      </x:c>
    </x:row>
    <x:row r="2520">
      <x:c r="A2520" t="s">
        <x:v>11432</x:v>
      </x:c>
      <x:c r="B2520" t="s">
        <x:v>11432</x:v>
      </x:c>
      <x:c r="C2520" t="s">
        <x:v>11433</x:v>
      </x:c>
      <x:c r="D2520">
        <x:v>15</x:v>
      </x:c>
      <x:c r="E2520" t="s">
        <x:v>198</x:v>
      </x:c>
      <x:c r="F2520" t="s">
        <x:v>90</x:v>
      </x:c>
      <x:c r="G2520">
        <x:v>45313</x:v>
      </x:c>
      <x:c r="H2520" t="s">
        <x:v>11434</x:v>
      </x:c>
      <x:c r="I2520" t="s">
        <x:v>11435</x:v>
      </x:c>
      <x:c r="J2520" t="s">
        <x:v>11436</x:v>
      </x:c>
    </x:row>
    <x:row r="2521">
      <x:c r="A2521" t="s">
        <x:v>11437</x:v>
      </x:c>
      <x:c r="B2521" t="s">
        <x:v>11437</x:v>
      </x:c>
      <x:c r="C2521" t="s">
        <x:v>102</x:v>
      </x:c>
      <x:c r="D2521">
        <x:v>80</x:v>
      </x:c>
      <x:c r="E2521" t="s">
        <x:v>89</x:v>
      </x:c>
      <x:c r="F2521" t="s">
        <x:v>97</x:v>
      </x:c>
      <x:c r="G2521">
        <x:v>41717</x:v>
      </x:c>
      <x:c r="H2521" t="s">
        <x:v>11438</x:v>
      </x:c>
      <x:c r="I2521" t="s">
        <x:v>11439</x:v>
      </x:c>
      <x:c r="J2521" t="s">
        <x:v>11440</x:v>
      </x:c>
    </x:row>
    <x:row r="2522">
      <x:c r="A2522" t="s">
        <x:v>11441</x:v>
      </x:c>
      <x:c r="B2522" t="s">
        <x:v>11441</x:v>
      </x:c>
      <x:c r="C2522" t="s">
        <x:v>9264</x:v>
      </x:c>
      <x:c r="D2522">
        <x:v>3</x:v>
      </x:c>
      <x:c r="E2522" t="s">
        <x:v>103</x:v>
      </x:c>
      <x:c r="F2522" t="s">
        <x:v>97</x:v>
      </x:c>
      <x:c r="G2522">
        <x:v>44155</x:v>
      </x:c>
      <x:c r="H2522" t="s">
        <x:v>11442</x:v>
      </x:c>
      <x:c r="I2522" t="s">
        <x:v>11443</x:v>
      </x:c>
      <x:c r="J2522" t="s">
        <x:v>11444</x:v>
      </x:c>
    </x:row>
    <x:row r="2523">
      <x:c r="A2523" t="s">
        <x:v>11445</x:v>
      </x:c>
      <x:c r="B2523" t="s">
        <x:v>11445</x:v>
      </x:c>
      <x:c r="C2523" t="s">
        <x:v>124</x:v>
      </x:c>
      <x:c r="D2523">
        <x:v>1</x:v>
      </x:c>
      <x:c r="E2523" t="s">
        <x:v>125</x:v>
      </x:c>
      <x:c r="F2523" t="s">
        <x:v>126</x:v>
      </x:c>
      <x:c r="G2523">
        <x:v>42854</x:v>
      </x:c>
      <x:c r="H2523" t="s">
        <x:v>11446</x:v>
      </x:c>
      <x:c r="I2523" t="s">
        <x:v>11447</x:v>
      </x:c>
      <x:c r="J2523" t="s">
        <x:v>11448</x:v>
      </x:c>
    </x:row>
    <x:row r="2524">
      <x:c r="A2524" t="s">
        <x:v>11449</x:v>
      </x:c>
      <x:c r="B2524" t="s">
        <x:v>11449</x:v>
      </x:c>
      <x:c r="C2524" t="s">
        <x:v>5298</x:v>
      </x:c>
      <x:c r="D2524">
        <x:v>5</x:v>
      </x:c>
      <x:c r="E2524" t="s">
        <x:v>257</x:v>
      </x:c>
      <x:c r="F2524" t="s">
        <x:v>97</x:v>
      </x:c>
      <x:c r="G2524">
        <x:v>41491</x:v>
      </x:c>
      <x:c r="H2524" t="s">
        <x:v>11450</x:v>
      </x:c>
      <x:c r="I2524" t="s">
        <x:v>11451</x:v>
      </x:c>
      <x:c r="J2524" t="s">
        <x:v>11452</x:v>
      </x:c>
    </x:row>
    <x:row r="2525">
      <x:c r="A2525" t="s">
        <x:v>11453</x:v>
      </x:c>
      <x:c r="B2525" t="s">
        <x:v>11453</x:v>
      </x:c>
      <x:c r="C2525" t="s">
        <x:v>11454</x:v>
      </x:c>
      <x:c r="D2525">
        <x:v>43</x:v>
      </x:c>
      <x:c r="E2525" t="s">
        <x:v>96</x:v>
      </x:c>
      <x:c r="F2525" t="s">
        <x:v>97</x:v>
      </x:c>
      <x:c r="G2525">
        <x:v>42276</x:v>
      </x:c>
      <x:c r="H2525" t="s">
        <x:v>11455</x:v>
      </x:c>
      <x:c r="I2525" t="s">
        <x:v>11456</x:v>
      </x:c>
      <x:c r="J2525" t="s">
        <x:v>11457</x:v>
      </x:c>
    </x:row>
    <x:row r="2526">
      <x:c r="A2526" t="s">
        <x:v>11458</x:v>
      </x:c>
      <x:c r="B2526" t="s">
        <x:v>11458</x:v>
      </x:c>
      <x:c r="C2526" t="s">
        <x:v>6482</x:v>
      </x:c>
      <x:c r="D2526">
        <x:v>13</x:v>
      </x:c>
      <x:c r="E2526" t="s">
        <x:v>198</x:v>
      </x:c>
      <x:c r="F2526" t="s">
        <x:v>90</x:v>
      </x:c>
      <x:c r="G2526">
        <x:v>46199</x:v>
      </x:c>
      <x:c r="H2526" t="s">
        <x:v>11459</x:v>
      </x:c>
      <x:c r="I2526" t="s">
        <x:v>11460</x:v>
      </x:c>
      <x:c r="J2526" t="s">
        <x:v>11461</x:v>
      </x:c>
    </x:row>
    <x:row r="2527">
      <x:c r="A2527" t="s">
        <x:v>11462</x:v>
      </x:c>
      <x:c r="B2527" t="s">
        <x:v>11462</x:v>
      </x:c>
      <x:c r="C2527" t="s">
        <x:v>11463</x:v>
      </x:c>
      <x:c r="D2527">
        <x:v>13</x:v>
      </x:c>
      <x:c r="E2527" t="s">
        <x:v>96</x:v>
      </x:c>
      <x:c r="F2527" t="s">
        <x:v>97</x:v>
      </x:c>
      <x:c r="G2527">
        <x:v>45076</x:v>
      </x:c>
      <x:c r="H2527" t="s">
        <x:v>11464</x:v>
      </x:c>
      <x:c r="I2527" t="s">
        <x:v>11465</x:v>
      </x:c>
      <x:c r="J2527" t="s">
        <x:v>11466</x:v>
      </x:c>
    </x:row>
    <x:row r="2528">
      <x:c r="A2528" t="s">
        <x:v>11467</x:v>
      </x:c>
      <x:c r="B2528" t="s">
        <x:v>11467</x:v>
      </x:c>
      <x:c r="C2528" t="s">
        <x:v>2170</x:v>
      </x:c>
      <x:c r="D2528">
        <x:v>10</x:v>
      </x:c>
      <x:c r="E2528" t="s">
        <x:v>114</x:v>
      </x:c>
      <x:c r="F2528" t="s">
        <x:v>90</x:v>
      </x:c>
      <x:c r="G2528">
        <x:v>44455</x:v>
      </x:c>
      <x:c r="H2528" t="s">
        <x:v>11468</x:v>
      </x:c>
      <x:c r="I2528" t="s">
        <x:v>11469</x:v>
      </x:c>
      <x:c r="J2528" t="s">
        <x:v>11470</x:v>
      </x:c>
    </x:row>
    <x:row r="2529">
      <x:c r="A2529" t="s">
        <x:v>11471</x:v>
      </x:c>
      <x:c r="B2529" t="s">
        <x:v>11471</x:v>
      </x:c>
      <x:c r="C2529" t="s">
        <x:v>756</x:v>
      </x:c>
      <x:c r="D2529">
        <x:v>80</x:v>
      </x:c>
      <x:c r="E2529" t="s">
        <x:v>198</x:v>
      </x:c>
      <x:c r="F2529" t="s">
        <x:v>90</x:v>
      </x:c>
      <x:c r="G2529">
        <x:v>44545</x:v>
      </x:c>
      <x:c r="H2529" t="s">
        <x:v>11472</x:v>
      </x:c>
      <x:c r="I2529" t="s">
        <x:v>11473</x:v>
      </x:c>
      <x:c r="J2529" t="s">
        <x:v>11474</x:v>
      </x:c>
    </x:row>
    <x:row r="2530">
      <x:c r="A2530" t="s">
        <x:v>11475</x:v>
      </x:c>
      <x:c r="B2530" t="s">
        <x:v>11475</x:v>
      </x:c>
      <x:c r="C2530" t="s">
        <x:v>2267</x:v>
      </x:c>
      <x:c r="D2530">
        <x:v>14</x:v>
      </x:c>
      <x:c r="E2530" t="s">
        <x:v>96</x:v>
      </x:c>
      <x:c r="F2530" t="s">
        <x:v>90</x:v>
      </x:c>
      <x:c r="G2530">
        <x:v>44272</x:v>
      </x:c>
      <x:c r="H2530" t="s">
        <x:v>11476</x:v>
      </x:c>
      <x:c r="I2530" t="s">
        <x:v>11477</x:v>
      </x:c>
      <x:c r="J2530" t="s">
        <x:v>11478</x:v>
      </x:c>
    </x:row>
    <x:row r="2531">
      <x:c r="A2531" t="s">
        <x:v>11479</x:v>
      </x:c>
      <x:c r="B2531" t="s">
        <x:v>11479</x:v>
      </x:c>
      <x:c r="C2531" t="s">
        <x:v>2742</x:v>
      </x:c>
      <x:c r="D2531">
        <x:v>15</x:v>
      </x:c>
      <x:c r="E2531" t="s">
        <x:v>89</x:v>
      </x:c>
      <x:c r="F2531" t="s">
        <x:v>90</x:v>
      </x:c>
      <x:c r="G2531">
        <x:v>44864</x:v>
      </x:c>
      <x:c r="H2531" t="s">
        <x:v>11480</x:v>
      </x:c>
      <x:c r="I2531" t="s">
        <x:v>11481</x:v>
      </x:c>
      <x:c r="J2531" t="s">
        <x:v>11482</x:v>
      </x:c>
    </x:row>
    <x:row r="2532">
      <x:c r="A2532" t="s">
        <x:v>11483</x:v>
      </x:c>
      <x:c r="B2532" t="s">
        <x:v>11483</x:v>
      </x:c>
      <x:c r="C2532" t="s">
        <x:v>742</x:v>
      </x:c>
      <x:c r="D2532">
        <x:v>56</x:v>
      </x:c>
      <x:c r="E2532" t="s">
        <x:v>257</x:v>
      </x:c>
      <x:c r="F2532" t="s">
        <x:v>97</x:v>
      </x:c>
      <x:c r="G2532">
        <x:v>44661</x:v>
      </x:c>
      <x:c r="H2532" t="s">
        <x:v>11484</x:v>
      </x:c>
      <x:c r="I2532" t="s">
        <x:v>11485</x:v>
      </x:c>
      <x:c r="J2532" t="s">
        <x:v>11486</x:v>
      </x:c>
    </x:row>
    <x:row r="2533">
      <x:c r="A2533" t="s">
        <x:v>11487</x:v>
      </x:c>
      <x:c r="B2533" t="s">
        <x:v>11487</x:v>
      </x:c>
      <x:c r="C2533" t="s">
        <x:v>11488</x:v>
      </x:c>
      <x:c r="D2533">
        <x:v>118</x:v>
      </x:c>
      <x:c r="E2533" t="s">
        <x:v>96</x:v>
      </x:c>
      <x:c r="F2533" t="s">
        <x:v>97</x:v>
      </x:c>
      <x:c r="G2533">
        <x:v>45081</x:v>
      </x:c>
      <x:c r="H2533" t="s">
        <x:v>11489</x:v>
      </x:c>
      <x:c r="I2533" t="s">
        <x:v>11490</x:v>
      </x:c>
      <x:c r="J2533" t="s">
        <x:v>11491</x:v>
      </x:c>
    </x:row>
    <x:row r="2534">
      <x:c r="A2534" t="s">
        <x:v>11492</x:v>
      </x:c>
      <x:c r="B2534" t="s">
        <x:v>11492</x:v>
      </x:c>
      <x:c r="C2534" t="s">
        <x:v>933</x:v>
      </x:c>
      <x:c r="D2534">
        <x:v>7</x:v>
      </x:c>
      <x:c r="E2534" t="s">
        <x:v>96</x:v>
      </x:c>
      <x:c r="F2534" t="s">
        <x:v>97</x:v>
      </x:c>
      <x:c r="G2534">
        <x:v>42744</x:v>
      </x:c>
      <x:c r="H2534" t="s">
        <x:v>11493</x:v>
      </x:c>
      <x:c r="I2534" t="s">
        <x:v>11494</x:v>
      </x:c>
      <x:c r="J2534" t="s">
        <x:v>11495</x:v>
      </x:c>
    </x:row>
    <x:row r="2535">
      <x:c r="A2535" t="s">
        <x:v>11496</x:v>
      </x:c>
      <x:c r="B2535" t="s">
        <x:v>11496</x:v>
      </x:c>
      <x:c r="C2535" t="s">
        <x:v>11497</x:v>
      </x:c>
      <x:c r="D2535">
        <x:v>26</x:v>
      </x:c>
      <x:c r="E2535" t="s">
        <x:v>89</x:v>
      </x:c>
      <x:c r="F2535" t="s">
        <x:v>90</x:v>
      </x:c>
      <x:c r="G2535">
        <x:v>44396</x:v>
      </x:c>
      <x:c r="H2535" t="s">
        <x:v>11498</x:v>
      </x:c>
      <x:c r="I2535" t="s">
        <x:v>11499</x:v>
      </x:c>
      <x:c r="J2535" t="s">
        <x:v>11500</x:v>
      </x:c>
    </x:row>
    <x:row r="2536">
      <x:c r="A2536" t="s">
        <x:v>11501</x:v>
      </x:c>
      <x:c r="B2536" t="s">
        <x:v>11501</x:v>
      </x:c>
      <x:c r="C2536" t="s">
        <x:v>1427</x:v>
      </x:c>
      <x:c r="D2536">
        <x:v>9</x:v>
      </x:c>
      <x:c r="E2536" t="s">
        <x:v>103</x:v>
      </x:c>
      <x:c r="F2536" t="s">
        <x:v>90</x:v>
      </x:c>
      <x:c r="G2536">
        <x:v>46167</x:v>
      </x:c>
      <x:c r="H2536" t="s">
        <x:v>11502</x:v>
      </x:c>
      <x:c r="I2536" t="s">
        <x:v>11503</x:v>
      </x:c>
      <x:c r="J2536" t="s">
        <x:v>11504</x:v>
      </x:c>
    </x:row>
    <x:row r="2537">
      <x:c r="A2537" t="s">
        <x:v>11505</x:v>
      </x:c>
      <x:c r="B2537" t="s">
        <x:v>11505</x:v>
      </x:c>
      <x:c r="C2537" t="s">
        <x:v>4519</x:v>
      </x:c>
      <x:c r="D2537">
        <x:v>21</x:v>
      </x:c>
      <x:c r="E2537" t="s">
        <x:v>257</x:v>
      </x:c>
      <x:c r="F2537" t="s">
        <x:v>97</x:v>
      </x:c>
      <x:c r="G2537">
        <x:v>42230</x:v>
      </x:c>
      <x:c r="H2537" t="s">
        <x:v>11506</x:v>
      </x:c>
      <x:c r="I2537" t="s">
        <x:v>11507</x:v>
      </x:c>
      <x:c r="J2537" t="s">
        <x:v>11508</x:v>
      </x:c>
    </x:row>
    <x:row r="2538">
      <x:c r="A2538" t="s">
        <x:v>11509</x:v>
      </x:c>
      <x:c r="B2538" t="s">
        <x:v>11509</x:v>
      </x:c>
      <x:c r="C2538" t="s">
        <x:v>379</x:v>
      </x:c>
      <x:c r="D2538">
        <x:v>1</x:v>
      </x:c>
      <x:c r="E2538" t="s">
        <x:v>114</x:v>
      </x:c>
      <x:c r="F2538" t="s">
        <x:v>90</x:v>
      </x:c>
      <x:c r="G2538">
        <x:v>45214</x:v>
      </x:c>
      <x:c r="H2538" t="s">
        <x:v>11510</x:v>
      </x:c>
      <x:c r="I2538" t="s">
        <x:v>11511</x:v>
      </x:c>
      <x:c r="J2538" t="s">
        <x:v>11512</x:v>
      </x:c>
    </x:row>
    <x:row r="2539">
      <x:c r="A2539" t="s">
        <x:v>11513</x:v>
      </x:c>
      <x:c r="B2539" t="s">
        <x:v>11513</x:v>
      </x:c>
      <x:c r="C2539" t="s">
        <x:v>6292</x:v>
      </x:c>
      <x:c r="D2539">
        <x:v>12</x:v>
      </x:c>
      <x:c r="E2539" t="s">
        <x:v>96</x:v>
      </x:c>
      <x:c r="F2539" t="s">
        <x:v>97</x:v>
      </x:c>
      <x:c r="G2539">
        <x:v>45941</x:v>
      </x:c>
      <x:c r="H2539" t="s">
        <x:v>11514</x:v>
      </x:c>
      <x:c r="I2539" t="s">
        <x:v>11515</x:v>
      </x:c>
      <x:c r="J2539" t="s">
        <x:v>11516</x:v>
      </x:c>
    </x:row>
    <x:row r="2540">
      <x:c r="A2540" t="s">
        <x:v>11517</x:v>
      </x:c>
      <x:c r="B2540" t="s">
        <x:v>11517</x:v>
      </x:c>
      <x:c r="C2540" t="s">
        <x:v>11518</x:v>
      </x:c>
      <x:c r="D2540">
        <x:v>22</x:v>
      </x:c>
      <x:c r="E2540" t="s">
        <x:v>103</x:v>
      </x:c>
      <x:c r="F2540" t="s">
        <x:v>97</x:v>
      </x:c>
      <x:c r="G2540">
        <x:v>42326</x:v>
      </x:c>
      <x:c r="H2540" t="s">
        <x:v>11519</x:v>
      </x:c>
      <x:c r="I2540" t="s">
        <x:v>11520</x:v>
      </x:c>
      <x:c r="J2540" t="s">
        <x:v>11521</x:v>
      </x:c>
    </x:row>
    <x:row r="2541">
      <x:c r="A2541" t="s">
        <x:v>11522</x:v>
      </x:c>
      <x:c r="B2541" t="s">
        <x:v>11522</x:v>
      </x:c>
      <x:c r="C2541" t="s">
        <x:v>119</x:v>
      </x:c>
      <x:c r="D2541">
        <x:v>17</x:v>
      </x:c>
      <x:c r="E2541" t="s">
        <x:v>89</x:v>
      </x:c>
      <x:c r="F2541" t="s">
        <x:v>90</x:v>
      </x:c>
      <x:c r="G2541">
        <x:v>46075</x:v>
      </x:c>
      <x:c r="H2541" t="s">
        <x:v>11523</x:v>
      </x:c>
      <x:c r="I2541" t="s">
        <x:v>11524</x:v>
      </x:c>
      <x:c r="J2541" t="s">
        <x:v>11525</x:v>
      </x:c>
    </x:row>
    <x:row r="2542">
      <x:c r="A2542" t="s">
        <x:v>11526</x:v>
      </x:c>
      <x:c r="B2542" t="s">
        <x:v>11526</x:v>
      </x:c>
      <x:c r="C2542" t="s">
        <x:v>5424</x:v>
      </x:c>
      <x:c r="D2542">
        <x:v>11</x:v>
      </x:c>
      <x:c r="E2542" t="s">
        <x:v>103</x:v>
      </x:c>
      <x:c r="F2542" t="s">
        <x:v>97</x:v>
      </x:c>
      <x:c r="G2542">
        <x:v>44467</x:v>
      </x:c>
      <x:c r="H2542" t="s">
        <x:v>11527</x:v>
      </x:c>
      <x:c r="I2542" t="s">
        <x:v>11528</x:v>
      </x:c>
      <x:c r="J2542" t="s">
        <x:v>11529</x:v>
      </x:c>
    </x:row>
    <x:row r="2543">
      <x:c r="A2543" t="s">
        <x:v>11530</x:v>
      </x:c>
      <x:c r="B2543" t="s">
        <x:v>11530</x:v>
      </x:c>
      <x:c r="C2543" t="s">
        <x:v>11531</x:v>
      </x:c>
      <x:c r="D2543">
        <x:v>12</x:v>
      </x:c>
      <x:c r="E2543" t="s">
        <x:v>89</x:v>
      </x:c>
      <x:c r="F2543" t="s">
        <x:v>97</x:v>
      </x:c>
      <x:c r="G2543">
        <x:v>45717</x:v>
      </x:c>
      <x:c r="H2543" t="s">
        <x:v>11532</x:v>
      </x:c>
      <x:c r="I2543" t="s">
        <x:v>11533</x:v>
      </x:c>
      <x:c r="J2543" t="s">
        <x:v>11534</x:v>
      </x:c>
    </x:row>
    <x:row r="2544">
      <x:c r="A2544" t="s">
        <x:v>11535</x:v>
      </x:c>
      <x:c r="B2544" t="s">
        <x:v>11535</x:v>
      </x:c>
      <x:c r="C2544" t="s">
        <x:v>1608</x:v>
      </x:c>
      <x:c r="D2544">
        <x:v>4</x:v>
      </x:c>
      <x:c r="E2544" t="s">
        <x:v>89</x:v>
      </x:c>
      <x:c r="F2544" t="s">
        <x:v>90</x:v>
      </x:c>
      <x:c r="G2544">
        <x:v>44305</x:v>
      </x:c>
      <x:c r="H2544" t="s">
        <x:v>11536</x:v>
      </x:c>
      <x:c r="I2544" t="s">
        <x:v>11537</x:v>
      </x:c>
      <x:c r="J2544" t="s">
        <x:v>11538</x:v>
      </x:c>
    </x:row>
    <x:row r="2545">
      <x:c r="A2545" t="s">
        <x:v>11539</x:v>
      </x:c>
      <x:c r="B2545" t="s">
        <x:v>11539</x:v>
      </x:c>
      <x:c r="C2545" t="s">
        <x:v>11540</x:v>
      </x:c>
      <x:c r="D2545">
        <x:v>9</x:v>
      </x:c>
      <x:c r="E2545" t="s">
        <x:v>114</x:v>
      </x:c>
      <x:c r="F2545" t="s">
        <x:v>90</x:v>
      </x:c>
      <x:c r="G2545">
        <x:v>44523</x:v>
      </x:c>
      <x:c r="H2545" t="s">
        <x:v>11541</x:v>
      </x:c>
      <x:c r="I2545" t="s">
        <x:v>11542</x:v>
      </x:c>
      <x:c r="J2545" t="s">
        <x:v>11543</x:v>
      </x:c>
    </x:row>
    <x:row r="2546">
      <x:c r="A2546" t="s">
        <x:v>11544</x:v>
      </x:c>
      <x:c r="B2546" t="s">
        <x:v>11544</x:v>
      </x:c>
      <x:c r="C2546" t="s">
        <x:v>2496</x:v>
      </x:c>
      <x:c r="D2546">
        <x:v>4</x:v>
      </x:c>
      <x:c r="E2546" t="s">
        <x:v>96</x:v>
      </x:c>
      <x:c r="F2546" t="s">
        <x:v>97</x:v>
      </x:c>
      <x:c r="G2546">
        <x:v>42044</x:v>
      </x:c>
      <x:c r="H2546" t="s">
        <x:v>11545</x:v>
      </x:c>
      <x:c r="I2546" t="s">
        <x:v>11546</x:v>
      </x:c>
      <x:c r="J2546" t="s">
        <x:v>11547</x:v>
      </x:c>
    </x:row>
    <x:row r="2547">
      <x:c r="A2547" t="s">
        <x:v>11548</x:v>
      </x:c>
      <x:c r="B2547" t="s">
        <x:v>11548</x:v>
      </x:c>
      <x:c r="C2547" t="s">
        <x:v>1563</x:v>
      </x:c>
      <x:c r="D2547">
        <x:v>10</x:v>
      </x:c>
      <x:c r="E2547" t="s">
        <x:v>114</x:v>
      </x:c>
      <x:c r="F2547" t="s">
        <x:v>90</x:v>
      </x:c>
      <x:c r="G2547">
        <x:v>44983</x:v>
      </x:c>
      <x:c r="H2547" t="s">
        <x:v>11549</x:v>
      </x:c>
      <x:c r="I2547" t="s">
        <x:v>11550</x:v>
      </x:c>
      <x:c r="J2547" t="s">
        <x:v>11551</x:v>
      </x:c>
    </x:row>
    <x:row r="2548">
      <x:c r="A2548" t="s">
        <x:v>11552</x:v>
      </x:c>
      <x:c r="B2548" t="s">
        <x:v>11552</x:v>
      </x:c>
      <x:c r="C2548" t="s">
        <x:v>1831</x:v>
      </x:c>
      <x:c r="D2548">
        <x:v>11</x:v>
      </x:c>
      <x:c r="E2548" t="s">
        <x:v>114</x:v>
      </x:c>
      <x:c r="F2548" t="s">
        <x:v>90</x:v>
      </x:c>
      <x:c r="G2548">
        <x:v>44449</x:v>
      </x:c>
      <x:c r="H2548" t="s">
        <x:v>11553</x:v>
      </x:c>
      <x:c r="I2548" t="s">
        <x:v>11554</x:v>
      </x:c>
      <x:c r="J2548" t="s">
        <x:v>11555</x:v>
      </x:c>
    </x:row>
    <x:row r="2549">
      <x:c r="A2549" t="s">
        <x:v>11556</x:v>
      </x:c>
      <x:c r="B2549" t="s">
        <x:v>11556</x:v>
      </x:c>
      <x:c r="C2549" t="s">
        <x:v>1831</x:v>
      </x:c>
      <x:c r="D2549">
        <x:v>14</x:v>
      </x:c>
      <x:c r="E2549" t="s">
        <x:v>114</x:v>
      </x:c>
      <x:c r="F2549" t="s">
        <x:v>90</x:v>
      </x:c>
      <x:c r="G2549">
        <x:v>45424</x:v>
      </x:c>
      <x:c r="H2549" t="s">
        <x:v>11557</x:v>
      </x:c>
      <x:c r="I2549" t="s">
        <x:v>11558</x:v>
      </x:c>
      <x:c r="J2549" t="s">
        <x:v>11559</x:v>
      </x:c>
    </x:row>
    <x:row r="2550">
      <x:c r="A2550" t="s">
        <x:v>11560</x:v>
      </x:c>
      <x:c r="B2550" t="s">
        <x:v>11560</x:v>
      </x:c>
      <x:c r="C2550" t="s">
        <x:v>3012</x:v>
      </x:c>
      <x:c r="D2550">
        <x:v>13</x:v>
      </x:c>
      <x:c r="E2550" t="s">
        <x:v>114</x:v>
      </x:c>
      <x:c r="F2550" t="s">
        <x:v>152</x:v>
      </x:c>
      <x:c r="G2550">
        <x:v>43965</x:v>
      </x:c>
      <x:c r="H2550" t="s">
        <x:v>11561</x:v>
      </x:c>
      <x:c r="I2550" t="s">
        <x:v>11562</x:v>
      </x:c>
      <x:c r="J2550" t="s">
        <x:v>11563</x:v>
      </x:c>
    </x:row>
    <x:row r="2551">
      <x:c r="A2551" t="s">
        <x:v>11564</x:v>
      </x:c>
      <x:c r="B2551" t="s">
        <x:v>11564</x:v>
      </x:c>
      <x:c r="C2551" t="s">
        <x:v>5298</x:v>
      </x:c>
      <x:c r="D2551">
        <x:v>12</x:v>
      </x:c>
      <x:c r="E2551" t="s">
        <x:v>103</x:v>
      </x:c>
      <x:c r="F2551" t="s">
        <x:v>97</x:v>
      </x:c>
      <x:c r="G2551">
        <x:v>41445</x:v>
      </x:c>
      <x:c r="H2551" t="s">
        <x:v>11565</x:v>
      </x:c>
      <x:c r="I2551" t="s">
        <x:v>11566</x:v>
      </x:c>
      <x:c r="J2551" t="s">
        <x:v>11567</x:v>
      </x:c>
    </x:row>
    <x:row r="2552">
      <x:c r="A2552" t="s">
        <x:v>11568</x:v>
      </x:c>
      <x:c r="B2552" t="s">
        <x:v>11568</x:v>
      </x:c>
      <x:c r="C2552" t="s">
        <x:v>1209</x:v>
      </x:c>
      <x:c r="D2552">
        <x:v>6</x:v>
      </x:c>
      <x:c r="E2552" t="s">
        <x:v>96</x:v>
      </x:c>
      <x:c r="F2552" t="s">
        <x:v>90</x:v>
      </x:c>
      <x:c r="G2552">
        <x:v>44677</x:v>
      </x:c>
      <x:c r="H2552" t="s">
        <x:v>11569</x:v>
      </x:c>
      <x:c r="I2552" t="s">
        <x:v>11570</x:v>
      </x:c>
      <x:c r="J2552" t="s">
        <x:v>11571</x:v>
      </x:c>
    </x:row>
    <x:row r="2553">
      <x:c r="A2553" t="s">
        <x:v>11572</x:v>
      </x:c>
      <x:c r="B2553" t="s">
        <x:v>11572</x:v>
      </x:c>
      <x:c r="C2553" t="s">
        <x:v>5092</x:v>
      </x:c>
      <x:c r="D2553">
        <x:v>5</x:v>
      </x:c>
      <x:c r="E2553" t="s">
        <x:v>257</x:v>
      </x:c>
      <x:c r="F2553" t="s">
        <x:v>97</x:v>
      </x:c>
      <x:c r="G2553">
        <x:v>42178</x:v>
      </x:c>
      <x:c r="H2553" t="s">
        <x:v>11573</x:v>
      </x:c>
      <x:c r="I2553" t="s">
        <x:v>11574</x:v>
      </x:c>
      <x:c r="J2553" t="s">
        <x:v>11575</x:v>
      </x:c>
    </x:row>
    <x:row r="2554">
      <x:c r="A2554" t="s">
        <x:v>11576</x:v>
      </x:c>
      <x:c r="B2554" t="s">
        <x:v>11576</x:v>
      </x:c>
      <x:c r="C2554" t="s">
        <x:v>11577</x:v>
      </x:c>
      <x:c r="D2554">
        <x:v>11</x:v>
      </x:c>
      <x:c r="E2554" t="s">
        <x:v>114</x:v>
      </x:c>
      <x:c r="F2554" t="s">
        <x:v>90</x:v>
      </x:c>
      <x:c r="G2554">
        <x:v>45386</x:v>
      </x:c>
      <x:c r="H2554" t="s">
        <x:v>11578</x:v>
      </x:c>
      <x:c r="I2554" t="s">
        <x:v>11579</x:v>
      </x:c>
      <x:c r="J2554" t="s">
        <x:v>11580</x:v>
      </x:c>
    </x:row>
    <x:row r="2555">
      <x:c r="A2555" t="s">
        <x:v>11581</x:v>
      </x:c>
      <x:c r="B2555" t="s">
        <x:v>11581</x:v>
      </x:c>
      <x:c r="C2555" t="s">
        <x:v>11582</x:v>
      </x:c>
      <x:c r="D2555">
        <x:v>22</x:v>
      </x:c>
      <x:c r="E2555" t="s">
        <x:v>89</x:v>
      </x:c>
      <x:c r="F2555" t="s">
        <x:v>90</x:v>
      </x:c>
      <x:c r="G2555">
        <x:v>43970</x:v>
      </x:c>
      <x:c r="H2555" t="s">
        <x:v>11583</x:v>
      </x:c>
      <x:c r="I2555" t="s">
        <x:v>11584</x:v>
      </x:c>
      <x:c r="J2555" t="s">
        <x:v>11585</x:v>
      </x:c>
    </x:row>
    <x:row r="2556">
      <x:c r="A2556" t="s">
        <x:v>11586</x:v>
      </x:c>
      <x:c r="B2556" t="s">
        <x:v>11586</x:v>
      </x:c>
      <x:c r="C2556" t="s">
        <x:v>6099</x:v>
      </x:c>
      <x:c r="D2556">
        <x:v>17</x:v>
      </x:c>
      <x:c r="E2556" t="s">
        <x:v>89</x:v>
      </x:c>
      <x:c r="F2556" t="s">
        <x:v>90</x:v>
      </x:c>
      <x:c r="G2556">
        <x:v>44318</x:v>
      </x:c>
      <x:c r="H2556" t="s">
        <x:v>11587</x:v>
      </x:c>
      <x:c r="I2556" t="s">
        <x:v>11588</x:v>
      </x:c>
      <x:c r="J2556" t="s">
        <x:v>11589</x:v>
      </x:c>
    </x:row>
    <x:row r="2557">
      <x:c r="A2557" t="s">
        <x:v>11590</x:v>
      </x:c>
      <x:c r="B2557" t="s">
        <x:v>11590</x:v>
      </x:c>
      <x:c r="C2557" t="s">
        <x:v>491</x:v>
      </x:c>
      <x:c r="D2557">
        <x:v>18</x:v>
      </x:c>
      <x:c r="E2557" t="s">
        <x:v>96</x:v>
      </x:c>
      <x:c r="F2557" t="s">
        <x:v>97</x:v>
      </x:c>
      <x:c r="G2557">
        <x:v>45573</x:v>
      </x:c>
      <x:c r="H2557" t="s">
        <x:v>11591</x:v>
      </x:c>
      <x:c r="I2557" t="s">
        <x:v>11592</x:v>
      </x:c>
      <x:c r="J2557" t="s">
        <x:v>11593</x:v>
      </x:c>
    </x:row>
    <x:row r="2558">
      <x:c r="A2558" t="s">
        <x:v>11594</x:v>
      </x:c>
      <x:c r="B2558" t="s">
        <x:v>11594</x:v>
      </x:c>
      <x:c r="C2558" t="s">
        <x:v>11595</x:v>
      </x:c>
      <x:c r="D2558">
        <x:v>56</x:v>
      </x:c>
      <x:c r="E2558" t="s">
        <x:v>89</x:v>
      </x:c>
      <x:c r="F2558" t="s">
        <x:v>97</x:v>
      </x:c>
      <x:c r="G2558">
        <x:v>46222</x:v>
      </x:c>
      <x:c r="H2558" t="s">
        <x:v>11596</x:v>
      </x:c>
      <x:c r="I2558" t="s">
        <x:v>11597</x:v>
      </x:c>
      <x:c r="J2558" t="s">
        <x:v>11598</x:v>
      </x:c>
    </x:row>
    <x:row r="2559">
      <x:c r="A2559" t="s">
        <x:v>11599</x:v>
      </x:c>
      <x:c r="B2559" t="s">
        <x:v>11599</x:v>
      </x:c>
      <x:c r="C2559" t="s">
        <x:v>5087</x:v>
      </x:c>
      <x:c r="D2559">
        <x:v>65</x:v>
      </x:c>
      <x:c r="E2559" t="s">
        <x:v>96</x:v>
      </x:c>
      <x:c r="F2559" t="s">
        <x:v>97</x:v>
      </x:c>
      <x:c r="G2559">
        <x:v>45725</x:v>
      </x:c>
      <x:c r="H2559" t="s">
        <x:v>11600</x:v>
      </x:c>
      <x:c r="I2559" t="s">
        <x:v>11601</x:v>
      </x:c>
      <x:c r="J2559" t="s">
        <x:v>11602</x:v>
      </x:c>
    </x:row>
    <x:row r="2560">
      <x:c r="A2560" t="s">
        <x:v>11603</x:v>
      </x:c>
      <x:c r="B2560" t="s">
        <x:v>11603</x:v>
      </x:c>
      <x:c r="C2560" t="s">
        <x:v>11604</x:v>
      </x:c>
      <x:c r="D2560">
        <x:v>9</x:v>
      </x:c>
      <x:c r="E2560" t="s">
        <x:v>257</x:v>
      </x:c>
      <x:c r="F2560" t="s">
        <x:v>97</x:v>
      </x:c>
      <x:c r="G2560">
        <x:v>43783</x:v>
      </x:c>
      <x:c r="H2560" t="s">
        <x:v>11605</x:v>
      </x:c>
      <x:c r="I2560" t="s">
        <x:v>11606</x:v>
      </x:c>
      <x:c r="J2560" t="s">
        <x:v>11607</x:v>
      </x:c>
    </x:row>
    <x:row r="2561">
      <x:c r="A2561" t="s">
        <x:v>11608</x:v>
      </x:c>
      <x:c r="B2561" t="s">
        <x:v>11608</x:v>
      </x:c>
      <x:c r="C2561" t="s">
        <x:v>141</x:v>
      </x:c>
      <x:c r="D2561">
        <x:v>27</x:v>
      </x:c>
      <x:c r="E2561" t="s">
        <x:v>114</x:v>
      </x:c>
      <x:c r="F2561" t="s">
        <x:v>90</x:v>
      </x:c>
      <x:c r="G2561">
        <x:v>44872</x:v>
      </x:c>
      <x:c r="H2561" t="s">
        <x:v>11609</x:v>
      </x:c>
      <x:c r="I2561" t="s">
        <x:v>11610</x:v>
      </x:c>
      <x:c r="J2561" t="s">
        <x:v>11611</x:v>
      </x:c>
    </x:row>
    <x:row r="2562">
      <x:c r="A2562" t="s">
        <x:v>11612</x:v>
      </x:c>
      <x:c r="B2562" t="s">
        <x:v>11612</x:v>
      </x:c>
      <x:c r="C2562" t="s">
        <x:v>10217</x:v>
      </x:c>
      <x:c r="D2562">
        <x:v>10</x:v>
      </x:c>
      <x:c r="E2562" t="s">
        <x:v>89</x:v>
      </x:c>
      <x:c r="F2562" t="s">
        <x:v>90</x:v>
      </x:c>
      <x:c r="G2562">
        <x:v>44449</x:v>
      </x:c>
      <x:c r="H2562" t="s">
        <x:v>11613</x:v>
      </x:c>
      <x:c r="I2562" t="s">
        <x:v>11614</x:v>
      </x:c>
      <x:c r="J2562" t="s">
        <x:v>11615</x:v>
      </x:c>
    </x:row>
    <x:row r="2563">
      <x:c r="A2563" t="s">
        <x:v>11616</x:v>
      </x:c>
      <x:c r="B2563" t="s">
        <x:v>11616</x:v>
      </x:c>
      <x:c r="C2563" t="s">
        <x:v>524</x:v>
      </x:c>
      <x:c r="D2563">
        <x:v>9</x:v>
      </x:c>
      <x:c r="E2563" t="s">
        <x:v>114</x:v>
      </x:c>
      <x:c r="F2563" t="s">
        <x:v>90</x:v>
      </x:c>
      <x:c r="G2563">
        <x:v>44909</x:v>
      </x:c>
      <x:c r="H2563" t="s">
        <x:v>11617</x:v>
      </x:c>
      <x:c r="I2563" t="s">
        <x:v>11618</x:v>
      </x:c>
      <x:c r="J2563" t="s">
        <x:v>11619</x:v>
      </x:c>
    </x:row>
    <x:row r="2564">
      <x:c r="A2564" t="s">
        <x:v>11620</x:v>
      </x:c>
      <x:c r="B2564" t="s">
        <x:v>11620</x:v>
      </x:c>
      <x:c r="C2564" t="s">
        <x:v>11621</x:v>
      </x:c>
      <x:c r="D2564">
        <x:v>20</x:v>
      </x:c>
      <x:c r="E2564" t="s">
        <x:v>89</x:v>
      </x:c>
      <x:c r="F2564" t="s">
        <x:v>97</x:v>
      </x:c>
      <x:c r="G2564">
        <x:v>45859</x:v>
      </x:c>
      <x:c r="H2564" t="s">
        <x:v>11622</x:v>
      </x:c>
      <x:c r="I2564" t="s">
        <x:v>11623</x:v>
      </x:c>
      <x:c r="J2564" t="s">
        <x:v>11624</x:v>
      </x:c>
    </x:row>
    <x:row r="2565">
      <x:c r="A2565" t="s">
        <x:v>11625</x:v>
      </x:c>
      <x:c r="B2565" t="s">
        <x:v>11625</x:v>
      </x:c>
      <x:c r="C2565" t="s">
        <x:v>2282</x:v>
      </x:c>
      <x:c r="D2565">
        <x:v>8</x:v>
      </x:c>
      <x:c r="E2565" t="s">
        <x:v>198</x:v>
      </x:c>
      <x:c r="F2565" t="s">
        <x:v>90</x:v>
      </x:c>
      <x:c r="G2565">
        <x:v>43666</x:v>
      </x:c>
      <x:c r="H2565" t="s">
        <x:v>11626</x:v>
      </x:c>
      <x:c r="I2565" t="s">
        <x:v>11627</x:v>
      </x:c>
      <x:c r="J2565" t="s">
        <x:v>11628</x:v>
      </x:c>
    </x:row>
    <x:row r="2566">
      <x:c r="A2566" t="s">
        <x:v>11629</x:v>
      </x:c>
      <x:c r="B2566" t="s">
        <x:v>11629</x:v>
      </x:c>
      <x:c r="C2566" t="s">
        <x:v>2282</x:v>
      </x:c>
      <x:c r="D2566">
        <x:v>5</x:v>
      </x:c>
      <x:c r="E2566" t="s">
        <x:v>198</x:v>
      </x:c>
      <x:c r="F2566" t="s">
        <x:v>90</x:v>
      </x:c>
      <x:c r="G2566">
        <x:v>44147</x:v>
      </x:c>
      <x:c r="H2566" t="s">
        <x:v>11630</x:v>
      </x:c>
      <x:c r="I2566" t="s">
        <x:v>11631</x:v>
      </x:c>
      <x:c r="J2566" t="s">
        <x:v>11632</x:v>
      </x:c>
    </x:row>
    <x:row r="2567">
      <x:c r="A2567" t="s">
        <x:v>11633</x:v>
      </x:c>
      <x:c r="B2567" t="s">
        <x:v>11633</x:v>
      </x:c>
      <x:c r="C2567" t="s">
        <x:v>2282</x:v>
      </x:c>
      <x:c r="D2567">
        <x:v>7</x:v>
      </x:c>
      <x:c r="E2567" t="s">
        <x:v>198</x:v>
      </x:c>
      <x:c r="F2567" t="s">
        <x:v>90</x:v>
      </x:c>
      <x:c r="G2567">
        <x:v>44146</x:v>
      </x:c>
      <x:c r="H2567" t="s">
        <x:v>11634</x:v>
      </x:c>
      <x:c r="I2567" t="s">
        <x:v>11635</x:v>
      </x:c>
      <x:c r="J2567" t="s">
        <x:v>11636</x:v>
      </x:c>
    </x:row>
    <x:row r="2568">
      <x:c r="A2568" t="s">
        <x:v>11637</x:v>
      </x:c>
      <x:c r="B2568" t="s">
        <x:v>11637</x:v>
      </x:c>
      <x:c r="C2568" t="s">
        <x:v>11638</x:v>
      </x:c>
      <x:c r="D2568">
        <x:v>33</x:v>
      </x:c>
      <x:c r="E2568" t="s">
        <x:v>198</x:v>
      </x:c>
      <x:c r="F2568" t="s">
        <x:v>90</x:v>
      </x:c>
      <x:c r="G2568">
        <x:v>44735</x:v>
      </x:c>
      <x:c r="H2568" t="s">
        <x:v>11639</x:v>
      </x:c>
      <x:c r="I2568" t="s">
        <x:v>11640</x:v>
      </x:c>
      <x:c r="J2568" t="s">
        <x:v>11641</x:v>
      </x:c>
    </x:row>
    <x:row r="2569">
      <x:c r="A2569" t="s">
        <x:v>11642</x:v>
      </x:c>
      <x:c r="B2569" t="s">
        <x:v>11642</x:v>
      </x:c>
      <x:c r="C2569" t="s">
        <x:v>11638</x:v>
      </x:c>
      <x:c r="D2569">
        <x:v>23</x:v>
      </x:c>
      <x:c r="E2569" t="s">
        <x:v>114</x:v>
      </x:c>
      <x:c r="F2569" t="s">
        <x:v>90</x:v>
      </x:c>
      <x:c r="G2569">
        <x:v>45642</x:v>
      </x:c>
      <x:c r="H2569" t="s">
        <x:v>11643</x:v>
      </x:c>
      <x:c r="I2569" t="s">
        <x:v>11644</x:v>
      </x:c>
      <x:c r="J2569" t="s">
        <x:v>11645</x:v>
      </x:c>
    </x:row>
    <x:row r="2570">
      <x:c r="A2570" t="s">
        <x:v>11646</x:v>
      </x:c>
      <x:c r="B2570" t="s">
        <x:v>11646</x:v>
      </x:c>
      <x:c r="C2570" t="s">
        <x:v>11638</x:v>
      </x:c>
      <x:c r="D2570">
        <x:v>44</x:v>
      </x:c>
      <x:c r="E2570" t="s">
        <x:v>198</x:v>
      </x:c>
      <x:c r="F2570" t="s">
        <x:v>90</x:v>
      </x:c>
      <x:c r="G2570">
        <x:v>45383</x:v>
      </x:c>
      <x:c r="H2570" t="s">
        <x:v>11647</x:v>
      </x:c>
      <x:c r="I2570" t="s">
        <x:v>11648</x:v>
      </x:c>
      <x:c r="J2570" t="s">
        <x:v>11649</x:v>
      </x:c>
    </x:row>
    <x:row r="2571">
      <x:c r="A2571" t="s">
        <x:v>11650</x:v>
      </x:c>
      <x:c r="B2571" t="s">
        <x:v>11650</x:v>
      </x:c>
      <x:c r="C2571" t="s">
        <x:v>11651</x:v>
      </x:c>
      <x:c r="D2571">
        <x:v>26</x:v>
      </x:c>
      <x:c r="E2571" t="s">
        <x:v>96</x:v>
      </x:c>
      <x:c r="F2571" t="s">
        <x:v>97</x:v>
      </x:c>
      <x:c r="G2571">
        <x:v>44726</x:v>
      </x:c>
      <x:c r="H2571" t="s">
        <x:v>11652</x:v>
      </x:c>
      <x:c r="I2571" t="s">
        <x:v>11653</x:v>
      </x:c>
      <x:c r="J2571" t="s">
        <x:v>11654</x:v>
      </x:c>
    </x:row>
    <x:row r="2572">
      <x:c r="A2572" t="s">
        <x:v>11655</x:v>
      </x:c>
      <x:c r="B2572" t="s">
        <x:v>11655</x:v>
      </x:c>
      <x:c r="C2572" t="s">
        <x:v>11651</x:v>
      </x:c>
      <x:c r="D2572">
        <x:v>23</x:v>
      </x:c>
      <x:c r="E2572" t="s">
        <x:v>103</x:v>
      </x:c>
      <x:c r="F2572" t="s">
        <x:v>97</x:v>
      </x:c>
      <x:c r="G2572">
        <x:v>43449</x:v>
      </x:c>
      <x:c r="H2572" t="s">
        <x:v>11656</x:v>
      </x:c>
      <x:c r="I2572" t="s">
        <x:v>11657</x:v>
      </x:c>
      <x:c r="J2572" t="s">
        <x:v>11658</x:v>
      </x:c>
    </x:row>
    <x:row r="2573">
      <x:c r="A2573" t="s">
        <x:v>11659</x:v>
      </x:c>
      <x:c r="B2573" t="s">
        <x:v>11659</x:v>
      </x:c>
      <x:c r="C2573" t="s">
        <x:v>1841</x:v>
      </x:c>
      <x:c r="D2573">
        <x:v>9</x:v>
      </x:c>
      <x:c r="E2573" t="s">
        <x:v>96</x:v>
      </x:c>
      <x:c r="F2573" t="s">
        <x:v>97</x:v>
      </x:c>
      <x:c r="G2573">
        <x:v>44035</x:v>
      </x:c>
      <x:c r="H2573" t="s">
        <x:v>11660</x:v>
      </x:c>
      <x:c r="I2573" t="s">
        <x:v>11661</x:v>
      </x:c>
      <x:c r="J2573" t="s">
        <x:v>11662</x:v>
      </x:c>
    </x:row>
    <x:row r="2574">
      <x:c r="A2574" t="s">
        <x:v>11663</x:v>
      </x:c>
      <x:c r="B2574" t="s">
        <x:v>11663</x:v>
      </x:c>
      <x:c r="C2574" t="s">
        <x:v>4992</x:v>
      </x:c>
      <x:c r="D2574">
        <x:v>19</x:v>
      </x:c>
      <x:c r="E2574" t="s">
        <x:v>114</x:v>
      </x:c>
      <x:c r="F2574" t="s">
        <x:v>90</x:v>
      </x:c>
      <x:c r="G2574">
        <x:v>44268</x:v>
      </x:c>
      <x:c r="H2574" t="s">
        <x:v>11664</x:v>
      </x:c>
      <x:c r="I2574" t="s">
        <x:v>11665</x:v>
      </x:c>
      <x:c r="J2574" t="s">
        <x:v>11666</x:v>
      </x:c>
    </x:row>
    <x:row r="2575">
      <x:c r="A2575" t="s">
        <x:v>11667</x:v>
      </x:c>
      <x:c r="B2575" t="s">
        <x:v>11667</x:v>
      </x:c>
      <x:c r="C2575" t="s">
        <x:v>11668</x:v>
      </x:c>
      <x:c r="D2575">
        <x:v>18</x:v>
      </x:c>
      <x:c r="E2575" t="s">
        <x:v>96</x:v>
      </x:c>
      <x:c r="F2575" t="s">
        <x:v>97</x:v>
      </x:c>
      <x:c r="G2575">
        <x:v>41650</x:v>
      </x:c>
      <x:c r="H2575" t="s">
        <x:v>11669</x:v>
      </x:c>
      <x:c r="I2575" t="s">
        <x:v>11670</x:v>
      </x:c>
      <x:c r="J2575" t="s">
        <x:v>11671</x:v>
      </x:c>
    </x:row>
    <x:row r="2576">
      <x:c r="A2576" t="s">
        <x:v>11672</x:v>
      </x:c>
      <x:c r="B2576" t="s">
        <x:v>11672</x:v>
      </x:c>
      <x:c r="C2576" t="s">
        <x:v>394</x:v>
      </x:c>
      <x:c r="D2576">
        <x:v>1</x:v>
      </x:c>
      <x:c r="E2576" t="s">
        <x:v>198</x:v>
      </x:c>
      <x:c r="F2576" t="s">
        <x:v>6328</x:v>
      </x:c>
      <x:c r="G2576">
        <x:v>45736</x:v>
      </x:c>
      <x:c r="H2576" t="s">
        <x:v>11673</x:v>
      </x:c>
      <x:c r="I2576" t="s">
        <x:v>11674</x:v>
      </x:c>
      <x:c r="J2576" t="s">
        <x:v>11675</x:v>
      </x:c>
    </x:row>
    <x:row r="2577">
      <x:c r="A2577" t="s">
        <x:v>11676</x:v>
      </x:c>
      <x:c r="B2577" t="s">
        <x:v>11676</x:v>
      </x:c>
      <x:c r="C2577" t="s">
        <x:v>11677</x:v>
      </x:c>
      <x:c r="D2577">
        <x:v>1</x:v>
      </x:c>
      <x:c r="E2577" t="s">
        <x:v>89</x:v>
      </x:c>
      <x:c r="F2577" t="s">
        <x:v>90</x:v>
      </x:c>
      <x:c r="G2577">
        <x:v>45481</x:v>
      </x:c>
      <x:c r="H2577" t="s">
        <x:v>11678</x:v>
      </x:c>
      <x:c r="I2577" t="s">
        <x:v>11679</x:v>
      </x:c>
      <x:c r="J2577" t="s">
        <x:v>11680</x:v>
      </x:c>
    </x:row>
    <x:row r="2578">
      <x:c r="A2578" t="s">
        <x:v>11681</x:v>
      </x:c>
      <x:c r="B2578" t="s">
        <x:v>11681</x:v>
      </x:c>
      <x:c r="C2578" t="s">
        <x:v>11677</x:v>
      </x:c>
      <x:c r="D2578">
        <x:v>0</x:v>
      </x:c>
      <x:c r="E2578" t="s">
        <x:v>89</x:v>
      </x:c>
      <x:c r="F2578" t="s">
        <x:v>90</x:v>
      </x:c>
      <x:c r="G2578">
        <x:v>46191</x:v>
      </x:c>
      <x:c r="H2578" t="s">
        <x:v>11682</x:v>
      </x:c>
      <x:c r="I2578" t="s">
        <x:v>11683</x:v>
      </x:c>
      <x:c r="J2578" t="s">
        <x:v>11684</x:v>
      </x:c>
    </x:row>
    <x:row r="2579">
      <x:c r="A2579" t="s">
        <x:v>11685</x:v>
      </x:c>
      <x:c r="B2579" t="s">
        <x:v>11685</x:v>
      </x:c>
      <x:c r="C2579" t="s">
        <x:v>2529</x:v>
      </x:c>
      <x:c r="D2579">
        <x:v>1</x:v>
      </x:c>
      <x:c r="E2579" t="s">
        <x:v>198</x:v>
      </x:c>
      <x:c r="F2579" t="s">
        <x:v>90</x:v>
      </x:c>
      <x:c r="G2579">
        <x:v>42638</x:v>
      </x:c>
      <x:c r="H2579" t="s">
        <x:v>11686</x:v>
      </x:c>
      <x:c r="I2579" t="s">
        <x:v>11687</x:v>
      </x:c>
      <x:c r="J2579" t="s">
        <x:v>11688</x:v>
      </x:c>
    </x:row>
    <x:row r="2580">
      <x:c r="A2580" t="s">
        <x:v>11689</x:v>
      </x:c>
      <x:c r="B2580" t="s">
        <x:v>11689</x:v>
      </x:c>
      <x:c r="C2580" t="s">
        <x:v>2118</x:v>
      </x:c>
      <x:c r="D2580">
        <x:v>1</x:v>
      </x:c>
      <x:c r="E2580" t="s">
        <x:v>198</x:v>
      </x:c>
      <x:c r="F2580" t="s">
        <x:v>90</x:v>
      </x:c>
      <x:c r="G2580">
        <x:v>45613</x:v>
      </x:c>
      <x:c r="H2580" t="s">
        <x:v>11690</x:v>
      </x:c>
      <x:c r="I2580" t="s">
        <x:v>11691</x:v>
      </x:c>
      <x:c r="J2580" t="s">
        <x:v>11692</x:v>
      </x:c>
    </x:row>
    <x:row r="2581">
      <x:c r="A2581" t="s">
        <x:v>11693</x:v>
      </x:c>
      <x:c r="B2581" t="s">
        <x:v>11693</x:v>
      </x:c>
      <x:c r="C2581" t="s">
        <x:v>1516</x:v>
      </x:c>
      <x:c r="D2581">
        <x:v>2</x:v>
      </x:c>
      <x:c r="E2581" t="s">
        <x:v>114</x:v>
      </x:c>
      <x:c r="F2581" t="s">
        <x:v>90</x:v>
      </x:c>
      <x:c r="G2581">
        <x:v>44816</x:v>
      </x:c>
      <x:c r="H2581" t="s">
        <x:v>11694</x:v>
      </x:c>
      <x:c r="I2581" t="s">
        <x:v>11695</x:v>
      </x:c>
      <x:c r="J2581" t="s">
        <x:v>11696</x:v>
      </x:c>
    </x:row>
    <x:row r="2582">
      <x:c r="A2582" t="s">
        <x:v>11697</x:v>
      </x:c>
      <x:c r="B2582" t="s">
        <x:v>11697</x:v>
      </x:c>
      <x:c r="C2582" t="s">
        <x:v>1516</x:v>
      </x:c>
      <x:c r="D2582">
        <x:v>1</x:v>
      </x:c>
      <x:c r="E2582" t="s">
        <x:v>198</x:v>
      </x:c>
      <x:c r="F2582" t="s">
        <x:v>90</x:v>
      </x:c>
      <x:c r="G2582">
        <x:v>44400</x:v>
      </x:c>
      <x:c r="H2582" t="s">
        <x:v>11698</x:v>
      </x:c>
      <x:c r="I2582" t="s">
        <x:v>11699</x:v>
      </x:c>
      <x:c r="J2582" t="s">
        <x:v>11700</x:v>
      </x:c>
    </x:row>
    <x:row r="2583">
      <x:c r="A2583" t="s">
        <x:v>11701</x:v>
      </x:c>
      <x:c r="B2583" t="s">
        <x:v>11701</x:v>
      </x:c>
      <x:c r="C2583" t="s">
        <x:v>533</x:v>
      </x:c>
      <x:c r="D2583">
        <x:v>5</x:v>
      </x:c>
      <x:c r="E2583" t="s">
        <x:v>125</x:v>
      </x:c>
      <x:c r="F2583" t="s">
        <x:v>90</x:v>
      </x:c>
      <x:c r="G2583">
        <x:v>44953</x:v>
      </x:c>
      <x:c r="H2583" t="s">
        <x:v>11702</x:v>
      </x:c>
      <x:c r="I2583" t="s">
        <x:v>11703</x:v>
      </x:c>
      <x:c r="J2583" t="s">
        <x:v>11704</x:v>
      </x:c>
    </x:row>
    <x:row r="2584">
      <x:c r="A2584" t="s">
        <x:v>11705</x:v>
      </x:c>
      <x:c r="B2584" t="s">
        <x:v>11705</x:v>
      </x:c>
      <x:c r="C2584" t="s">
        <x:v>5920</x:v>
      </x:c>
      <x:c r="D2584">
        <x:v>9</x:v>
      </x:c>
      <x:c r="E2584" t="s">
        <x:v>114</x:v>
      </x:c>
      <x:c r="F2584" t="s">
        <x:v>90</x:v>
      </x:c>
      <x:c r="G2584">
        <x:v>45462</x:v>
      </x:c>
      <x:c r="H2584" t="s">
        <x:v>11706</x:v>
      </x:c>
      <x:c r="I2584" t="s">
        <x:v>11707</x:v>
      </x:c>
      <x:c r="J2584" t="s">
        <x:v>11708</x:v>
      </x:c>
    </x:row>
    <x:row r="2585">
      <x:c r="A2585" t="s">
        <x:v>11709</x:v>
      </x:c>
      <x:c r="B2585" t="s">
        <x:v>11709</x:v>
      </x:c>
      <x:c r="C2585" t="s">
        <x:v>6692</x:v>
      </x:c>
      <x:c r="D2585">
        <x:v>6</x:v>
      </x:c>
      <x:c r="E2585" t="s">
        <x:v>198</x:v>
      </x:c>
      <x:c r="F2585" t="s">
        <x:v>152</x:v>
      </x:c>
      <x:c r="G2585">
        <x:v>44623</x:v>
      </x:c>
      <x:c r="H2585" t="s">
        <x:v>11710</x:v>
      </x:c>
      <x:c r="I2585" t="s">
        <x:v>11711</x:v>
      </x:c>
      <x:c r="J2585" t="s">
        <x:v>11712</x:v>
      </x:c>
    </x:row>
    <x:row r="2586">
      <x:c r="A2586" t="s">
        <x:v>11713</x:v>
      </x:c>
      <x:c r="B2586" t="s">
        <x:v>11713</x:v>
      </x:c>
      <x:c r="C2586" t="s">
        <x:v>2033</x:v>
      </x:c>
      <x:c r="D2586">
        <x:v>20</x:v>
      </x:c>
      <x:c r="E2586" t="s">
        <x:v>96</x:v>
      </x:c>
      <x:c r="F2586" t="s">
        <x:v>97</x:v>
      </x:c>
      <x:c r="G2586">
        <x:v>42977</x:v>
      </x:c>
      <x:c r="H2586" t="s">
        <x:v>11714</x:v>
      </x:c>
      <x:c r="I2586" t="s">
        <x:v>11715</x:v>
      </x:c>
      <x:c r="J2586" t="s">
        <x:v>11716</x:v>
      </x:c>
    </x:row>
    <x:row r="2587">
      <x:c r="A2587" t="s">
        <x:v>11717</x:v>
      </x:c>
      <x:c r="B2587" t="s">
        <x:v>11717</x:v>
      </x:c>
      <x:c r="C2587" t="s">
        <x:v>2282</x:v>
      </x:c>
      <x:c r="D2587">
        <x:v>29</x:v>
      </x:c>
      <x:c r="E2587" t="s">
        <x:v>89</x:v>
      </x:c>
      <x:c r="F2587" t="s">
        <x:v>97</x:v>
      </x:c>
      <x:c r="G2587">
        <x:v>44312</x:v>
      </x:c>
      <x:c r="H2587" t="s">
        <x:v>11718</x:v>
      </x:c>
      <x:c r="I2587" t="s">
        <x:v>11719</x:v>
      </x:c>
      <x:c r="J2587" t="s">
        <x:v>11720</x:v>
      </x:c>
    </x:row>
    <x:row r="2588">
      <x:c r="A2588" t="s">
        <x:v>11721</x:v>
      </x:c>
      <x:c r="B2588" t="s">
        <x:v>11721</x:v>
      </x:c>
      <x:c r="C2588" t="s">
        <x:v>1268</x:v>
      </x:c>
      <x:c r="D2588">
        <x:v>5</x:v>
      </x:c>
      <x:c r="E2588" t="s">
        <x:v>103</x:v>
      </x:c>
      <x:c r="F2588" t="s">
        <x:v>97</x:v>
      </x:c>
      <x:c r="G2588">
        <x:v>42482</x:v>
      </x:c>
      <x:c r="H2588" t="s">
        <x:v>11722</x:v>
      </x:c>
      <x:c r="I2588" t="s">
        <x:v>11723</x:v>
      </x:c>
      <x:c r="J2588" t="s">
        <x:v>11724</x:v>
      </x:c>
    </x:row>
    <x:row r="2589">
      <x:c r="A2589" t="s">
        <x:v>11725</x:v>
      </x:c>
      <x:c r="B2589" t="s">
        <x:v>11725</x:v>
      </x:c>
      <x:c r="C2589" t="s">
        <x:v>11726</x:v>
      </x:c>
      <x:c r="D2589">
        <x:v>16</x:v>
      </x:c>
      <x:c r="E2589" t="s">
        <x:v>96</x:v>
      </x:c>
      <x:c r="F2589" t="s">
        <x:v>90</x:v>
      </x:c>
      <x:c r="G2589">
        <x:v>46220</x:v>
      </x:c>
      <x:c r="H2589" t="s">
        <x:v>11727</x:v>
      </x:c>
      <x:c r="I2589" t="s">
        <x:v>11728</x:v>
      </x:c>
      <x:c r="J2589" t="s">
        <x:v>11729</x:v>
      </x:c>
    </x:row>
    <x:row r="2590">
      <x:c r="A2590" t="s">
        <x:v>11730</x:v>
      </x:c>
      <x:c r="B2590" t="s">
        <x:v>11730</x:v>
      </x:c>
      <x:c r="C2590" t="s">
        <x:v>11731</x:v>
      </x:c>
      <x:c r="D2590">
        <x:v>8</x:v>
      </x:c>
      <x:c r="E2590" t="s">
        <x:v>198</x:v>
      </x:c>
      <x:c r="F2590" t="s">
        <x:v>90</x:v>
      </x:c>
      <x:c r="G2590">
        <x:v>43957</x:v>
      </x:c>
      <x:c r="H2590" t="s">
        <x:v>11732</x:v>
      </x:c>
      <x:c r="I2590" t="s">
        <x:v>11733</x:v>
      </x:c>
      <x:c r="J2590" t="s">
        <x:v>11734</x:v>
      </x:c>
    </x:row>
    <x:row r="2591">
      <x:c r="A2591" t="s">
        <x:v>11735</x:v>
      </x:c>
      <x:c r="B2591" t="s">
        <x:v>11735</x:v>
      </x:c>
      <x:c r="C2591" t="s">
        <x:v>11731</x:v>
      </x:c>
      <x:c r="D2591">
        <x:v>7</x:v>
      </x:c>
      <x:c r="E2591" t="s">
        <x:v>114</x:v>
      </x:c>
      <x:c r="F2591" t="s">
        <x:v>90</x:v>
      </x:c>
      <x:c r="G2591">
        <x:v>44506</x:v>
      </x:c>
      <x:c r="H2591" t="s">
        <x:v>11736</x:v>
      </x:c>
      <x:c r="I2591" t="s">
        <x:v>11737</x:v>
      </x:c>
      <x:c r="J2591" t="s">
        <x:v>11738</x:v>
      </x:c>
    </x:row>
    <x:row r="2592">
      <x:c r="A2592" t="s">
        <x:v>11739</x:v>
      </x:c>
      <x:c r="B2592" t="s">
        <x:v>11739</x:v>
      </x:c>
      <x:c r="C2592" t="s">
        <x:v>703</x:v>
      </x:c>
      <x:c r="D2592">
        <x:v>14</x:v>
      </x:c>
      <x:c r="E2592" t="s">
        <x:v>198</x:v>
      </x:c>
      <x:c r="F2592" t="s">
        <x:v>90</x:v>
      </x:c>
      <x:c r="G2592">
        <x:v>45022</x:v>
      </x:c>
      <x:c r="H2592" t="s">
        <x:v>11740</x:v>
      </x:c>
      <x:c r="I2592" t="s">
        <x:v>11741</x:v>
      </x:c>
      <x:c r="J2592" t="s">
        <x:v>11742</x:v>
      </x:c>
    </x:row>
    <x:row r="2593">
      <x:c r="A2593" t="s">
        <x:v>11743</x:v>
      </x:c>
      <x:c r="B2593" t="s">
        <x:v>11743</x:v>
      </x:c>
      <x:c r="C2593" t="s">
        <x:v>7238</x:v>
      </x:c>
      <x:c r="D2593">
        <x:v>10</x:v>
      </x:c>
      <x:c r="E2593" t="s">
        <x:v>96</x:v>
      </x:c>
      <x:c r="F2593" t="s">
        <x:v>97</x:v>
      </x:c>
      <x:c r="G2593">
        <x:v>45295</x:v>
      </x:c>
      <x:c r="H2593" t="s">
        <x:v>11744</x:v>
      </x:c>
      <x:c r="I2593" t="s">
        <x:v>11745</x:v>
      </x:c>
      <x:c r="J2593" t="s">
        <x:v>11746</x:v>
      </x:c>
    </x:row>
    <x:row r="2594">
      <x:c r="A2594" t="s">
        <x:v>11747</x:v>
      </x:c>
      <x:c r="B2594" t="s">
        <x:v>11747</x:v>
      </x:c>
      <x:c r="C2594" t="s">
        <x:v>11748</x:v>
      </x:c>
      <x:c r="D2594">
        <x:v>17</x:v>
      </x:c>
      <x:c r="E2594" t="s">
        <x:v>103</x:v>
      </x:c>
      <x:c r="F2594" t="s">
        <x:v>97</x:v>
      </x:c>
      <x:c r="G2594">
        <x:v>42611</x:v>
      </x:c>
      <x:c r="H2594" t="s">
        <x:v>11749</x:v>
      </x:c>
      <x:c r="I2594" t="s">
        <x:v>11750</x:v>
      </x:c>
      <x:c r="J2594" t="s">
        <x:v>11751</x:v>
      </x:c>
    </x:row>
    <x:row r="2595">
      <x:c r="A2595" t="s">
        <x:v>11752</x:v>
      </x:c>
      <x:c r="B2595" t="s">
        <x:v>11752</x:v>
      </x:c>
      <x:c r="C2595" t="s">
        <x:v>7549</x:v>
      </x:c>
      <x:c r="D2595">
        <x:v>43</x:v>
      </x:c>
      <x:c r="E2595" t="s">
        <x:v>89</x:v>
      </x:c>
      <x:c r="F2595" t="s">
        <x:v>97</x:v>
      </x:c>
      <x:c r="G2595">
        <x:v>45314</x:v>
      </x:c>
      <x:c r="H2595" t="s">
        <x:v>11753</x:v>
      </x:c>
      <x:c r="I2595" t="s">
        <x:v>11754</x:v>
      </x:c>
      <x:c r="J2595" t="s">
        <x:v>11755</x:v>
      </x:c>
    </x:row>
    <x:row r="2596">
      <x:c r="A2596" t="s">
        <x:v>11756</x:v>
      </x:c>
      <x:c r="B2596" t="s">
        <x:v>11756</x:v>
      </x:c>
      <x:c r="C2596" t="s">
        <x:v>8843</x:v>
      </x:c>
      <x:c r="D2596">
        <x:v>1</x:v>
      </x:c>
      <x:c r="E2596" t="s">
        <x:v>103</x:v>
      </x:c>
      <x:c r="F2596" t="s">
        <x:v>97</x:v>
      </x:c>
      <x:c r="G2596">
        <x:v>42128</x:v>
      </x:c>
      <x:c r="H2596" t="s">
        <x:v>11757</x:v>
      </x:c>
      <x:c r="I2596" t="s">
        <x:v>11758</x:v>
      </x:c>
      <x:c r="J2596" t="s">
        <x:v>11759</x:v>
      </x:c>
    </x:row>
    <x:row r="2597">
      <x:c r="A2597" t="s">
        <x:v>11760</x:v>
      </x:c>
      <x:c r="B2597" t="s">
        <x:v>11760</x:v>
      </x:c>
      <x:c r="C2597" t="s">
        <x:v>8556</x:v>
      </x:c>
      <x:c r="D2597">
        <x:v>9</x:v>
      </x:c>
      <x:c r="E2597" t="s">
        <x:v>103</x:v>
      </x:c>
      <x:c r="F2597" t="s">
        <x:v>97</x:v>
      </x:c>
      <x:c r="G2597">
        <x:v>41445</x:v>
      </x:c>
      <x:c r="H2597" t="s">
        <x:v>11761</x:v>
      </x:c>
      <x:c r="I2597" t="s">
        <x:v>11762</x:v>
      </x:c>
      <x:c r="J2597" t="s">
        <x:v>11763</x:v>
      </x:c>
    </x:row>
    <x:row r="2598">
      <x:c r="A2598" t="s">
        <x:v>11764</x:v>
      </x:c>
      <x:c r="B2598" t="s">
        <x:v>11764</x:v>
      </x:c>
      <x:c r="C2598" t="s">
        <x:v>1135</x:v>
      </x:c>
      <x:c r="D2598">
        <x:v>1</x:v>
      </x:c>
      <x:c r="E2598" t="s">
        <x:v>114</x:v>
      </x:c>
      <x:c r="F2598" t="s">
        <x:v>90</x:v>
      </x:c>
      <x:c r="G2598">
        <x:v>44197</x:v>
      </x:c>
      <x:c r="H2598" t="s">
        <x:v>11765</x:v>
      </x:c>
      <x:c r="I2598" t="s">
        <x:v>11766</x:v>
      </x:c>
      <x:c r="J2598" t="s">
        <x:v>11767</x:v>
      </x:c>
    </x:row>
    <x:row r="2599">
      <x:c r="A2599" t="s">
        <x:v>11768</x:v>
      </x:c>
      <x:c r="B2599" t="s">
        <x:v>11768</x:v>
      </x:c>
      <x:c r="C2599" t="s">
        <x:v>11769</x:v>
      </x:c>
      <x:c r="D2599">
        <x:v>4</x:v>
      </x:c>
      <x:c r="E2599" t="s">
        <x:v>103</x:v>
      </x:c>
      <x:c r="F2599" t="s">
        <x:v>97</x:v>
      </x:c>
      <x:c r="G2599">
        <x:v>44021</x:v>
      </x:c>
      <x:c r="H2599" t="s">
        <x:v>11770</x:v>
      </x:c>
      <x:c r="I2599" t="s">
        <x:v>11771</x:v>
      </x:c>
      <x:c r="J2599" t="s">
        <x:v>11772</x:v>
      </x:c>
    </x:row>
    <x:row r="2600">
      <x:c r="A2600" t="s">
        <x:v>11773</x:v>
      </x:c>
      <x:c r="B2600" t="s">
        <x:v>11773</x:v>
      </x:c>
      <x:c r="C2600" t="s">
        <x:v>11774</x:v>
      </x:c>
      <x:c r="D2600">
        <x:v>11</x:v>
      </x:c>
      <x:c r="E2600" t="s">
        <x:v>89</x:v>
      </x:c>
      <x:c r="F2600" t="s">
        <x:v>90</x:v>
      </x:c>
      <x:c r="G2600">
        <x:v>44595</x:v>
      </x:c>
      <x:c r="H2600" t="s">
        <x:v>11775</x:v>
      </x:c>
      <x:c r="I2600" t="s">
        <x:v>11776</x:v>
      </x:c>
      <x:c r="J2600" t="s">
        <x:v>11777</x:v>
      </x:c>
    </x:row>
    <x:row r="2601">
      <x:c r="A2601" t="s">
        <x:v>11778</x:v>
      </x:c>
      <x:c r="B2601" t="s">
        <x:v>11778</x:v>
      </x:c>
      <x:c r="C2601" t="s">
        <x:v>11779</x:v>
      </x:c>
      <x:c r="D2601">
        <x:v>31</x:v>
      </x:c>
      <x:c r="E2601" t="s">
        <x:v>103</x:v>
      </x:c>
      <x:c r="F2601" t="s">
        <x:v>97</x:v>
      </x:c>
      <x:c r="G2601">
        <x:v>45370</x:v>
      </x:c>
      <x:c r="H2601" t="s">
        <x:v>11780</x:v>
      </x:c>
      <x:c r="I2601" t="s">
        <x:v>11781</x:v>
      </x:c>
      <x:c r="J2601" t="s">
        <x:v>11782</x:v>
      </x:c>
    </x:row>
    <x:row r="2602">
      <x:c r="A2602" t="s">
        <x:v>11783</x:v>
      </x:c>
      <x:c r="B2602" t="s">
        <x:v>11783</x:v>
      </x:c>
      <x:c r="C2602" t="s">
        <x:v>3012</x:v>
      </x:c>
      <x:c r="D2602">
        <x:v>12</x:v>
      </x:c>
      <x:c r="E2602" t="s">
        <x:v>89</x:v>
      </x:c>
      <x:c r="F2602" t="s">
        <x:v>90</x:v>
      </x:c>
      <x:c r="G2602">
        <x:v>45680</x:v>
      </x:c>
      <x:c r="H2602" t="s">
        <x:v>11784</x:v>
      </x:c>
      <x:c r="I2602" t="s">
        <x:v>11785</x:v>
      </x:c>
      <x:c r="J2602" t="s">
        <x:v>11786</x:v>
      </x:c>
    </x:row>
    <x:row r="2603">
      <x:c r="A2603" t="s">
        <x:v>11787</x:v>
      </x:c>
      <x:c r="B2603" t="s">
        <x:v>11787</x:v>
      </x:c>
      <x:c r="C2603" t="s">
        <x:v>680</x:v>
      </x:c>
      <x:c r="D2603">
        <x:v>34</x:v>
      </x:c>
      <x:c r="E2603" t="s">
        <x:v>114</x:v>
      </x:c>
      <x:c r="F2603" t="s">
        <x:v>90</x:v>
      </x:c>
      <x:c r="G2603">
        <x:v>45665</x:v>
      </x:c>
      <x:c r="H2603" t="s">
        <x:v>11788</x:v>
      </x:c>
      <x:c r="I2603" t="s">
        <x:v>11789</x:v>
      </x:c>
      <x:c r="J2603" t="s">
        <x:v>11790</x:v>
      </x:c>
    </x:row>
    <x:row r="2604">
      <x:c r="A2604" t="s">
        <x:v>11791</x:v>
      </x:c>
      <x:c r="B2604" t="s">
        <x:v>11791</x:v>
      </x:c>
      <x:c r="C2604" t="s">
        <x:v>11792</x:v>
      </x:c>
      <x:c r="D2604">
        <x:v>4</x:v>
      </x:c>
      <x:c r="E2604" t="s">
        <x:v>103</x:v>
      </x:c>
      <x:c r="F2604" t="s">
        <x:v>97</x:v>
      </x:c>
      <x:c r="G2604">
        <x:v>42211</x:v>
      </x:c>
      <x:c r="H2604" t="s">
        <x:v>11793</x:v>
      </x:c>
      <x:c r="I2604" t="s">
        <x:v>11794</x:v>
      </x:c>
      <x:c r="J2604" t="s">
        <x:v>11795</x:v>
      </x:c>
    </x:row>
    <x:row r="2605">
      <x:c r="A2605" t="s">
        <x:v>11796</x:v>
      </x:c>
      <x:c r="B2605" t="s">
        <x:v>11796</x:v>
      </x:c>
      <x:c r="C2605" t="s">
        <x:v>10015</x:v>
      </x:c>
      <x:c r="D2605">
        <x:v>25</x:v>
      </x:c>
      <x:c r="E2605" t="s">
        <x:v>114</x:v>
      </x:c>
      <x:c r="F2605" t="s">
        <x:v>90</x:v>
      </x:c>
      <x:c r="G2605">
        <x:v>43449</x:v>
      </x:c>
      <x:c r="H2605" t="s">
        <x:v>11797</x:v>
      </x:c>
      <x:c r="I2605" t="s">
        <x:v>11798</x:v>
      </x:c>
      <x:c r="J2605" t="s">
        <x:v>11799</x:v>
      </x:c>
    </x:row>
    <x:row r="2606">
      <x:c r="A2606" t="s">
        <x:v>11800</x:v>
      </x:c>
      <x:c r="B2606" t="s">
        <x:v>11800</x:v>
      </x:c>
      <x:c r="C2606" t="s">
        <x:v>10015</x:v>
      </x:c>
      <x:c r="D2606">
        <x:v>20</x:v>
      </x:c>
      <x:c r="E2606" t="s">
        <x:v>114</x:v>
      </x:c>
      <x:c r="F2606" t="s">
        <x:v>90</x:v>
      </x:c>
      <x:c r="G2606">
        <x:v>43962</x:v>
      </x:c>
      <x:c r="H2606" t="s">
        <x:v>11801</x:v>
      </x:c>
      <x:c r="I2606" t="s">
        <x:v>11802</x:v>
      </x:c>
      <x:c r="J2606" t="s">
        <x:v>11803</x:v>
      </x:c>
    </x:row>
    <x:row r="2607">
      <x:c r="A2607" t="s">
        <x:v>11804</x:v>
      </x:c>
      <x:c r="B2607" t="s">
        <x:v>11804</x:v>
      </x:c>
      <x:c r="C2607" t="s">
        <x:v>10231</x:v>
      </x:c>
      <x:c r="D2607">
        <x:v>2</x:v>
      </x:c>
      <x:c r="E2607" t="s">
        <x:v>103</x:v>
      </x:c>
      <x:c r="F2607" t="s">
        <x:v>97</x:v>
      </x:c>
      <x:c r="G2607">
        <x:v>42108</x:v>
      </x:c>
      <x:c r="H2607" t="s">
        <x:v>11805</x:v>
      </x:c>
      <x:c r="I2607" t="s">
        <x:v>11806</x:v>
      </x:c>
      <x:c r="J2607" t="s">
        <x:v>11807</x:v>
      </x:c>
    </x:row>
    <x:row r="2608">
      <x:c r="A2608" t="s">
        <x:v>11808</x:v>
      </x:c>
      <x:c r="B2608" t="s">
        <x:v>11808</x:v>
      </x:c>
      <x:c r="C2608" t="s">
        <x:v>2004</x:v>
      </x:c>
      <x:c r="D2608">
        <x:v>11</x:v>
      </x:c>
      <x:c r="E2608" t="s">
        <x:v>114</x:v>
      </x:c>
      <x:c r="F2608" t="s">
        <x:v>90</x:v>
      </x:c>
      <x:c r="G2608">
        <x:v>44063</x:v>
      </x:c>
      <x:c r="H2608" t="s">
        <x:v>11809</x:v>
      </x:c>
      <x:c r="I2608" t="s">
        <x:v>11810</x:v>
      </x:c>
      <x:c r="J2608" t="s">
        <x:v>11811</x:v>
      </x:c>
    </x:row>
    <x:row r="2609">
      <x:c r="A2609" t="s">
        <x:v>11812</x:v>
      </x:c>
      <x:c r="B2609" t="s">
        <x:v>11812</x:v>
      </x:c>
      <x:c r="C2609" t="s">
        <x:v>1558</x:v>
      </x:c>
      <x:c r="D2609">
        <x:v>38</x:v>
      </x:c>
      <x:c r="E2609" t="s">
        <x:v>96</x:v>
      </x:c>
      <x:c r="F2609" t="s">
        <x:v>97</x:v>
      </x:c>
      <x:c r="G2609">
        <x:v>43723</x:v>
      </x:c>
      <x:c r="H2609" t="s">
        <x:v>11813</x:v>
      </x:c>
      <x:c r="I2609" t="s">
        <x:v>11814</x:v>
      </x:c>
      <x:c r="J2609" t="s">
        <x:v>11815</x:v>
      </x:c>
    </x:row>
    <x:row r="2610">
      <x:c r="A2610" t="s">
        <x:v>11816</x:v>
      </x:c>
      <x:c r="B2610" t="s">
        <x:v>11816</x:v>
      </x:c>
      <x:c r="C2610" t="s">
        <x:v>3110</x:v>
      </x:c>
      <x:c r="D2610">
        <x:v>63</x:v>
      </x:c>
      <x:c r="E2610" t="s">
        <x:v>89</x:v>
      </x:c>
      <x:c r="F2610" t="s">
        <x:v>152</x:v>
      </x:c>
      <x:c r="G2610">
        <x:v>46026</x:v>
      </x:c>
      <x:c r="H2610" t="s">
        <x:v>11817</x:v>
      </x:c>
      <x:c r="I2610" t="s">
        <x:v>11818</x:v>
      </x:c>
      <x:c r="J2610" t="s">
        <x:v>11819</x:v>
      </x:c>
    </x:row>
    <x:row r="2611">
      <x:c r="A2611" t="s">
        <x:v>11820</x:v>
      </x:c>
      <x:c r="B2611" t="s">
        <x:v>11820</x:v>
      </x:c>
      <x:c r="C2611" t="s">
        <x:v>11821</x:v>
      </x:c>
      <x:c r="D2611">
        <x:v>11</x:v>
      </x:c>
      <x:c r="E2611" t="s">
        <x:v>125</x:v>
      </x:c>
      <x:c r="F2611" t="s">
        <x:v>90</x:v>
      </x:c>
      <x:c r="G2611">
        <x:v>45867</x:v>
      </x:c>
      <x:c r="H2611" t="s">
        <x:v>11822</x:v>
      </x:c>
      <x:c r="I2611" t="s">
        <x:v>11823</x:v>
      </x:c>
      <x:c r="J2611" t="s">
        <x:v>11824</x:v>
      </x:c>
    </x:row>
    <x:row r="2612">
      <x:c r="A2612" t="s">
        <x:v>11825</x:v>
      </x:c>
      <x:c r="B2612" t="s">
        <x:v>11825</x:v>
      </x:c>
      <x:c r="C2612" t="s">
        <x:v>11826</x:v>
      </x:c>
      <x:c r="D2612">
        <x:v>8</x:v>
      </x:c>
      <x:c r="E2612" t="s">
        <x:v>257</x:v>
      </x:c>
      <x:c r="F2612" t="s">
        <x:v>97</x:v>
      </x:c>
      <x:c r="G2612">
        <x:v>43721</x:v>
      </x:c>
      <x:c r="H2612" t="s">
        <x:v>11827</x:v>
      </x:c>
      <x:c r="I2612" t="s">
        <x:v>11828</x:v>
      </x:c>
      <x:c r="J2612" t="s">
        <x:v>11829</x:v>
      </x:c>
    </x:row>
    <x:row r="2613">
      <x:c r="A2613" t="s">
        <x:v>11830</x:v>
      </x:c>
      <x:c r="B2613" t="s">
        <x:v>11830</x:v>
      </x:c>
      <x:c r="C2613" t="s">
        <x:v>167</x:v>
      </x:c>
      <x:c r="D2613">
        <x:v>2</x:v>
      </x:c>
      <x:c r="E2613" t="s">
        <x:v>103</x:v>
      </x:c>
      <x:c r="F2613" t="s">
        <x:v>97</x:v>
      </x:c>
      <x:c r="G2613">
        <x:v>42744</x:v>
      </x:c>
      <x:c r="H2613" t="s">
        <x:v>11831</x:v>
      </x:c>
      <x:c r="I2613" t="s">
        <x:v>11832</x:v>
      </x:c>
      <x:c r="J2613" t="s">
        <x:v>11833</x:v>
      </x:c>
    </x:row>
    <x:row r="2614">
      <x:c r="A2614" t="s">
        <x:v>11834</x:v>
      </x:c>
      <x:c r="B2614" t="s">
        <x:v>11834</x:v>
      </x:c>
      <x:c r="C2614" t="s">
        <x:v>1344</x:v>
      </x:c>
      <x:c r="D2614">
        <x:v>39</x:v>
      </x:c>
      <x:c r="E2614" t="s">
        <x:v>114</x:v>
      </x:c>
      <x:c r="F2614" t="s">
        <x:v>152</x:v>
      </x:c>
      <x:c r="G2614">
        <x:v>44571</x:v>
      </x:c>
      <x:c r="H2614" t="s">
        <x:v>11835</x:v>
      </x:c>
      <x:c r="I2614" t="s">
        <x:v>11836</x:v>
      </x:c>
      <x:c r="J2614" t="s">
        <x:v>11837</x:v>
      </x:c>
    </x:row>
    <x:row r="2615">
      <x:c r="A2615" t="s">
        <x:v>11838</x:v>
      </x:c>
      <x:c r="B2615" t="s">
        <x:v>11838</x:v>
      </x:c>
      <x:c r="C2615" t="s">
        <x:v>1344</x:v>
      </x:c>
      <x:c r="D2615">
        <x:v>27</x:v>
      </x:c>
      <x:c r="E2615" t="s">
        <x:v>96</x:v>
      </x:c>
      <x:c r="F2615" t="s">
        <x:v>97</x:v>
      </x:c>
      <x:c r="G2615">
        <x:v>44888</x:v>
      </x:c>
      <x:c r="H2615" t="s">
        <x:v>11839</x:v>
      </x:c>
      <x:c r="I2615" t="s">
        <x:v>11840</x:v>
      </x:c>
      <x:c r="J2615" t="s">
        <x:v>11841</x:v>
      </x:c>
    </x:row>
    <x:row r="2616">
      <x:c r="A2616" t="s">
        <x:v>11842</x:v>
      </x:c>
      <x:c r="B2616" t="s">
        <x:v>11842</x:v>
      </x:c>
      <x:c r="C2616" t="s">
        <x:v>1344</x:v>
      </x:c>
      <x:c r="D2616">
        <x:v>25</x:v>
      </x:c>
      <x:c r="E2616" t="s">
        <x:v>96</x:v>
      </x:c>
      <x:c r="F2616" t="s">
        <x:v>97</x:v>
      </x:c>
      <x:c r="G2616">
        <x:v>45189</x:v>
      </x:c>
      <x:c r="H2616" t="s">
        <x:v>11843</x:v>
      </x:c>
      <x:c r="I2616" t="s">
        <x:v>11844</x:v>
      </x:c>
      <x:c r="J2616" t="s">
        <x:v>11845</x:v>
      </x:c>
    </x:row>
    <x:row r="2617">
      <x:c r="A2617" t="s">
        <x:v>11846</x:v>
      </x:c>
      <x:c r="B2617" t="s">
        <x:v>11846</x:v>
      </x:c>
      <x:c r="C2617" t="s">
        <x:v>1344</x:v>
      </x:c>
      <x:c r="D2617">
        <x:v>37</x:v>
      </x:c>
      <x:c r="E2617" t="s">
        <x:v>89</x:v>
      </x:c>
      <x:c r="F2617" t="s">
        <x:v>97</x:v>
      </x:c>
      <x:c r="G2617">
        <x:v>45443</x:v>
      </x:c>
      <x:c r="H2617" t="s">
        <x:v>11847</x:v>
      </x:c>
      <x:c r="I2617" t="s">
        <x:v>11848</x:v>
      </x:c>
      <x:c r="J2617" t="s">
        <x:v>11849</x:v>
      </x:c>
    </x:row>
    <x:row r="2618">
      <x:c r="A2618" t="s">
        <x:v>11850</x:v>
      </x:c>
      <x:c r="B2618" t="s">
        <x:v>11850</x:v>
      </x:c>
      <x:c r="C2618" t="s">
        <x:v>11851</x:v>
      </x:c>
      <x:c r="D2618">
        <x:v>1</x:v>
      </x:c>
      <x:c r="E2618" t="s">
        <x:v>198</x:v>
      </x:c>
      <x:c r="F2618" t="s">
        <x:v>90</x:v>
      </x:c>
      <x:c r="G2618">
        <x:v>44789</x:v>
      </x:c>
      <x:c r="H2618" t="s">
        <x:v>11852</x:v>
      </x:c>
      <x:c r="I2618" t="s">
        <x:v>11853</x:v>
      </x:c>
      <x:c r="J2618" t="s">
        <x:v>11854</x:v>
      </x:c>
    </x:row>
    <x:row r="2619">
      <x:c r="A2619" t="s">
        <x:v>11855</x:v>
      </x:c>
      <x:c r="B2619" t="s">
        <x:v>11855</x:v>
      </x:c>
      <x:c r="C2619" t="s">
        <x:v>394</x:v>
      </x:c>
      <x:c r="D2619">
        <x:v>11</x:v>
      </x:c>
      <x:c r="E2619" t="s">
        <x:v>198</x:v>
      </x:c>
      <x:c r="F2619" t="s">
        <x:v>90</x:v>
      </x:c>
      <x:c r="G2619">
        <x:v>44172</x:v>
      </x:c>
      <x:c r="H2619" t="s">
        <x:v>11856</x:v>
      </x:c>
      <x:c r="I2619" t="s">
        <x:v>11857</x:v>
      </x:c>
      <x:c r="J2619" t="s">
        <x:v>11858</x:v>
      </x:c>
    </x:row>
    <x:row r="2620">
      <x:c r="A2620" t="s">
        <x:v>11859</x:v>
      </x:c>
      <x:c r="B2620" t="s">
        <x:v>11859</x:v>
      </x:c>
      <x:c r="C2620" t="s">
        <x:v>394</x:v>
      </x:c>
      <x:c r="D2620">
        <x:v>10</x:v>
      </x:c>
      <x:c r="E2620" t="s">
        <x:v>198</x:v>
      </x:c>
      <x:c r="F2620" t="s">
        <x:v>90</x:v>
      </x:c>
      <x:c r="G2620">
        <x:v>44369</x:v>
      </x:c>
      <x:c r="H2620" t="s">
        <x:v>11860</x:v>
      </x:c>
      <x:c r="I2620" t="s">
        <x:v>11861</x:v>
      </x:c>
      <x:c r="J2620" t="s">
        <x:v>11862</x:v>
      </x:c>
    </x:row>
    <x:row r="2621">
      <x:c r="A2621" t="s">
        <x:v>11863</x:v>
      </x:c>
      <x:c r="B2621" t="s">
        <x:v>11863</x:v>
      </x:c>
      <x:c r="C2621" t="s">
        <x:v>394</x:v>
      </x:c>
      <x:c r="D2621">
        <x:v>9</x:v>
      </x:c>
      <x:c r="E2621" t="s">
        <x:v>198</x:v>
      </x:c>
      <x:c r="F2621" t="s">
        <x:v>90</x:v>
      </x:c>
      <x:c r="G2621">
        <x:v>44833</x:v>
      </x:c>
      <x:c r="H2621" t="s">
        <x:v>11864</x:v>
      </x:c>
      <x:c r="I2621" t="s">
        <x:v>11865</x:v>
      </x:c>
      <x:c r="J2621" t="s">
        <x:v>11866</x:v>
      </x:c>
    </x:row>
    <x:row r="2622">
      <x:c r="A2622" t="s">
        <x:v>11867</x:v>
      </x:c>
      <x:c r="B2622" t="s">
        <x:v>11867</x:v>
      </x:c>
      <x:c r="C2622" t="s">
        <x:v>3716</x:v>
      </x:c>
      <x:c r="D2622">
        <x:v>31</x:v>
      </x:c>
      <x:c r="E2622" t="s">
        <x:v>198</x:v>
      </x:c>
      <x:c r="F2622" t="s">
        <x:v>97</x:v>
      </x:c>
      <x:c r="G2622">
        <x:v>44167</x:v>
      </x:c>
      <x:c r="H2622" t="s">
        <x:v>11868</x:v>
      </x:c>
      <x:c r="I2622" t="s">
        <x:v>11869</x:v>
      </x:c>
      <x:c r="J2622" t="s">
        <x:v>11870</x:v>
      </x:c>
    </x:row>
    <x:row r="2623">
      <x:c r="A2623" t="s">
        <x:v>11871</x:v>
      </x:c>
      <x:c r="B2623" t="s">
        <x:v>11871</x:v>
      </x:c>
      <x:c r="C2623" t="s">
        <x:v>1768</x:v>
      </x:c>
      <x:c r="D2623">
        <x:v>6</x:v>
      </x:c>
      <x:c r="E2623" t="s">
        <x:v>114</x:v>
      </x:c>
      <x:c r="F2623" t="s">
        <x:v>90</x:v>
      </x:c>
      <x:c r="G2623">
        <x:v>44161</x:v>
      </x:c>
      <x:c r="H2623" t="s">
        <x:v>11872</x:v>
      </x:c>
      <x:c r="I2623" t="s">
        <x:v>11873</x:v>
      </x:c>
      <x:c r="J2623" t="s">
        <x:v>11874</x:v>
      </x:c>
    </x:row>
    <x:row r="2624">
      <x:c r="A2624" t="s">
        <x:v>11875</x:v>
      </x:c>
      <x:c r="B2624" t="s">
        <x:v>11875</x:v>
      </x:c>
      <x:c r="C2624" t="s">
        <x:v>11876</x:v>
      </x:c>
      <x:c r="D2624">
        <x:v>12</x:v>
      </x:c>
      <x:c r="E2624" t="s">
        <x:v>96</x:v>
      </x:c>
      <x:c r="F2624" t="s">
        <x:v>97</x:v>
      </x:c>
      <x:c r="G2624">
        <x:v>43944</x:v>
      </x:c>
      <x:c r="H2624" t="s">
        <x:v>11877</x:v>
      </x:c>
      <x:c r="I2624" t="s">
        <x:v>11878</x:v>
      </x:c>
      <x:c r="J2624" t="s">
        <x:v>11879</x:v>
      </x:c>
    </x:row>
    <x:row r="2625">
      <x:c r="A2625" t="s">
        <x:v>11880</x:v>
      </x:c>
      <x:c r="B2625" t="s">
        <x:v>11880</x:v>
      </x:c>
      <x:c r="C2625" t="s">
        <x:v>11190</x:v>
      </x:c>
      <x:c r="D2625">
        <x:v>1</x:v>
      </x:c>
      <x:c r="E2625" t="s">
        <x:v>114</x:v>
      </x:c>
      <x:c r="F2625" t="s">
        <x:v>126</x:v>
      </x:c>
      <x:c r="G2625">
        <x:v>43228</x:v>
      </x:c>
      <x:c r="H2625" t="s">
        <x:v>11881</x:v>
      </x:c>
      <x:c r="I2625" t="s">
        <x:v>11882</x:v>
      </x:c>
      <x:c r="J2625" t="s">
        <x:v>11883</x:v>
      </x:c>
    </x:row>
    <x:row r="2626">
      <x:c r="A2626" t="s">
        <x:v>11884</x:v>
      </x:c>
      <x:c r="B2626" t="s">
        <x:v>11884</x:v>
      </x:c>
      <x:c r="C2626" t="s">
        <x:v>8268</x:v>
      </x:c>
      <x:c r="D2626">
        <x:v>2</x:v>
      </x:c>
      <x:c r="E2626" t="s">
        <x:v>89</x:v>
      </x:c>
      <x:c r="F2626" t="s">
        <x:v>90</x:v>
      </x:c>
      <x:c r="G2626">
        <x:v>44593</x:v>
      </x:c>
      <x:c r="H2626" t="s">
        <x:v>11885</x:v>
      </x:c>
      <x:c r="I2626" t="s">
        <x:v>11886</x:v>
      </x:c>
      <x:c r="J2626" t="s">
        <x:v>11887</x:v>
      </x:c>
    </x:row>
    <x:row r="2627">
      <x:c r="A2627" t="s">
        <x:v>11888</x:v>
      </x:c>
      <x:c r="B2627" t="s">
        <x:v>11888</x:v>
      </x:c>
      <x:c r="C2627" t="s">
        <x:v>680</x:v>
      </x:c>
      <x:c r="D2627">
        <x:v>10</x:v>
      </x:c>
      <x:c r="E2627" t="s">
        <x:v>125</x:v>
      </x:c>
      <x:c r="F2627" t="s">
        <x:v>90</x:v>
      </x:c>
      <x:c r="G2627">
        <x:v>44893</x:v>
      </x:c>
      <x:c r="H2627" t="s">
        <x:v>11889</x:v>
      </x:c>
      <x:c r="I2627" t="s">
        <x:v>11890</x:v>
      </x:c>
      <x:c r="J2627" t="s">
        <x:v>11891</x:v>
      </x:c>
    </x:row>
    <x:row r="2628">
      <x:c r="A2628" t="s">
        <x:v>11892</x:v>
      </x:c>
      <x:c r="B2628" t="s">
        <x:v>11892</x:v>
      </x:c>
      <x:c r="C2628" t="s">
        <x:v>2524</x:v>
      </x:c>
      <x:c r="D2628">
        <x:v>15</x:v>
      </x:c>
      <x:c r="E2628" t="s">
        <x:v>89</x:v>
      </x:c>
      <x:c r="F2628" t="s">
        <x:v>90</x:v>
      </x:c>
      <x:c r="G2628">
        <x:v>44882</x:v>
      </x:c>
      <x:c r="H2628" t="s">
        <x:v>11893</x:v>
      </x:c>
      <x:c r="I2628" t="s">
        <x:v>11894</x:v>
      </x:c>
      <x:c r="J2628" t="s">
        <x:v>11895</x:v>
      </x:c>
    </x:row>
    <x:row r="2629">
      <x:c r="A2629" t="s">
        <x:v>11896</x:v>
      </x:c>
      <x:c r="B2629" t="s">
        <x:v>11896</x:v>
      </x:c>
      <x:c r="C2629" t="s">
        <x:v>361</x:v>
      </x:c>
      <x:c r="D2629">
        <x:v>6</x:v>
      </x:c>
      <x:c r="E2629" t="s">
        <x:v>198</x:v>
      </x:c>
      <x:c r="F2629" t="s">
        <x:v>90</x:v>
      </x:c>
      <x:c r="G2629">
        <x:v>41780</x:v>
      </x:c>
      <x:c r="H2629" t="s">
        <x:v>11897</x:v>
      </x:c>
      <x:c r="I2629" t="s">
        <x:v>11898</x:v>
      </x:c>
      <x:c r="J2629" t="s">
        <x:v>11899</x:v>
      </x:c>
    </x:row>
    <x:row r="2630">
      <x:c r="A2630" t="s">
        <x:v>11900</x:v>
      </x:c>
      <x:c r="B2630" t="s">
        <x:v>11900</x:v>
      </x:c>
      <x:c r="C2630" t="s">
        <x:v>11901</x:v>
      </x:c>
      <x:c r="D2630">
        <x:v>8</x:v>
      </x:c>
      <x:c r="E2630" t="s">
        <x:v>198</x:v>
      </x:c>
      <x:c r="F2630" t="s">
        <x:v>90</x:v>
      </x:c>
      <x:c r="G2630">
        <x:v>43964</x:v>
      </x:c>
      <x:c r="H2630" t="s">
        <x:v>11902</x:v>
      </x:c>
      <x:c r="I2630" t="s">
        <x:v>11903</x:v>
      </x:c>
      <x:c r="J2630" t="s">
        <x:v>11904</x:v>
      </x:c>
    </x:row>
    <x:row r="2631">
      <x:c r="A2631" t="s">
        <x:v>11905</x:v>
      </x:c>
      <x:c r="B2631" t="s">
        <x:v>11905</x:v>
      </x:c>
      <x:c r="C2631" t="s">
        <x:v>11906</x:v>
      </x:c>
      <x:c r="D2631">
        <x:v>5</x:v>
      </x:c>
      <x:c r="E2631" t="s">
        <x:v>89</x:v>
      </x:c>
      <x:c r="F2631" t="s">
        <x:v>90</x:v>
      </x:c>
      <x:c r="G2631">
        <x:v>42093</x:v>
      </x:c>
      <x:c r="H2631" t="s">
        <x:v>11907</x:v>
      </x:c>
      <x:c r="I2631" t="s">
        <x:v>11908</x:v>
      </x:c>
      <x:c r="J2631" t="s">
        <x:v>11909</x:v>
      </x:c>
    </x:row>
    <x:row r="2632">
      <x:c r="A2632" t="s">
        <x:v>11910</x:v>
      </x:c>
      <x:c r="B2632" t="s">
        <x:v>11910</x:v>
      </x:c>
      <x:c r="C2632" t="s">
        <x:v>756</x:v>
      </x:c>
      <x:c r="D2632">
        <x:v>8</x:v>
      </x:c>
      <x:c r="E2632" t="s">
        <x:v>198</x:v>
      </x:c>
      <x:c r="F2632" t="s">
        <x:v>90</x:v>
      </x:c>
      <x:c r="G2632">
        <x:v>45404</x:v>
      </x:c>
      <x:c r="H2632" t="s">
        <x:v>11911</x:v>
      </x:c>
      <x:c r="I2632" t="s">
        <x:v>11912</x:v>
      </x:c>
      <x:c r="J2632" t="s">
        <x:v>11913</x:v>
      </x:c>
    </x:row>
    <x:row r="2633">
      <x:c r="A2633" t="s">
        <x:v>11914</x:v>
      </x:c>
      <x:c r="B2633" t="s">
        <x:v>11914</x:v>
      </x:c>
      <x:c r="C2633" t="s">
        <x:v>8096</x:v>
      </x:c>
      <x:c r="D2633">
        <x:v>8</x:v>
      </x:c>
      <x:c r="E2633" t="s">
        <x:v>198</x:v>
      </x:c>
      <x:c r="F2633" t="s">
        <x:v>90</x:v>
      </x:c>
      <x:c r="G2633">
        <x:v>45254</x:v>
      </x:c>
      <x:c r="H2633" t="s">
        <x:v>11915</x:v>
      </x:c>
      <x:c r="I2633" t="s">
        <x:v>11916</x:v>
      </x:c>
      <x:c r="J2633" t="s">
        <x:v>11917</x:v>
      </x:c>
    </x:row>
    <x:row r="2634">
      <x:c r="A2634" t="s">
        <x:v>11918</x:v>
      </x:c>
      <x:c r="B2634" t="s">
        <x:v>11918</x:v>
      </x:c>
      <x:c r="C2634" t="s">
        <x:v>2624</x:v>
      </x:c>
      <x:c r="D2634">
        <x:v>11</x:v>
      </x:c>
      <x:c r="E2634" t="s">
        <x:v>114</x:v>
      </x:c>
      <x:c r="F2634" t="s">
        <x:v>90</x:v>
      </x:c>
      <x:c r="G2634">
        <x:v>46080</x:v>
      </x:c>
      <x:c r="H2634" t="s">
        <x:v>11919</x:v>
      </x:c>
      <x:c r="I2634" t="s">
        <x:v>11920</x:v>
      </x:c>
      <x:c r="J2634" t="s">
        <x:v>11921</x:v>
      </x:c>
    </x:row>
    <x:row r="2635">
      <x:c r="A2635" t="s">
        <x:v>11922</x:v>
      </x:c>
      <x:c r="B2635" t="s">
        <x:v>11922</x:v>
      </x:c>
      <x:c r="C2635" t="s">
        <x:v>10832</x:v>
      </x:c>
      <x:c r="D2635">
        <x:v>39</x:v>
      </x:c>
      <x:c r="E2635" t="s">
        <x:v>96</x:v>
      </x:c>
      <x:c r="F2635" t="s">
        <x:v>97</x:v>
      </x:c>
      <x:c r="G2635">
        <x:v>45042</x:v>
      </x:c>
      <x:c r="H2635" t="s">
        <x:v>11923</x:v>
      </x:c>
      <x:c r="I2635" t="s">
        <x:v>11924</x:v>
      </x:c>
      <x:c r="J2635" t="s">
        <x:v>11925</x:v>
      </x:c>
    </x:row>
    <x:row r="2636">
      <x:c r="A2636" t="s">
        <x:v>11926</x:v>
      </x:c>
      <x:c r="B2636" t="s">
        <x:v>11926</x:v>
      </x:c>
      <x:c r="C2636" t="s">
        <x:v>1157</x:v>
      </x:c>
      <x:c r="D2636">
        <x:v>7</x:v>
      </x:c>
      <x:c r="E2636" t="s">
        <x:v>257</x:v>
      </x:c>
      <x:c r="F2636" t="s">
        <x:v>97</x:v>
      </x:c>
      <x:c r="G2636">
        <x:v>41445</x:v>
      </x:c>
      <x:c r="H2636" t="s">
        <x:v>11927</x:v>
      </x:c>
      <x:c r="I2636" t="s">
        <x:v>11928</x:v>
      </x:c>
      <x:c r="J2636" t="s">
        <x:v>11929</x:v>
      </x:c>
    </x:row>
    <x:row r="2637">
      <x:c r="A2637" t="s">
        <x:v>11930</x:v>
      </x:c>
      <x:c r="B2637" t="s">
        <x:v>11930</x:v>
      </x:c>
      <x:c r="C2637" t="s">
        <x:v>4665</x:v>
      </x:c>
      <x:c r="D2637">
        <x:v>74</x:v>
      </x:c>
      <x:c r="E2637" t="s">
        <x:v>96</x:v>
      </x:c>
      <x:c r="F2637" t="s">
        <x:v>97</x:v>
      </x:c>
      <x:c r="G2637">
        <x:v>45753</x:v>
      </x:c>
      <x:c r="H2637" t="s">
        <x:v>11931</x:v>
      </x:c>
      <x:c r="I2637" t="s">
        <x:v>11932</x:v>
      </x:c>
      <x:c r="J2637" t="s">
        <x:v>11933</x:v>
      </x:c>
    </x:row>
    <x:row r="2638">
      <x:c r="A2638" t="s">
        <x:v>11934</x:v>
      </x:c>
      <x:c r="B2638" t="s">
        <x:v>11934</x:v>
      </x:c>
      <x:c r="C2638" t="s">
        <x:v>272</x:v>
      </x:c>
      <x:c r="D2638">
        <x:v>12</x:v>
      </x:c>
      <x:c r="E2638" t="s">
        <x:v>89</x:v>
      </x:c>
      <x:c r="F2638" t="s">
        <x:v>97</x:v>
      </x:c>
      <x:c r="G2638">
        <x:v>46079</x:v>
      </x:c>
      <x:c r="H2638" t="s">
        <x:v>11935</x:v>
      </x:c>
      <x:c r="I2638" t="s">
        <x:v>11936</x:v>
      </x:c>
      <x:c r="J2638" t="s">
        <x:v>11937</x:v>
      </x:c>
    </x:row>
    <x:row r="2639">
      <x:c r="A2639" t="s">
        <x:v>11938</x:v>
      </x:c>
      <x:c r="B2639" t="s">
        <x:v>11938</x:v>
      </x:c>
      <x:c r="C2639" t="s">
        <x:v>5507</x:v>
      </x:c>
      <x:c r="D2639">
        <x:v>27</x:v>
      </x:c>
      <x:c r="E2639" t="s">
        <x:v>198</x:v>
      </x:c>
      <x:c r="F2639" t="s">
        <x:v>90</x:v>
      </x:c>
      <x:c r="G2639">
        <x:v>44151</x:v>
      </x:c>
      <x:c r="H2639" t="s">
        <x:v>11939</x:v>
      </x:c>
      <x:c r="I2639" t="s">
        <x:v>11940</x:v>
      </x:c>
      <x:c r="J2639" t="s">
        <x:v>11941</x:v>
      </x:c>
    </x:row>
    <x:row r="2640">
      <x:c r="A2640" t="s">
        <x:v>11942</x:v>
      </x:c>
      <x:c r="B2640" t="s">
        <x:v>11942</x:v>
      </x:c>
      <x:c r="C2640" t="s">
        <x:v>11943</x:v>
      </x:c>
      <x:c r="D2640">
        <x:v>17</x:v>
      </x:c>
      <x:c r="E2640" t="s">
        <x:v>103</x:v>
      </x:c>
      <x:c r="F2640" t="s">
        <x:v>97</x:v>
      </x:c>
      <x:c r="G2640">
        <x:v>44101</x:v>
      </x:c>
      <x:c r="H2640" t="s">
        <x:v>11944</x:v>
      </x:c>
      <x:c r="I2640" t="s">
        <x:v>11945</x:v>
      </x:c>
      <x:c r="J2640" t="s">
        <x:v>11946</x:v>
      </x:c>
    </x:row>
    <x:row r="2641">
      <x:c r="A2641" t="s">
        <x:v>11947</x:v>
      </x:c>
      <x:c r="B2641" t="s">
        <x:v>11947</x:v>
      </x:c>
      <x:c r="C2641" t="s">
        <x:v>7838</x:v>
      </x:c>
      <x:c r="D2641">
        <x:v>31</x:v>
      </x:c>
      <x:c r="E2641" t="s">
        <x:v>198</x:v>
      </x:c>
      <x:c r="F2641" t="s">
        <x:v>90</x:v>
      </x:c>
      <x:c r="G2641">
        <x:v>44691</x:v>
      </x:c>
      <x:c r="H2641" t="s">
        <x:v>11948</x:v>
      </x:c>
      <x:c r="I2641" t="s">
        <x:v>11949</x:v>
      </x:c>
      <x:c r="J2641" t="s">
        <x:v>11950</x:v>
      </x:c>
    </x:row>
    <x:row r="2642">
      <x:c r="A2642" t="s">
        <x:v>11951</x:v>
      </x:c>
      <x:c r="B2642" t="s">
        <x:v>11951</x:v>
      </x:c>
      <x:c r="C2642" t="s">
        <x:v>3012</x:v>
      </x:c>
      <x:c r="D2642">
        <x:v>23</x:v>
      </x:c>
      <x:c r="E2642" t="s">
        <x:v>103</x:v>
      </x:c>
      <x:c r="F2642" t="s">
        <x:v>97</x:v>
      </x:c>
      <x:c r="G2642">
        <x:v>41811</x:v>
      </x:c>
      <x:c r="H2642" t="s">
        <x:v>11952</x:v>
      </x:c>
      <x:c r="I2642" t="s">
        <x:v>11953</x:v>
      </x:c>
      <x:c r="J2642" t="s">
        <x:v>11954</x:v>
      </x:c>
    </x:row>
    <x:row r="2643">
      <x:c r="A2643" t="s">
        <x:v>11955</x:v>
      </x:c>
      <x:c r="B2643" t="s">
        <x:v>11955</x:v>
      </x:c>
      <x:c r="C2643" t="s">
        <x:v>543</x:v>
      </x:c>
      <x:c r="D2643">
        <x:v>14</x:v>
      </x:c>
      <x:c r="E2643" t="s">
        <x:v>103</x:v>
      </x:c>
      <x:c r="F2643" t="s">
        <x:v>97</x:v>
      </x:c>
      <x:c r="G2643">
        <x:v>43501</x:v>
      </x:c>
      <x:c r="H2643" t="s">
        <x:v>11956</x:v>
      </x:c>
      <x:c r="I2643" t="s">
        <x:v>11957</x:v>
      </x:c>
      <x:c r="J2643" t="s">
        <x:v>11958</x:v>
      </x:c>
    </x:row>
    <x:row r="2644">
      <x:c r="A2644" t="s">
        <x:v>11959</x:v>
      </x:c>
      <x:c r="B2644" t="s">
        <x:v>11959</x:v>
      </x:c>
      <x:c r="C2644" t="s">
        <x:v>3666</x:v>
      </x:c>
      <x:c r="D2644">
        <x:v>9</x:v>
      </x:c>
      <x:c r="E2644" t="s">
        <x:v>114</x:v>
      </x:c>
      <x:c r="F2644" t="s">
        <x:v>90</x:v>
      </x:c>
      <x:c r="G2644">
        <x:v>44453</x:v>
      </x:c>
      <x:c r="H2644" t="s">
        <x:v>11960</x:v>
      </x:c>
      <x:c r="I2644" t="s">
        <x:v>11961</x:v>
      </x:c>
      <x:c r="J2644" t="s">
        <x:v>11962</x:v>
      </x:c>
    </x:row>
    <x:row r="2645">
      <x:c r="A2645" t="s">
        <x:v>11963</x:v>
      </x:c>
      <x:c r="B2645" t="s">
        <x:v>11963</x:v>
      </x:c>
      <x:c r="C2645" t="s">
        <x:v>11964</x:v>
      </x:c>
      <x:c r="D2645">
        <x:v>7</x:v>
      </x:c>
      <x:c r="E2645" t="s">
        <x:v>257</x:v>
      </x:c>
      <x:c r="F2645" t="s">
        <x:v>97</x:v>
      </x:c>
      <x:c r="G2645">
        <x:v>42265</x:v>
      </x:c>
      <x:c r="H2645" t="s">
        <x:v>11965</x:v>
      </x:c>
      <x:c r="I2645" t="s">
        <x:v>11966</x:v>
      </x:c>
      <x:c r="J2645" t="s">
        <x:v>11967</x:v>
      </x:c>
    </x:row>
    <x:row r="2646">
      <x:c r="A2646" t="s">
        <x:v>11968</x:v>
      </x:c>
      <x:c r="B2646" t="s">
        <x:v>11968</x:v>
      </x:c>
      <x:c r="C2646" t="s">
        <x:v>1383</x:v>
      </x:c>
      <x:c r="D2646">
        <x:v>8</x:v>
      </x:c>
      <x:c r="E2646" t="s">
        <x:v>125</x:v>
      </x:c>
      <x:c r="F2646" t="s">
        <x:v>90</x:v>
      </x:c>
      <x:c r="G2646">
        <x:v>45384</x:v>
      </x:c>
      <x:c r="H2646" t="s">
        <x:v>11969</x:v>
      </x:c>
      <x:c r="I2646" t="s">
        <x:v>11970</x:v>
      </x:c>
      <x:c r="J2646" t="s">
        <x:v>11971</x:v>
      </x:c>
    </x:row>
    <x:row r="2647">
      <x:c r="A2647" t="s">
        <x:v>11972</x:v>
      </x:c>
      <x:c r="B2647" t="s">
        <x:v>11972</x:v>
      </x:c>
      <x:c r="C2647" t="s">
        <x:v>1344</x:v>
      </x:c>
      <x:c r="D2647">
        <x:v>72</x:v>
      </x:c>
      <x:c r="E2647" t="s">
        <x:v>114</x:v>
      </x:c>
      <x:c r="F2647" t="s">
        <x:v>152</x:v>
      </x:c>
      <x:c r="G2647">
        <x:v>45724</x:v>
      </x:c>
      <x:c r="H2647" t="s">
        <x:v>11973</x:v>
      </x:c>
      <x:c r="I2647" t="s">
        <x:v>11974</x:v>
      </x:c>
      <x:c r="J2647" t="s">
        <x:v>11975</x:v>
      </x:c>
    </x:row>
    <x:row r="2648">
      <x:c r="A2648" t="s">
        <x:v>11976</x:v>
      </x:c>
      <x:c r="B2648" t="s">
        <x:v>11976</x:v>
      </x:c>
      <x:c r="C2648" t="s">
        <x:v>3891</x:v>
      </x:c>
      <x:c r="D2648">
        <x:v>10</x:v>
      </x:c>
      <x:c r="E2648" t="s">
        <x:v>198</x:v>
      </x:c>
      <x:c r="F2648" t="s">
        <x:v>90</x:v>
      </x:c>
      <x:c r="G2648">
        <x:v>45419</x:v>
      </x:c>
      <x:c r="H2648" t="s">
        <x:v>11977</x:v>
      </x:c>
      <x:c r="I2648" t="s">
        <x:v>11978</x:v>
      </x:c>
      <x:c r="J2648" t="s">
        <x:v>11979</x:v>
      </x:c>
    </x:row>
    <x:row r="2649">
      <x:c r="A2649" t="s">
        <x:v>11980</x:v>
      </x:c>
      <x:c r="B2649" t="s">
        <x:v>11980</x:v>
      </x:c>
      <x:c r="C2649" t="s">
        <x:v>11731</x:v>
      </x:c>
      <x:c r="D2649">
        <x:v>6</x:v>
      </x:c>
      <x:c r="E2649" t="s">
        <x:v>103</x:v>
      </x:c>
      <x:c r="F2649" t="s">
        <x:v>97</x:v>
      </x:c>
      <x:c r="G2649">
        <x:v>43731</x:v>
      </x:c>
      <x:c r="H2649" t="s">
        <x:v>11981</x:v>
      </x:c>
      <x:c r="I2649" t="s">
        <x:v>11982</x:v>
      </x:c>
      <x:c r="J2649" t="s">
        <x:v>11983</x:v>
      </x:c>
    </x:row>
    <x:row r="2650">
      <x:c r="A2650" t="s">
        <x:v>11984</x:v>
      </x:c>
      <x:c r="B2650" t="s">
        <x:v>11984</x:v>
      </x:c>
      <x:c r="C2650" t="s">
        <x:v>2529</x:v>
      </x:c>
      <x:c r="D2650">
        <x:v>13</x:v>
      </x:c>
      <x:c r="E2650" t="s">
        <x:v>114</x:v>
      </x:c>
      <x:c r="F2650" t="s">
        <x:v>90</x:v>
      </x:c>
      <x:c r="G2650">
        <x:v>45853</x:v>
      </x:c>
      <x:c r="H2650" t="s">
        <x:v>11985</x:v>
      </x:c>
      <x:c r="I2650" t="s">
        <x:v>11986</x:v>
      </x:c>
      <x:c r="J2650" t="s">
        <x:v>11987</x:v>
      </x:c>
    </x:row>
    <x:row r="2651">
      <x:c r="A2651" t="s">
        <x:v>11988</x:v>
      </x:c>
      <x:c r="B2651" t="s">
        <x:v>11988</x:v>
      </x:c>
      <x:c r="C2651" t="s">
        <x:v>4282</x:v>
      </x:c>
      <x:c r="D2651">
        <x:v>14</x:v>
      </x:c>
      <x:c r="E2651" t="s">
        <x:v>198</x:v>
      </x:c>
      <x:c r="F2651" t="s">
        <x:v>90</x:v>
      </x:c>
      <x:c r="G2651">
        <x:v>44741</x:v>
      </x:c>
      <x:c r="H2651" t="s">
        <x:v>11989</x:v>
      </x:c>
      <x:c r="I2651" t="s">
        <x:v>11990</x:v>
      </x:c>
      <x:c r="J2651" t="s">
        <x:v>11991</x:v>
      </x:c>
    </x:row>
    <x:row r="2652">
      <x:c r="A2652" t="s">
        <x:v>11992</x:v>
      </x:c>
      <x:c r="B2652" t="s">
        <x:v>11992</x:v>
      </x:c>
      <x:c r="C2652" t="s">
        <x:v>11993</x:v>
      </x:c>
      <x:c r="D2652">
        <x:v>78</x:v>
      </x:c>
      <x:c r="E2652" t="s">
        <x:v>198</x:v>
      </x:c>
      <x:c r="F2652" t="s">
        <x:v>97</x:v>
      </x:c>
      <x:c r="G2652">
        <x:v>42234</x:v>
      </x:c>
      <x:c r="H2652" t="s">
        <x:v>11994</x:v>
      </x:c>
      <x:c r="I2652" t="s">
        <x:v>11995</x:v>
      </x:c>
      <x:c r="J2652" t="s">
        <x:v>11996</x:v>
      </x:c>
    </x:row>
    <x:row r="2653">
      <x:c r="A2653" t="s">
        <x:v>11997</x:v>
      </x:c>
      <x:c r="B2653" t="s">
        <x:v>11997</x:v>
      </x:c>
      <x:c r="C2653" t="s">
        <x:v>11993</x:v>
      </x:c>
      <x:c r="D2653">
        <x:v>78</x:v>
      </x:c>
      <x:c r="E2653" t="s">
        <x:v>198</x:v>
      </x:c>
      <x:c r="F2653" t="s">
        <x:v>97</x:v>
      </x:c>
      <x:c r="G2653">
        <x:v>42234</x:v>
      </x:c>
      <x:c r="H2653" t="s">
        <x:v>11998</x:v>
      </x:c>
      <x:c r="I2653" t="s">
        <x:v>11999</x:v>
      </x:c>
      <x:c r="J2653" t="s">
        <x:v>12000</x:v>
      </x:c>
    </x:row>
    <x:row r="2654">
      <x:c r="A2654" t="s">
        <x:v>12001</x:v>
      </x:c>
      <x:c r="B2654" t="s">
        <x:v>12001</x:v>
      </x:c>
      <x:c r="C2654" t="s">
        <x:v>11993</x:v>
      </x:c>
      <x:c r="D2654">
        <x:v>103</x:v>
      </x:c>
      <x:c r="E2654" t="s">
        <x:v>198</x:v>
      </x:c>
      <x:c r="F2654" t="s">
        <x:v>97</x:v>
      </x:c>
      <x:c r="G2654">
        <x:v>42280</x:v>
      </x:c>
      <x:c r="H2654" t="s">
        <x:v>12002</x:v>
      </x:c>
      <x:c r="I2654" t="s">
        <x:v>12003</x:v>
      </x:c>
      <x:c r="J2654" t="s">
        <x:v>12004</x:v>
      </x:c>
    </x:row>
    <x:row r="2655">
      <x:c r="A2655" t="s">
        <x:v>12005</x:v>
      </x:c>
      <x:c r="B2655" t="s">
        <x:v>12005</x:v>
      </x:c>
      <x:c r="C2655" t="s">
        <x:v>11993</x:v>
      </x:c>
      <x:c r="D2655">
        <x:v>103</x:v>
      </x:c>
      <x:c r="E2655" t="s">
        <x:v>198</x:v>
      </x:c>
      <x:c r="F2655" t="s">
        <x:v>97</x:v>
      </x:c>
      <x:c r="G2655">
        <x:v>42280</x:v>
      </x:c>
      <x:c r="H2655" t="s">
        <x:v>12006</x:v>
      </x:c>
      <x:c r="I2655" t="s">
        <x:v>12007</x:v>
      </x:c>
      <x:c r="J2655" t="s">
        <x:v>12008</x:v>
      </x:c>
    </x:row>
    <x:row r="2656">
      <x:c r="A2656" t="s">
        <x:v>12009</x:v>
      </x:c>
      <x:c r="B2656" t="s">
        <x:v>12009</x:v>
      </x:c>
      <x:c r="C2656" t="s">
        <x:v>11993</x:v>
      </x:c>
      <x:c r="D2656">
        <x:v>100</x:v>
      </x:c>
      <x:c r="E2656" t="s">
        <x:v>89</x:v>
      </x:c>
      <x:c r="F2656" t="s">
        <x:v>97</x:v>
      </x:c>
      <x:c r="G2656">
        <x:v>42325</x:v>
      </x:c>
      <x:c r="H2656" t="s">
        <x:v>12010</x:v>
      </x:c>
      <x:c r="I2656" t="s">
        <x:v>12011</x:v>
      </x:c>
      <x:c r="J2656" t="s">
        <x:v>12012</x:v>
      </x:c>
    </x:row>
    <x:row r="2657">
      <x:c r="A2657" t="s">
        <x:v>12013</x:v>
      </x:c>
      <x:c r="B2657" t="s">
        <x:v>12013</x:v>
      </x:c>
      <x:c r="C2657" t="s">
        <x:v>11993</x:v>
      </x:c>
      <x:c r="D2657">
        <x:v>99</x:v>
      </x:c>
      <x:c r="E2657" t="s">
        <x:v>89</x:v>
      </x:c>
      <x:c r="F2657" t="s">
        <x:v>97</x:v>
      </x:c>
      <x:c r="G2657">
        <x:v>42325</x:v>
      </x:c>
      <x:c r="H2657" t="s">
        <x:v>12014</x:v>
      </x:c>
      <x:c r="I2657" t="s">
        <x:v>12015</x:v>
      </x:c>
      <x:c r="J2657" t="s">
        <x:v>12016</x:v>
      </x:c>
    </x:row>
    <x:row r="2658">
      <x:c r="A2658" t="s">
        <x:v>12017</x:v>
      </x:c>
      <x:c r="B2658" t="s">
        <x:v>12017</x:v>
      </x:c>
      <x:c r="C2658" t="s">
        <x:v>11993</x:v>
      </x:c>
      <x:c r="D2658">
        <x:v>115</x:v>
      </x:c>
      <x:c r="E2658" t="s">
        <x:v>89</x:v>
      </x:c>
      <x:c r="F2658" t="s">
        <x:v>97</x:v>
      </x:c>
      <x:c r="G2658">
        <x:v>42337</x:v>
      </x:c>
      <x:c r="H2658" t="s">
        <x:v>12018</x:v>
      </x:c>
      <x:c r="I2658" t="s">
        <x:v>12019</x:v>
      </x:c>
      <x:c r="J2658" t="s">
        <x:v>12020</x:v>
      </x:c>
    </x:row>
    <x:row r="2659">
      <x:c r="A2659" t="s">
        <x:v>12021</x:v>
      </x:c>
      <x:c r="B2659" t="s">
        <x:v>12021</x:v>
      </x:c>
      <x:c r="C2659" t="s">
        <x:v>11993</x:v>
      </x:c>
      <x:c r="D2659">
        <x:v>115</x:v>
      </x:c>
      <x:c r="E2659" t="s">
        <x:v>89</x:v>
      </x:c>
      <x:c r="F2659" t="s">
        <x:v>97</x:v>
      </x:c>
      <x:c r="G2659">
        <x:v>42337</x:v>
      </x:c>
      <x:c r="H2659" t="s">
        <x:v>12022</x:v>
      </x:c>
      <x:c r="I2659" t="s">
        <x:v>12023</x:v>
      </x:c>
      <x:c r="J2659" t="s">
        <x:v>12024</x:v>
      </x:c>
    </x:row>
    <x:row r="2660">
      <x:c r="A2660" t="s">
        <x:v>12025</x:v>
      </x:c>
      <x:c r="B2660" t="s">
        <x:v>12025</x:v>
      </x:c>
      <x:c r="C2660" t="s">
        <x:v>973</x:v>
      </x:c>
      <x:c r="D2660">
        <x:v>13</x:v>
      </x:c>
      <x:c r="E2660" t="s">
        <x:v>114</x:v>
      </x:c>
      <x:c r="F2660" t="s">
        <x:v>90</x:v>
      </x:c>
      <x:c r="G2660">
        <x:v>45316</x:v>
      </x:c>
      <x:c r="H2660" t="s">
        <x:v>12026</x:v>
      </x:c>
      <x:c r="I2660" t="s">
        <x:v>12027</x:v>
      </x:c>
      <x:c r="J2660" t="s">
        <x:v>12028</x:v>
      </x:c>
    </x:row>
    <x:row r="2661">
      <x:c r="A2661" t="s">
        <x:v>12029</x:v>
      </x:c>
      <x:c r="B2661" t="s">
        <x:v>12029</x:v>
      </x:c>
      <x:c r="C2661" t="s">
        <x:v>3176</x:v>
      </x:c>
      <x:c r="D2661">
        <x:v>24</x:v>
      </x:c>
      <x:c r="E2661" t="s">
        <x:v>198</x:v>
      </x:c>
      <x:c r="F2661" t="s">
        <x:v>90</x:v>
      </x:c>
      <x:c r="G2661">
        <x:v>44505</x:v>
      </x:c>
      <x:c r="H2661" t="s">
        <x:v>12030</x:v>
      </x:c>
      <x:c r="I2661" t="s">
        <x:v>12031</x:v>
      </x:c>
      <x:c r="J2661" t="s">
        <x:v>12032</x:v>
      </x:c>
    </x:row>
    <x:row r="2662">
      <x:c r="A2662" t="s">
        <x:v>12033</x:v>
      </x:c>
      <x:c r="B2662" t="s">
        <x:v>12033</x:v>
      </x:c>
      <x:c r="C2662" t="s">
        <x:v>2768</x:v>
      </x:c>
      <x:c r="D2662">
        <x:v>22</x:v>
      </x:c>
      <x:c r="E2662" t="s">
        <x:v>198</x:v>
      </x:c>
      <x:c r="F2662" t="s">
        <x:v>3171</x:v>
      </x:c>
      <x:c r="G2662">
        <x:v>42473</x:v>
      </x:c>
      <x:c r="H2662" t="s">
        <x:v>12034</x:v>
      </x:c>
      <x:c r="I2662" t="s">
        <x:v>12035</x:v>
      </x:c>
      <x:c r="J2662" t="s">
        <x:v>12036</x:v>
      </x:c>
    </x:row>
    <x:row r="2663">
      <x:c r="A2663" t="s">
        <x:v>12037</x:v>
      </x:c>
      <x:c r="B2663" t="s">
        <x:v>12037</x:v>
      </x:c>
      <x:c r="C2663" t="s">
        <x:v>10591</x:v>
      </x:c>
      <x:c r="D2663">
        <x:v>8</x:v>
      </x:c>
      <x:c r="E2663" t="s">
        <x:v>198</x:v>
      </x:c>
      <x:c r="F2663" t="s">
        <x:v>90</x:v>
      </x:c>
      <x:c r="G2663">
        <x:v>45929</x:v>
      </x:c>
      <x:c r="H2663" t="s">
        <x:v>12038</x:v>
      </x:c>
      <x:c r="I2663" t="s">
        <x:v>12039</x:v>
      </x:c>
      <x:c r="J2663" t="s">
        <x:v>12040</x:v>
      </x:c>
    </x:row>
    <x:row r="2664">
      <x:c r="A2664" t="s">
        <x:v>12041</x:v>
      </x:c>
      <x:c r="B2664" t="s">
        <x:v>12041</x:v>
      </x:c>
      <x:c r="C2664" t="s">
        <x:v>12042</x:v>
      </x:c>
      <x:c r="D2664">
        <x:v>28</x:v>
      </x:c>
      <x:c r="E2664" t="s">
        <x:v>89</x:v>
      </x:c>
      <x:c r="F2664" t="s">
        <x:v>152</x:v>
      </x:c>
      <x:c r="G2664">
        <x:v>45216</x:v>
      </x:c>
      <x:c r="H2664" t="s">
        <x:v>12043</x:v>
      </x:c>
      <x:c r="I2664" t="s">
        <x:v>12044</x:v>
      </x:c>
      <x:c r="J2664" t="s">
        <x:v>12045</x:v>
      </x:c>
    </x:row>
    <x:row r="2665">
      <x:c r="A2665" t="s">
        <x:v>12046</x:v>
      </x:c>
      <x:c r="B2665" t="s">
        <x:v>12046</x:v>
      </x:c>
      <x:c r="C2665" t="s">
        <x:v>12042</x:v>
      </x:c>
      <x:c r="D2665">
        <x:v>15</x:v>
      </x:c>
      <x:c r="E2665" t="s">
        <x:v>89</x:v>
      </x:c>
      <x:c r="F2665" t="s">
        <x:v>152</x:v>
      </x:c>
      <x:c r="G2665">
        <x:v>45327</x:v>
      </x:c>
      <x:c r="H2665" t="s">
        <x:v>12047</x:v>
      </x:c>
      <x:c r="I2665" t="s">
        <x:v>12048</x:v>
      </x:c>
      <x:c r="J2665" t="s">
        <x:v>12049</x:v>
      </x:c>
    </x:row>
    <x:row r="2666">
      <x:c r="A2666" t="s">
        <x:v>12050</x:v>
      </x:c>
      <x:c r="B2666" t="s">
        <x:v>12050</x:v>
      </x:c>
      <x:c r="C2666" t="s">
        <x:v>12051</x:v>
      </x:c>
      <x:c r="D2666">
        <x:v>33</x:v>
      </x:c>
      <x:c r="E2666" t="s">
        <x:v>103</x:v>
      </x:c>
      <x:c r="F2666" t="s">
        <x:v>97</x:v>
      </x:c>
      <x:c r="G2666">
        <x:v>46094</x:v>
      </x:c>
      <x:c r="H2666" t="s">
        <x:v>12052</x:v>
      </x:c>
      <x:c r="I2666" t="s">
        <x:v>12053</x:v>
      </x:c>
      <x:c r="J2666" t="s">
        <x:v>12054</x:v>
      </x:c>
    </x:row>
    <x:row r="2667">
      <x:c r="A2667" t="s">
        <x:v>12055</x:v>
      </x:c>
      <x:c r="B2667" t="s">
        <x:v>12055</x:v>
      </x:c>
      <x:c r="C2667" t="s">
        <x:v>12056</x:v>
      </x:c>
      <x:c r="D2667">
        <x:v>10</x:v>
      </x:c>
      <x:c r="E2667" t="s">
        <x:v>103</x:v>
      </x:c>
      <x:c r="F2667" t="s">
        <x:v>97</x:v>
      </x:c>
      <x:c r="G2667">
        <x:v>42315</x:v>
      </x:c>
      <x:c r="H2667" t="s">
        <x:v>12057</x:v>
      </x:c>
      <x:c r="I2667" t="s">
        <x:v>12058</x:v>
      </x:c>
      <x:c r="J2667" t="s">
        <x:v>12059</x:v>
      </x:c>
    </x:row>
    <x:row r="2668">
      <x:c r="A2668" t="s">
        <x:v>12060</x:v>
      </x:c>
      <x:c r="B2668" t="s">
        <x:v>12060</x:v>
      </x:c>
      <x:c r="C2668" t="s">
        <x:v>404</x:v>
      </x:c>
      <x:c r="D2668">
        <x:v>16</x:v>
      </x:c>
      <x:c r="E2668" t="s">
        <x:v>103</x:v>
      </x:c>
      <x:c r="F2668" t="s">
        <x:v>97</x:v>
      </x:c>
      <x:c r="G2668">
        <x:v>42292</x:v>
      </x:c>
      <x:c r="H2668" t="s">
        <x:v>12061</x:v>
      </x:c>
      <x:c r="I2668" t="s">
        <x:v>12062</x:v>
      </x:c>
      <x:c r="J2668" t="s">
        <x:v>12063</x:v>
      </x:c>
    </x:row>
    <x:row r="2669">
      <x:c r="A2669" t="s">
        <x:v>12064</x:v>
      </x:c>
      <x:c r="B2669" t="s">
        <x:v>12064</x:v>
      </x:c>
      <x:c r="C2669" t="s">
        <x:v>4210</x:v>
      </x:c>
      <x:c r="D2669">
        <x:v>104</x:v>
      </x:c>
      <x:c r="E2669" t="s">
        <x:v>96</x:v>
      </x:c>
      <x:c r="F2669" t="s">
        <x:v>97</x:v>
      </x:c>
      <x:c r="G2669">
        <x:v>45968</x:v>
      </x:c>
      <x:c r="H2669" t="s">
        <x:v>12065</x:v>
      </x:c>
      <x:c r="I2669" t="s">
        <x:v>12066</x:v>
      </x:c>
      <x:c r="J2669" t="s">
        <x:v>12067</x:v>
      </x:c>
    </x:row>
    <x:row r="2670">
      <x:c r="A2670" t="s">
        <x:v>12068</x:v>
      </x:c>
      <x:c r="B2670" t="s">
        <x:v>12068</x:v>
      </x:c>
      <x:c r="C2670" t="s">
        <x:v>4210</x:v>
      </x:c>
      <x:c r="D2670">
        <x:v>112</x:v>
      </x:c>
      <x:c r="E2670" t="s">
        <x:v>96</x:v>
      </x:c>
      <x:c r="F2670" t="s">
        <x:v>97</x:v>
      </x:c>
      <x:c r="G2670">
        <x:v>44439</x:v>
      </x:c>
      <x:c r="H2670" t="s">
        <x:v>12069</x:v>
      </x:c>
      <x:c r="I2670" t="s">
        <x:v>12070</x:v>
      </x:c>
      <x:c r="J2670" t="s">
        <x:v>12071</x:v>
      </x:c>
    </x:row>
    <x:row r="2671">
      <x:c r="A2671" t="s">
        <x:v>12072</x:v>
      </x:c>
      <x:c r="B2671" t="s">
        <x:v>12072</x:v>
      </x:c>
      <x:c r="C2671" t="s">
        <x:v>471</x:v>
      </x:c>
      <x:c r="D2671">
        <x:v>11</x:v>
      </x:c>
      <x:c r="E2671" t="s">
        <x:v>103</x:v>
      </x:c>
      <x:c r="F2671" t="s">
        <x:v>97</x:v>
      </x:c>
      <x:c r="G2671">
        <x:v>43293</x:v>
      </x:c>
      <x:c r="H2671" t="s">
        <x:v>12073</x:v>
      </x:c>
      <x:c r="I2671" t="s">
        <x:v>12074</x:v>
      </x:c>
      <x:c r="J2671" t="s">
        <x:v>12075</x:v>
      </x:c>
    </x:row>
    <x:row r="2672">
      <x:c r="A2672" t="s">
        <x:v>12076</x:v>
      </x:c>
      <x:c r="B2672" t="s">
        <x:v>12076</x:v>
      </x:c>
      <x:c r="C2672" t="s">
        <x:v>1258</x:v>
      </x:c>
      <x:c r="D2672">
        <x:v>6</x:v>
      </x:c>
      <x:c r="E2672" t="s">
        <x:v>103</x:v>
      </x:c>
      <x:c r="F2672" t="s">
        <x:v>97</x:v>
      </x:c>
      <x:c r="G2672">
        <x:v>42108</x:v>
      </x:c>
      <x:c r="H2672" t="s">
        <x:v>12077</x:v>
      </x:c>
      <x:c r="I2672" t="s">
        <x:v>12078</x:v>
      </x:c>
      <x:c r="J2672" t="s">
        <x:v>12079</x:v>
      </x:c>
    </x:row>
    <x:row r="2673">
      <x:c r="A2673" t="s">
        <x:v>12080</x:v>
      </x:c>
      <x:c r="B2673" t="s">
        <x:v>12080</x:v>
      </x:c>
      <x:c r="C2673" t="s">
        <x:v>12081</x:v>
      </x:c>
      <x:c r="D2673">
        <x:v>5</x:v>
      </x:c>
      <x:c r="E2673" t="s">
        <x:v>257</x:v>
      </x:c>
      <x:c r="F2673" t="s">
        <x:v>97</x:v>
      </x:c>
      <x:c r="G2673">
        <x:v>42220</x:v>
      </x:c>
      <x:c r="H2673" t="s">
        <x:v>12082</x:v>
      </x:c>
      <x:c r="I2673" t="s">
        <x:v>12083</x:v>
      </x:c>
      <x:c r="J2673" t="s">
        <x:v>12084</x:v>
      </x:c>
    </x:row>
    <x:row r="2674">
      <x:c r="A2674" t="s">
        <x:v>12085</x:v>
      </x:c>
      <x:c r="B2674" t="s">
        <x:v>12085</x:v>
      </x:c>
      <x:c r="C2674" t="s">
        <x:v>12086</x:v>
      </x:c>
      <x:c r="D2674">
        <x:v>7</x:v>
      </x:c>
      <x:c r="E2674" t="s">
        <x:v>257</x:v>
      </x:c>
      <x:c r="F2674" t="s">
        <x:v>97</x:v>
      </x:c>
      <x:c r="G2674">
        <x:v>41445</x:v>
      </x:c>
      <x:c r="H2674" t="s">
        <x:v>12087</x:v>
      </x:c>
      <x:c r="I2674" t="s">
        <x:v>12088</x:v>
      </x:c>
      <x:c r="J2674" t="s">
        <x:v>12089</x:v>
      </x:c>
    </x:row>
    <x:row r="2675">
      <x:c r="A2675" t="s">
        <x:v>12090</x:v>
      </x:c>
      <x:c r="B2675" t="s">
        <x:v>12090</x:v>
      </x:c>
      <x:c r="C2675" t="s">
        <x:v>12091</x:v>
      </x:c>
      <x:c r="D2675">
        <x:v>77</x:v>
      </x:c>
      <x:c r="E2675" t="s">
        <x:v>198</x:v>
      </x:c>
      <x:c r="F2675" t="s">
        <x:v>97</x:v>
      </x:c>
      <x:c r="G2675">
        <x:v>42098</x:v>
      </x:c>
      <x:c r="H2675" t="s">
        <x:v>12092</x:v>
      </x:c>
      <x:c r="I2675" t="s">
        <x:v>12093</x:v>
      </x:c>
      <x:c r="J2675" t="s">
        <x:v>12094</x:v>
      </x:c>
    </x:row>
    <x:row r="2676">
      <x:c r="A2676" t="s">
        <x:v>12095</x:v>
      </x:c>
      <x:c r="B2676" t="s">
        <x:v>12095</x:v>
      </x:c>
      <x:c r="C2676" t="s">
        <x:v>4146</x:v>
      </x:c>
      <x:c r="D2676">
        <x:v>7</x:v>
      </x:c>
      <x:c r="E2676" t="s">
        <x:v>103</x:v>
      </x:c>
      <x:c r="F2676" t="s">
        <x:v>97</x:v>
      </x:c>
      <x:c r="G2676">
        <x:v>41445</x:v>
      </x:c>
      <x:c r="H2676" t="s">
        <x:v>12096</x:v>
      </x:c>
      <x:c r="I2676" t="s">
        <x:v>12097</x:v>
      </x:c>
      <x:c r="J2676" t="s">
        <x:v>12098</x:v>
      </x:c>
    </x:row>
    <x:row r="2677">
      <x:c r="A2677" t="s">
        <x:v>12099</x:v>
      </x:c>
      <x:c r="B2677" t="s">
        <x:v>12099</x:v>
      </x:c>
      <x:c r="C2677" t="s">
        <x:v>10217</x:v>
      </x:c>
      <x:c r="D2677">
        <x:v>10</x:v>
      </x:c>
      <x:c r="E2677" t="s">
        <x:v>89</x:v>
      </x:c>
      <x:c r="F2677" t="s">
        <x:v>90</x:v>
      </x:c>
      <x:c r="G2677">
        <x:v>44664</x:v>
      </x:c>
      <x:c r="H2677" t="s">
        <x:v>12100</x:v>
      </x:c>
      <x:c r="I2677" t="s">
        <x:v>12101</x:v>
      </x:c>
      <x:c r="J2677" t="s">
        <x:v>12102</x:v>
      </x:c>
    </x:row>
    <x:row r="2678">
      <x:c r="A2678" t="s">
        <x:v>12103</x:v>
      </x:c>
      <x:c r="B2678" t="s">
        <x:v>12103</x:v>
      </x:c>
      <x:c r="C2678" t="s">
        <x:v>12104</x:v>
      </x:c>
      <x:c r="D2678">
        <x:v>77</x:v>
      </x:c>
      <x:c r="E2678" t="s">
        <x:v>103</x:v>
      </x:c>
      <x:c r="F2678" t="s">
        <x:v>97</x:v>
      </x:c>
      <x:c r="G2678">
        <x:v>43300</x:v>
      </x:c>
      <x:c r="H2678" t="s">
        <x:v>12105</x:v>
      </x:c>
      <x:c r="I2678" t="s">
        <x:v>12106</x:v>
      </x:c>
      <x:c r="J2678" t="s">
        <x:v>12107</x:v>
      </x:c>
    </x:row>
    <x:row r="2679">
      <x:c r="A2679" t="s">
        <x:v>12108</x:v>
      </x:c>
      <x:c r="B2679" t="s">
        <x:v>12108</x:v>
      </x:c>
      <x:c r="C2679" t="s">
        <x:v>2132</x:v>
      </x:c>
      <x:c r="D2679">
        <x:v>21</x:v>
      </x:c>
      <x:c r="E2679" t="s">
        <x:v>96</x:v>
      </x:c>
      <x:c r="F2679" t="s">
        <x:v>90</x:v>
      </x:c>
      <x:c r="G2679">
        <x:v>43549</x:v>
      </x:c>
      <x:c r="H2679" t="s">
        <x:v>12109</x:v>
      </x:c>
      <x:c r="I2679" t="s">
        <x:v>12110</x:v>
      </x:c>
      <x:c r="J2679" t="s">
        <x:v>12111</x:v>
      </x:c>
    </x:row>
    <x:row r="2680">
      <x:c r="A2680" t="s">
        <x:v>12112</x:v>
      </x:c>
      <x:c r="B2680" t="s">
        <x:v>12112</x:v>
      </x:c>
      <x:c r="C2680" t="s">
        <x:v>1224</x:v>
      </x:c>
      <x:c r="D2680">
        <x:v>14</x:v>
      </x:c>
      <x:c r="E2680" t="s">
        <x:v>114</x:v>
      </x:c>
      <x:c r="F2680" t="s">
        <x:v>90</x:v>
      </x:c>
      <x:c r="G2680">
        <x:v>44336</x:v>
      </x:c>
      <x:c r="H2680" t="s">
        <x:v>12113</x:v>
      </x:c>
      <x:c r="I2680" t="s">
        <x:v>12114</x:v>
      </x:c>
      <x:c r="J2680" t="s">
        <x:v>12115</x:v>
      </x:c>
    </x:row>
    <x:row r="2681">
      <x:c r="A2681" t="s">
        <x:v>12116</x:v>
      </x:c>
      <x:c r="B2681" t="s">
        <x:v>12116</x:v>
      </x:c>
      <x:c r="C2681" t="s">
        <x:v>2567</x:v>
      </x:c>
      <x:c r="D2681">
        <x:v>5</x:v>
      </x:c>
      <x:c r="E2681" t="s">
        <x:v>114</x:v>
      </x:c>
      <x:c r="F2681" t="s">
        <x:v>90</x:v>
      </x:c>
      <x:c r="G2681">
        <x:v>45175</x:v>
      </x:c>
      <x:c r="H2681" t="s">
        <x:v>12117</x:v>
      </x:c>
      <x:c r="I2681" t="s">
        <x:v>12118</x:v>
      </x:c>
      <x:c r="J2681" t="s">
        <x:v>12119</x:v>
      </x:c>
    </x:row>
    <x:row r="2682">
      <x:c r="A2682" t="s">
        <x:v>12120</x:v>
      </x:c>
      <x:c r="B2682" t="s">
        <x:v>12120</x:v>
      </x:c>
      <x:c r="C2682" t="s">
        <x:v>524</x:v>
      </x:c>
      <x:c r="D2682">
        <x:v>21</x:v>
      </x:c>
      <x:c r="E2682" t="s">
        <x:v>125</x:v>
      </x:c>
      <x:c r="F2682" t="s">
        <x:v>90</x:v>
      </x:c>
      <x:c r="G2682">
        <x:v>45572</x:v>
      </x:c>
      <x:c r="H2682" t="s">
        <x:v>12121</x:v>
      </x:c>
      <x:c r="I2682" t="s">
        <x:v>12122</x:v>
      </x:c>
      <x:c r="J2682" t="s">
        <x:v>12123</x:v>
      </x:c>
    </x:row>
    <x:row r="2683">
      <x:c r="A2683" t="s">
        <x:v>12124</x:v>
      </x:c>
      <x:c r="B2683" t="s">
        <x:v>12124</x:v>
      </x:c>
      <x:c r="C2683" t="s">
        <x:v>8939</x:v>
      </x:c>
      <x:c r="D2683">
        <x:v>43</x:v>
      </x:c>
      <x:c r="E2683" t="s">
        <x:v>198</x:v>
      </x:c>
      <x:c r="F2683" t="s">
        <x:v>90</x:v>
      </x:c>
      <x:c r="G2683">
        <x:v>45449</x:v>
      </x:c>
      <x:c r="H2683" t="s">
        <x:v>12125</x:v>
      </x:c>
      <x:c r="I2683" t="s">
        <x:v>12126</x:v>
      </x:c>
      <x:c r="J2683" t="s">
        <x:v>12127</x:v>
      </x:c>
    </x:row>
    <x:row r="2684">
      <x:c r="A2684" t="s">
        <x:v>12128</x:v>
      </x:c>
      <x:c r="B2684" t="s">
        <x:v>12128</x:v>
      </x:c>
      <x:c r="C2684" t="s">
        <x:v>9910</x:v>
      </x:c>
      <x:c r="D2684">
        <x:v>6</x:v>
      </x:c>
      <x:c r="E2684" t="s">
        <x:v>198</x:v>
      </x:c>
      <x:c r="F2684" t="s">
        <x:v>90</x:v>
      </x:c>
      <x:c r="G2684">
        <x:v>45807</x:v>
      </x:c>
      <x:c r="H2684" t="s">
        <x:v>12129</x:v>
      </x:c>
      <x:c r="I2684" t="s">
        <x:v>12130</x:v>
      </x:c>
      <x:c r="J2684" t="s">
        <x:v>12131</x:v>
      </x:c>
    </x:row>
    <x:row r="2685">
      <x:c r="A2685" t="s">
        <x:v>12132</x:v>
      </x:c>
      <x:c r="B2685" t="s">
        <x:v>12132</x:v>
      </x:c>
      <x:c r="C2685" t="s">
        <x:v>2567</x:v>
      </x:c>
      <x:c r="D2685">
        <x:v>6</x:v>
      </x:c>
      <x:c r="E2685" t="s">
        <x:v>114</x:v>
      </x:c>
      <x:c r="F2685" t="s">
        <x:v>90</x:v>
      </x:c>
      <x:c r="G2685">
        <x:v>45516</x:v>
      </x:c>
      <x:c r="H2685" t="s">
        <x:v>12133</x:v>
      </x:c>
      <x:c r="I2685" t="s">
        <x:v>12134</x:v>
      </x:c>
      <x:c r="J2685" t="s">
        <x:v>12135</x:v>
      </x:c>
    </x:row>
    <x:row r="2686">
      <x:c r="A2686" t="s">
        <x:v>12136</x:v>
      </x:c>
      <x:c r="B2686" t="s">
        <x:v>12136</x:v>
      </x:c>
      <x:c r="C2686" t="s">
        <x:v>3308</x:v>
      </x:c>
      <x:c r="D2686">
        <x:v>6</x:v>
      </x:c>
      <x:c r="E2686" t="s">
        <x:v>198</x:v>
      </x:c>
      <x:c r="F2686" t="s">
        <x:v>90</x:v>
      </x:c>
      <x:c r="G2686">
        <x:v>45733</x:v>
      </x:c>
      <x:c r="H2686" t="s">
        <x:v>12137</x:v>
      </x:c>
      <x:c r="I2686" t="s">
        <x:v>12138</x:v>
      </x:c>
      <x:c r="J2686" t="s">
        <x:v>12139</x:v>
      </x:c>
    </x:row>
    <x:row r="2687">
      <x:c r="A2687" t="s">
        <x:v>12140</x:v>
      </x:c>
      <x:c r="B2687" t="s">
        <x:v>12140</x:v>
      </x:c>
      <x:c r="C2687" t="s">
        <x:v>12141</x:v>
      </x:c>
      <x:c r="D2687">
        <x:v>26</x:v>
      </x:c>
      <x:c r="E2687" t="s">
        <x:v>198</x:v>
      </x:c>
      <x:c r="F2687" t="s">
        <x:v>90</x:v>
      </x:c>
      <x:c r="G2687">
        <x:v>44418</x:v>
      </x:c>
      <x:c r="H2687" t="s">
        <x:v>12142</x:v>
      </x:c>
      <x:c r="I2687" t="s">
        <x:v>12143</x:v>
      </x:c>
      <x:c r="J2687" t="s">
        <x:v>12144</x:v>
      </x:c>
    </x:row>
    <x:row r="2688">
      <x:c r="A2688" t="s">
        <x:v>12145</x:v>
      </x:c>
      <x:c r="B2688" t="s">
        <x:v>12145</x:v>
      </x:c>
      <x:c r="C2688" t="s">
        <x:v>7544</x:v>
      </x:c>
      <x:c r="D2688">
        <x:v>10</x:v>
      </x:c>
      <x:c r="E2688" t="s">
        <x:v>96</x:v>
      </x:c>
      <x:c r="F2688" t="s">
        <x:v>97</x:v>
      </x:c>
      <x:c r="G2688">
        <x:v>44252</x:v>
      </x:c>
      <x:c r="H2688" t="s">
        <x:v>12146</x:v>
      </x:c>
      <x:c r="I2688" t="s">
        <x:v>12147</x:v>
      </x:c>
      <x:c r="J2688" t="s">
        <x:v>12148</x:v>
      </x:c>
    </x:row>
    <x:row r="2689">
      <x:c r="A2689" t="s">
        <x:v>12149</x:v>
      </x:c>
      <x:c r="B2689" t="s">
        <x:v>12149</x:v>
      </x:c>
      <x:c r="C2689" t="s">
        <x:v>12150</x:v>
      </x:c>
      <x:c r="D2689">
        <x:v>69</x:v>
      </x:c>
      <x:c r="E2689" t="s">
        <x:v>96</x:v>
      </x:c>
      <x:c r="F2689" t="s">
        <x:v>152</x:v>
      </x:c>
      <x:c r="G2689">
        <x:v>45558</x:v>
      </x:c>
      <x:c r="H2689" t="s">
        <x:v>12151</x:v>
      </x:c>
      <x:c r="I2689" t="s">
        <x:v>12152</x:v>
      </x:c>
      <x:c r="J2689" t="s">
        <x:v>12153</x:v>
      </x:c>
    </x:row>
    <x:row r="2690">
      <x:c r="A2690" t="s">
        <x:v>12154</x:v>
      </x:c>
      <x:c r="B2690" t="s">
        <x:v>12154</x:v>
      </x:c>
      <x:c r="C2690" t="s">
        <x:v>2529</x:v>
      </x:c>
      <x:c r="D2690">
        <x:v>9</x:v>
      </x:c>
      <x:c r="E2690" t="s">
        <x:v>96</x:v>
      </x:c>
      <x:c r="F2690" t="s">
        <x:v>97</x:v>
      </x:c>
      <x:c r="G2690">
        <x:v>41729</x:v>
      </x:c>
      <x:c r="H2690" t="s">
        <x:v>12155</x:v>
      </x:c>
      <x:c r="I2690" t="s">
        <x:v>12156</x:v>
      </x:c>
      <x:c r="J2690" t="s">
        <x:v>12157</x:v>
      </x:c>
    </x:row>
    <x:row r="2691">
      <x:c r="A2691" t="s">
        <x:v>12158</x:v>
      </x:c>
      <x:c r="B2691" t="s">
        <x:v>12158</x:v>
      </x:c>
      <x:c r="C2691" t="s">
        <x:v>1875</x:v>
      </x:c>
      <x:c r="D2691">
        <x:v>15</x:v>
      </x:c>
      <x:c r="E2691" t="s">
        <x:v>198</x:v>
      </x:c>
      <x:c r="F2691" t="s">
        <x:v>90</x:v>
      </x:c>
      <x:c r="G2691">
        <x:v>44363</x:v>
      </x:c>
      <x:c r="H2691" t="s">
        <x:v>12159</x:v>
      </x:c>
      <x:c r="I2691" t="s">
        <x:v>12160</x:v>
      </x:c>
      <x:c r="J2691" t="s">
        <x:v>12161</x:v>
      </x:c>
    </x:row>
    <x:row r="2692">
      <x:c r="A2692" t="s">
        <x:v>12162</x:v>
      </x:c>
      <x:c r="B2692" t="s">
        <x:v>12162</x:v>
      </x:c>
      <x:c r="C2692" t="s">
        <x:v>11964</x:v>
      </x:c>
      <x:c r="D2692">
        <x:v>8</x:v>
      </x:c>
      <x:c r="E2692" t="s">
        <x:v>103</x:v>
      </x:c>
      <x:c r="F2692" t="s">
        <x:v>97</x:v>
      </x:c>
      <x:c r="G2692">
        <x:v>42266</x:v>
      </x:c>
      <x:c r="H2692" t="s">
        <x:v>12163</x:v>
      </x:c>
      <x:c r="I2692" t="s">
        <x:v>12164</x:v>
      </x:c>
      <x:c r="J2692" t="s">
        <x:v>12165</x:v>
      </x:c>
    </x:row>
    <x:row r="2693">
      <x:c r="A2693" t="s">
        <x:v>12166</x:v>
      </x:c>
      <x:c r="B2693" t="s">
        <x:v>12166</x:v>
      </x:c>
      <x:c r="C2693" t="s">
        <x:v>12167</x:v>
      </x:c>
      <x:c r="D2693">
        <x:v>2</x:v>
      </x:c>
      <x:c r="E2693" t="s">
        <x:v>257</x:v>
      </x:c>
      <x:c r="F2693" t="s">
        <x:v>97</x:v>
      </x:c>
      <x:c r="G2693">
        <x:v>43871</x:v>
      </x:c>
      <x:c r="H2693" t="s">
        <x:v>12168</x:v>
      </x:c>
      <x:c r="I2693" t="s">
        <x:v>12169</x:v>
      </x:c>
      <x:c r="J2693" t="s">
        <x:v>12170</x:v>
      </x:c>
    </x:row>
    <x:row r="2694">
      <x:c r="A2694" t="s">
        <x:v>12171</x:v>
      </x:c>
      <x:c r="B2694" t="s">
        <x:v>12171</x:v>
      </x:c>
      <x:c r="C2694" t="s">
        <x:v>7031</x:v>
      </x:c>
      <x:c r="D2694">
        <x:v>1</x:v>
      </x:c>
      <x:c r="E2694" t="s">
        <x:v>96</x:v>
      </x:c>
      <x:c r="F2694" t="s">
        <x:v>152</x:v>
      </x:c>
      <x:c r="G2694">
        <x:v>43688</x:v>
      </x:c>
      <x:c r="H2694" t="s">
        <x:v>12172</x:v>
      </x:c>
      <x:c r="I2694" t="s">
        <x:v>12173</x:v>
      </x:c>
      <x:c r="J2694" t="s">
        <x:v>12174</x:v>
      </x:c>
    </x:row>
    <x:row r="2695">
      <x:c r="A2695" t="s">
        <x:v>12175</x:v>
      </x:c>
      <x:c r="B2695" t="s">
        <x:v>12175</x:v>
      </x:c>
      <x:c r="C2695" t="s">
        <x:v>524</x:v>
      </x:c>
      <x:c r="D2695">
        <x:v>6</x:v>
      </x:c>
      <x:c r="E2695" t="s">
        <x:v>125</x:v>
      </x:c>
      <x:c r="F2695" t="s">
        <x:v>90</x:v>
      </x:c>
      <x:c r="G2695">
        <x:v>45394</x:v>
      </x:c>
      <x:c r="H2695" t="s">
        <x:v>12176</x:v>
      </x:c>
      <x:c r="I2695" t="s">
        <x:v>12177</x:v>
      </x:c>
      <x:c r="J2695" t="s">
        <x:v>12178</x:v>
      </x:c>
    </x:row>
    <x:row r="2696">
      <x:c r="A2696" t="s">
        <x:v>12179</x:v>
      </x:c>
      <x:c r="B2696" t="s">
        <x:v>12179</x:v>
      </x:c>
      <x:c r="C2696" t="s">
        <x:v>10548</x:v>
      </x:c>
      <x:c r="D2696">
        <x:v>9</x:v>
      </x:c>
      <x:c r="E2696" t="s">
        <x:v>125</x:v>
      </x:c>
      <x:c r="F2696" t="s">
        <x:v>90</x:v>
      </x:c>
      <x:c r="G2696">
        <x:v>46207</x:v>
      </x:c>
      <x:c r="H2696" t="s">
        <x:v>12180</x:v>
      </x:c>
      <x:c r="I2696" t="s">
        <x:v>12181</x:v>
      </x:c>
      <x:c r="J2696" t="s">
        <x:v>12182</x:v>
      </x:c>
    </x:row>
    <x:row r="2697">
      <x:c r="A2697" t="s">
        <x:v>12183</x:v>
      </x:c>
      <x:c r="B2697" t="s">
        <x:v>12183</x:v>
      </x:c>
      <x:c r="C2697" t="s">
        <x:v>2798</x:v>
      </x:c>
      <x:c r="D2697">
        <x:v>12</x:v>
      </x:c>
      <x:c r="E2697" t="s">
        <x:v>114</x:v>
      </x:c>
      <x:c r="F2697" t="s">
        <x:v>90</x:v>
      </x:c>
      <x:c r="G2697">
        <x:v>44609</x:v>
      </x:c>
      <x:c r="H2697" t="s">
        <x:v>12184</x:v>
      </x:c>
      <x:c r="I2697" t="s">
        <x:v>12185</x:v>
      </x:c>
      <x:c r="J2697" t="s">
        <x:v>12186</x:v>
      </x:c>
    </x:row>
    <x:row r="2698">
      <x:c r="A2698" t="s">
        <x:v>12187</x:v>
      </x:c>
      <x:c r="B2698" t="s">
        <x:v>12187</x:v>
      </x:c>
      <x:c r="C2698" t="s">
        <x:v>12188</x:v>
      </x:c>
      <x:c r="D2698">
        <x:v>13</x:v>
      </x:c>
      <x:c r="E2698" t="s">
        <x:v>103</x:v>
      </x:c>
      <x:c r="F2698" t="s">
        <x:v>97</x:v>
      </x:c>
      <x:c r="G2698">
        <x:v>42013</x:v>
      </x:c>
      <x:c r="H2698" t="s">
        <x:v>12189</x:v>
      </x:c>
      <x:c r="I2698" t="s">
        <x:v>12190</x:v>
      </x:c>
      <x:c r="J2698" t="s">
        <x:v>12191</x:v>
      </x:c>
    </x:row>
    <x:row r="2699">
      <x:c r="A2699" t="s">
        <x:v>12192</x:v>
      </x:c>
      <x:c r="B2699" t="s">
        <x:v>12192</x:v>
      </x:c>
      <x:c r="C2699" t="s">
        <x:v>1841</x:v>
      </x:c>
      <x:c r="D2699">
        <x:v>11</x:v>
      </x:c>
      <x:c r="E2699" t="s">
        <x:v>96</x:v>
      </x:c>
      <x:c r="F2699" t="s">
        <x:v>97</x:v>
      </x:c>
      <x:c r="G2699">
        <x:v>42799</x:v>
      </x:c>
      <x:c r="H2699" t="s">
        <x:v>12193</x:v>
      </x:c>
      <x:c r="I2699" t="s">
        <x:v>12194</x:v>
      </x:c>
      <x:c r="J2699" t="s">
        <x:v>12195</x:v>
      </x:c>
    </x:row>
    <x:row r="2700">
      <x:c r="A2700" t="s">
        <x:v>12196</x:v>
      </x:c>
      <x:c r="B2700" t="s">
        <x:v>12196</x:v>
      </x:c>
      <x:c r="C2700" t="s">
        <x:v>1841</x:v>
      </x:c>
      <x:c r="D2700">
        <x:v>6</x:v>
      </x:c>
      <x:c r="E2700" t="s">
        <x:v>89</x:v>
      </x:c>
      <x:c r="F2700" t="s">
        <x:v>97</x:v>
      </x:c>
      <x:c r="G2700">
        <x:v>44990</x:v>
      </x:c>
      <x:c r="H2700" t="s">
        <x:v>12197</x:v>
      </x:c>
      <x:c r="I2700" t="s">
        <x:v>12198</x:v>
      </x:c>
      <x:c r="J2700" t="s">
        <x:v>12199</x:v>
      </x:c>
    </x:row>
    <x:row r="2701">
      <x:c r="A2701" t="s">
        <x:v>12200</x:v>
      </x:c>
      <x:c r="B2701" t="s">
        <x:v>12200</x:v>
      </x:c>
      <x:c r="C2701" t="s">
        <x:v>1618</x:v>
      </x:c>
      <x:c r="D2701">
        <x:v>20</x:v>
      </x:c>
      <x:c r="E2701" t="s">
        <x:v>89</x:v>
      </x:c>
      <x:c r="F2701" t="s">
        <x:v>90</x:v>
      </x:c>
      <x:c r="G2701">
        <x:v>43140</x:v>
      </x:c>
      <x:c r="H2701" t="s">
        <x:v>12201</x:v>
      </x:c>
      <x:c r="I2701" t="s">
        <x:v>12202</x:v>
      </x:c>
      <x:c r="J2701" t="s">
        <x:v>12203</x:v>
      </x:c>
    </x:row>
    <x:row r="2702">
      <x:c r="A2702" t="s">
        <x:v>12204</x:v>
      </x:c>
      <x:c r="B2702" t="s">
        <x:v>12204</x:v>
      </x:c>
      <x:c r="C2702" t="s">
        <x:v>12205</x:v>
      </x:c>
      <x:c r="D2702">
        <x:v>18</x:v>
      </x:c>
      <x:c r="E2702" t="s">
        <x:v>198</x:v>
      </x:c>
      <x:c r="F2702" t="s">
        <x:v>610</x:v>
      </x:c>
      <x:c r="G2702">
        <x:v>44545</x:v>
      </x:c>
      <x:c r="H2702" t="s">
        <x:v>12206</x:v>
      </x:c>
      <x:c r="I2702" t="s">
        <x:v>12207</x:v>
      </x:c>
      <x:c r="J2702" t="s">
        <x:v>12208</x:v>
      </x:c>
    </x:row>
    <x:row r="2703">
      <x:c r="A2703" t="s">
        <x:v>12209</x:v>
      </x:c>
      <x:c r="B2703" t="s">
        <x:v>12209</x:v>
      </x:c>
      <x:c r="C2703" t="s">
        <x:v>923</x:v>
      </x:c>
      <x:c r="D2703">
        <x:v>10</x:v>
      </x:c>
      <x:c r="E2703" t="s">
        <x:v>198</x:v>
      </x:c>
      <x:c r="F2703" t="s">
        <x:v>90</x:v>
      </x:c>
      <x:c r="G2703">
        <x:v>44070</x:v>
      </x:c>
      <x:c r="H2703" t="s">
        <x:v>12210</x:v>
      </x:c>
      <x:c r="I2703" t="s">
        <x:v>12211</x:v>
      </x:c>
      <x:c r="J2703" t="s">
        <x:v>12212</x:v>
      </x:c>
    </x:row>
    <x:row r="2704">
      <x:c r="A2704" t="s">
        <x:v>12213</x:v>
      </x:c>
      <x:c r="B2704" t="s">
        <x:v>12213</x:v>
      </x:c>
      <x:c r="C2704" t="s">
        <x:v>923</x:v>
      </x:c>
      <x:c r="D2704">
        <x:v>24</x:v>
      </x:c>
      <x:c r="E2704" t="s">
        <x:v>89</x:v>
      </x:c>
      <x:c r="F2704" t="s">
        <x:v>90</x:v>
      </x:c>
      <x:c r="G2704">
        <x:v>44275</x:v>
      </x:c>
      <x:c r="H2704" t="s">
        <x:v>12214</x:v>
      </x:c>
      <x:c r="I2704" t="s">
        <x:v>12215</x:v>
      </x:c>
      <x:c r="J2704" t="s">
        <x:v>12216</x:v>
      </x:c>
    </x:row>
    <x:row r="2705">
      <x:c r="A2705" t="s">
        <x:v>12217</x:v>
      </x:c>
      <x:c r="B2705" t="s">
        <x:v>12217</x:v>
      </x:c>
      <x:c r="C2705" t="s">
        <x:v>12218</x:v>
      </x:c>
      <x:c r="D2705">
        <x:v>34</x:v>
      </x:c>
      <x:c r="E2705" t="s">
        <x:v>89</x:v>
      </x:c>
      <x:c r="F2705" t="s">
        <x:v>97</x:v>
      </x:c>
      <x:c r="G2705">
        <x:v>41445</x:v>
      </x:c>
      <x:c r="H2705" t="s">
        <x:v>12219</x:v>
      </x:c>
      <x:c r="I2705" t="s">
        <x:v>12220</x:v>
      </x:c>
      <x:c r="J2705" t="s">
        <x:v>12221</x:v>
      </x:c>
    </x:row>
    <x:row r="2706">
      <x:c r="A2706" t="s">
        <x:v>12222</x:v>
      </x:c>
      <x:c r="B2706" t="s">
        <x:v>12222</x:v>
      </x:c>
      <x:c r="C2706" t="s">
        <x:v>12223</x:v>
      </x:c>
      <x:c r="D2706">
        <x:v>29</x:v>
      </x:c>
      <x:c r="E2706" t="s">
        <x:v>198</x:v>
      </x:c>
      <x:c r="F2706" t="s">
        <x:v>90</x:v>
      </x:c>
      <x:c r="G2706">
        <x:v>46030</x:v>
      </x:c>
      <x:c r="H2706" t="s">
        <x:v>12224</x:v>
      </x:c>
      <x:c r="I2706" t="s">
        <x:v>12225</x:v>
      </x:c>
      <x:c r="J2706" t="s">
        <x:v>12226</x:v>
      </x:c>
    </x:row>
    <x:row r="2707">
      <x:c r="A2707" t="s">
        <x:v>12227</x:v>
      </x:c>
      <x:c r="B2707" t="s">
        <x:v>12227</x:v>
      </x:c>
      <x:c r="C2707" t="s">
        <x:v>7096</x:v>
      </x:c>
      <x:c r="D2707">
        <x:v>11</x:v>
      </x:c>
      <x:c r="E2707" t="s">
        <x:v>114</x:v>
      </x:c>
      <x:c r="F2707" t="s">
        <x:v>90</x:v>
      </x:c>
      <x:c r="G2707">
        <x:v>44929</x:v>
      </x:c>
      <x:c r="H2707" t="s">
        <x:v>12228</x:v>
      </x:c>
      <x:c r="I2707" t="s">
        <x:v>12229</x:v>
      </x:c>
      <x:c r="J2707" t="s">
        <x:v>12230</x:v>
      </x:c>
    </x:row>
    <x:row r="2708">
      <x:c r="A2708" t="s">
        <x:v>12231</x:v>
      </x:c>
      <x:c r="B2708" t="s">
        <x:v>12231</x:v>
      </x:c>
      <x:c r="C2708" t="s">
        <x:v>756</x:v>
      </x:c>
      <x:c r="D2708">
        <x:v>0</x:v>
      </x:c>
      <x:c r="E2708" t="s">
        <x:v>89</x:v>
      </x:c>
      <x:c r="F2708" t="s">
        <x:v>90</x:v>
      </x:c>
      <x:c r="G2708">
        <x:v>44943</x:v>
      </x:c>
      <x:c r="H2708" t="s">
        <x:v>12232</x:v>
      </x:c>
      <x:c r="I2708" t="s">
        <x:v>12233</x:v>
      </x:c>
      <x:c r="J2708" t="s">
        <x:v>12234</x:v>
      </x:c>
    </x:row>
    <x:row r="2709">
      <x:c r="A2709" t="s">
        <x:v>12235</x:v>
      </x:c>
      <x:c r="B2709" t="s">
        <x:v>12235</x:v>
      </x:c>
      <x:c r="C2709" t="s">
        <x:v>3426</x:v>
      </x:c>
      <x:c r="D2709">
        <x:v>4</x:v>
      </x:c>
      <x:c r="E2709" t="s">
        <x:v>96</x:v>
      </x:c>
      <x:c r="F2709" t="s">
        <x:v>90</x:v>
      </x:c>
      <x:c r="G2709">
        <x:v>45802</x:v>
      </x:c>
      <x:c r="H2709" t="s">
        <x:v>12236</x:v>
      </x:c>
      <x:c r="I2709" t="s">
        <x:v>12237</x:v>
      </x:c>
      <x:c r="J2709" t="s">
        <x:v>12238</x:v>
      </x:c>
    </x:row>
    <x:row r="2710">
      <x:c r="A2710" t="s">
        <x:v>12239</x:v>
      </x:c>
      <x:c r="B2710" t="s">
        <x:v>12239</x:v>
      </x:c>
      <x:c r="C2710" t="s">
        <x:v>12240</x:v>
      </x:c>
      <x:c r="D2710">
        <x:v>10</x:v>
      </x:c>
      <x:c r="E2710" t="s">
        <x:v>114</x:v>
      </x:c>
      <x:c r="F2710" t="s">
        <x:v>90</x:v>
      </x:c>
      <x:c r="G2710">
        <x:v>43860</x:v>
      </x:c>
      <x:c r="H2710" t="s">
        <x:v>12241</x:v>
      </x:c>
      <x:c r="I2710" t="s">
        <x:v>12242</x:v>
      </x:c>
      <x:c r="J2710" t="s">
        <x:v>12243</x:v>
      </x:c>
    </x:row>
    <x:row r="2711">
      <x:c r="A2711" t="s">
        <x:v>12244</x:v>
      </x:c>
      <x:c r="B2711" t="s">
        <x:v>12244</x:v>
      </x:c>
      <x:c r="C2711" t="s">
        <x:v>2189</x:v>
      </x:c>
      <x:c r="D2711">
        <x:v>18</x:v>
      </x:c>
      <x:c r="E2711" t="s">
        <x:v>96</x:v>
      </x:c>
      <x:c r="F2711" t="s">
        <x:v>97</x:v>
      </x:c>
      <x:c r="G2711">
        <x:v>42523</x:v>
      </x:c>
      <x:c r="H2711" t="s">
        <x:v>12245</x:v>
      </x:c>
      <x:c r="I2711" t="s">
        <x:v>12246</x:v>
      </x:c>
      <x:c r="J2711" t="s">
        <x:v>12247</x:v>
      </x:c>
    </x:row>
    <x:row r="2712">
      <x:c r="A2712" t="s">
        <x:v>12248</x:v>
      </x:c>
      <x:c r="B2712" t="s">
        <x:v>12248</x:v>
      </x:c>
      <x:c r="C2712" t="s">
        <x:v>12249</x:v>
      </x:c>
      <x:c r="D2712">
        <x:v>67</x:v>
      </x:c>
      <x:c r="E2712" t="s">
        <x:v>89</x:v>
      </x:c>
      <x:c r="F2712" t="s">
        <x:v>97</x:v>
      </x:c>
      <x:c r="G2712">
        <x:v>45039</x:v>
      </x:c>
      <x:c r="H2712" t="s">
        <x:v>12250</x:v>
      </x:c>
      <x:c r="I2712" t="s">
        <x:v>12251</x:v>
      </x:c>
      <x:c r="J2712" t="s">
        <x:v>12252</x:v>
      </x:c>
    </x:row>
    <x:row r="2713">
      <x:c r="A2713" t="s">
        <x:v>12253</x:v>
      </x:c>
      <x:c r="B2713" t="s">
        <x:v>12253</x:v>
      </x:c>
      <x:c r="C2713" t="s">
        <x:v>12254</x:v>
      </x:c>
      <x:c r="D2713">
        <x:v>4</x:v>
      </x:c>
      <x:c r="E2713" t="s">
        <x:v>103</x:v>
      </x:c>
      <x:c r="F2713" t="s">
        <x:v>97</x:v>
      </x:c>
      <x:c r="G2713">
        <x:v>43221</x:v>
      </x:c>
      <x:c r="H2713" t="s">
        <x:v>12255</x:v>
      </x:c>
      <x:c r="I2713" t="s">
        <x:v>12256</x:v>
      </x:c>
      <x:c r="J2713" t="s">
        <x:v>12257</x:v>
      </x:c>
    </x:row>
    <x:row r="2714">
      <x:c r="A2714" t="s">
        <x:v>12258</x:v>
      </x:c>
      <x:c r="B2714" t="s">
        <x:v>12258</x:v>
      </x:c>
      <x:c r="C2714" t="s">
        <x:v>409</x:v>
      </x:c>
      <x:c r="D2714">
        <x:v>14</x:v>
      </x:c>
      <x:c r="E2714" t="s">
        <x:v>198</x:v>
      </x:c>
      <x:c r="F2714" t="s">
        <x:v>90</x:v>
      </x:c>
      <x:c r="G2714">
        <x:v>43922</x:v>
      </x:c>
      <x:c r="H2714" t="s">
        <x:v>12259</x:v>
      </x:c>
      <x:c r="I2714" t="s">
        <x:v>12260</x:v>
      </x:c>
      <x:c r="J2714" t="s">
        <x:v>12261</x:v>
      </x:c>
    </x:row>
    <x:row r="2715">
      <x:c r="A2715" t="s">
        <x:v>12262</x:v>
      </x:c>
      <x:c r="B2715" t="s">
        <x:v>12262</x:v>
      </x:c>
      <x:c r="C2715" t="s">
        <x:v>12263</x:v>
      </x:c>
      <x:c r="D2715">
        <x:v>2</x:v>
      </x:c>
      <x:c r="E2715" t="s">
        <x:v>89</x:v>
      </x:c>
      <x:c r="F2715" t="s">
        <x:v>152</x:v>
      </x:c>
      <x:c r="G2715">
        <x:v>45765</x:v>
      </x:c>
      <x:c r="H2715" t="s">
        <x:v>12264</x:v>
      </x:c>
      <x:c r="I2715" t="s">
        <x:v>12265</x:v>
      </x:c>
      <x:c r="J2715" t="s">
        <x:v>12266</x:v>
      </x:c>
    </x:row>
    <x:row r="2716">
      <x:c r="A2716" t="s">
        <x:v>12267</x:v>
      </x:c>
      <x:c r="B2716" t="s">
        <x:v>12267</x:v>
      </x:c>
      <x:c r="C2716" t="s">
        <x:v>11359</x:v>
      </x:c>
      <x:c r="D2716">
        <x:v>12</x:v>
      </x:c>
      <x:c r="E2716" t="s">
        <x:v>89</x:v>
      </x:c>
      <x:c r="F2716" t="s">
        <x:v>90</x:v>
      </x:c>
      <x:c r="G2716">
        <x:v>44318</x:v>
      </x:c>
      <x:c r="H2716" t="s">
        <x:v>12268</x:v>
      </x:c>
      <x:c r="I2716" t="s">
        <x:v>12269</x:v>
      </x:c>
      <x:c r="J2716" t="s">
        <x:v>12270</x:v>
      </x:c>
    </x:row>
    <x:row r="2717">
      <x:c r="A2717" t="s">
        <x:v>12271</x:v>
      </x:c>
      <x:c r="B2717" t="s">
        <x:v>12271</x:v>
      </x:c>
      <x:c r="C2717" t="s">
        <x:v>4947</x:v>
      </x:c>
      <x:c r="D2717">
        <x:v>33</x:v>
      </x:c>
      <x:c r="E2717" t="s">
        <x:v>96</x:v>
      </x:c>
      <x:c r="F2717" t="s">
        <x:v>97</x:v>
      </x:c>
      <x:c r="G2717">
        <x:v>42946</x:v>
      </x:c>
      <x:c r="H2717" t="s">
        <x:v>12272</x:v>
      </x:c>
      <x:c r="I2717" t="s">
        <x:v>12273</x:v>
      </x:c>
      <x:c r="J2717" t="s">
        <x:v>12274</x:v>
      </x:c>
    </x:row>
    <x:row r="2718">
      <x:c r="A2718" t="s">
        <x:v>12275</x:v>
      </x:c>
      <x:c r="B2718" t="s">
        <x:v>12275</x:v>
      </x:c>
      <x:c r="C2718" t="s">
        <x:v>3012</x:v>
      </x:c>
      <x:c r="D2718">
        <x:v>10</x:v>
      </x:c>
      <x:c r="E2718" t="s">
        <x:v>96</x:v>
      </x:c>
      <x:c r="F2718" t="s">
        <x:v>97</x:v>
      </x:c>
      <x:c r="G2718">
        <x:v>44153</x:v>
      </x:c>
      <x:c r="H2718" t="s">
        <x:v>12276</x:v>
      </x:c>
      <x:c r="I2718" t="s">
        <x:v>12277</x:v>
      </x:c>
      <x:c r="J2718" t="s">
        <x:v>12278</x:v>
      </x:c>
    </x:row>
    <x:row r="2719">
      <x:c r="A2719" t="s">
        <x:v>12279</x:v>
      </x:c>
      <x:c r="B2719" t="s">
        <x:v>12279</x:v>
      </x:c>
      <x:c r="C2719" t="s">
        <x:v>1268</x:v>
      </x:c>
      <x:c r="D2719">
        <x:v>1</x:v>
      </x:c>
      <x:c r="E2719" t="s">
        <x:v>96</x:v>
      </x:c>
      <x:c r="F2719" t="s">
        <x:v>97</x:v>
      </x:c>
      <x:c r="G2719">
        <x:v>42209</x:v>
      </x:c>
      <x:c r="H2719" t="s">
        <x:v>12280</x:v>
      </x:c>
      <x:c r="I2719" t="s">
        <x:v>12281</x:v>
      </x:c>
      <x:c r="J2719" t="s">
        <x:v>12282</x:v>
      </x:c>
    </x:row>
    <x:row r="2720">
      <x:c r="A2720" t="s">
        <x:v>12283</x:v>
      </x:c>
      <x:c r="B2720" t="s">
        <x:v>12283</x:v>
      </x:c>
      <x:c r="C2720" t="s">
        <x:v>12284</x:v>
      </x:c>
      <x:c r="D2720">
        <x:v>15</x:v>
      </x:c>
      <x:c r="E2720" t="s">
        <x:v>198</x:v>
      </x:c>
      <x:c r="F2720" t="s">
        <x:v>90</x:v>
      </x:c>
      <x:c r="G2720">
        <x:v>44504</x:v>
      </x:c>
      <x:c r="H2720" t="s">
        <x:v>12285</x:v>
      </x:c>
      <x:c r="I2720" t="s">
        <x:v>12286</x:v>
      </x:c>
      <x:c r="J2720" t="s">
        <x:v>12287</x:v>
      </x:c>
    </x:row>
    <x:row r="2721">
      <x:c r="A2721" t="s">
        <x:v>12288</x:v>
      </x:c>
      <x:c r="B2721" t="s">
        <x:v>12288</x:v>
      </x:c>
      <x:c r="C2721" t="s">
        <x:v>12289</x:v>
      </x:c>
      <x:c r="D2721">
        <x:v>113</x:v>
      </x:c>
      <x:c r="E2721" t="s">
        <x:v>198</x:v>
      </x:c>
      <x:c r="F2721" t="s">
        <x:v>97</x:v>
      </x:c>
      <x:c r="G2721">
        <x:v>46201</x:v>
      </x:c>
      <x:c r="H2721" t="s">
        <x:v>12290</x:v>
      </x:c>
      <x:c r="I2721" t="s">
        <x:v>12291</x:v>
      </x:c>
      <x:c r="J2721" t="s">
        <x:v>12292</x:v>
      </x:c>
    </x:row>
    <x:row r="2722">
      <x:c r="A2722" t="s">
        <x:v>12293</x:v>
      </x:c>
      <x:c r="B2722" t="s">
        <x:v>12293</x:v>
      </x:c>
      <x:c r="C2722" t="s">
        <x:v>2432</x:v>
      </x:c>
      <x:c r="D2722">
        <x:v>11</x:v>
      </x:c>
      <x:c r="E2722" t="s">
        <x:v>96</x:v>
      </x:c>
      <x:c r="F2722" t="s">
        <x:v>97</x:v>
      </x:c>
      <x:c r="G2722">
        <x:v>43272</x:v>
      </x:c>
      <x:c r="H2722" t="s">
        <x:v>12294</x:v>
      </x:c>
      <x:c r="I2722" t="s">
        <x:v>12295</x:v>
      </x:c>
      <x:c r="J2722" t="s">
        <x:v>12296</x:v>
      </x:c>
    </x:row>
    <x:row r="2723">
      <x:c r="A2723" t="s">
        <x:v>12297</x:v>
      </x:c>
      <x:c r="B2723" t="s">
        <x:v>12297</x:v>
      </x:c>
      <x:c r="C2723" t="s">
        <x:v>119</x:v>
      </x:c>
      <x:c r="D2723">
        <x:v>4</x:v>
      </x:c>
      <x:c r="E2723" t="s">
        <x:v>114</x:v>
      </x:c>
      <x:c r="F2723" t="s">
        <x:v>90</x:v>
      </x:c>
      <x:c r="G2723">
        <x:v>44284</x:v>
      </x:c>
      <x:c r="H2723" t="s">
        <x:v>12298</x:v>
      </x:c>
      <x:c r="I2723" t="s">
        <x:v>12299</x:v>
      </x:c>
      <x:c r="J2723" t="s">
        <x:v>12300</x:v>
      </x:c>
    </x:row>
    <x:row r="2724">
      <x:c r="A2724" t="s">
        <x:v>12301</x:v>
      </x:c>
      <x:c r="B2724" t="s">
        <x:v>12301</x:v>
      </x:c>
      <x:c r="C2724" t="s">
        <x:v>119</x:v>
      </x:c>
      <x:c r="D2724">
        <x:v>7</x:v>
      </x:c>
      <x:c r="E2724" t="s">
        <x:v>103</x:v>
      </x:c>
      <x:c r="F2724" t="s">
        <x:v>97</x:v>
      </x:c>
      <x:c r="G2724">
        <x:v>44314</x:v>
      </x:c>
      <x:c r="H2724" t="s">
        <x:v>12302</x:v>
      </x:c>
      <x:c r="I2724" t="s">
        <x:v>12303</x:v>
      </x:c>
      <x:c r="J2724" t="s">
        <x:v>12304</x:v>
      </x:c>
    </x:row>
    <x:row r="2725">
      <x:c r="A2725" t="s">
        <x:v>12305</x:v>
      </x:c>
      <x:c r="B2725" t="s">
        <x:v>12305</x:v>
      </x:c>
      <x:c r="C2725" t="s">
        <x:v>12306</x:v>
      </x:c>
      <x:c r="D2725">
        <x:v>14</x:v>
      </x:c>
      <x:c r="E2725" t="s">
        <x:v>257</x:v>
      </x:c>
      <x:c r="F2725" t="s">
        <x:v>97</x:v>
      </x:c>
      <x:c r="G2725">
        <x:v>42210</x:v>
      </x:c>
      <x:c r="H2725" t="s">
        <x:v>12307</x:v>
      </x:c>
      <x:c r="I2725" t="s">
        <x:v>12308</x:v>
      </x:c>
      <x:c r="J2725" t="s">
        <x:v>12309</x:v>
      </x:c>
    </x:row>
    <x:row r="2726">
      <x:c r="A2726" t="s">
        <x:v>12310</x:v>
      </x:c>
      <x:c r="B2726" t="s">
        <x:v>12310</x:v>
      </x:c>
      <x:c r="C2726" t="s">
        <x:v>1055</x:v>
      </x:c>
      <x:c r="D2726">
        <x:v>11</x:v>
      </x:c>
      <x:c r="E2726" t="s">
        <x:v>103</x:v>
      </x:c>
      <x:c r="F2726" t="s">
        <x:v>97</x:v>
      </x:c>
      <x:c r="G2726">
        <x:v>45093</x:v>
      </x:c>
      <x:c r="H2726" t="s">
        <x:v>12311</x:v>
      </x:c>
      <x:c r="I2726" t="s">
        <x:v>12312</x:v>
      </x:c>
      <x:c r="J2726" t="s">
        <x:v>12313</x:v>
      </x:c>
    </x:row>
    <x:row r="2727">
      <x:c r="A2727" t="s">
        <x:v>12314</x:v>
      </x:c>
      <x:c r="B2727" t="s">
        <x:v>12314</x:v>
      </x:c>
      <x:c r="C2727" t="s">
        <x:v>292</x:v>
      </x:c>
      <x:c r="D2727">
        <x:v>5</x:v>
      </x:c>
      <x:c r="E2727" t="s">
        <x:v>198</x:v>
      </x:c>
      <x:c r="F2727" t="s">
        <x:v>90</x:v>
      </x:c>
      <x:c r="G2727">
        <x:v>43588</x:v>
      </x:c>
      <x:c r="H2727" t="s">
        <x:v>12315</x:v>
      </x:c>
      <x:c r="I2727" t="s">
        <x:v>12316</x:v>
      </x:c>
      <x:c r="J2727" t="s">
        <x:v>12317</x:v>
      </x:c>
    </x:row>
    <x:row r="2728">
      <x:c r="A2728" t="s">
        <x:v>12318</x:v>
      </x:c>
      <x:c r="B2728" t="s">
        <x:v>12318</x:v>
      </x:c>
      <x:c r="C2728" t="s">
        <x:v>12319</x:v>
      </x:c>
      <x:c r="D2728">
        <x:v>12</x:v>
      </x:c>
      <x:c r="E2728" t="s">
        <x:v>89</x:v>
      </x:c>
      <x:c r="F2728" t="s">
        <x:v>97</x:v>
      </x:c>
      <x:c r="G2728">
        <x:v>44586</x:v>
      </x:c>
      <x:c r="H2728" t="s">
        <x:v>12320</x:v>
      </x:c>
      <x:c r="I2728" t="s">
        <x:v>12321</x:v>
      </x:c>
      <x:c r="J2728" t="s">
        <x:v>12322</x:v>
      </x:c>
    </x:row>
    <x:row r="2729">
      <x:c r="A2729" t="s">
        <x:v>12323</x:v>
      </x:c>
      <x:c r="B2729" t="s">
        <x:v>12323</x:v>
      </x:c>
      <x:c r="C2729" t="s">
        <x:v>12324</x:v>
      </x:c>
      <x:c r="D2729">
        <x:v>21</x:v>
      </x:c>
      <x:c r="E2729" t="s">
        <x:v>257</x:v>
      </x:c>
      <x:c r="F2729" t="s">
        <x:v>97</x:v>
      </x:c>
      <x:c r="G2729">
        <x:v>42277</x:v>
      </x:c>
      <x:c r="H2729" t="s">
        <x:v>12325</x:v>
      </x:c>
      <x:c r="I2729" t="s">
        <x:v>12326</x:v>
      </x:c>
      <x:c r="J2729" t="s">
        <x:v>12327</x:v>
      </x:c>
    </x:row>
    <x:row r="2730">
      <x:c r="A2730" t="s">
        <x:v>12328</x:v>
      </x:c>
      <x:c r="B2730" t="s">
        <x:v>12328</x:v>
      </x:c>
      <x:c r="C2730" t="s">
        <x:v>7179</x:v>
      </x:c>
      <x:c r="D2730">
        <x:v>13</x:v>
      </x:c>
      <x:c r="E2730" t="s">
        <x:v>89</x:v>
      </x:c>
      <x:c r="F2730" t="s">
        <x:v>90</x:v>
      </x:c>
      <x:c r="G2730">
        <x:v>45324</x:v>
      </x:c>
      <x:c r="H2730" t="s">
        <x:v>12329</x:v>
      </x:c>
      <x:c r="I2730" t="s">
        <x:v>12330</x:v>
      </x:c>
      <x:c r="J2730" t="s">
        <x:v>12331</x:v>
      </x:c>
    </x:row>
    <x:row r="2731">
      <x:c r="A2731" t="s">
        <x:v>12332</x:v>
      </x:c>
      <x:c r="B2731" t="s">
        <x:v>12332</x:v>
      </x:c>
      <x:c r="C2731" t="s">
        <x:v>6970</x:v>
      </x:c>
      <x:c r="D2731">
        <x:v>46</x:v>
      </x:c>
      <x:c r="E2731" t="s">
        <x:v>114</x:v>
      </x:c>
      <x:c r="F2731" t="s">
        <x:v>90</x:v>
      </x:c>
      <x:c r="G2731">
        <x:v>46198</x:v>
      </x:c>
      <x:c r="H2731" t="s">
        <x:v>12333</x:v>
      </x:c>
      <x:c r="I2731" t="s">
        <x:v>12334</x:v>
      </x:c>
      <x:c r="J2731" t="s">
        <x:v>12335</x:v>
      </x:c>
    </x:row>
    <x:row r="2732">
      <x:c r="A2732" t="s">
        <x:v>12336</x:v>
      </x:c>
      <x:c r="B2732" t="s">
        <x:v>12336</x:v>
      </x:c>
      <x:c r="C2732" t="s">
        <x:v>5241</x:v>
      </x:c>
      <x:c r="D2732">
        <x:v>100</x:v>
      </x:c>
      <x:c r="E2732" t="s">
        <x:v>114</x:v>
      </x:c>
      <x:c r="F2732" t="s">
        <x:v>97</x:v>
      </x:c>
      <x:c r="G2732">
        <x:v>42069</x:v>
      </x:c>
      <x:c r="H2732" t="s">
        <x:v>12337</x:v>
      </x:c>
      <x:c r="I2732" t="s">
        <x:v>12338</x:v>
      </x:c>
      <x:c r="J2732" t="s">
        <x:v>12339</x:v>
      </x:c>
    </x:row>
    <x:row r="2733">
      <x:c r="A2733" t="s">
        <x:v>12340</x:v>
      </x:c>
      <x:c r="B2733" t="s">
        <x:v>12340</x:v>
      </x:c>
      <x:c r="C2733" t="s">
        <x:v>12341</x:v>
      </x:c>
      <x:c r="D2733">
        <x:v>5</x:v>
      </x:c>
      <x:c r="E2733" t="s">
        <x:v>96</x:v>
      </x:c>
      <x:c r="F2733" t="s">
        <x:v>97</x:v>
      </x:c>
      <x:c r="G2733">
        <x:v>42264</x:v>
      </x:c>
      <x:c r="H2733" t="s">
        <x:v>12342</x:v>
      </x:c>
      <x:c r="I2733" t="s">
        <x:v>12343</x:v>
      </x:c>
      <x:c r="J2733" t="s">
        <x:v>12344</x:v>
      </x:c>
    </x:row>
    <x:row r="2734">
      <x:c r="A2734" t="s">
        <x:v>1573</x:v>
      </x:c>
      <x:c r="B2734" t="s">
        <x:v>1573</x:v>
      </x:c>
      <x:c r="C2734" t="s">
        <x:v>1573</x:v>
      </x:c>
      <x:c r="D2734">
        <x:v>30</x:v>
      </x:c>
      <x:c r="E2734" t="s">
        <x:v>103</x:v>
      </x:c>
      <x:c r="F2734" t="s">
        <x:v>97</x:v>
      </x:c>
      <x:c r="G2734">
        <x:v>42268</x:v>
      </x:c>
      <x:c r="H2734" t="s">
        <x:v>12345</x:v>
      </x:c>
      <x:c r="I2734" t="s">
        <x:v>12346</x:v>
      </x:c>
      <x:c r="J2734" t="s">
        <x:v>12347</x:v>
      </x:c>
    </x:row>
    <x:row r="2735">
      <x:c r="A2735" t="s">
        <x:v>12348</x:v>
      </x:c>
      <x:c r="B2735" t="s">
        <x:v>12348</x:v>
      </x:c>
      <x:c r="C2735" t="s">
        <x:v>742</x:v>
      </x:c>
      <x:c r="D2735">
        <x:v>0</x:v>
      </x:c>
      <x:c r="E2735" t="s">
        <x:v>96</x:v>
      </x:c>
      <x:c r="F2735" t="s">
        <x:v>97</x:v>
      </x:c>
      <x:c r="G2735">
        <x:v>45853</x:v>
      </x:c>
      <x:c r="H2735" t="s">
        <x:v>12349</x:v>
      </x:c>
      <x:c r="I2735" t="s">
        <x:v>12350</x:v>
      </x:c>
      <x:c r="J2735" t="s">
        <x:v>12351</x:v>
      </x:c>
    </x:row>
    <x:row r="2736">
      <x:c r="A2736" t="s">
        <x:v>12352</x:v>
      </x:c>
      <x:c r="B2736" t="s">
        <x:v>12352</x:v>
      </x:c>
      <x:c r="C2736" t="s">
        <x:v>3012</x:v>
      </x:c>
      <x:c r="D2736">
        <x:v>5</x:v>
      </x:c>
      <x:c r="E2736" t="s">
        <x:v>198</x:v>
      </x:c>
      <x:c r="F2736" t="s">
        <x:v>90</x:v>
      </x:c>
      <x:c r="G2736">
        <x:v>45768</x:v>
      </x:c>
      <x:c r="H2736" t="s">
        <x:v>12353</x:v>
      </x:c>
      <x:c r="I2736" t="s">
        <x:v>12354</x:v>
      </x:c>
      <x:c r="J2736" t="s">
        <x:v>12355</x:v>
      </x:c>
    </x:row>
    <x:row r="2737">
      <x:c r="A2737" t="s">
        <x:v>12356</x:v>
      </x:c>
      <x:c r="B2737" t="s">
        <x:v>12356</x:v>
      </x:c>
      <x:c r="C2737" t="s">
        <x:v>12357</x:v>
      </x:c>
      <x:c r="D2737">
        <x:v>15</x:v>
      </x:c>
      <x:c r="E2737" t="s">
        <x:v>198</x:v>
      </x:c>
      <x:c r="F2737" t="s">
        <x:v>90</x:v>
      </x:c>
      <x:c r="G2737">
        <x:v>45534</x:v>
      </x:c>
      <x:c r="H2737" t="s">
        <x:v>12358</x:v>
      </x:c>
      <x:c r="I2737" t="s">
        <x:v>12359</x:v>
      </x:c>
      <x:c r="J2737" t="s">
        <x:v>12360</x:v>
      </x:c>
    </x:row>
    <x:row r="2738">
      <x:c r="A2738" t="s">
        <x:v>12361</x:v>
      </x:c>
      <x:c r="B2738" t="s">
        <x:v>12361</x:v>
      </x:c>
      <x:c r="C2738" t="s">
        <x:v>12362</x:v>
      </x:c>
      <x:c r="D2738">
        <x:v>5</x:v>
      </x:c>
      <x:c r="E2738" t="s">
        <x:v>103</x:v>
      </x:c>
      <x:c r="F2738" t="s">
        <x:v>97</x:v>
      </x:c>
      <x:c r="G2738">
        <x:v>44920</x:v>
      </x:c>
      <x:c r="H2738" t="s">
        <x:v>12363</x:v>
      </x:c>
      <x:c r="I2738" t="s">
        <x:v>12364</x:v>
      </x:c>
      <x:c r="J2738" t="s">
        <x:v>12365</x:v>
      </x:c>
    </x:row>
    <x:row r="2739">
      <x:c r="A2739" t="s">
        <x:v>12366</x:v>
      </x:c>
      <x:c r="B2739" t="s">
        <x:v>12366</x:v>
      </x:c>
      <x:c r="C2739" t="s">
        <x:v>12367</x:v>
      </x:c>
      <x:c r="D2739">
        <x:v>120</x:v>
      </x:c>
      <x:c r="E2739" t="s">
        <x:v>198</x:v>
      </x:c>
      <x:c r="F2739" t="s">
        <x:v>152</x:v>
      </x:c>
      <x:c r="G2739">
        <x:v>42933</x:v>
      </x:c>
      <x:c r="H2739" t="s">
        <x:v>12368</x:v>
      </x:c>
      <x:c r="I2739" t="s">
        <x:v>12369</x:v>
      </x:c>
      <x:c r="J2739" t="s">
        <x:v>12370</x:v>
      </x:c>
    </x:row>
    <x:row r="2740">
      <x:c r="A2740" t="s">
        <x:v>12371</x:v>
      </x:c>
      <x:c r="B2740" t="s">
        <x:v>12371</x:v>
      </x:c>
      <x:c r="C2740" t="s">
        <x:v>12372</x:v>
      </x:c>
      <x:c r="D2740">
        <x:v>104</x:v>
      </x:c>
      <x:c r="E2740" t="s">
        <x:v>198</x:v>
      </x:c>
      <x:c r="F2740" t="s">
        <x:v>152</x:v>
      </x:c>
      <x:c r="G2740">
        <x:v>44030</x:v>
      </x:c>
      <x:c r="H2740" t="s">
        <x:v>12373</x:v>
      </x:c>
      <x:c r="I2740" t="s">
        <x:v>12374</x:v>
      </x:c>
      <x:c r="J2740" t="s">
        <x:v>12375</x:v>
      </x:c>
    </x:row>
    <x:row r="2741">
      <x:c r="A2741" t="s">
        <x:v>12376</x:v>
      </x:c>
      <x:c r="B2741" t="s">
        <x:v>12376</x:v>
      </x:c>
      <x:c r="C2741" t="s">
        <x:v>2156</x:v>
      </x:c>
      <x:c r="D2741">
        <x:v>19</x:v>
      </x:c>
      <x:c r="E2741" t="s">
        <x:v>96</x:v>
      </x:c>
      <x:c r="F2741" t="s">
        <x:v>97</x:v>
      </x:c>
      <x:c r="G2741">
        <x:v>43971</x:v>
      </x:c>
      <x:c r="H2741" t="s">
        <x:v>12377</x:v>
      </x:c>
      <x:c r="I2741" t="s">
        <x:v>12378</x:v>
      </x:c>
      <x:c r="J2741" t="s">
        <x:v>12379</x:v>
      </x:c>
    </x:row>
    <x:row r="2742">
      <x:c r="A2742" t="s">
        <x:v>12380</x:v>
      </x:c>
      <x:c r="B2742" t="s">
        <x:v>12380</x:v>
      </x:c>
      <x:c r="C2742" t="s">
        <x:v>7848</x:v>
      </x:c>
      <x:c r="D2742">
        <x:v>13</x:v>
      </x:c>
      <x:c r="E2742" t="s">
        <x:v>89</x:v>
      </x:c>
      <x:c r="F2742" t="s">
        <x:v>90</x:v>
      </x:c>
      <x:c r="G2742">
        <x:v>44084</x:v>
      </x:c>
      <x:c r="H2742" t="s">
        <x:v>12381</x:v>
      </x:c>
      <x:c r="I2742" t="s">
        <x:v>12382</x:v>
      </x:c>
      <x:c r="J2742" t="s">
        <x:v>12383</x:v>
      </x:c>
    </x:row>
    <x:row r="2743">
      <x:c r="A2743" t="s">
        <x:v>12384</x:v>
      </x:c>
      <x:c r="B2743" t="s">
        <x:v>12384</x:v>
      </x:c>
      <x:c r="C2743" t="s">
        <x:v>12385</x:v>
      </x:c>
      <x:c r="D2743">
        <x:v>64</x:v>
      </x:c>
      <x:c r="E2743" t="s">
        <x:v>103</x:v>
      </x:c>
      <x:c r="F2743" t="s">
        <x:v>97</x:v>
      </x:c>
      <x:c r="G2743">
        <x:v>42939</x:v>
      </x:c>
      <x:c r="H2743" t="s">
        <x:v>12386</x:v>
      </x:c>
      <x:c r="I2743" t="s">
        <x:v>12387</x:v>
      </x:c>
      <x:c r="J2743" t="s">
        <x:v>12388</x:v>
      </x:c>
    </x:row>
    <x:row r="2744">
      <x:c r="A2744" t="s">
        <x:v>12389</x:v>
      </x:c>
      <x:c r="B2744" t="s">
        <x:v>12389</x:v>
      </x:c>
      <x:c r="C2744" t="s">
        <x:v>12390</x:v>
      </x:c>
      <x:c r="D2744">
        <x:v>11</x:v>
      </x:c>
      <x:c r="E2744" t="s">
        <x:v>89</x:v>
      </x:c>
      <x:c r="F2744" t="s">
        <x:v>90</x:v>
      </x:c>
      <x:c r="G2744">
        <x:v>44886</x:v>
      </x:c>
      <x:c r="H2744" t="s">
        <x:v>12391</x:v>
      </x:c>
      <x:c r="I2744" t="s">
        <x:v>12392</x:v>
      </x:c>
      <x:c r="J2744" t="s">
        <x:v>12393</x:v>
      </x:c>
    </x:row>
    <x:row r="2745">
      <x:c r="A2745" t="s">
        <x:v>12394</x:v>
      </x:c>
      <x:c r="B2745" t="s">
        <x:v>12394</x:v>
      </x:c>
      <x:c r="C2745" t="s">
        <x:v>12395</x:v>
      </x:c>
      <x:c r="D2745">
        <x:v>100</x:v>
      </x:c>
      <x:c r="E2745" t="s">
        <x:v>198</x:v>
      </x:c>
      <x:c r="F2745" t="s">
        <x:v>97</x:v>
      </x:c>
      <x:c r="G2745">
        <x:v>45452</x:v>
      </x:c>
      <x:c r="H2745" t="s">
        <x:v>12396</x:v>
      </x:c>
      <x:c r="I2745" t="s">
        <x:v>12397</x:v>
      </x:c>
      <x:c r="J2745" t="s">
        <x:v>12398</x:v>
      </x:c>
    </x:row>
    <x:row r="2746">
      <x:c r="A2746" t="s">
        <x:v>12399</x:v>
      </x:c>
      <x:c r="B2746" t="s">
        <x:v>12399</x:v>
      </x:c>
      <x:c r="C2746" t="s">
        <x:v>12400</x:v>
      </x:c>
      <x:c r="D2746">
        <x:v>4</x:v>
      </x:c>
      <x:c r="E2746" t="s">
        <x:v>198</x:v>
      </x:c>
      <x:c r="F2746" t="s">
        <x:v>90</x:v>
      </x:c>
      <x:c r="G2746">
        <x:v>45716</x:v>
      </x:c>
      <x:c r="H2746" t="s">
        <x:v>12401</x:v>
      </x:c>
      <x:c r="I2746" t="s">
        <x:v>12402</x:v>
      </x:c>
      <x:c r="J2746" t="s">
        <x:v>12403</x:v>
      </x:c>
    </x:row>
    <x:row r="2747">
      <x:c r="A2747" t="s">
        <x:v>12404</x:v>
      </x:c>
      <x:c r="B2747" t="s">
        <x:v>12404</x:v>
      </x:c>
      <x:c r="C2747" t="s">
        <x:v>12405</x:v>
      </x:c>
      <x:c r="D2747">
        <x:v>18</x:v>
      </x:c>
      <x:c r="E2747" t="s">
        <x:v>96</x:v>
      </x:c>
      <x:c r="F2747" t="s">
        <x:v>97</x:v>
      </x:c>
      <x:c r="G2747">
        <x:v>43846</x:v>
      </x:c>
      <x:c r="H2747" t="s">
        <x:v>12406</x:v>
      </x:c>
      <x:c r="I2747" t="s">
        <x:v>12407</x:v>
      </x:c>
      <x:c r="J2747" t="s">
        <x:v>12408</x:v>
      </x:c>
    </x:row>
    <x:row r="2748">
      <x:c r="A2748" t="s">
        <x:v>12409</x:v>
      </x:c>
      <x:c r="B2748" t="s">
        <x:v>12409</x:v>
      </x:c>
      <x:c r="C2748" t="s">
        <x:v>151</x:v>
      </x:c>
      <x:c r="D2748">
        <x:v>13</x:v>
      </x:c>
      <x:c r="E2748" t="s">
        <x:v>198</x:v>
      </x:c>
      <x:c r="F2748" t="s">
        <x:v>90</x:v>
      </x:c>
      <x:c r="G2748">
        <x:v>44938</x:v>
      </x:c>
      <x:c r="H2748" t="s">
        <x:v>12410</x:v>
      </x:c>
      <x:c r="I2748" t="s">
        <x:v>12411</x:v>
      </x:c>
      <x:c r="J2748" t="s">
        <x:v>12412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0" hidden="0" customWidth="1"/>
    <x:col min="3" max="3" width="30" hidden="0" customWidth="1"/>
    <x:col min="4" max="4" width="9" hidden="0" customWidth="1"/>
    <x:col min="5" max="5" width="15" hidden="0" customWidth="1"/>
    <x:col min="6" max="6" width="20" hidden="0" customWidth="1"/>
    <x:col min="7" max="7" width="14" hidden="0" customWidth="1"/>
    <x:col min="8" max="8" width="11" hidden="0" customWidth="1"/>
    <x:col min="9" max="9" width="46" hidden="0" customWidth="1"/>
    <x:col min="10" max="10" width="46" hidden="0" customWidth="1"/>
  </x:cols>
  <x:sheetData>
    <x:row r="1" ht="34" customHeight="1">
      <x:c r="A1" s="293" t="str">
        <x:v>Dropdown Selection</x:v>
      </x:c>
      <x:c r="B1" s="293" t="str">
        <x:v>ROM Hack Title</x:v>
      </x:c>
      <x:c r="C1" s="293" t="str">
        <x:v>Created By</x:v>
      </x:c>
      <x:c r="D1" s="293" t="str">
        <x:v>Exits</x:v>
      </x:c>
      <x:c r="E1" s="293" t="str">
        <x:v>Difficulty</x:v>
      </x:c>
      <x:c r="F1" s="293" t="str">
        <x:v>Type</x:v>
      </x:c>
      <x:c r="G1" s="293" t="str">
        <x:v>Added Date</x:v>
      </x:c>
      <x:c r="H1" s="293" t="str">
        <x:v>SMWC ID</x:v>
      </x:c>
      <x:c r="I1" s="293" t="str">
        <x:v>SMWCentral Page URL</x:v>
      </x:c>
      <x:c r="J1" s="293" t="str">
        <x:v>Direct Download URL</x:v>
      </x:c>
    </x:row>
  </x:sheetData>
  <x:pageMargins left="0.7" right="0.7" top="0.75" bottom="0.75" header="0.3" footer="0.3"/>
</x:worksheet>
</file>